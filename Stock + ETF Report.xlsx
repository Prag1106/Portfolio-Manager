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prag/Documents/Allianz 2026/Portfolio/"/>
    </mc:Choice>
  </mc:AlternateContent>
  <xr:revisionPtr revIDLastSave="0" documentId="13_ncr:1_{C4A8D1EC-D827-5343-A75D-30982B2CFE36}" xr6:coauthVersionLast="47" xr6:coauthVersionMax="47" xr10:uidLastSave="{00000000-0000-0000-0000-000000000000}"/>
  <bookViews>
    <workbookView xWindow="0" yWindow="600" windowWidth="28800" windowHeight="16220" activeTab="1" xr2:uid="{00000000-000D-0000-FFFF-FFFF00000000}"/>
  </bookViews>
  <sheets>
    <sheet name="Stock Report" sheetId="1" r:id="rId1"/>
    <sheet name="ETF Report" sheetId="3" r:id="rId2"/>
    <sheet name="Stock Report (2)"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0" i="3" l="1" a="1"/>
  <c r="N120" i="3" a="1"/>
  <c r="A120" i="3" a="1"/>
  <c r="C120" i="3" a="1"/>
  <c r="D120" i="3" a="1"/>
  <c r="E120" i="3"/>
  <c r="F120" i="3" a="1"/>
  <c r="J120" i="3" a="1"/>
  <c r="O120" i="3" a="1"/>
  <c r="P120" i="3" a="1"/>
  <c r="Q120" i="3" a="1"/>
  <c r="A119" i="3" a="1"/>
  <c r="C119" i="3" a="1"/>
  <c r="D119" i="3" a="1"/>
  <c r="E119" i="3"/>
  <c r="F119" i="3" a="1"/>
  <c r="J119" i="3" a="1"/>
  <c r="M119" i="3" a="1"/>
  <c r="N119" i="3" a="1"/>
  <c r="O119" i="3" a="1"/>
  <c r="P119" i="3" a="1"/>
  <c r="Q119" i="3" a="1"/>
  <c r="J2" i="3" a="1"/>
  <c r="J3" i="3" a="1"/>
  <c r="J4" i="3" a="1"/>
  <c r="J5" i="3" a="1"/>
  <c r="J6" i="3" a="1"/>
  <c r="J7" i="3" a="1"/>
  <c r="J8" i="3" a="1"/>
  <c r="J9" i="3" a="1"/>
  <c r="J10" i="3" a="1"/>
  <c r="J11" i="3" a="1"/>
  <c r="J12" i="3" a="1"/>
  <c r="J13" i="3" a="1"/>
  <c r="J14" i="3" a="1"/>
  <c r="J15" i="3" a="1"/>
  <c r="J16" i="3" a="1"/>
  <c r="J17" i="3" a="1"/>
  <c r="J18" i="3" a="1"/>
  <c r="J19" i="3" a="1"/>
  <c r="J20" i="3" a="1"/>
  <c r="J21" i="3" a="1"/>
  <c r="J22" i="3" a="1"/>
  <c r="J23" i="3" a="1"/>
  <c r="J24" i="3" a="1"/>
  <c r="J25" i="3" a="1"/>
  <c r="J26" i="3" a="1"/>
  <c r="J27" i="3" a="1"/>
  <c r="J28" i="3" a="1"/>
  <c r="J29" i="3" a="1"/>
  <c r="J30" i="3" a="1"/>
  <c r="J31" i="3" a="1"/>
  <c r="J32" i="3" a="1"/>
  <c r="J33" i="3" a="1"/>
  <c r="J34" i="3" a="1"/>
  <c r="J35" i="3" a="1"/>
  <c r="J36" i="3" a="1"/>
  <c r="J37" i="3" a="1"/>
  <c r="J38" i="3" a="1"/>
  <c r="J39" i="3" a="1"/>
  <c r="J40" i="3" a="1"/>
  <c r="J41" i="3" a="1"/>
  <c r="J42" i="3" a="1"/>
  <c r="J43" i="3" a="1"/>
  <c r="J44" i="3" a="1"/>
  <c r="J45" i="3" a="1"/>
  <c r="J46" i="3" a="1"/>
  <c r="J47" i="3" a="1"/>
  <c r="J48" i="3" a="1"/>
  <c r="J49" i="3" a="1"/>
  <c r="J50" i="3" a="1"/>
  <c r="J51" i="3" a="1"/>
  <c r="J52" i="3" a="1"/>
  <c r="J53" i="3" a="1"/>
  <c r="J54" i="3" a="1"/>
  <c r="J55" i="3" a="1"/>
  <c r="J56" i="3" a="1"/>
  <c r="J57" i="3" a="1"/>
  <c r="J58" i="3" a="1"/>
  <c r="J59" i="3" a="1"/>
  <c r="J60" i="3" a="1"/>
  <c r="J61" i="3" a="1"/>
  <c r="J62" i="3" a="1"/>
  <c r="J63" i="3" a="1"/>
  <c r="J64" i="3" a="1"/>
  <c r="J65" i="3" a="1"/>
  <c r="J66" i="3" a="1"/>
  <c r="J67" i="3" a="1"/>
  <c r="J68" i="3" a="1"/>
  <c r="J69" i="3" a="1"/>
  <c r="J70" i="3" a="1"/>
  <c r="J71" i="3" a="1"/>
  <c r="J72" i="3" a="1"/>
  <c r="J73" i="3" a="1"/>
  <c r="J74" i="3" a="1"/>
  <c r="J75" i="3" a="1"/>
  <c r="J76" i="3" a="1"/>
  <c r="J77" i="3" a="1"/>
  <c r="J78" i="3" a="1"/>
  <c r="J79" i="3" a="1"/>
  <c r="J80" i="3" a="1"/>
  <c r="J81" i="3" a="1"/>
  <c r="J82" i="3" a="1"/>
  <c r="J83" i="3" a="1"/>
  <c r="J84" i="3" a="1"/>
  <c r="J85" i="3" a="1"/>
  <c r="J86" i="3" a="1"/>
  <c r="J87" i="3" a="1"/>
  <c r="J88" i="3" a="1"/>
  <c r="J89" i="3" a="1"/>
  <c r="J90" i="3" a="1"/>
  <c r="J91" i="3" a="1"/>
  <c r="J92" i="3" a="1"/>
  <c r="J93" i="3" a="1"/>
  <c r="J94" i="3" a="1"/>
  <c r="J95" i="3" a="1"/>
  <c r="J96" i="3" a="1"/>
  <c r="J97" i="3" a="1"/>
  <c r="J98" i="3" a="1"/>
  <c r="J99" i="3" a="1"/>
  <c r="J100" i="3" a="1"/>
  <c r="J101" i="3" a="1"/>
  <c r="J102" i="3" a="1"/>
  <c r="J103" i="3" a="1"/>
  <c r="J104" i="3" a="1"/>
  <c r="J105" i="3" a="1"/>
  <c r="J106" i="3" a="1"/>
  <c r="J107" i="3" a="1"/>
  <c r="J108" i="3" a="1"/>
  <c r="J109" i="3" a="1"/>
  <c r="J110" i="3" a="1"/>
  <c r="J111" i="3" a="1"/>
  <c r="J112" i="3" a="1"/>
  <c r="J113" i="3" a="1"/>
  <c r="J114" i="3" a="1"/>
  <c r="J115" i="3" a="1"/>
  <c r="J116" i="3" a="1"/>
  <c r="J117" i="3" a="1"/>
  <c r="J118" i="3" a="1"/>
  <c r="A118" i="3" a="1"/>
  <c r="C118" i="3" a="1"/>
  <c r="D118" i="3" a="1"/>
  <c r="E118" i="3"/>
  <c r="F118" i="3" a="1"/>
  <c r="M118" i="3" a="1"/>
  <c r="N118" i="3" a="1"/>
  <c r="O118" i="3" a="1"/>
  <c r="P118" i="3" a="1"/>
  <c r="Q118" i="3" a="1"/>
  <c r="F117" i="3" a="1"/>
  <c r="A117" i="3" a="1"/>
  <c r="C117" i="3" a="1"/>
  <c r="D117" i="3" a="1"/>
  <c r="E117" i="3"/>
  <c r="M117" i="3" a="1"/>
  <c r="N117" i="3" a="1"/>
  <c r="O117" i="3" a="1"/>
  <c r="P117" i="3" a="1"/>
  <c r="Q117" i="3" a="1"/>
  <c r="A116" i="3" a="1"/>
  <c r="C116" i="3" a="1"/>
  <c r="D116" i="3" a="1"/>
  <c r="E116" i="3"/>
  <c r="F116" i="3" a="1"/>
  <c r="M116" i="3" a="1"/>
  <c r="N116" i="3" a="1"/>
  <c r="O116" i="3" a="1"/>
  <c r="P116" i="3" a="1"/>
  <c r="Q116" i="3" a="1"/>
  <c r="A103" i="3" a="1"/>
  <c r="C103" i="3" a="1"/>
  <c r="D103" i="3" a="1"/>
  <c r="E103" i="3"/>
  <c r="F103" i="3" a="1"/>
  <c r="M103" i="3" a="1"/>
  <c r="N103" i="3" a="1"/>
  <c r="O103" i="3" a="1"/>
  <c r="P103" i="3" a="1"/>
  <c r="Q103" i="3" a="1"/>
  <c r="A104" i="3" a="1"/>
  <c r="C104" i="3" a="1"/>
  <c r="D104" i="3" a="1"/>
  <c r="E104" i="3"/>
  <c r="F104" i="3" a="1"/>
  <c r="M104" i="3" a="1"/>
  <c r="N104" i="3" a="1"/>
  <c r="O104" i="3" a="1"/>
  <c r="P104" i="3" a="1"/>
  <c r="Q104" i="3" a="1"/>
  <c r="A105" i="3" a="1"/>
  <c r="C105" i="3" a="1"/>
  <c r="D105" i="3" a="1"/>
  <c r="E105" i="3"/>
  <c r="F105" i="3" a="1"/>
  <c r="M105" i="3" a="1"/>
  <c r="N105" i="3" a="1"/>
  <c r="O105" i="3" a="1"/>
  <c r="P105" i="3" a="1"/>
  <c r="Q105" i="3" a="1"/>
  <c r="A106" i="3" a="1"/>
  <c r="C106" i="3" a="1"/>
  <c r="D106" i="3" a="1"/>
  <c r="E106" i="3"/>
  <c r="F106" i="3" a="1"/>
  <c r="M106" i="3" a="1"/>
  <c r="N106" i="3" a="1"/>
  <c r="O106" i="3" a="1"/>
  <c r="P106" i="3" a="1"/>
  <c r="Q106" i="3" a="1"/>
  <c r="A107" i="3" a="1"/>
  <c r="C107" i="3" a="1"/>
  <c r="D107" i="3" a="1"/>
  <c r="E107" i="3"/>
  <c r="F107" i="3" a="1"/>
  <c r="M107" i="3" a="1"/>
  <c r="N107" i="3" a="1"/>
  <c r="O107" i="3" a="1"/>
  <c r="P107" i="3" a="1"/>
  <c r="Q107" i="3" a="1"/>
  <c r="A108" i="3" a="1"/>
  <c r="C108" i="3" a="1"/>
  <c r="D108" i="3" a="1"/>
  <c r="E108" i="3"/>
  <c r="F108" i="3" a="1"/>
  <c r="M108" i="3" a="1"/>
  <c r="N108" i="3" a="1"/>
  <c r="O108" i="3" a="1"/>
  <c r="P108" i="3" a="1"/>
  <c r="Q108" i="3" a="1"/>
  <c r="A109" i="3" a="1"/>
  <c r="C109" i="3" a="1"/>
  <c r="D109" i="3" a="1"/>
  <c r="E109" i="3"/>
  <c r="F109" i="3" a="1"/>
  <c r="M109" i="3" a="1"/>
  <c r="N109" i="3" a="1"/>
  <c r="O109" i="3" a="1"/>
  <c r="P109" i="3" a="1"/>
  <c r="Q109" i="3" a="1"/>
  <c r="A110" i="3" a="1"/>
  <c r="C110" i="3" a="1"/>
  <c r="D110" i="3" a="1"/>
  <c r="E110" i="3"/>
  <c r="F110" i="3" a="1"/>
  <c r="M110" i="3" a="1"/>
  <c r="N110" i="3" a="1"/>
  <c r="O110" i="3" a="1"/>
  <c r="P110" i="3" a="1"/>
  <c r="Q110" i="3" a="1"/>
  <c r="A111" i="3" a="1"/>
  <c r="C111" i="3" a="1"/>
  <c r="D111" i="3" a="1"/>
  <c r="E111" i="3"/>
  <c r="F111" i="3" a="1"/>
  <c r="M111" i="3" a="1"/>
  <c r="N111" i="3" a="1"/>
  <c r="O111" i="3" a="1"/>
  <c r="P111" i="3" a="1"/>
  <c r="Q111" i="3" a="1"/>
  <c r="A112" i="3" a="1"/>
  <c r="C112" i="3" a="1"/>
  <c r="D112" i="3" a="1"/>
  <c r="E112" i="3"/>
  <c r="F112" i="3" a="1"/>
  <c r="M112" i="3" a="1"/>
  <c r="N112" i="3" a="1"/>
  <c r="O112" i="3" a="1"/>
  <c r="P112" i="3" a="1"/>
  <c r="Q112" i="3" a="1"/>
  <c r="A113" i="3" a="1"/>
  <c r="C113" i="3" a="1"/>
  <c r="D113" i="3" a="1"/>
  <c r="E113" i="3"/>
  <c r="F113" i="3" a="1"/>
  <c r="M113" i="3" a="1"/>
  <c r="N113" i="3" a="1"/>
  <c r="O113" i="3" a="1"/>
  <c r="P113" i="3" a="1"/>
  <c r="Q113" i="3" a="1"/>
  <c r="A114" i="3" a="1"/>
  <c r="C114" i="3" a="1"/>
  <c r="D114" i="3" a="1"/>
  <c r="E114" i="3"/>
  <c r="F114" i="3" a="1"/>
  <c r="M114" i="3" a="1"/>
  <c r="N114" i="3" a="1"/>
  <c r="O114" i="3" a="1"/>
  <c r="P114" i="3" a="1"/>
  <c r="Q114" i="3" a="1"/>
  <c r="A51" i="3" a="1"/>
  <c r="C51" i="3" a="1"/>
  <c r="D51" i="3" a="1"/>
  <c r="E51" i="3"/>
  <c r="F51" i="3" a="1"/>
  <c r="M51" i="3" a="1"/>
  <c r="N51" i="3" a="1"/>
  <c r="O51" i="3" a="1"/>
  <c r="P51" i="3" a="1"/>
  <c r="Q51" i="3" a="1"/>
  <c r="A52" i="3" a="1"/>
  <c r="C52" i="3" a="1"/>
  <c r="D52" i="3" a="1"/>
  <c r="E52" i="3"/>
  <c r="F52" i="3" a="1"/>
  <c r="M52" i="3" a="1"/>
  <c r="N52" i="3" a="1"/>
  <c r="O52" i="3" a="1"/>
  <c r="P52" i="3" a="1"/>
  <c r="Q52" i="3" a="1"/>
  <c r="A53" i="3" a="1"/>
  <c r="C53" i="3" a="1"/>
  <c r="D53" i="3" a="1"/>
  <c r="E53" i="3"/>
  <c r="F53" i="3" a="1"/>
  <c r="M53" i="3" a="1"/>
  <c r="N53" i="3" a="1"/>
  <c r="O53" i="3" a="1"/>
  <c r="P53" i="3" a="1"/>
  <c r="Q53" i="3" a="1"/>
  <c r="A54" i="3" a="1"/>
  <c r="C54" i="3" a="1"/>
  <c r="D54" i="3" a="1"/>
  <c r="E54" i="3"/>
  <c r="F54" i="3" a="1"/>
  <c r="M54" i="3" a="1"/>
  <c r="N54" i="3" a="1"/>
  <c r="O54" i="3" a="1"/>
  <c r="P54" i="3" a="1"/>
  <c r="Q54" i="3" a="1"/>
  <c r="A55" i="3" a="1"/>
  <c r="C55" i="3" a="1"/>
  <c r="D55" i="3" a="1"/>
  <c r="E55" i="3"/>
  <c r="F55" i="3" a="1"/>
  <c r="M55" i="3" a="1"/>
  <c r="N55" i="3" a="1"/>
  <c r="O55" i="3" a="1"/>
  <c r="P55" i="3" a="1"/>
  <c r="Q55" i="3" a="1"/>
  <c r="A56" i="3" a="1"/>
  <c r="C56" i="3" a="1"/>
  <c r="D56" i="3" a="1"/>
  <c r="E56" i="3"/>
  <c r="F56" i="3" a="1"/>
  <c r="M56" i="3" a="1"/>
  <c r="N56" i="3" a="1"/>
  <c r="O56" i="3" a="1"/>
  <c r="P56" i="3" a="1"/>
  <c r="Q56" i="3" a="1"/>
  <c r="A57" i="3" a="1"/>
  <c r="C57" i="3" a="1"/>
  <c r="D57" i="3" a="1"/>
  <c r="E57" i="3"/>
  <c r="F57" i="3" a="1"/>
  <c r="M57" i="3" a="1"/>
  <c r="N57" i="3" a="1"/>
  <c r="O57" i="3" a="1"/>
  <c r="P57" i="3" a="1"/>
  <c r="Q57" i="3" a="1"/>
  <c r="A58" i="3" a="1"/>
  <c r="C58" i="3" a="1"/>
  <c r="D58" i="3" a="1"/>
  <c r="E58" i="3"/>
  <c r="F58" i="3" a="1"/>
  <c r="M58" i="3" a="1"/>
  <c r="N58" i="3" a="1"/>
  <c r="O58" i="3" a="1"/>
  <c r="P58" i="3" a="1"/>
  <c r="Q58" i="3" a="1"/>
  <c r="A59" i="3" a="1"/>
  <c r="C59" i="3" a="1"/>
  <c r="D59" i="3" a="1"/>
  <c r="E59" i="3"/>
  <c r="F59" i="3" a="1"/>
  <c r="M59" i="3" a="1"/>
  <c r="N59" i="3" a="1"/>
  <c r="O59" i="3" a="1"/>
  <c r="P59" i="3" a="1"/>
  <c r="Q59" i="3" a="1"/>
  <c r="A60" i="3" a="1"/>
  <c r="C60" i="3" a="1"/>
  <c r="D60" i="3" a="1"/>
  <c r="E60" i="3"/>
  <c r="F60" i="3" a="1"/>
  <c r="M60" i="3" a="1"/>
  <c r="N60" i="3" a="1"/>
  <c r="O60" i="3" a="1"/>
  <c r="P60" i="3" a="1"/>
  <c r="Q60" i="3" a="1"/>
  <c r="A61" i="3" a="1"/>
  <c r="C61" i="3" a="1"/>
  <c r="D61" i="3" a="1"/>
  <c r="E61" i="3"/>
  <c r="F61" i="3" a="1"/>
  <c r="M61" i="3" a="1"/>
  <c r="N61" i="3" a="1"/>
  <c r="O61" i="3" a="1"/>
  <c r="P61" i="3" a="1"/>
  <c r="Q61" i="3" a="1"/>
  <c r="A62" i="3" a="1"/>
  <c r="C62" i="3" a="1"/>
  <c r="D62" i="3" a="1"/>
  <c r="E62" i="3"/>
  <c r="F62" i="3" a="1"/>
  <c r="M62" i="3" a="1"/>
  <c r="N62" i="3" a="1"/>
  <c r="O62" i="3" a="1"/>
  <c r="P62" i="3" a="1"/>
  <c r="Q62" i="3" a="1"/>
  <c r="A63" i="3" a="1"/>
  <c r="C63" i="3" a="1"/>
  <c r="D63" i="3" a="1"/>
  <c r="E63" i="3"/>
  <c r="F63" i="3" a="1"/>
  <c r="M63" i="3" a="1"/>
  <c r="N63" i="3" a="1"/>
  <c r="O63" i="3" a="1"/>
  <c r="P63" i="3" a="1"/>
  <c r="Q63" i="3" a="1"/>
  <c r="A64" i="3" a="1"/>
  <c r="C64" i="3" a="1"/>
  <c r="D64" i="3" a="1"/>
  <c r="E64" i="3"/>
  <c r="F64" i="3" a="1"/>
  <c r="M64" i="3" a="1"/>
  <c r="N64" i="3" a="1"/>
  <c r="O64" i="3" a="1"/>
  <c r="P64" i="3" a="1"/>
  <c r="Q64" i="3" a="1"/>
  <c r="A65" i="3" a="1"/>
  <c r="C65" i="3" a="1"/>
  <c r="D65" i="3" a="1"/>
  <c r="E65" i="3"/>
  <c r="F65" i="3" a="1"/>
  <c r="M65" i="3" a="1"/>
  <c r="N65" i="3" a="1"/>
  <c r="O65" i="3" a="1"/>
  <c r="P65" i="3" a="1"/>
  <c r="Q65" i="3" a="1"/>
  <c r="A66" i="3" a="1"/>
  <c r="C66" i="3" a="1"/>
  <c r="D66" i="3" a="1"/>
  <c r="E66" i="3"/>
  <c r="F66" i="3" a="1"/>
  <c r="M66" i="3" a="1"/>
  <c r="N66" i="3" a="1"/>
  <c r="O66" i="3" a="1"/>
  <c r="P66" i="3" a="1"/>
  <c r="Q66" i="3" a="1"/>
  <c r="A67" i="3" a="1"/>
  <c r="C67" i="3" a="1"/>
  <c r="D67" i="3" a="1"/>
  <c r="E67" i="3"/>
  <c r="F67" i="3" a="1"/>
  <c r="M67" i="3" a="1"/>
  <c r="N67" i="3" a="1"/>
  <c r="O67" i="3" a="1"/>
  <c r="P67" i="3" a="1"/>
  <c r="Q67" i="3" a="1"/>
  <c r="A68" i="3" a="1"/>
  <c r="C68" i="3" a="1"/>
  <c r="D68" i="3" a="1"/>
  <c r="E68" i="3"/>
  <c r="F68" i="3" a="1"/>
  <c r="M68" i="3" a="1"/>
  <c r="N68" i="3" a="1"/>
  <c r="O68" i="3" a="1"/>
  <c r="P68" i="3" a="1"/>
  <c r="Q68" i="3" a="1"/>
  <c r="A69" i="3" a="1"/>
  <c r="C69" i="3" a="1"/>
  <c r="D69" i="3" a="1"/>
  <c r="E69" i="3"/>
  <c r="F69" i="3" a="1"/>
  <c r="M69" i="3" a="1"/>
  <c r="N69" i="3" a="1"/>
  <c r="O69" i="3" a="1"/>
  <c r="P69" i="3" a="1"/>
  <c r="Q69" i="3" a="1"/>
  <c r="A70" i="3" a="1"/>
  <c r="C70" i="3" a="1"/>
  <c r="D70" i="3" a="1"/>
  <c r="E70" i="3"/>
  <c r="F70" i="3" a="1"/>
  <c r="M70" i="3" a="1"/>
  <c r="N70" i="3" a="1"/>
  <c r="O70" i="3" a="1"/>
  <c r="P70" i="3" a="1"/>
  <c r="Q70" i="3" a="1"/>
  <c r="A71" i="3" a="1"/>
  <c r="C71" i="3" a="1"/>
  <c r="D71" i="3" a="1"/>
  <c r="E71" i="3"/>
  <c r="F71" i="3" a="1"/>
  <c r="M71" i="3" a="1"/>
  <c r="N71" i="3" a="1"/>
  <c r="O71" i="3" a="1"/>
  <c r="P71" i="3" a="1"/>
  <c r="Q71" i="3" a="1"/>
  <c r="A72" i="3" a="1"/>
  <c r="C72" i="3" a="1"/>
  <c r="D72" i="3" a="1"/>
  <c r="E72" i="3"/>
  <c r="F72" i="3" a="1"/>
  <c r="M72" i="3" a="1"/>
  <c r="N72" i="3" a="1"/>
  <c r="O72" i="3" a="1"/>
  <c r="P72" i="3" a="1"/>
  <c r="Q72" i="3" a="1"/>
  <c r="A73" i="3" a="1"/>
  <c r="C73" i="3" a="1"/>
  <c r="D73" i="3" a="1"/>
  <c r="E73" i="3"/>
  <c r="F73" i="3" a="1"/>
  <c r="M73" i="3" a="1"/>
  <c r="N73" i="3" a="1"/>
  <c r="O73" i="3" a="1"/>
  <c r="P73" i="3" a="1"/>
  <c r="Q73" i="3" a="1"/>
  <c r="A74" i="3" a="1"/>
  <c r="C74" i="3" a="1"/>
  <c r="D74" i="3" a="1"/>
  <c r="E74" i="3"/>
  <c r="F74" i="3" a="1"/>
  <c r="M74" i="3" a="1"/>
  <c r="N74" i="3" a="1"/>
  <c r="O74" i="3" a="1"/>
  <c r="P74" i="3" a="1"/>
  <c r="Q74" i="3" a="1"/>
  <c r="A75" i="3" a="1"/>
  <c r="C75" i="3" a="1"/>
  <c r="D75" i="3" a="1"/>
  <c r="E75" i="3"/>
  <c r="F75" i="3" a="1"/>
  <c r="M75" i="3" a="1"/>
  <c r="N75" i="3" a="1"/>
  <c r="O75" i="3" a="1"/>
  <c r="P75" i="3" a="1"/>
  <c r="Q75" i="3" a="1"/>
  <c r="A76" i="3" a="1"/>
  <c r="C76" i="3" a="1"/>
  <c r="D76" i="3" a="1"/>
  <c r="E76" i="3"/>
  <c r="F76" i="3" a="1"/>
  <c r="M76" i="3" a="1"/>
  <c r="N76" i="3" a="1"/>
  <c r="O76" i="3" a="1"/>
  <c r="P76" i="3" a="1"/>
  <c r="Q76" i="3" a="1"/>
  <c r="A77" i="3" a="1"/>
  <c r="C77" i="3" a="1"/>
  <c r="D77" i="3" a="1"/>
  <c r="E77" i="3"/>
  <c r="F77" i="3" a="1"/>
  <c r="M77" i="3" a="1"/>
  <c r="N77" i="3" a="1"/>
  <c r="O77" i="3" a="1"/>
  <c r="P77" i="3" a="1"/>
  <c r="Q77" i="3" a="1"/>
  <c r="A78" i="3" a="1"/>
  <c r="C78" i="3" a="1"/>
  <c r="D78" i="3" a="1"/>
  <c r="E78" i="3"/>
  <c r="F78" i="3" a="1"/>
  <c r="M78" i="3" a="1"/>
  <c r="N78" i="3" a="1"/>
  <c r="O78" i="3" a="1"/>
  <c r="P78" i="3" a="1"/>
  <c r="Q78" i="3" a="1"/>
  <c r="A79" i="3" a="1"/>
  <c r="C79" i="3" a="1"/>
  <c r="D79" i="3" a="1"/>
  <c r="E79" i="3"/>
  <c r="F79" i="3" a="1"/>
  <c r="M79" i="3" a="1"/>
  <c r="N79" i="3" a="1"/>
  <c r="O79" i="3" a="1"/>
  <c r="P79" i="3" a="1"/>
  <c r="Q79" i="3" a="1"/>
  <c r="A80" i="3" a="1"/>
  <c r="C80" i="3" a="1"/>
  <c r="D80" i="3" a="1"/>
  <c r="E80" i="3"/>
  <c r="F80" i="3" a="1"/>
  <c r="M80" i="3" a="1"/>
  <c r="N80" i="3" a="1"/>
  <c r="O80" i="3" a="1"/>
  <c r="P80" i="3" a="1"/>
  <c r="Q80" i="3" a="1"/>
  <c r="A81" i="3" a="1"/>
  <c r="C81" i="3" a="1"/>
  <c r="D81" i="3" a="1"/>
  <c r="E81" i="3"/>
  <c r="F81" i="3" a="1"/>
  <c r="M81" i="3" a="1"/>
  <c r="N81" i="3" a="1"/>
  <c r="O81" i="3" a="1"/>
  <c r="P81" i="3" a="1"/>
  <c r="Q81" i="3" a="1"/>
  <c r="A82" i="3" a="1"/>
  <c r="C82" i="3" a="1"/>
  <c r="D82" i="3" a="1"/>
  <c r="E82" i="3"/>
  <c r="F82" i="3" a="1"/>
  <c r="M82" i="3" a="1"/>
  <c r="N82" i="3" a="1"/>
  <c r="O82" i="3" a="1"/>
  <c r="P82" i="3" a="1"/>
  <c r="Q82" i="3" a="1"/>
  <c r="A83" i="3" a="1"/>
  <c r="C83" i="3" a="1"/>
  <c r="D83" i="3" a="1"/>
  <c r="E83" i="3"/>
  <c r="F83" i="3" a="1"/>
  <c r="M83" i="3" a="1"/>
  <c r="N83" i="3" a="1"/>
  <c r="O83" i="3" a="1"/>
  <c r="P83" i="3" a="1"/>
  <c r="Q83" i="3" a="1"/>
  <c r="A84" i="3" a="1"/>
  <c r="C84" i="3" a="1"/>
  <c r="D84" i="3" a="1"/>
  <c r="E84" i="3"/>
  <c r="F84" i="3" a="1"/>
  <c r="M84" i="3" a="1"/>
  <c r="N84" i="3" a="1"/>
  <c r="O84" i="3" a="1"/>
  <c r="P84" i="3" a="1"/>
  <c r="Q84" i="3" a="1"/>
  <c r="A85" i="3" a="1"/>
  <c r="C85" i="3" a="1"/>
  <c r="D85" i="3" a="1"/>
  <c r="E85" i="3"/>
  <c r="F85" i="3" a="1"/>
  <c r="M85" i="3" a="1"/>
  <c r="N85" i="3" a="1"/>
  <c r="O85" i="3" a="1"/>
  <c r="P85" i="3" a="1"/>
  <c r="Q85" i="3" a="1"/>
  <c r="A86" i="3" a="1"/>
  <c r="C86" i="3" a="1"/>
  <c r="D86" i="3" a="1"/>
  <c r="E86" i="3"/>
  <c r="F86" i="3" a="1"/>
  <c r="M86" i="3" a="1"/>
  <c r="N86" i="3" a="1"/>
  <c r="O86" i="3" a="1"/>
  <c r="P86" i="3" a="1"/>
  <c r="Q86" i="3" a="1"/>
  <c r="A87" i="3" a="1"/>
  <c r="C87" i="3" a="1"/>
  <c r="D87" i="3" a="1"/>
  <c r="E87" i="3"/>
  <c r="F87" i="3" a="1"/>
  <c r="M87" i="3" a="1"/>
  <c r="N87" i="3" a="1"/>
  <c r="O87" i="3" a="1"/>
  <c r="P87" i="3" a="1"/>
  <c r="Q87" i="3" a="1"/>
  <c r="A88" i="3" a="1"/>
  <c r="C88" i="3" a="1"/>
  <c r="D88" i="3" a="1"/>
  <c r="E88" i="3"/>
  <c r="F88" i="3" a="1"/>
  <c r="M88" i="3" a="1"/>
  <c r="N88" i="3" a="1"/>
  <c r="O88" i="3" a="1"/>
  <c r="P88" i="3" a="1"/>
  <c r="Q88" i="3" a="1"/>
  <c r="A89" i="3" a="1"/>
  <c r="C89" i="3" a="1"/>
  <c r="D89" i="3" a="1"/>
  <c r="E89" i="3"/>
  <c r="F89" i="3" a="1"/>
  <c r="M89" i="3" a="1"/>
  <c r="N89" i="3" a="1"/>
  <c r="O89" i="3" a="1"/>
  <c r="P89" i="3" a="1"/>
  <c r="Q89" i="3" a="1"/>
  <c r="A90" i="3" a="1"/>
  <c r="C90" i="3" a="1"/>
  <c r="D90" i="3" a="1"/>
  <c r="E90" i="3"/>
  <c r="F90" i="3" a="1"/>
  <c r="M90" i="3" a="1"/>
  <c r="N90" i="3" a="1"/>
  <c r="O90" i="3" a="1"/>
  <c r="P90" i="3" a="1"/>
  <c r="Q90" i="3" a="1"/>
  <c r="A91" i="3" a="1"/>
  <c r="C91" i="3" a="1"/>
  <c r="D91" i="3" a="1"/>
  <c r="E91" i="3"/>
  <c r="F91" i="3" a="1"/>
  <c r="M91" i="3" a="1"/>
  <c r="N91" i="3" a="1"/>
  <c r="O91" i="3" a="1"/>
  <c r="P91" i="3" a="1"/>
  <c r="Q91" i="3" a="1"/>
  <c r="A92" i="3" a="1"/>
  <c r="C92" i="3" a="1"/>
  <c r="D92" i="3" a="1"/>
  <c r="E92" i="3"/>
  <c r="F92" i="3" a="1"/>
  <c r="M92" i="3" a="1"/>
  <c r="N92" i="3" a="1"/>
  <c r="O92" i="3" a="1"/>
  <c r="P92" i="3" a="1"/>
  <c r="Q92" i="3" a="1"/>
  <c r="A93" i="3" a="1"/>
  <c r="C93" i="3" a="1"/>
  <c r="D93" i="3" a="1"/>
  <c r="E93" i="3"/>
  <c r="F93" i="3" a="1"/>
  <c r="M93" i="3" a="1"/>
  <c r="N93" i="3" a="1"/>
  <c r="O93" i="3" a="1"/>
  <c r="P93" i="3" a="1"/>
  <c r="Q93" i="3" a="1"/>
  <c r="A94" i="3" a="1"/>
  <c r="C94" i="3" a="1"/>
  <c r="D94" i="3" a="1"/>
  <c r="E94" i="3"/>
  <c r="F94" i="3" a="1"/>
  <c r="M94" i="3" a="1"/>
  <c r="N94" i="3" a="1"/>
  <c r="O94" i="3" a="1"/>
  <c r="P94" i="3" a="1"/>
  <c r="Q94" i="3" a="1"/>
  <c r="A95" i="3" a="1"/>
  <c r="C95" i="3" a="1"/>
  <c r="D95" i="3" a="1"/>
  <c r="E95" i="3"/>
  <c r="F95" i="3" a="1"/>
  <c r="M95" i="3" a="1"/>
  <c r="N95" i="3" a="1"/>
  <c r="O95" i="3" a="1"/>
  <c r="P95" i="3" a="1"/>
  <c r="Q95" i="3" a="1"/>
  <c r="A96" i="3" a="1"/>
  <c r="C96" i="3" a="1"/>
  <c r="D96" i="3" a="1"/>
  <c r="E96" i="3"/>
  <c r="F96" i="3" a="1"/>
  <c r="M96" i="3" a="1"/>
  <c r="N96" i="3" a="1"/>
  <c r="O96" i="3" a="1"/>
  <c r="P96" i="3" a="1"/>
  <c r="Q96" i="3" a="1"/>
  <c r="A97" i="3" a="1"/>
  <c r="C97" i="3" a="1"/>
  <c r="D97" i="3" a="1"/>
  <c r="E97" i="3"/>
  <c r="F97" i="3" a="1"/>
  <c r="M97" i="3" a="1"/>
  <c r="N97" i="3" a="1"/>
  <c r="O97" i="3" a="1"/>
  <c r="P97" i="3" a="1"/>
  <c r="Q97" i="3" a="1"/>
  <c r="A98" i="3" a="1"/>
  <c r="C98" i="3" a="1"/>
  <c r="D98" i="3" a="1"/>
  <c r="E98" i="3"/>
  <c r="F98" i="3" a="1"/>
  <c r="M98" i="3" a="1"/>
  <c r="N98" i="3" a="1"/>
  <c r="O98" i="3" a="1"/>
  <c r="P98" i="3" a="1"/>
  <c r="Q98" i="3" a="1"/>
  <c r="A99" i="3" a="1"/>
  <c r="C99" i="3" a="1"/>
  <c r="D99" i="3" a="1"/>
  <c r="E99" i="3"/>
  <c r="F99" i="3" a="1"/>
  <c r="M99" i="3" a="1"/>
  <c r="N99" i="3" a="1"/>
  <c r="O99" i="3" a="1"/>
  <c r="P99" i="3" a="1"/>
  <c r="Q99" i="3" a="1"/>
  <c r="A100" i="3" a="1"/>
  <c r="C100" i="3" a="1"/>
  <c r="D100" i="3" a="1"/>
  <c r="E100" i="3"/>
  <c r="F100" i="3" a="1"/>
  <c r="M100" i="3" a="1"/>
  <c r="N100" i="3" a="1"/>
  <c r="O100" i="3" a="1"/>
  <c r="P100" i="3" a="1"/>
  <c r="Q100" i="3" a="1"/>
  <c r="A101" i="3" a="1"/>
  <c r="C101" i="3" a="1"/>
  <c r="D101" i="3" a="1"/>
  <c r="E101" i="3"/>
  <c r="F101" i="3" a="1"/>
  <c r="I101" i="3" s="1"/>
  <c r="M101" i="3" a="1"/>
  <c r="N101" i="3" a="1"/>
  <c r="O101" i="3" a="1"/>
  <c r="P101" i="3" a="1"/>
  <c r="Q101" i="3" a="1"/>
  <c r="A102" i="3" a="1"/>
  <c r="C102" i="3" a="1"/>
  <c r="D102" i="3" a="1"/>
  <c r="E102" i="3"/>
  <c r="F102" i="3" a="1"/>
  <c r="M102" i="3" a="1"/>
  <c r="N102" i="3" a="1"/>
  <c r="O102" i="3" a="1"/>
  <c r="P102" i="3" a="1"/>
  <c r="Q102" i="3" a="1"/>
  <c r="A71" i="1" a="1"/>
  <c r="C71" i="1" a="1"/>
  <c r="D71" i="1" a="1"/>
  <c r="E71" i="1"/>
  <c r="F71" i="1" a="1"/>
  <c r="J71" i="1" a="1"/>
  <c r="L71" i="1" a="1"/>
  <c r="M71" i="1" a="1"/>
  <c r="N71" i="1" a="1"/>
  <c r="O71" i="1" a="1"/>
  <c r="P71" i="1" a="1"/>
  <c r="Q71" i="1" a="1"/>
  <c r="A72" i="1" a="1"/>
  <c r="C72" i="1" a="1"/>
  <c r="D72" i="1" a="1"/>
  <c r="E72" i="1"/>
  <c r="F72" i="1" a="1"/>
  <c r="J72" i="1" a="1"/>
  <c r="L72" i="1" a="1"/>
  <c r="M72" i="1" a="1"/>
  <c r="N72" i="1" a="1"/>
  <c r="O72" i="1" a="1"/>
  <c r="P72" i="1" a="1"/>
  <c r="Q72" i="1" a="1"/>
  <c r="A73" i="1" a="1"/>
  <c r="C73" i="1" a="1"/>
  <c r="D73" i="1" a="1"/>
  <c r="E73" i="1"/>
  <c r="F73" i="1" a="1"/>
  <c r="J73" i="1" a="1"/>
  <c r="L73" i="1" a="1"/>
  <c r="M73" i="1" a="1"/>
  <c r="N73" i="1" a="1"/>
  <c r="O73" i="1" a="1"/>
  <c r="P73" i="1" a="1"/>
  <c r="Q73" i="1" a="1"/>
  <c r="A74" i="1" a="1"/>
  <c r="C74" i="1" a="1"/>
  <c r="D74" i="1" a="1"/>
  <c r="E74" i="1"/>
  <c r="F74" i="1" a="1"/>
  <c r="J74" i="1" a="1"/>
  <c r="L74" i="1" a="1"/>
  <c r="M74" i="1" a="1"/>
  <c r="N74" i="1" a="1"/>
  <c r="O74" i="1" a="1"/>
  <c r="P74" i="1" a="1"/>
  <c r="Q74" i="1" a="1"/>
  <c r="A75" i="1" a="1"/>
  <c r="C75" i="1" a="1"/>
  <c r="D75" i="1" a="1"/>
  <c r="E75" i="1"/>
  <c r="F75" i="1" a="1"/>
  <c r="J75" i="1" a="1"/>
  <c r="L75" i="1" a="1"/>
  <c r="M75" i="1" a="1"/>
  <c r="N75" i="1" a="1"/>
  <c r="O75" i="1" a="1"/>
  <c r="P75" i="1" a="1"/>
  <c r="Q75" i="1" a="1"/>
  <c r="A76" i="1" a="1"/>
  <c r="C76" i="1" a="1"/>
  <c r="D76" i="1" a="1"/>
  <c r="E76" i="1"/>
  <c r="F76" i="1" a="1"/>
  <c r="J76" i="1" a="1"/>
  <c r="L76" i="1" a="1"/>
  <c r="M76" i="1" a="1"/>
  <c r="N76" i="1" a="1"/>
  <c r="O76" i="1" a="1"/>
  <c r="P76" i="1" a="1"/>
  <c r="Q76" i="1" a="1"/>
  <c r="A77" i="1" a="1"/>
  <c r="C77" i="1" a="1"/>
  <c r="D77" i="1" a="1"/>
  <c r="E77" i="1"/>
  <c r="F77" i="1" a="1"/>
  <c r="J77" i="1" a="1"/>
  <c r="L77" i="1" a="1"/>
  <c r="M77" i="1" a="1"/>
  <c r="N77" i="1" a="1"/>
  <c r="O77" i="1" a="1"/>
  <c r="P77" i="1" a="1"/>
  <c r="Q77" i="1" a="1"/>
  <c r="A78" i="1" a="1"/>
  <c r="C78" i="1" a="1"/>
  <c r="D78" i="1" a="1"/>
  <c r="E78" i="1"/>
  <c r="F78" i="1" a="1"/>
  <c r="J78" i="1" a="1"/>
  <c r="L78" i="1" a="1"/>
  <c r="M78" i="1" a="1"/>
  <c r="N78" i="1" a="1"/>
  <c r="O78" i="1" a="1"/>
  <c r="P78" i="1" a="1"/>
  <c r="Q78" i="1" a="1"/>
  <c r="A79" i="1" a="1"/>
  <c r="C79" i="1" a="1"/>
  <c r="D79" i="1" a="1"/>
  <c r="E79" i="1"/>
  <c r="F79" i="1" a="1"/>
  <c r="J79" i="1" a="1"/>
  <c r="L79" i="1" a="1"/>
  <c r="M79" i="1" a="1"/>
  <c r="N79" i="1" a="1"/>
  <c r="O79" i="1" a="1"/>
  <c r="P79" i="1" a="1"/>
  <c r="Q79" i="1" a="1"/>
  <c r="A80" i="1" a="1"/>
  <c r="C80" i="1" a="1"/>
  <c r="D80" i="1" a="1"/>
  <c r="E80" i="1"/>
  <c r="F80" i="1" a="1"/>
  <c r="J80" i="1" a="1"/>
  <c r="L80" i="1" a="1"/>
  <c r="M80" i="1" a="1"/>
  <c r="N80" i="1" a="1"/>
  <c r="O80" i="1" a="1"/>
  <c r="P80" i="1" a="1"/>
  <c r="Q80" i="1" a="1"/>
  <c r="A81" i="1" a="1"/>
  <c r="C81" i="1" a="1"/>
  <c r="D81" i="1" a="1"/>
  <c r="E81" i="1"/>
  <c r="F81" i="1" a="1"/>
  <c r="J81" i="1" a="1"/>
  <c r="L81" i="1" a="1"/>
  <c r="M81" i="1" a="1"/>
  <c r="N81" i="1" a="1"/>
  <c r="O81" i="1" a="1"/>
  <c r="P81" i="1" a="1"/>
  <c r="Q81" i="1" a="1"/>
  <c r="A82" i="1" a="1"/>
  <c r="C82" i="1" a="1"/>
  <c r="D82" i="1" a="1"/>
  <c r="E82" i="1"/>
  <c r="F82" i="1" a="1"/>
  <c r="J82" i="1" a="1"/>
  <c r="L82" i="1" a="1"/>
  <c r="M82" i="1" a="1"/>
  <c r="N82" i="1" a="1"/>
  <c r="O82" i="1" a="1"/>
  <c r="P82" i="1" a="1"/>
  <c r="Q82" i="1" a="1"/>
  <c r="A83" i="1" a="1"/>
  <c r="C83" i="1" a="1"/>
  <c r="D83" i="1" a="1"/>
  <c r="E83" i="1"/>
  <c r="F83" i="1" a="1"/>
  <c r="J83" i="1" a="1"/>
  <c r="L83" i="1" a="1"/>
  <c r="M83" i="1" a="1"/>
  <c r="N83" i="1" a="1"/>
  <c r="O83" i="1" a="1"/>
  <c r="P83" i="1" a="1"/>
  <c r="Q83" i="1" a="1"/>
  <c r="A84" i="1" a="1"/>
  <c r="C84" i="1" a="1"/>
  <c r="D84" i="1" a="1"/>
  <c r="E84" i="1"/>
  <c r="F84" i="1" a="1"/>
  <c r="J84" i="1" a="1"/>
  <c r="L84" i="1" a="1"/>
  <c r="M84" i="1" a="1"/>
  <c r="N84" i="1" a="1"/>
  <c r="O84" i="1" a="1"/>
  <c r="P84" i="1" a="1"/>
  <c r="Q84" i="1" a="1"/>
  <c r="A85" i="1" a="1"/>
  <c r="C85" i="1" a="1"/>
  <c r="D85" i="1" a="1"/>
  <c r="E85" i="1"/>
  <c r="F85" i="1" a="1"/>
  <c r="J85" i="1" a="1"/>
  <c r="L85" i="1" a="1"/>
  <c r="M85" i="1" a="1"/>
  <c r="N85" i="1" a="1"/>
  <c r="O85" i="1" a="1"/>
  <c r="P85" i="1" a="1"/>
  <c r="Q85" i="1" a="1"/>
  <c r="A86" i="1" a="1"/>
  <c r="C86" i="1" a="1"/>
  <c r="D86" i="1" a="1"/>
  <c r="E86" i="1"/>
  <c r="F86" i="1" a="1"/>
  <c r="J86" i="1" a="1"/>
  <c r="L86" i="1" a="1"/>
  <c r="M86" i="1" a="1"/>
  <c r="N86" i="1" a="1"/>
  <c r="O86" i="1" a="1"/>
  <c r="P86" i="1" a="1"/>
  <c r="Q86" i="1" a="1"/>
  <c r="A87" i="1" a="1"/>
  <c r="C87" i="1" a="1"/>
  <c r="D87" i="1" a="1"/>
  <c r="E87" i="1"/>
  <c r="F87" i="1" a="1"/>
  <c r="J87" i="1" a="1"/>
  <c r="L87" i="1" a="1"/>
  <c r="M87" i="1" a="1"/>
  <c r="N87" i="1" a="1"/>
  <c r="O87" i="1" a="1"/>
  <c r="P87" i="1" a="1"/>
  <c r="Q87" i="1" a="1"/>
  <c r="A88" i="1" a="1"/>
  <c r="C88" i="1" a="1"/>
  <c r="D88" i="1" a="1"/>
  <c r="E88" i="1"/>
  <c r="F88" i="1" a="1"/>
  <c r="J88" i="1" a="1"/>
  <c r="L88" i="1" a="1"/>
  <c r="M88" i="1" a="1"/>
  <c r="N88" i="1" a="1"/>
  <c r="O88" i="1" a="1"/>
  <c r="P88" i="1" a="1"/>
  <c r="Q88" i="1" a="1"/>
  <c r="A89" i="1" a="1"/>
  <c r="C89" i="1" a="1"/>
  <c r="D89" i="1" a="1"/>
  <c r="E89" i="1"/>
  <c r="F89" i="1" a="1"/>
  <c r="J89" i="1" a="1"/>
  <c r="L89" i="1" a="1"/>
  <c r="M89" i="1" a="1"/>
  <c r="N89" i="1" a="1"/>
  <c r="O89" i="1" a="1"/>
  <c r="P89" i="1" a="1"/>
  <c r="Q89" i="1" a="1"/>
  <c r="A90" i="1" a="1"/>
  <c r="C90" i="1" a="1"/>
  <c r="D90" i="1" a="1"/>
  <c r="E90" i="1"/>
  <c r="F90" i="1" a="1"/>
  <c r="J90" i="1" a="1"/>
  <c r="L90" i="1" a="1"/>
  <c r="M90" i="1" a="1"/>
  <c r="N90" i="1" a="1"/>
  <c r="O90" i="1" a="1"/>
  <c r="P90" i="1" a="1"/>
  <c r="Q90" i="1" a="1"/>
  <c r="A91" i="1" a="1"/>
  <c r="C91" i="1" a="1"/>
  <c r="D91" i="1" a="1"/>
  <c r="E91" i="1"/>
  <c r="F91" i="1" a="1"/>
  <c r="J91" i="1" a="1"/>
  <c r="L91" i="1" a="1"/>
  <c r="M91" i="1" a="1"/>
  <c r="N91" i="1" a="1"/>
  <c r="O91" i="1" a="1"/>
  <c r="P91" i="1" a="1"/>
  <c r="Q91" i="1" a="1"/>
  <c r="A92" i="1" a="1"/>
  <c r="C92" i="1" a="1"/>
  <c r="D92" i="1" a="1"/>
  <c r="E92" i="1"/>
  <c r="F92" i="1" a="1"/>
  <c r="J92" i="1" a="1"/>
  <c r="L92" i="1" a="1"/>
  <c r="M92" i="1" a="1"/>
  <c r="N92" i="1" a="1"/>
  <c r="O92" i="1" a="1"/>
  <c r="P92" i="1" a="1"/>
  <c r="Q92" i="1" a="1"/>
  <c r="A93" i="1" a="1"/>
  <c r="C93" i="1" a="1"/>
  <c r="D93" i="1" a="1"/>
  <c r="E93" i="1"/>
  <c r="F93" i="1" a="1"/>
  <c r="J93" i="1" a="1"/>
  <c r="L93" i="1" a="1"/>
  <c r="M93" i="1" a="1"/>
  <c r="N93" i="1" a="1"/>
  <c r="O93" i="1" a="1"/>
  <c r="P93" i="1" a="1"/>
  <c r="Q93" i="1" a="1"/>
  <c r="A94" i="1" a="1"/>
  <c r="C94" i="1" a="1"/>
  <c r="D94" i="1" a="1"/>
  <c r="E94" i="1"/>
  <c r="F94" i="1" a="1"/>
  <c r="J94" i="1" a="1"/>
  <c r="L94" i="1" a="1"/>
  <c r="M94" i="1" a="1"/>
  <c r="N94" i="1" a="1"/>
  <c r="O94" i="1" a="1"/>
  <c r="P94" i="1" a="1"/>
  <c r="Q94" i="1" a="1"/>
  <c r="A95" i="1" a="1"/>
  <c r="C95" i="1" a="1"/>
  <c r="D95" i="1" a="1"/>
  <c r="E95" i="1"/>
  <c r="F95" i="1" a="1"/>
  <c r="J95" i="1" a="1"/>
  <c r="L95" i="1" a="1"/>
  <c r="M95" i="1" a="1"/>
  <c r="N95" i="1" a="1"/>
  <c r="O95" i="1" a="1"/>
  <c r="P95" i="1" a="1"/>
  <c r="Q95" i="1" a="1"/>
  <c r="A96" i="1" a="1"/>
  <c r="C96" i="1" a="1"/>
  <c r="D96" i="1" a="1"/>
  <c r="E96" i="1"/>
  <c r="F96" i="1" a="1"/>
  <c r="J96" i="1" a="1"/>
  <c r="L96" i="1" a="1"/>
  <c r="M96" i="1" a="1"/>
  <c r="N96" i="1" a="1"/>
  <c r="O96" i="1" a="1"/>
  <c r="P96" i="1" a="1"/>
  <c r="Q96" i="1" a="1"/>
  <c r="A97" i="1" a="1"/>
  <c r="C97" i="1" a="1"/>
  <c r="D97" i="1" a="1"/>
  <c r="E97" i="1"/>
  <c r="F97" i="1" a="1"/>
  <c r="J97" i="1" a="1"/>
  <c r="L97" i="1" a="1"/>
  <c r="M97" i="1" a="1"/>
  <c r="N97" i="1" a="1"/>
  <c r="O97" i="1" a="1"/>
  <c r="P97" i="1" a="1"/>
  <c r="Q97" i="1" a="1"/>
  <c r="A98" i="1" a="1"/>
  <c r="C98" i="1" a="1"/>
  <c r="D98" i="1" a="1"/>
  <c r="E98" i="1"/>
  <c r="F98" i="1" a="1"/>
  <c r="J98" i="1" a="1"/>
  <c r="L98" i="1" a="1"/>
  <c r="M98" i="1" a="1"/>
  <c r="N98" i="1" a="1"/>
  <c r="O98" i="1" a="1"/>
  <c r="P98" i="1" a="1"/>
  <c r="Q98" i="1" a="1"/>
  <c r="A99" i="1" a="1"/>
  <c r="C99" i="1" a="1"/>
  <c r="D99" i="1" a="1"/>
  <c r="E99" i="1"/>
  <c r="F99" i="1" a="1"/>
  <c r="J99" i="1" a="1"/>
  <c r="L99" i="1" a="1"/>
  <c r="M99" i="1" a="1"/>
  <c r="N99" i="1" a="1"/>
  <c r="O99" i="1" a="1"/>
  <c r="P99" i="1" a="1"/>
  <c r="Q99" i="1" a="1"/>
  <c r="A100" i="1" a="1"/>
  <c r="C100" i="1" a="1"/>
  <c r="D100" i="1" a="1"/>
  <c r="E100" i="1"/>
  <c r="F100" i="1" a="1"/>
  <c r="J100" i="1" a="1"/>
  <c r="L100" i="1" a="1"/>
  <c r="M100" i="1" a="1"/>
  <c r="N100" i="1" a="1"/>
  <c r="O100" i="1" a="1"/>
  <c r="P100" i="1" a="1"/>
  <c r="Q100" i="1" a="1"/>
  <c r="A101" i="1" a="1"/>
  <c r="C101" i="1" a="1"/>
  <c r="D101" i="1" a="1"/>
  <c r="E101" i="1"/>
  <c r="F101" i="1" a="1"/>
  <c r="J101" i="1" a="1"/>
  <c r="L101" i="1" a="1"/>
  <c r="M101" i="1" a="1"/>
  <c r="N101" i="1" a="1"/>
  <c r="O101" i="1" a="1"/>
  <c r="P101" i="1" a="1"/>
  <c r="Q101" i="1" a="1"/>
  <c r="A102" i="1" a="1"/>
  <c r="C102" i="1" a="1"/>
  <c r="D102" i="1" a="1"/>
  <c r="E102" i="1"/>
  <c r="F102" i="1" a="1"/>
  <c r="J102" i="1" a="1"/>
  <c r="L102" i="1" a="1"/>
  <c r="M102" i="1" a="1"/>
  <c r="N102" i="1" a="1"/>
  <c r="O102" i="1" a="1"/>
  <c r="P102" i="1" a="1"/>
  <c r="Q102" i="1" a="1"/>
  <c r="A103" i="1" a="1"/>
  <c r="C103" i="1" a="1"/>
  <c r="D103" i="1" a="1"/>
  <c r="E103" i="1"/>
  <c r="F103" i="1" a="1"/>
  <c r="J103" i="1" a="1"/>
  <c r="L103" i="1" a="1"/>
  <c r="M103" i="1" a="1"/>
  <c r="N103" i="1" a="1"/>
  <c r="O103" i="1" a="1"/>
  <c r="P103" i="1" a="1"/>
  <c r="Q103" i="1" a="1"/>
  <c r="A104" i="1" a="1"/>
  <c r="C104" i="1" a="1"/>
  <c r="D104" i="1" a="1"/>
  <c r="E104" i="1"/>
  <c r="F104" i="1" a="1"/>
  <c r="J104" i="1" a="1"/>
  <c r="L104" i="1" a="1"/>
  <c r="M104" i="1" a="1"/>
  <c r="N104" i="1" a="1"/>
  <c r="O104" i="1" a="1"/>
  <c r="P104" i="1" a="1"/>
  <c r="Q104" i="1" a="1"/>
  <c r="Q71" i="4" a="1"/>
  <c r="P71" i="4" a="1"/>
  <c r="I71" i="4" a="1"/>
  <c r="O71" i="4" a="1"/>
  <c r="N71" i="4" a="1"/>
  <c r="D71" i="4" a="1"/>
  <c r="M71" i="4" a="1"/>
  <c r="H71" i="4" a="1"/>
  <c r="G71" i="4"/>
  <c r="F71" i="4" a="1"/>
  <c r="E71" i="4" a="1"/>
  <c r="C71" i="4" a="1"/>
  <c r="Q70" i="4" a="1"/>
  <c r="P70" i="4" a="1"/>
  <c r="I70" i="4" a="1"/>
  <c r="O70" i="4" a="1"/>
  <c r="N70" i="4" a="1"/>
  <c r="D70" i="4" a="1"/>
  <c r="M70" i="4" a="1"/>
  <c r="H70" i="4" a="1"/>
  <c r="G70" i="4"/>
  <c r="F70" i="4" a="1"/>
  <c r="E70" i="4" a="1"/>
  <c r="C70" i="4" a="1"/>
  <c r="Q69" i="4" a="1"/>
  <c r="P69" i="4" a="1"/>
  <c r="I69" i="4" a="1"/>
  <c r="O69" i="4" a="1"/>
  <c r="N69" i="4" a="1"/>
  <c r="D69" i="4" a="1"/>
  <c r="M69" i="4" a="1"/>
  <c r="H69" i="4" a="1"/>
  <c r="G69" i="4"/>
  <c r="F69" i="4" a="1"/>
  <c r="E69" i="4" a="1"/>
  <c r="C69" i="4" a="1"/>
  <c r="Q68" i="4" a="1"/>
  <c r="P68" i="4" a="1"/>
  <c r="I68" i="4" a="1"/>
  <c r="O68" i="4" a="1"/>
  <c r="N68" i="4" a="1"/>
  <c r="D68" i="4" a="1"/>
  <c r="M68" i="4" a="1"/>
  <c r="H68" i="4" a="1"/>
  <c r="G68" i="4"/>
  <c r="F68" i="4" a="1"/>
  <c r="E68" i="4" a="1"/>
  <c r="C68" i="4" a="1"/>
  <c r="Q67" i="4" a="1"/>
  <c r="P67" i="4" a="1"/>
  <c r="I67" i="4" a="1"/>
  <c r="O67" i="4" a="1"/>
  <c r="N67" i="4" a="1"/>
  <c r="D67" i="4" a="1"/>
  <c r="M67" i="4" a="1"/>
  <c r="H67" i="4" a="1"/>
  <c r="G67" i="4"/>
  <c r="F67" i="4" a="1"/>
  <c r="E67" i="4" a="1"/>
  <c r="C67" i="4" a="1"/>
  <c r="Q66" i="4" a="1"/>
  <c r="P66" i="4" a="1"/>
  <c r="I66" i="4" a="1"/>
  <c r="O66" i="4" a="1"/>
  <c r="N66" i="4" a="1"/>
  <c r="D66" i="4" a="1"/>
  <c r="M66" i="4" a="1"/>
  <c r="H66" i="4" a="1"/>
  <c r="G66" i="4"/>
  <c r="F66" i="4" a="1"/>
  <c r="E66" i="4" a="1"/>
  <c r="C66" i="4" a="1"/>
  <c r="Q65" i="4" a="1"/>
  <c r="P65" i="4" a="1"/>
  <c r="I65" i="4" a="1"/>
  <c r="O65" i="4" a="1"/>
  <c r="N65" i="4" a="1"/>
  <c r="D65" i="4" a="1"/>
  <c r="M65" i="4" a="1"/>
  <c r="H65" i="4" a="1"/>
  <c r="G65" i="4"/>
  <c r="F65" i="4" a="1"/>
  <c r="E65" i="4" a="1"/>
  <c r="C65" i="4" a="1"/>
  <c r="Q64" i="4" a="1"/>
  <c r="P64" i="4" a="1"/>
  <c r="I64" i="4" a="1"/>
  <c r="O64" i="4" a="1"/>
  <c r="N64" i="4" a="1"/>
  <c r="D64" i="4" a="1"/>
  <c r="M64" i="4" a="1"/>
  <c r="H64" i="4" a="1"/>
  <c r="G64" i="4"/>
  <c r="F64" i="4" a="1"/>
  <c r="E64" i="4" a="1"/>
  <c r="C64" i="4" a="1"/>
  <c r="Q63" i="4" a="1"/>
  <c r="P63" i="4" a="1"/>
  <c r="I63" i="4" a="1"/>
  <c r="O63" i="4" a="1"/>
  <c r="N63" i="4" a="1"/>
  <c r="D63" i="4" a="1"/>
  <c r="M63" i="4" a="1"/>
  <c r="H63" i="4" a="1"/>
  <c r="G63" i="4"/>
  <c r="F63" i="4" a="1"/>
  <c r="E63" i="4" a="1"/>
  <c r="C63" i="4" a="1"/>
  <c r="Q62" i="4" a="1"/>
  <c r="P62" i="4" a="1"/>
  <c r="I62" i="4" a="1"/>
  <c r="O62" i="4" a="1"/>
  <c r="N62" i="4" a="1"/>
  <c r="D62" i="4" a="1"/>
  <c r="M62" i="4" a="1"/>
  <c r="H62" i="4" a="1"/>
  <c r="G62" i="4"/>
  <c r="F62" i="4" a="1"/>
  <c r="E62" i="4" a="1"/>
  <c r="C62" i="4" a="1"/>
  <c r="Q61" i="4" a="1"/>
  <c r="P61" i="4" a="1"/>
  <c r="I61" i="4" a="1"/>
  <c r="O61" i="4" a="1"/>
  <c r="N61" i="4" a="1"/>
  <c r="D61" i="4" a="1"/>
  <c r="M61" i="4" a="1"/>
  <c r="H61" i="4" a="1"/>
  <c r="G61" i="4"/>
  <c r="F61" i="4" a="1"/>
  <c r="E61" i="4" a="1"/>
  <c r="C61" i="4" a="1"/>
  <c r="Q60" i="4" a="1"/>
  <c r="P60" i="4" a="1"/>
  <c r="I60" i="4" a="1"/>
  <c r="O60" i="4" a="1"/>
  <c r="N60" i="4" a="1"/>
  <c r="D60" i="4" a="1"/>
  <c r="M60" i="4" a="1"/>
  <c r="H60" i="4" a="1"/>
  <c r="G60" i="4"/>
  <c r="K60" i="4" s="1"/>
  <c r="F60" i="4" a="1"/>
  <c r="E60" i="4" a="1"/>
  <c r="C60" i="4" a="1"/>
  <c r="Q59" i="4" a="1"/>
  <c r="P59" i="4" a="1"/>
  <c r="I59" i="4" a="1"/>
  <c r="O59" i="4" a="1"/>
  <c r="N59" i="4" a="1"/>
  <c r="D59" i="4" a="1"/>
  <c r="M59" i="4" a="1"/>
  <c r="H59" i="4" a="1"/>
  <c r="G59" i="4"/>
  <c r="F59" i="4" a="1"/>
  <c r="E59" i="4" a="1"/>
  <c r="C59" i="4" a="1"/>
  <c r="Q58" i="4" a="1"/>
  <c r="P58" i="4" a="1"/>
  <c r="I58" i="4" a="1"/>
  <c r="O58" i="4" a="1"/>
  <c r="N58" i="4" a="1"/>
  <c r="D58" i="4" a="1"/>
  <c r="M58" i="4" a="1"/>
  <c r="H58" i="4" a="1"/>
  <c r="G58" i="4"/>
  <c r="F58" i="4" a="1"/>
  <c r="E58" i="4" a="1"/>
  <c r="C58" i="4" a="1"/>
  <c r="Q57" i="4" a="1"/>
  <c r="P57" i="4" a="1"/>
  <c r="I57" i="4" a="1"/>
  <c r="O57" i="4" a="1"/>
  <c r="N57" i="4" a="1"/>
  <c r="D57" i="4" a="1"/>
  <c r="M57" i="4" a="1"/>
  <c r="H57" i="4" a="1"/>
  <c r="G57" i="4"/>
  <c r="F57" i="4" a="1"/>
  <c r="E57" i="4" a="1"/>
  <c r="C57" i="4" a="1"/>
  <c r="Q56" i="4" a="1"/>
  <c r="P56" i="4" a="1"/>
  <c r="I56" i="4" a="1"/>
  <c r="O56" i="4" a="1"/>
  <c r="N56" i="4" a="1"/>
  <c r="D56" i="4" a="1"/>
  <c r="M56" i="4" a="1"/>
  <c r="H56" i="4" a="1"/>
  <c r="G56" i="4"/>
  <c r="F56" i="4" a="1"/>
  <c r="E56" i="4" a="1"/>
  <c r="C56" i="4" a="1"/>
  <c r="Q55" i="4" a="1"/>
  <c r="P55" i="4" a="1"/>
  <c r="I55" i="4" a="1"/>
  <c r="O55" i="4" a="1"/>
  <c r="N55" i="4" a="1"/>
  <c r="D55" i="4" a="1"/>
  <c r="M55" i="4" a="1"/>
  <c r="H55" i="4" a="1"/>
  <c r="G55" i="4"/>
  <c r="F55" i="4" a="1"/>
  <c r="E55" i="4" a="1"/>
  <c r="C55" i="4" a="1"/>
  <c r="Q54" i="4" a="1"/>
  <c r="P54" i="4" a="1"/>
  <c r="I54" i="4" a="1"/>
  <c r="O54" i="4" a="1"/>
  <c r="N54" i="4" a="1"/>
  <c r="D54" i="4" a="1"/>
  <c r="M54" i="4" a="1"/>
  <c r="H54" i="4" a="1"/>
  <c r="G54" i="4"/>
  <c r="F54" i="4" a="1"/>
  <c r="E54" i="4" a="1"/>
  <c r="C54" i="4" a="1"/>
  <c r="Q53" i="4" a="1"/>
  <c r="P53" i="4" a="1"/>
  <c r="I53" i="4" a="1"/>
  <c r="O53" i="4" a="1"/>
  <c r="N53" i="4" a="1"/>
  <c r="D53" i="4" a="1"/>
  <c r="M53" i="4" a="1"/>
  <c r="H53" i="4" a="1"/>
  <c r="G53" i="4"/>
  <c r="F53" i="4" a="1"/>
  <c r="E53" i="4" a="1"/>
  <c r="C53" i="4" a="1"/>
  <c r="Q52" i="4" a="1"/>
  <c r="P52" i="4" a="1"/>
  <c r="I52" i="4" a="1"/>
  <c r="O52" i="4" a="1"/>
  <c r="N52" i="4" a="1"/>
  <c r="D52" i="4" a="1"/>
  <c r="M52" i="4" a="1"/>
  <c r="H52" i="4" a="1"/>
  <c r="G52" i="4"/>
  <c r="F52" i="4" a="1"/>
  <c r="E52" i="4" a="1"/>
  <c r="C52" i="4" a="1"/>
  <c r="Q51" i="4" a="1"/>
  <c r="P51" i="4" a="1"/>
  <c r="I51" i="4" a="1"/>
  <c r="O51" i="4" a="1"/>
  <c r="N51" i="4" a="1"/>
  <c r="D51" i="4" a="1"/>
  <c r="M51" i="4" a="1"/>
  <c r="H51" i="4" a="1"/>
  <c r="G51" i="4"/>
  <c r="F51" i="4" a="1"/>
  <c r="E51" i="4" a="1"/>
  <c r="C51" i="4" a="1"/>
  <c r="Q50" i="4" a="1"/>
  <c r="P50" i="4" a="1"/>
  <c r="I50" i="4" a="1"/>
  <c r="O50" i="4" a="1"/>
  <c r="N50" i="4" a="1"/>
  <c r="D50" i="4" a="1"/>
  <c r="M50" i="4" a="1"/>
  <c r="H50" i="4" a="1"/>
  <c r="G50" i="4"/>
  <c r="F50" i="4" a="1"/>
  <c r="E50" i="4" a="1"/>
  <c r="C50" i="4" a="1"/>
  <c r="Q49" i="4" a="1"/>
  <c r="P49" i="4" a="1"/>
  <c r="I49" i="4" a="1"/>
  <c r="O49" i="4" a="1"/>
  <c r="N49" i="4" a="1"/>
  <c r="D49" i="4" a="1"/>
  <c r="M49" i="4" a="1"/>
  <c r="H49" i="4" a="1"/>
  <c r="G49" i="4"/>
  <c r="F49" i="4" a="1"/>
  <c r="E49" i="4" a="1"/>
  <c r="C49" i="4" a="1"/>
  <c r="Q48" i="4" a="1"/>
  <c r="P48" i="4" a="1"/>
  <c r="I48" i="4" a="1"/>
  <c r="O48" i="4" a="1"/>
  <c r="N48" i="4" a="1"/>
  <c r="D48" i="4" a="1"/>
  <c r="M48" i="4" a="1"/>
  <c r="H48" i="4" a="1"/>
  <c r="G48" i="4"/>
  <c r="F48" i="4" a="1"/>
  <c r="E48" i="4" a="1"/>
  <c r="C48" i="4" a="1"/>
  <c r="Q47" i="4" a="1"/>
  <c r="P47" i="4" a="1"/>
  <c r="I47" i="4" a="1"/>
  <c r="O47" i="4" a="1"/>
  <c r="N47" i="4" a="1"/>
  <c r="D47" i="4" a="1"/>
  <c r="M47" i="4" a="1"/>
  <c r="H47" i="4" a="1"/>
  <c r="G47" i="4"/>
  <c r="L47" i="4" s="1"/>
  <c r="F47" i="4" a="1"/>
  <c r="E47" i="4" a="1"/>
  <c r="C47" i="4" a="1"/>
  <c r="Q46" i="4" a="1"/>
  <c r="P46" i="4" a="1"/>
  <c r="I46" i="4" a="1"/>
  <c r="O46" i="4" a="1"/>
  <c r="N46" i="4" a="1"/>
  <c r="D46" i="4" a="1"/>
  <c r="M46" i="4" a="1"/>
  <c r="H46" i="4" a="1"/>
  <c r="G46" i="4"/>
  <c r="F46" i="4" a="1"/>
  <c r="E46" i="4" a="1"/>
  <c r="C46" i="4" a="1"/>
  <c r="Q45" i="4" a="1"/>
  <c r="P45" i="4" a="1"/>
  <c r="I45" i="4" a="1"/>
  <c r="O45" i="4" a="1"/>
  <c r="N45" i="4" a="1"/>
  <c r="D45" i="4" a="1"/>
  <c r="M45" i="4" a="1"/>
  <c r="H45" i="4" a="1"/>
  <c r="G45" i="4"/>
  <c r="L45" i="4" s="1"/>
  <c r="F45" i="4" a="1"/>
  <c r="E45" i="4" a="1"/>
  <c r="C45" i="4" a="1"/>
  <c r="Q44" i="4" a="1"/>
  <c r="P44" i="4" a="1"/>
  <c r="I44" i="4" a="1"/>
  <c r="O44" i="4" a="1"/>
  <c r="N44" i="4" a="1"/>
  <c r="D44" i="4" a="1"/>
  <c r="M44" i="4" a="1"/>
  <c r="H44" i="4" a="1"/>
  <c r="G44" i="4"/>
  <c r="F44" i="4" a="1"/>
  <c r="E44" i="4" a="1"/>
  <c r="C44" i="4" a="1"/>
  <c r="Q43" i="4" a="1"/>
  <c r="P43" i="4" a="1"/>
  <c r="I43" i="4" a="1"/>
  <c r="O43" i="4" a="1"/>
  <c r="N43" i="4" a="1"/>
  <c r="D43" i="4" a="1"/>
  <c r="M43" i="4" a="1"/>
  <c r="H43" i="4" a="1"/>
  <c r="G43" i="4"/>
  <c r="F43" i="4" a="1"/>
  <c r="E43" i="4" a="1"/>
  <c r="C43" i="4" a="1"/>
  <c r="Q42" i="4" a="1"/>
  <c r="P42" i="4" a="1"/>
  <c r="I42" i="4" a="1"/>
  <c r="O42" i="4" a="1"/>
  <c r="N42" i="4" a="1"/>
  <c r="D42" i="4" a="1"/>
  <c r="M42" i="4" a="1"/>
  <c r="H42" i="4" a="1"/>
  <c r="G42" i="4"/>
  <c r="J42" i="4" s="1"/>
  <c r="F42" i="4" a="1"/>
  <c r="E42" i="4" a="1"/>
  <c r="C42" i="4" a="1"/>
  <c r="Q41" i="4" a="1"/>
  <c r="P41" i="4" a="1"/>
  <c r="I41" i="4" a="1"/>
  <c r="O41" i="4" a="1"/>
  <c r="N41" i="4" a="1"/>
  <c r="D41" i="4" a="1"/>
  <c r="M41" i="4" a="1"/>
  <c r="H41" i="4" a="1"/>
  <c r="G41" i="4"/>
  <c r="F41" i="4" a="1"/>
  <c r="E41" i="4" a="1"/>
  <c r="C41" i="4" a="1"/>
  <c r="Q40" i="4" a="1"/>
  <c r="P40" i="4" a="1"/>
  <c r="I40" i="4" a="1"/>
  <c r="O40" i="4" a="1"/>
  <c r="N40" i="4" a="1"/>
  <c r="D40" i="4" a="1"/>
  <c r="M40" i="4" a="1"/>
  <c r="H40" i="4" a="1"/>
  <c r="G40" i="4"/>
  <c r="F40" i="4" a="1"/>
  <c r="E40" i="4" a="1"/>
  <c r="C40" i="4" a="1"/>
  <c r="Q39" i="4" a="1"/>
  <c r="P39" i="4" a="1"/>
  <c r="I39" i="4" a="1"/>
  <c r="O39" i="4" a="1"/>
  <c r="N39" i="4" a="1"/>
  <c r="D39" i="4" a="1"/>
  <c r="M39" i="4" a="1"/>
  <c r="H39" i="4" a="1"/>
  <c r="G39" i="4"/>
  <c r="F39" i="4" a="1"/>
  <c r="E39" i="4" a="1"/>
  <c r="C39" i="4" a="1"/>
  <c r="Q38" i="4" a="1"/>
  <c r="P38" i="4" a="1"/>
  <c r="I38" i="4" a="1"/>
  <c r="O38" i="4" a="1"/>
  <c r="N38" i="4" a="1"/>
  <c r="D38" i="4" a="1"/>
  <c r="M38" i="4" a="1"/>
  <c r="H38" i="4" a="1"/>
  <c r="G38" i="4"/>
  <c r="L38" i="4" s="1"/>
  <c r="F38" i="4" a="1"/>
  <c r="E38" i="4" a="1"/>
  <c r="C38" i="4" a="1"/>
  <c r="Q37" i="4" a="1"/>
  <c r="P37" i="4" a="1"/>
  <c r="I37" i="4" a="1"/>
  <c r="O37" i="4" a="1"/>
  <c r="N37" i="4" a="1"/>
  <c r="D37" i="4" a="1"/>
  <c r="M37" i="4" a="1"/>
  <c r="H37" i="4" a="1"/>
  <c r="G37" i="4"/>
  <c r="F37" i="4" a="1"/>
  <c r="E37" i="4" a="1"/>
  <c r="C37" i="4" a="1"/>
  <c r="Q36" i="4" a="1"/>
  <c r="P36" i="4" a="1"/>
  <c r="I36" i="4" a="1"/>
  <c r="O36" i="4" a="1"/>
  <c r="N36" i="4" a="1"/>
  <c r="D36" i="4" a="1"/>
  <c r="M36" i="4" a="1"/>
  <c r="H36" i="4" a="1"/>
  <c r="G36" i="4"/>
  <c r="L36" i="4" s="1"/>
  <c r="F36" i="4" a="1"/>
  <c r="E36" i="4" a="1"/>
  <c r="C36" i="4" a="1"/>
  <c r="Q35" i="4" a="1"/>
  <c r="P35" i="4" a="1"/>
  <c r="I35" i="4" a="1"/>
  <c r="O35" i="4" a="1"/>
  <c r="N35" i="4" a="1"/>
  <c r="D35" i="4" a="1"/>
  <c r="M35" i="4" a="1"/>
  <c r="H35" i="4" a="1"/>
  <c r="G35" i="4"/>
  <c r="F35" i="4" a="1"/>
  <c r="E35" i="4" a="1"/>
  <c r="C35" i="4" a="1"/>
  <c r="Q34" i="4" a="1"/>
  <c r="P34" i="4" a="1"/>
  <c r="I34" i="4" a="1"/>
  <c r="O34" i="4" a="1"/>
  <c r="N34" i="4" a="1"/>
  <c r="D34" i="4" a="1"/>
  <c r="M34" i="4" a="1"/>
  <c r="H34" i="4" a="1"/>
  <c r="G34" i="4"/>
  <c r="F34" i="4" a="1"/>
  <c r="E34" i="4" a="1"/>
  <c r="C34" i="4" a="1"/>
  <c r="Q33" i="4" a="1"/>
  <c r="P33" i="4" a="1"/>
  <c r="I33" i="4" a="1"/>
  <c r="O33" i="4" a="1"/>
  <c r="N33" i="4" a="1"/>
  <c r="D33" i="4" a="1"/>
  <c r="M33" i="4" a="1"/>
  <c r="H33" i="4" a="1"/>
  <c r="G33" i="4"/>
  <c r="F33" i="4" a="1"/>
  <c r="E33" i="4" a="1"/>
  <c r="C33" i="4" a="1"/>
  <c r="Q32" i="4" a="1"/>
  <c r="P32" i="4" a="1"/>
  <c r="I32" i="4" a="1"/>
  <c r="O32" i="4" a="1"/>
  <c r="N32" i="4" a="1"/>
  <c r="D32" i="4" a="1"/>
  <c r="M32" i="4" a="1"/>
  <c r="H32" i="4" a="1"/>
  <c r="G32" i="4"/>
  <c r="F32" i="4" a="1"/>
  <c r="E32" i="4" a="1"/>
  <c r="C32" i="4" a="1"/>
  <c r="Q31" i="4" a="1"/>
  <c r="P31" i="4" a="1"/>
  <c r="I31" i="4" a="1"/>
  <c r="O31" i="4" a="1"/>
  <c r="N31" i="4" a="1"/>
  <c r="D31" i="4" a="1"/>
  <c r="M31" i="4" a="1"/>
  <c r="H31" i="4" a="1"/>
  <c r="G31" i="4"/>
  <c r="F31" i="4" a="1"/>
  <c r="E31" i="4" a="1"/>
  <c r="C31" i="4" a="1"/>
  <c r="Q30" i="4" a="1"/>
  <c r="P30" i="4" a="1"/>
  <c r="I30" i="4" a="1"/>
  <c r="O30" i="4" a="1"/>
  <c r="N30" i="4" a="1"/>
  <c r="D30" i="4" a="1"/>
  <c r="M30" i="4" a="1"/>
  <c r="H30" i="4" a="1"/>
  <c r="G30" i="4"/>
  <c r="F30" i="4" a="1"/>
  <c r="E30" i="4" a="1"/>
  <c r="C30" i="4" a="1"/>
  <c r="Q29" i="4" a="1"/>
  <c r="P29" i="4" a="1"/>
  <c r="I29" i="4" a="1"/>
  <c r="O29" i="4" a="1"/>
  <c r="N29" i="4" a="1"/>
  <c r="D29" i="4" a="1"/>
  <c r="M29" i="4" a="1"/>
  <c r="H29" i="4" a="1"/>
  <c r="G29" i="4"/>
  <c r="F29" i="4" a="1"/>
  <c r="E29" i="4" a="1"/>
  <c r="C29" i="4" a="1"/>
  <c r="Q28" i="4" a="1"/>
  <c r="P28" i="4" a="1"/>
  <c r="I28" i="4" a="1"/>
  <c r="O28" i="4" a="1"/>
  <c r="N28" i="4" a="1"/>
  <c r="D28" i="4" a="1"/>
  <c r="M28" i="4" a="1"/>
  <c r="H28" i="4" a="1"/>
  <c r="G28" i="4"/>
  <c r="F28" i="4" a="1"/>
  <c r="E28" i="4" a="1"/>
  <c r="C28" i="4" a="1"/>
  <c r="Q27" i="4" a="1"/>
  <c r="P27" i="4" a="1"/>
  <c r="I27" i="4" a="1"/>
  <c r="O27" i="4" a="1"/>
  <c r="N27" i="4" a="1"/>
  <c r="D27" i="4" a="1"/>
  <c r="M27" i="4" a="1"/>
  <c r="H27" i="4" a="1"/>
  <c r="G27" i="4"/>
  <c r="F27" i="4" a="1"/>
  <c r="E27" i="4" a="1"/>
  <c r="C27" i="4" a="1"/>
  <c r="Q26" i="4" a="1"/>
  <c r="P26" i="4" a="1"/>
  <c r="I26" i="4" a="1"/>
  <c r="O26" i="4" a="1"/>
  <c r="N26" i="4" a="1"/>
  <c r="D26" i="4" a="1"/>
  <c r="M26" i="4" a="1"/>
  <c r="H26" i="4" a="1"/>
  <c r="G26" i="4"/>
  <c r="F26" i="4" a="1"/>
  <c r="E26" i="4" a="1"/>
  <c r="C26" i="4" a="1"/>
  <c r="Q25" i="4" a="1"/>
  <c r="P25" i="4" a="1"/>
  <c r="I25" i="4" a="1"/>
  <c r="O25" i="4" a="1"/>
  <c r="N25" i="4" a="1"/>
  <c r="D25" i="4" a="1"/>
  <c r="M25" i="4" a="1"/>
  <c r="H25" i="4" a="1"/>
  <c r="G25" i="4"/>
  <c r="F25" i="4" a="1"/>
  <c r="E25" i="4" a="1"/>
  <c r="C25" i="4" a="1"/>
  <c r="Q24" i="4" a="1"/>
  <c r="P24" i="4" a="1"/>
  <c r="I24" i="4" a="1"/>
  <c r="O24" i="4" a="1"/>
  <c r="N24" i="4" a="1"/>
  <c r="D24" i="4" a="1"/>
  <c r="M24" i="4" a="1"/>
  <c r="H24" i="4" a="1"/>
  <c r="G24" i="4"/>
  <c r="F24" i="4" a="1"/>
  <c r="E24" i="4" a="1"/>
  <c r="C24" i="4" a="1"/>
  <c r="Q23" i="4" a="1"/>
  <c r="P23" i="4" a="1"/>
  <c r="I23" i="4" a="1"/>
  <c r="O23" i="4" a="1"/>
  <c r="N23" i="4" a="1"/>
  <c r="D23" i="4" a="1"/>
  <c r="M23" i="4" a="1"/>
  <c r="H23" i="4" a="1"/>
  <c r="G23" i="4"/>
  <c r="J23" i="4" s="1"/>
  <c r="F23" i="4" a="1"/>
  <c r="E23" i="4" a="1"/>
  <c r="C23" i="4" a="1"/>
  <c r="Q22" i="4" a="1"/>
  <c r="P22" i="4" a="1"/>
  <c r="I22" i="4" a="1"/>
  <c r="O22" i="4" a="1"/>
  <c r="N22" i="4" a="1"/>
  <c r="D22" i="4" a="1"/>
  <c r="M22" i="4" a="1"/>
  <c r="H22" i="4" a="1"/>
  <c r="G22" i="4"/>
  <c r="F22" i="4" a="1"/>
  <c r="E22" i="4" a="1"/>
  <c r="C22" i="4" a="1"/>
  <c r="Q21" i="4" a="1"/>
  <c r="P21" i="4" a="1"/>
  <c r="I21" i="4" a="1"/>
  <c r="O21" i="4" a="1"/>
  <c r="N21" i="4" a="1"/>
  <c r="D21" i="4" a="1"/>
  <c r="M21" i="4" a="1"/>
  <c r="H21" i="4" a="1"/>
  <c r="G21" i="4"/>
  <c r="F21" i="4" a="1"/>
  <c r="E21" i="4" a="1"/>
  <c r="C21" i="4" a="1"/>
  <c r="Q20" i="4" a="1"/>
  <c r="P20" i="4" a="1"/>
  <c r="I20" i="4" a="1"/>
  <c r="O20" i="4" a="1"/>
  <c r="N20" i="4" a="1"/>
  <c r="D20" i="4" a="1"/>
  <c r="M20" i="4" a="1"/>
  <c r="H20" i="4" a="1"/>
  <c r="G20" i="4"/>
  <c r="F20" i="4" a="1"/>
  <c r="E20" i="4" a="1"/>
  <c r="C20" i="4" a="1"/>
  <c r="Q19" i="4" a="1"/>
  <c r="P19" i="4" a="1"/>
  <c r="I19" i="4" a="1"/>
  <c r="O19" i="4" a="1"/>
  <c r="N19" i="4" a="1"/>
  <c r="D19" i="4" a="1"/>
  <c r="M19" i="4" a="1"/>
  <c r="H19" i="4" a="1"/>
  <c r="G19" i="4"/>
  <c r="F19" i="4" a="1"/>
  <c r="E19" i="4" a="1"/>
  <c r="C19" i="4" a="1"/>
  <c r="Q18" i="4" a="1"/>
  <c r="P18" i="4" a="1"/>
  <c r="I18" i="4" a="1"/>
  <c r="O18" i="4" a="1"/>
  <c r="N18" i="4" a="1"/>
  <c r="D18" i="4" a="1"/>
  <c r="M18" i="4" a="1"/>
  <c r="H18" i="4" a="1"/>
  <c r="G18" i="4"/>
  <c r="F18" i="4" a="1"/>
  <c r="E18" i="4" a="1"/>
  <c r="C18" i="4" a="1"/>
  <c r="Q17" i="4" a="1"/>
  <c r="P17" i="4" a="1"/>
  <c r="I17" i="4" a="1"/>
  <c r="O17" i="4" a="1"/>
  <c r="N17" i="4" a="1"/>
  <c r="D17" i="4" a="1"/>
  <c r="M17" i="4" a="1"/>
  <c r="H17" i="4" a="1"/>
  <c r="G17" i="4"/>
  <c r="F17" i="4" a="1"/>
  <c r="E17" i="4" a="1"/>
  <c r="C17" i="4" a="1"/>
  <c r="Q16" i="4" a="1"/>
  <c r="P16" i="4" a="1"/>
  <c r="I16" i="4" a="1"/>
  <c r="O16" i="4" a="1"/>
  <c r="N16" i="4" a="1"/>
  <c r="D16" i="4" a="1"/>
  <c r="M16" i="4" a="1"/>
  <c r="H16" i="4" a="1"/>
  <c r="G16" i="4"/>
  <c r="F16" i="4" a="1"/>
  <c r="E16" i="4" a="1"/>
  <c r="C16" i="4" a="1"/>
  <c r="Q15" i="4" a="1"/>
  <c r="P15" i="4" a="1"/>
  <c r="I15" i="4" a="1"/>
  <c r="O15" i="4" a="1"/>
  <c r="N15" i="4" a="1"/>
  <c r="D15" i="4" a="1"/>
  <c r="M15" i="4" a="1"/>
  <c r="H15" i="4" a="1"/>
  <c r="G15" i="4"/>
  <c r="F15" i="4" a="1"/>
  <c r="E15" i="4" a="1"/>
  <c r="C15" i="4" a="1"/>
  <c r="Q14" i="4" a="1"/>
  <c r="P14" i="4" a="1"/>
  <c r="I14" i="4" a="1"/>
  <c r="O14" i="4" a="1"/>
  <c r="N14" i="4" a="1"/>
  <c r="D14" i="4" a="1"/>
  <c r="M14" i="4" a="1"/>
  <c r="H14" i="4" a="1"/>
  <c r="G14" i="4"/>
  <c r="F14" i="4" a="1"/>
  <c r="E14" i="4" a="1"/>
  <c r="C14" i="4" a="1"/>
  <c r="Q13" i="4" a="1"/>
  <c r="P13" i="4" a="1"/>
  <c r="I13" i="4" a="1"/>
  <c r="O13" i="4" a="1"/>
  <c r="N13" i="4" a="1"/>
  <c r="D13" i="4" a="1"/>
  <c r="M13" i="4" a="1"/>
  <c r="H13" i="4" a="1"/>
  <c r="G13" i="4"/>
  <c r="F13" i="4" a="1"/>
  <c r="E13" i="4" a="1"/>
  <c r="C13" i="4" a="1"/>
  <c r="Q12" i="4" a="1"/>
  <c r="P12" i="4" a="1"/>
  <c r="I12" i="4" a="1"/>
  <c r="O12" i="4" a="1"/>
  <c r="N12" i="4" a="1"/>
  <c r="D12" i="4" a="1"/>
  <c r="M12" i="4" a="1"/>
  <c r="H12" i="4" a="1"/>
  <c r="G12" i="4"/>
  <c r="F12" i="4" a="1"/>
  <c r="E12" i="4" a="1"/>
  <c r="C12" i="4" a="1"/>
  <c r="Q11" i="4" a="1"/>
  <c r="P11" i="4" a="1"/>
  <c r="I11" i="4" a="1"/>
  <c r="O11" i="4" a="1"/>
  <c r="N11" i="4" a="1"/>
  <c r="D11" i="4" a="1"/>
  <c r="M11" i="4" a="1"/>
  <c r="H11" i="4" a="1"/>
  <c r="G11" i="4"/>
  <c r="F11" i="4" a="1"/>
  <c r="E11" i="4" a="1"/>
  <c r="C11" i="4" a="1"/>
  <c r="Q10" i="4" a="1"/>
  <c r="P10" i="4" a="1"/>
  <c r="I10" i="4" a="1"/>
  <c r="O10" i="4" a="1"/>
  <c r="N10" i="4" a="1"/>
  <c r="D10" i="4" a="1"/>
  <c r="M10" i="4" a="1"/>
  <c r="H10" i="4" a="1"/>
  <c r="G10" i="4"/>
  <c r="J10" i="4" s="1"/>
  <c r="F10" i="4" a="1"/>
  <c r="E10" i="4" a="1"/>
  <c r="C10" i="4" a="1"/>
  <c r="Q9" i="4" a="1"/>
  <c r="P9" i="4" a="1"/>
  <c r="I9" i="4" a="1"/>
  <c r="O9" i="4" a="1"/>
  <c r="N9" i="4" a="1"/>
  <c r="D9" i="4" a="1"/>
  <c r="M9" i="4" a="1"/>
  <c r="H9" i="4" a="1"/>
  <c r="G9" i="4"/>
  <c r="F9" i="4" a="1"/>
  <c r="E9" i="4" a="1"/>
  <c r="C9" i="4" a="1"/>
  <c r="Q8" i="4" a="1"/>
  <c r="P8" i="4" a="1"/>
  <c r="I8" i="4" a="1"/>
  <c r="O8" i="4" a="1"/>
  <c r="N8" i="4" a="1"/>
  <c r="D8" i="4" a="1"/>
  <c r="M8" i="4" a="1"/>
  <c r="H8" i="4" a="1"/>
  <c r="G8" i="4"/>
  <c r="F8" i="4" a="1"/>
  <c r="E8" i="4" a="1"/>
  <c r="C8" i="4" a="1"/>
  <c r="Q7" i="4" a="1"/>
  <c r="P7" i="4" a="1"/>
  <c r="I7" i="4" a="1"/>
  <c r="O7" i="4" a="1"/>
  <c r="N7" i="4" a="1"/>
  <c r="D7" i="4" a="1"/>
  <c r="M7" i="4" a="1"/>
  <c r="H7" i="4" a="1"/>
  <c r="G7" i="4"/>
  <c r="J7" i="4" s="1"/>
  <c r="F7" i="4" a="1"/>
  <c r="E7" i="4" a="1"/>
  <c r="C7" i="4" a="1"/>
  <c r="Q6" i="4" a="1"/>
  <c r="P6" i="4" a="1"/>
  <c r="I6" i="4" a="1"/>
  <c r="O6" i="4" a="1"/>
  <c r="N6" i="4" a="1"/>
  <c r="D6" i="4" a="1"/>
  <c r="M6" i="4" a="1"/>
  <c r="H6" i="4" a="1"/>
  <c r="G6" i="4"/>
  <c r="J6" i="4" s="1"/>
  <c r="F6" i="4" a="1"/>
  <c r="E6" i="4" a="1"/>
  <c r="C6" i="4" a="1"/>
  <c r="Q5" i="4" a="1"/>
  <c r="P5" i="4" a="1"/>
  <c r="I5" i="4" a="1"/>
  <c r="O5" i="4" a="1"/>
  <c r="N5" i="4" a="1"/>
  <c r="D5" i="4" a="1"/>
  <c r="M5" i="4" a="1"/>
  <c r="H5" i="4" a="1"/>
  <c r="G5" i="4"/>
  <c r="J5" i="4" s="1"/>
  <c r="F5" i="4" a="1"/>
  <c r="E5" i="4" a="1"/>
  <c r="C5" i="4" a="1"/>
  <c r="Q4" i="4" a="1"/>
  <c r="P4" i="4" a="1"/>
  <c r="I4" i="4" a="1"/>
  <c r="O4" i="4" a="1"/>
  <c r="N4" i="4" a="1"/>
  <c r="D4" i="4" a="1"/>
  <c r="M4" i="4" a="1"/>
  <c r="H4" i="4" a="1"/>
  <c r="G4" i="4"/>
  <c r="F4" i="4" a="1"/>
  <c r="E4" i="4" a="1"/>
  <c r="C4" i="4" a="1"/>
  <c r="Q3" i="4" a="1"/>
  <c r="P3" i="4" a="1"/>
  <c r="I3" i="4" a="1"/>
  <c r="O3" i="4" a="1"/>
  <c r="N3" i="4" a="1"/>
  <c r="D3" i="4" a="1"/>
  <c r="M3" i="4" a="1"/>
  <c r="H3" i="4" a="1"/>
  <c r="G3" i="4"/>
  <c r="F3" i="4" a="1"/>
  <c r="E3" i="4" a="1"/>
  <c r="C3" i="4" a="1"/>
  <c r="Q2" i="4" a="1"/>
  <c r="P2" i="4" a="1"/>
  <c r="I2" i="4" a="1"/>
  <c r="O2" i="4" a="1"/>
  <c r="N2" i="4" a="1"/>
  <c r="D2" i="4" a="1"/>
  <c r="M2" i="4" a="1"/>
  <c r="H2" i="4" a="1"/>
  <c r="G2" i="4"/>
  <c r="K2" i="4" s="1"/>
  <c r="F2" i="4" a="1"/>
  <c r="E2" i="4" a="1"/>
  <c r="C2" i="4" a="1"/>
  <c r="A115" i="3" a="1"/>
  <c r="C115" i="3" a="1"/>
  <c r="D115" i="3" a="1"/>
  <c r="E115" i="3"/>
  <c r="F115" i="3" a="1"/>
  <c r="M115" i="3" a="1"/>
  <c r="N115" i="3" a="1"/>
  <c r="O115" i="3" a="1"/>
  <c r="P115" i="3" a="1"/>
  <c r="Q115" i="3" a="1"/>
  <c r="A50" i="3" a="1"/>
  <c r="C50" i="3" a="1"/>
  <c r="D50" i="3" a="1"/>
  <c r="E50" i="3"/>
  <c r="F50" i="3" a="1"/>
  <c r="M50" i="3" a="1"/>
  <c r="N50" i="3" a="1"/>
  <c r="O50" i="3" a="1"/>
  <c r="P50" i="3" a="1"/>
  <c r="Q50" i="3" a="1"/>
  <c r="A49" i="3" a="1"/>
  <c r="C49" i="3" a="1"/>
  <c r="D49" i="3" a="1"/>
  <c r="E49" i="3"/>
  <c r="F49" i="3" a="1"/>
  <c r="M49" i="3" a="1"/>
  <c r="N49" i="3" a="1"/>
  <c r="O49" i="3" a="1"/>
  <c r="P49" i="3" a="1"/>
  <c r="Q49" i="3" a="1"/>
  <c r="A48" i="3" a="1"/>
  <c r="C48" i="3" a="1"/>
  <c r="D48" i="3" a="1"/>
  <c r="E48" i="3"/>
  <c r="F48" i="3" a="1"/>
  <c r="G48" i="3" s="1"/>
  <c r="M48" i="3" a="1"/>
  <c r="N48" i="3" a="1"/>
  <c r="O48" i="3" a="1"/>
  <c r="P48" i="3" a="1"/>
  <c r="Q48" i="3" a="1"/>
  <c r="A47" i="3" a="1"/>
  <c r="C47" i="3" a="1"/>
  <c r="D47" i="3" a="1"/>
  <c r="E47" i="3"/>
  <c r="F47" i="3" a="1"/>
  <c r="M47" i="3" a="1"/>
  <c r="N47" i="3" a="1"/>
  <c r="O47" i="3" a="1"/>
  <c r="P47" i="3" a="1"/>
  <c r="Q47" i="3" a="1"/>
  <c r="A46" i="3" a="1"/>
  <c r="C46" i="3" a="1"/>
  <c r="D46" i="3" a="1"/>
  <c r="E46" i="3"/>
  <c r="F46" i="3" a="1"/>
  <c r="M46" i="3" a="1"/>
  <c r="N46" i="3" a="1"/>
  <c r="O46" i="3" a="1"/>
  <c r="P46" i="3" a="1"/>
  <c r="Q46" i="3" a="1"/>
  <c r="A45" i="3" a="1"/>
  <c r="C45" i="3" a="1"/>
  <c r="D45" i="3" a="1"/>
  <c r="E45" i="3"/>
  <c r="F45" i="3" a="1"/>
  <c r="M45" i="3" a="1"/>
  <c r="N45" i="3" a="1"/>
  <c r="O45" i="3" a="1"/>
  <c r="P45" i="3" a="1"/>
  <c r="Q45" i="3" a="1"/>
  <c r="A44" i="3" a="1"/>
  <c r="C44" i="3" a="1"/>
  <c r="D44" i="3" a="1"/>
  <c r="E44" i="3"/>
  <c r="F44" i="3" a="1"/>
  <c r="M44" i="3" a="1"/>
  <c r="N44" i="3" a="1"/>
  <c r="O44" i="3" a="1"/>
  <c r="P44" i="3" a="1"/>
  <c r="Q44" i="3" a="1"/>
  <c r="A43" i="3" a="1"/>
  <c r="C43" i="3" a="1"/>
  <c r="D43" i="3" a="1"/>
  <c r="E43" i="3"/>
  <c r="F43" i="3" a="1"/>
  <c r="M43" i="3" a="1"/>
  <c r="N43" i="3" a="1"/>
  <c r="O43" i="3" a="1"/>
  <c r="P43" i="3" a="1"/>
  <c r="Q43" i="3" a="1"/>
  <c r="A42" i="3" a="1"/>
  <c r="C42" i="3" a="1"/>
  <c r="D42" i="3" a="1"/>
  <c r="E42" i="3"/>
  <c r="F42" i="3" a="1"/>
  <c r="M42" i="3" a="1"/>
  <c r="N42" i="3" a="1"/>
  <c r="O42" i="3" a="1"/>
  <c r="P42" i="3" a="1"/>
  <c r="Q42" i="3" a="1"/>
  <c r="A41" i="3" a="1"/>
  <c r="C41" i="3" a="1"/>
  <c r="D41" i="3" a="1"/>
  <c r="E41" i="3"/>
  <c r="F41" i="3" a="1"/>
  <c r="M41" i="3" a="1"/>
  <c r="N41" i="3" a="1"/>
  <c r="O41" i="3" a="1"/>
  <c r="P41" i="3" a="1"/>
  <c r="Q41" i="3" a="1"/>
  <c r="A40" i="3" a="1"/>
  <c r="C40" i="3" a="1"/>
  <c r="D40" i="3" a="1"/>
  <c r="E40" i="3"/>
  <c r="F40" i="3" a="1"/>
  <c r="M40" i="3" a="1"/>
  <c r="N40" i="3" a="1"/>
  <c r="O40" i="3" a="1"/>
  <c r="P40" i="3" a="1"/>
  <c r="Q40" i="3" a="1"/>
  <c r="Q33" i="3" a="1"/>
  <c r="Q2" i="3" a="1"/>
  <c r="Q3" i="3" a="1"/>
  <c r="Q4" i="3" a="1"/>
  <c r="Q5" i="3" a="1"/>
  <c r="Q6" i="3" a="1"/>
  <c r="Q7" i="3" a="1"/>
  <c r="Q8" i="3" a="1"/>
  <c r="Q9" i="3" a="1"/>
  <c r="Q10" i="3" a="1"/>
  <c r="Q11" i="3" a="1"/>
  <c r="Q12" i="3" a="1"/>
  <c r="Q13" i="3" a="1"/>
  <c r="Q14" i="3" a="1"/>
  <c r="Q15" i="3" a="1"/>
  <c r="Q16" i="3" a="1"/>
  <c r="Q17" i="3" a="1"/>
  <c r="Q18" i="3" a="1"/>
  <c r="Q19" i="3" a="1"/>
  <c r="Q20" i="3" a="1"/>
  <c r="Q21" i="3" a="1"/>
  <c r="Q22" i="3" a="1"/>
  <c r="Q23" i="3" a="1"/>
  <c r="Q24" i="3" a="1"/>
  <c r="Q25" i="3" a="1"/>
  <c r="Q26" i="3" a="1"/>
  <c r="Q27" i="3" a="1"/>
  <c r="Q28" i="3" a="1"/>
  <c r="Q29" i="3" a="1"/>
  <c r="Q30" i="3" a="1"/>
  <c r="Q31" i="3" a="1"/>
  <c r="Q32" i="3" a="1"/>
  <c r="Q34" i="3" a="1"/>
  <c r="Q35" i="3" a="1"/>
  <c r="Q36" i="3" a="1"/>
  <c r="Q37" i="3" a="1"/>
  <c r="Q38" i="3" a="1"/>
  <c r="Q39" i="3" a="1"/>
  <c r="A2" i="3" a="1"/>
  <c r="A3" i="3" a="1"/>
  <c r="A4" i="3" a="1"/>
  <c r="A5" i="3" a="1"/>
  <c r="A6" i="3" a="1"/>
  <c r="A7" i="3" a="1"/>
  <c r="A8" i="3" a="1"/>
  <c r="A9" i="3" a="1"/>
  <c r="A10" i="3" a="1"/>
  <c r="A11" i="3" a="1"/>
  <c r="A12" i="3" a="1"/>
  <c r="A13" i="3" a="1"/>
  <c r="A14" i="3" a="1"/>
  <c r="A15" i="3" a="1"/>
  <c r="A16" i="3" a="1"/>
  <c r="A17" i="3" a="1"/>
  <c r="A18" i="3" a="1"/>
  <c r="A19" i="3" a="1"/>
  <c r="A20" i="3" a="1"/>
  <c r="A21" i="3" a="1"/>
  <c r="A22" i="3" a="1"/>
  <c r="A23" i="3" a="1"/>
  <c r="A24" i="3" a="1"/>
  <c r="A25" i="3" a="1"/>
  <c r="A26" i="3" a="1"/>
  <c r="A27" i="3" a="1"/>
  <c r="A28" i="3" a="1"/>
  <c r="A29" i="3" a="1"/>
  <c r="A30" i="3" a="1"/>
  <c r="A31" i="3" a="1"/>
  <c r="A32" i="3" a="1"/>
  <c r="A33" i="3" a="1"/>
  <c r="A34" i="3" a="1"/>
  <c r="A35" i="3" a="1"/>
  <c r="A36" i="3" a="1"/>
  <c r="A37" i="3" a="1"/>
  <c r="A38" i="3" a="1"/>
  <c r="A39" i="3" a="1"/>
  <c r="F69" i="1" a="1"/>
  <c r="F70" i="1" a="1"/>
  <c r="F105" i="1" a="1"/>
  <c r="A105" i="1" a="1"/>
  <c r="C105" i="1" a="1"/>
  <c r="D105" i="1" a="1"/>
  <c r="E105" i="1"/>
  <c r="I105" i="1" s="1"/>
  <c r="J105" i="1" a="1"/>
  <c r="L105" i="1" a="1"/>
  <c r="M105" i="1" a="1"/>
  <c r="N105" i="1" a="1"/>
  <c r="O105" i="1" a="1"/>
  <c r="P105" i="1" a="1"/>
  <c r="Q105" i="1" a="1"/>
  <c r="A70" i="1" a="1"/>
  <c r="C70" i="1" a="1"/>
  <c r="D70" i="1" a="1"/>
  <c r="E70" i="1"/>
  <c r="J70" i="1" a="1"/>
  <c r="L70" i="1" a="1"/>
  <c r="M70" i="1" a="1"/>
  <c r="N70" i="1" a="1"/>
  <c r="O70" i="1" a="1"/>
  <c r="P70" i="1" a="1"/>
  <c r="Q70" i="1" a="1"/>
  <c r="A69" i="1" a="1"/>
  <c r="C69" i="1" a="1"/>
  <c r="D69" i="1" a="1"/>
  <c r="E69" i="1"/>
  <c r="J69" i="1" a="1"/>
  <c r="L69" i="1" a="1"/>
  <c r="M69" i="1" a="1"/>
  <c r="N69" i="1" a="1"/>
  <c r="O69" i="1" a="1"/>
  <c r="P69" i="1" a="1"/>
  <c r="Q69" i="1" a="1"/>
  <c r="F66" i="1" a="1"/>
  <c r="F67" i="1" a="1"/>
  <c r="F68" i="1" a="1"/>
  <c r="A68" i="1" a="1"/>
  <c r="C68" i="1" a="1"/>
  <c r="D68" i="1" a="1"/>
  <c r="E68" i="1"/>
  <c r="J68" i="1" a="1"/>
  <c r="L68" i="1" a="1"/>
  <c r="M68" i="1" a="1"/>
  <c r="N68" i="1" a="1"/>
  <c r="O68" i="1" a="1"/>
  <c r="P68" i="1" a="1"/>
  <c r="Q68" i="1" a="1"/>
  <c r="A67" i="1" a="1"/>
  <c r="C67" i="1" a="1"/>
  <c r="D67" i="1" a="1"/>
  <c r="E67" i="1"/>
  <c r="J67" i="1" a="1"/>
  <c r="L67" i="1" a="1"/>
  <c r="M67" i="1" a="1"/>
  <c r="N67" i="1" a="1"/>
  <c r="O67" i="1" a="1"/>
  <c r="P67" i="1" a="1"/>
  <c r="Q67" i="1" a="1"/>
  <c r="A66" i="1" a="1"/>
  <c r="C66" i="1" a="1"/>
  <c r="D66" i="1" a="1"/>
  <c r="E66" i="1"/>
  <c r="J66" i="1" a="1"/>
  <c r="L66" i="1" a="1"/>
  <c r="M66" i="1" a="1"/>
  <c r="N66" i="1" a="1"/>
  <c r="O66" i="1" a="1"/>
  <c r="P66" i="1" a="1"/>
  <c r="Q66" i="1" a="1"/>
  <c r="N2" i="1" a="1"/>
  <c r="N3" i="1" a="1"/>
  <c r="N4" i="1" a="1"/>
  <c r="N5" i="1" a="1"/>
  <c r="N6" i="1" a="1"/>
  <c r="N7" i="1" a="1"/>
  <c r="N8" i="1" a="1"/>
  <c r="N9" i="1" a="1"/>
  <c r="N10" i="1" a="1"/>
  <c r="N11" i="1" a="1"/>
  <c r="N12" i="1" a="1"/>
  <c r="N13" i="1" a="1"/>
  <c r="N14" i="1" a="1"/>
  <c r="N15" i="1" a="1"/>
  <c r="N16" i="1" a="1"/>
  <c r="N17" i="1" a="1"/>
  <c r="N18" i="1" a="1"/>
  <c r="N19" i="1" a="1"/>
  <c r="N20" i="1" a="1"/>
  <c r="N21" i="1" a="1"/>
  <c r="N22" i="1" a="1"/>
  <c r="N23" i="1" a="1"/>
  <c r="N24" i="1" a="1"/>
  <c r="N25" i="1" a="1"/>
  <c r="N26" i="1" a="1"/>
  <c r="N27" i="1" a="1"/>
  <c r="N28" i="1" a="1"/>
  <c r="N29" i="1" a="1"/>
  <c r="N30" i="1" a="1"/>
  <c r="N31" i="1" a="1"/>
  <c r="N32" i="1" a="1"/>
  <c r="N33" i="1" a="1"/>
  <c r="N34" i="1" a="1"/>
  <c r="N35" i="1" a="1"/>
  <c r="N36" i="1" a="1"/>
  <c r="N37" i="1" a="1"/>
  <c r="N38" i="1" a="1"/>
  <c r="N39" i="1" a="1"/>
  <c r="N40" i="1" a="1"/>
  <c r="N41" i="1" a="1"/>
  <c r="N42" i="1" a="1"/>
  <c r="N43" i="1" a="1"/>
  <c r="N44" i="1" a="1"/>
  <c r="N45" i="1" a="1"/>
  <c r="N46" i="1" a="1"/>
  <c r="N47" i="1" a="1"/>
  <c r="N48" i="1" a="1"/>
  <c r="N49" i="1" a="1"/>
  <c r="N50" i="1" a="1"/>
  <c r="N51" i="1" a="1"/>
  <c r="N52" i="1" a="1"/>
  <c r="N53" i="1" a="1"/>
  <c r="N54" i="1" a="1"/>
  <c r="N55" i="1" a="1"/>
  <c r="N56" i="1" a="1"/>
  <c r="N57" i="1" a="1"/>
  <c r="N58" i="1" a="1"/>
  <c r="N59" i="1" a="1"/>
  <c r="N60" i="1" a="1"/>
  <c r="N61" i="1" a="1"/>
  <c r="N62" i="1" a="1"/>
  <c r="N63" i="1" a="1"/>
  <c r="N64" i="1" a="1"/>
  <c r="N65" i="1" a="1"/>
  <c r="F3" i="1" a="1"/>
  <c r="F4" i="1" a="1"/>
  <c r="F5" i="1" a="1"/>
  <c r="F6" i="1" a="1"/>
  <c r="F7" i="1" a="1"/>
  <c r="F8" i="1" a="1"/>
  <c r="F9" i="1" a="1"/>
  <c r="F10" i="1" a="1"/>
  <c r="F11" i="1" a="1"/>
  <c r="F12" i="1" a="1"/>
  <c r="F13" i="1" a="1"/>
  <c r="F14" i="1" a="1"/>
  <c r="F15" i="1" a="1"/>
  <c r="F16" i="1" a="1"/>
  <c r="F17" i="1" a="1"/>
  <c r="F18" i="1" a="1"/>
  <c r="F19" i="1" a="1"/>
  <c r="F20" i="1" a="1"/>
  <c r="F21" i="1" a="1"/>
  <c r="F22" i="1" a="1"/>
  <c r="F23" i="1" a="1"/>
  <c r="F24" i="1" a="1"/>
  <c r="F25" i="1" a="1"/>
  <c r="F26" i="1" a="1"/>
  <c r="F27" i="1" a="1"/>
  <c r="F28" i="1" a="1"/>
  <c r="F29" i="1" a="1"/>
  <c r="F30" i="1" a="1"/>
  <c r="F31" i="1" a="1"/>
  <c r="F32" i="1" a="1"/>
  <c r="F33" i="1" a="1"/>
  <c r="F34" i="1" a="1"/>
  <c r="F35" i="1" a="1"/>
  <c r="F36" i="1" a="1"/>
  <c r="F37" i="1" a="1"/>
  <c r="F38" i="1" a="1"/>
  <c r="F39" i="1" a="1"/>
  <c r="F40" i="1" a="1"/>
  <c r="F41" i="1" a="1"/>
  <c r="F42" i="1" a="1"/>
  <c r="F43" i="1" a="1"/>
  <c r="F44" i="1" a="1"/>
  <c r="F45" i="1" a="1"/>
  <c r="F46" i="1" a="1"/>
  <c r="F47" i="1" a="1"/>
  <c r="F48" i="1" a="1"/>
  <c r="F49" i="1" a="1"/>
  <c r="F50" i="1" a="1"/>
  <c r="F51" i="1" a="1"/>
  <c r="F52" i="1" a="1"/>
  <c r="F53" i="1" a="1"/>
  <c r="F54" i="1" a="1"/>
  <c r="F55" i="1" a="1"/>
  <c r="F56" i="1" a="1"/>
  <c r="F57" i="1" a="1"/>
  <c r="F58" i="1" a="1"/>
  <c r="F59" i="1" a="1"/>
  <c r="F60" i="1" a="1"/>
  <c r="F61" i="1" a="1"/>
  <c r="F62" i="1" a="1"/>
  <c r="F63" i="1" a="1"/>
  <c r="F64" i="1" a="1"/>
  <c r="F65" i="1" a="1"/>
  <c r="F2" i="1" a="1"/>
  <c r="M2" i="1" a="1"/>
  <c r="M3" i="1" a="1"/>
  <c r="M4" i="1" a="1"/>
  <c r="M5" i="1" a="1"/>
  <c r="M6" i="1" a="1"/>
  <c r="M7" i="1" a="1"/>
  <c r="M8" i="1" a="1"/>
  <c r="M9" i="1" a="1"/>
  <c r="M10" i="1" a="1"/>
  <c r="M11" i="1" a="1"/>
  <c r="M12" i="1" a="1"/>
  <c r="M13" i="1" a="1"/>
  <c r="M14" i="1" a="1"/>
  <c r="M15" i="1" a="1"/>
  <c r="M16" i="1" a="1"/>
  <c r="M17" i="1" a="1"/>
  <c r="M18" i="1" a="1"/>
  <c r="M19" i="1" a="1"/>
  <c r="M20" i="1" a="1"/>
  <c r="M21" i="1" a="1"/>
  <c r="M22" i="1" a="1"/>
  <c r="M23" i="1" a="1"/>
  <c r="M24" i="1" a="1"/>
  <c r="M25" i="1" a="1"/>
  <c r="M26" i="1" a="1"/>
  <c r="M27" i="1" a="1"/>
  <c r="M28" i="1" a="1"/>
  <c r="M29" i="1" a="1"/>
  <c r="M30" i="1" a="1"/>
  <c r="M31" i="1" a="1"/>
  <c r="M32" i="1" a="1"/>
  <c r="M33" i="1" a="1"/>
  <c r="M34" i="1" a="1"/>
  <c r="M35" i="1" a="1"/>
  <c r="M36" i="1" a="1"/>
  <c r="M37" i="1" a="1"/>
  <c r="M38" i="1" a="1"/>
  <c r="M39" i="1" a="1"/>
  <c r="M40" i="1" a="1"/>
  <c r="M41" i="1" a="1"/>
  <c r="M42" i="1" a="1"/>
  <c r="M43" i="1" a="1"/>
  <c r="M44" i="1" a="1"/>
  <c r="M45" i="1" a="1"/>
  <c r="M46" i="1" a="1"/>
  <c r="M47" i="1" a="1"/>
  <c r="M48" i="1" a="1"/>
  <c r="M49" i="1" a="1"/>
  <c r="M50" i="1" a="1"/>
  <c r="M51" i="1" a="1"/>
  <c r="M52" i="1" a="1"/>
  <c r="M53" i="1" a="1"/>
  <c r="M54" i="1" a="1"/>
  <c r="M55" i="1" a="1"/>
  <c r="M56" i="1" a="1"/>
  <c r="M57" i="1" a="1"/>
  <c r="M58" i="1" a="1"/>
  <c r="M59" i="1" a="1"/>
  <c r="M60" i="1" a="1"/>
  <c r="M61" i="1" a="1"/>
  <c r="M62" i="1" a="1"/>
  <c r="M63" i="1" a="1"/>
  <c r="M64" i="1" a="1"/>
  <c r="M65" i="1" a="1"/>
  <c r="N2" i="3" a="1"/>
  <c r="N3" i="3" a="1"/>
  <c r="N4" i="3" a="1"/>
  <c r="N5" i="3" a="1"/>
  <c r="N6" i="3" a="1"/>
  <c r="N7" i="3" a="1"/>
  <c r="N8" i="3" a="1"/>
  <c r="N9" i="3" a="1"/>
  <c r="N10" i="3" a="1"/>
  <c r="N11" i="3" a="1"/>
  <c r="N12" i="3" a="1"/>
  <c r="N13" i="3" a="1"/>
  <c r="N14" i="3" a="1"/>
  <c r="N15" i="3" a="1"/>
  <c r="N16" i="3" a="1"/>
  <c r="N17" i="3" a="1"/>
  <c r="N18" i="3" a="1"/>
  <c r="N19" i="3" a="1"/>
  <c r="N20" i="3" a="1"/>
  <c r="N21" i="3" a="1"/>
  <c r="N22" i="3" a="1"/>
  <c r="N23" i="3" a="1"/>
  <c r="N24" i="3" a="1"/>
  <c r="N25" i="3" a="1"/>
  <c r="N26" i="3" a="1"/>
  <c r="N27" i="3" a="1"/>
  <c r="N28" i="3" a="1"/>
  <c r="N29" i="3" a="1"/>
  <c r="N30" i="3" a="1"/>
  <c r="N31" i="3" a="1"/>
  <c r="N32" i="3" a="1"/>
  <c r="N33" i="3" a="1"/>
  <c r="N34" i="3" a="1"/>
  <c r="N35" i="3" a="1"/>
  <c r="N36" i="3" a="1"/>
  <c r="N37" i="3" a="1"/>
  <c r="N38" i="3" a="1"/>
  <c r="N39" i="3" a="1"/>
  <c r="M2" i="3" a="1"/>
  <c r="M3" i="3" a="1"/>
  <c r="M4" i="3" a="1"/>
  <c r="M5" i="3" a="1"/>
  <c r="M6" i="3" a="1"/>
  <c r="M7" i="3" a="1"/>
  <c r="M8" i="3" a="1"/>
  <c r="M9" i="3" a="1"/>
  <c r="M10" i="3" a="1"/>
  <c r="M11" i="3" a="1"/>
  <c r="M12" i="3" a="1"/>
  <c r="M13" i="3" a="1"/>
  <c r="M14" i="3" a="1"/>
  <c r="M15" i="3" a="1"/>
  <c r="M16" i="3" a="1"/>
  <c r="M17" i="3" a="1"/>
  <c r="M18" i="3" a="1"/>
  <c r="M19" i="3" a="1"/>
  <c r="M20" i="3" a="1"/>
  <c r="M21" i="3" a="1"/>
  <c r="M22" i="3" a="1"/>
  <c r="M23" i="3" a="1"/>
  <c r="M24" i="3" a="1"/>
  <c r="M25" i="3" a="1"/>
  <c r="M26" i="3" a="1"/>
  <c r="M27" i="3" a="1"/>
  <c r="M28" i="3" a="1"/>
  <c r="M29" i="3" a="1"/>
  <c r="M30" i="3" a="1"/>
  <c r="M31" i="3" a="1"/>
  <c r="M32" i="3" a="1"/>
  <c r="M33" i="3" a="1"/>
  <c r="M34" i="3" a="1"/>
  <c r="M35" i="3" a="1"/>
  <c r="M36" i="3" a="1"/>
  <c r="M37" i="3" a="1"/>
  <c r="M38" i="3" a="1"/>
  <c r="M39" i="3" a="1"/>
  <c r="P2" i="3" a="1"/>
  <c r="P3" i="3" a="1"/>
  <c r="P4" i="3" a="1"/>
  <c r="P5" i="3" a="1"/>
  <c r="P6" i="3" a="1"/>
  <c r="P7" i="3" a="1"/>
  <c r="P8" i="3" a="1"/>
  <c r="P9" i="3" a="1"/>
  <c r="P10" i="3" a="1"/>
  <c r="P11" i="3" a="1"/>
  <c r="P12" i="3" a="1"/>
  <c r="P13" i="3" a="1"/>
  <c r="P14" i="3" a="1"/>
  <c r="P15" i="3" a="1"/>
  <c r="P16" i="3" a="1"/>
  <c r="P17" i="3" a="1"/>
  <c r="P18" i="3" a="1"/>
  <c r="P19" i="3" a="1"/>
  <c r="P20" i="3" a="1"/>
  <c r="P21" i="3" a="1"/>
  <c r="P22" i="3" a="1"/>
  <c r="P23" i="3" a="1"/>
  <c r="P24" i="3" a="1"/>
  <c r="P25" i="3" a="1"/>
  <c r="P26" i="3" a="1"/>
  <c r="P27" i="3" a="1"/>
  <c r="P28" i="3" a="1"/>
  <c r="P29" i="3" a="1"/>
  <c r="P30" i="3" a="1"/>
  <c r="P31" i="3" a="1"/>
  <c r="P32" i="3" a="1"/>
  <c r="P33" i="3" a="1"/>
  <c r="P34" i="3" a="1"/>
  <c r="P35" i="3" a="1"/>
  <c r="P36" i="3" a="1"/>
  <c r="P37" i="3" a="1"/>
  <c r="P38" i="3" a="1"/>
  <c r="P39" i="3" a="1"/>
  <c r="O2" i="3" a="1"/>
  <c r="O3" i="3" a="1"/>
  <c r="O4" i="3" a="1"/>
  <c r="O5" i="3" a="1"/>
  <c r="O6" i="3" a="1"/>
  <c r="O7" i="3" a="1"/>
  <c r="O8" i="3" a="1"/>
  <c r="O9" i="3" a="1"/>
  <c r="O10" i="3" a="1"/>
  <c r="O11" i="3" a="1"/>
  <c r="O12" i="3" a="1"/>
  <c r="O13" i="3" a="1"/>
  <c r="O14" i="3" a="1"/>
  <c r="O15" i="3" a="1"/>
  <c r="O16" i="3" a="1"/>
  <c r="O17" i="3" a="1"/>
  <c r="O18" i="3" a="1"/>
  <c r="O19" i="3" a="1"/>
  <c r="O20" i="3" a="1"/>
  <c r="O21" i="3" a="1"/>
  <c r="O22" i="3" a="1"/>
  <c r="O23" i="3" a="1"/>
  <c r="O24" i="3" a="1"/>
  <c r="O25" i="3" a="1"/>
  <c r="O26" i="3" a="1"/>
  <c r="O27" i="3" a="1"/>
  <c r="O28" i="3" a="1"/>
  <c r="O29" i="3" a="1"/>
  <c r="O30" i="3" a="1"/>
  <c r="O31" i="3" a="1"/>
  <c r="O32" i="3" a="1"/>
  <c r="O33" i="3" a="1"/>
  <c r="O34" i="3" a="1"/>
  <c r="O35" i="3" a="1"/>
  <c r="O36" i="3" a="1"/>
  <c r="O37" i="3" a="1"/>
  <c r="O38" i="3" a="1"/>
  <c r="O39" i="3" a="1"/>
  <c r="Q2" i="1" a="1"/>
  <c r="Q3" i="1" a="1"/>
  <c r="Q4" i="1" a="1"/>
  <c r="Q5" i="1" a="1"/>
  <c r="Q6" i="1" a="1"/>
  <c r="Q7" i="1" a="1"/>
  <c r="Q8" i="1" a="1"/>
  <c r="Q9" i="1" a="1"/>
  <c r="Q10" i="1" a="1"/>
  <c r="Q11" i="1" a="1"/>
  <c r="Q12" i="1" a="1"/>
  <c r="Q13" i="1" a="1"/>
  <c r="Q14" i="1" a="1"/>
  <c r="Q15" i="1" a="1"/>
  <c r="Q16" i="1" a="1"/>
  <c r="Q17" i="1" a="1"/>
  <c r="Q18" i="1" a="1"/>
  <c r="Q19" i="1" a="1"/>
  <c r="Q20" i="1" a="1"/>
  <c r="Q21" i="1" a="1"/>
  <c r="Q22" i="1" a="1"/>
  <c r="Q23" i="1" a="1"/>
  <c r="Q24" i="1" a="1"/>
  <c r="Q25" i="1" a="1"/>
  <c r="Q26" i="1" a="1"/>
  <c r="Q27" i="1" a="1"/>
  <c r="Q28" i="1" a="1"/>
  <c r="Q29" i="1" a="1"/>
  <c r="Q30" i="1" a="1"/>
  <c r="Q31" i="1" a="1"/>
  <c r="Q32" i="1" a="1"/>
  <c r="Q33" i="1" a="1"/>
  <c r="Q34" i="1" a="1"/>
  <c r="Q35" i="1" a="1"/>
  <c r="Q36" i="1" a="1"/>
  <c r="Q37" i="1" a="1"/>
  <c r="Q38" i="1" a="1"/>
  <c r="Q39" i="1" a="1"/>
  <c r="Q40" i="1" a="1"/>
  <c r="Q41" i="1" a="1"/>
  <c r="Q42" i="1" a="1"/>
  <c r="Q43" i="1" a="1"/>
  <c r="Q44" i="1" a="1"/>
  <c r="Q45" i="1" a="1"/>
  <c r="Q46" i="1" a="1"/>
  <c r="Q47" i="1" a="1"/>
  <c r="Q48" i="1" a="1"/>
  <c r="Q49" i="1" a="1"/>
  <c r="Q50" i="1" a="1"/>
  <c r="Q51" i="1" a="1"/>
  <c r="Q52" i="1" a="1"/>
  <c r="Q53" i="1" a="1"/>
  <c r="Q54" i="1" a="1"/>
  <c r="Q55" i="1" a="1"/>
  <c r="Q56" i="1" a="1"/>
  <c r="Q57" i="1" a="1"/>
  <c r="Q58" i="1" a="1"/>
  <c r="Q59" i="1" a="1"/>
  <c r="Q60" i="1" a="1"/>
  <c r="Q61" i="1" a="1"/>
  <c r="Q62" i="1" a="1"/>
  <c r="Q63" i="1" a="1"/>
  <c r="Q64" i="1" a="1"/>
  <c r="Q65" i="1" a="1"/>
  <c r="P2" i="1" a="1"/>
  <c r="P3" i="1" a="1"/>
  <c r="P4" i="1" a="1"/>
  <c r="P5" i="1" a="1"/>
  <c r="P6" i="1" a="1"/>
  <c r="P7" i="1" a="1"/>
  <c r="P8" i="1" a="1"/>
  <c r="P9" i="1" a="1"/>
  <c r="P10" i="1" a="1"/>
  <c r="P11" i="1" a="1"/>
  <c r="P12" i="1" a="1"/>
  <c r="P13" i="1" a="1"/>
  <c r="P14" i="1" a="1"/>
  <c r="P15" i="1" a="1"/>
  <c r="P16" i="1" a="1"/>
  <c r="P17" i="1" a="1"/>
  <c r="P18" i="1" a="1"/>
  <c r="P19" i="1" a="1"/>
  <c r="P20" i="1" a="1"/>
  <c r="P21" i="1" a="1"/>
  <c r="P22" i="1" a="1"/>
  <c r="P23" i="1" a="1"/>
  <c r="P24" i="1" a="1"/>
  <c r="P25" i="1" a="1"/>
  <c r="P26" i="1" a="1"/>
  <c r="P27" i="1" a="1"/>
  <c r="P28" i="1" a="1"/>
  <c r="P29" i="1" a="1"/>
  <c r="P30" i="1" a="1"/>
  <c r="P31" i="1" a="1"/>
  <c r="P32" i="1" a="1"/>
  <c r="P33" i="1" a="1"/>
  <c r="P34" i="1" a="1"/>
  <c r="P35" i="1" a="1"/>
  <c r="P36" i="1" a="1"/>
  <c r="P37" i="1" a="1"/>
  <c r="P38" i="1" a="1"/>
  <c r="P39" i="1" a="1"/>
  <c r="P40" i="1" a="1"/>
  <c r="P41" i="1" a="1"/>
  <c r="P42" i="1" a="1"/>
  <c r="P43" i="1" a="1"/>
  <c r="P44" i="1" a="1"/>
  <c r="P45" i="1" a="1"/>
  <c r="P46" i="1" a="1"/>
  <c r="P47" i="1" a="1"/>
  <c r="P48" i="1" a="1"/>
  <c r="P49" i="1" a="1"/>
  <c r="P50" i="1" a="1"/>
  <c r="P51" i="1" a="1"/>
  <c r="P52" i="1" a="1"/>
  <c r="P53" i="1" a="1"/>
  <c r="P54" i="1" a="1"/>
  <c r="P55" i="1" a="1"/>
  <c r="P56" i="1" a="1"/>
  <c r="P57" i="1" a="1"/>
  <c r="P58" i="1" a="1"/>
  <c r="P59" i="1" a="1"/>
  <c r="P60" i="1" a="1"/>
  <c r="P61" i="1" a="1"/>
  <c r="P62" i="1" a="1"/>
  <c r="P63" i="1" a="1"/>
  <c r="P64" i="1" a="1"/>
  <c r="P65" i="1" a="1"/>
  <c r="O2" i="1" a="1"/>
  <c r="O3" i="1" a="1"/>
  <c r="O4" i="1" a="1"/>
  <c r="O5" i="1" a="1"/>
  <c r="O6" i="1" a="1"/>
  <c r="O7" i="1" a="1"/>
  <c r="O8" i="1" a="1"/>
  <c r="O9" i="1" a="1"/>
  <c r="O10" i="1" a="1"/>
  <c r="O11" i="1" a="1"/>
  <c r="O12" i="1" a="1"/>
  <c r="O13" i="1" a="1"/>
  <c r="O14" i="1" a="1"/>
  <c r="O15" i="1" a="1"/>
  <c r="O16" i="1" a="1"/>
  <c r="O17" i="1" a="1"/>
  <c r="O18" i="1" a="1"/>
  <c r="O19" i="1" a="1"/>
  <c r="O20" i="1" a="1"/>
  <c r="O21" i="1" a="1"/>
  <c r="O22" i="1" a="1"/>
  <c r="O23" i="1" a="1"/>
  <c r="O24" i="1" a="1"/>
  <c r="O25" i="1" a="1"/>
  <c r="O26" i="1" a="1"/>
  <c r="O27" i="1" a="1"/>
  <c r="O28" i="1" a="1"/>
  <c r="O29" i="1" a="1"/>
  <c r="O30" i="1" a="1"/>
  <c r="O31" i="1" a="1"/>
  <c r="O32" i="1" a="1"/>
  <c r="O33" i="1" a="1"/>
  <c r="O34" i="1" a="1"/>
  <c r="O35" i="1" a="1"/>
  <c r="O36" i="1" a="1"/>
  <c r="O37" i="1" a="1"/>
  <c r="O38" i="1" a="1"/>
  <c r="O39" i="1" a="1"/>
  <c r="O40" i="1" a="1"/>
  <c r="O41" i="1" a="1"/>
  <c r="O42" i="1" a="1"/>
  <c r="O43" i="1" a="1"/>
  <c r="O44" i="1" a="1"/>
  <c r="O45" i="1" a="1"/>
  <c r="O46" i="1" a="1"/>
  <c r="O47" i="1" a="1"/>
  <c r="O48" i="1" a="1"/>
  <c r="O49" i="1" a="1"/>
  <c r="O50" i="1" a="1"/>
  <c r="O51" i="1" a="1"/>
  <c r="O52" i="1" a="1"/>
  <c r="O53" i="1" a="1"/>
  <c r="O54" i="1" a="1"/>
  <c r="O55" i="1" a="1"/>
  <c r="O56" i="1" a="1"/>
  <c r="O57" i="1" a="1"/>
  <c r="O58" i="1" a="1"/>
  <c r="O59" i="1" a="1"/>
  <c r="O60" i="1" a="1"/>
  <c r="O61" i="1" a="1"/>
  <c r="O62" i="1" a="1"/>
  <c r="O63" i="1" a="1"/>
  <c r="O64" i="1" a="1"/>
  <c r="O65" i="1" a="1"/>
  <c r="A65" i="1" a="1"/>
  <c r="J2" i="1" a="1"/>
  <c r="J3" i="1" a="1"/>
  <c r="J4" i="1" a="1"/>
  <c r="J5" i="1" a="1"/>
  <c r="J6" i="1" a="1"/>
  <c r="J7" i="1" a="1"/>
  <c r="J8" i="1" a="1"/>
  <c r="J9" i="1" a="1"/>
  <c r="J10" i="1" a="1"/>
  <c r="J11" i="1" a="1"/>
  <c r="J12" i="1" a="1"/>
  <c r="J13" i="1" a="1"/>
  <c r="J14" i="1" a="1"/>
  <c r="J15" i="1" a="1"/>
  <c r="J16" i="1" a="1"/>
  <c r="J17" i="1" a="1"/>
  <c r="J18" i="1" a="1"/>
  <c r="J19" i="1" a="1"/>
  <c r="J20" i="1" a="1"/>
  <c r="J21" i="1" a="1"/>
  <c r="J22" i="1" a="1"/>
  <c r="J23" i="1" a="1"/>
  <c r="J24" i="1" a="1"/>
  <c r="J25" i="1" a="1"/>
  <c r="J26" i="1" a="1"/>
  <c r="J27" i="1" a="1"/>
  <c r="J28" i="1" a="1"/>
  <c r="J29" i="1" a="1"/>
  <c r="J30" i="1" a="1"/>
  <c r="J31" i="1" a="1"/>
  <c r="J32" i="1" a="1"/>
  <c r="J33" i="1" a="1"/>
  <c r="J34" i="1" a="1"/>
  <c r="J35" i="1" a="1"/>
  <c r="J36" i="1" a="1"/>
  <c r="J37" i="1" a="1"/>
  <c r="J38" i="1" a="1"/>
  <c r="J39" i="1" a="1"/>
  <c r="J40" i="1" a="1"/>
  <c r="J41" i="1" a="1"/>
  <c r="J42" i="1" a="1"/>
  <c r="J43" i="1" a="1"/>
  <c r="J44" i="1" a="1"/>
  <c r="J45" i="1" a="1"/>
  <c r="J46" i="1" a="1"/>
  <c r="J47" i="1" a="1"/>
  <c r="J48" i="1" a="1"/>
  <c r="J49" i="1" a="1"/>
  <c r="J50" i="1" a="1"/>
  <c r="J51" i="1" a="1"/>
  <c r="J52" i="1" a="1"/>
  <c r="J53" i="1" a="1"/>
  <c r="J54" i="1" a="1"/>
  <c r="J55" i="1" a="1"/>
  <c r="J56" i="1" a="1"/>
  <c r="J57" i="1" a="1"/>
  <c r="J58" i="1" a="1"/>
  <c r="J59" i="1" a="1"/>
  <c r="J60" i="1" a="1"/>
  <c r="J61" i="1" a="1"/>
  <c r="J62" i="1" a="1"/>
  <c r="J63" i="1" a="1"/>
  <c r="J64" i="1" a="1"/>
  <c r="J65" i="1" a="1"/>
  <c r="C65" i="1" a="1"/>
  <c r="D65" i="1" a="1"/>
  <c r="E65" i="1"/>
  <c r="L65" i="1" a="1"/>
  <c r="C39" i="3" a="1"/>
  <c r="D39" i="3" a="1"/>
  <c r="E39" i="3"/>
  <c r="F39" i="3" a="1"/>
  <c r="C38" i="3" a="1"/>
  <c r="D38" i="3" a="1"/>
  <c r="E38" i="3"/>
  <c r="F38" i="3" a="1"/>
  <c r="A64" i="1" a="1"/>
  <c r="C64" i="1" a="1"/>
  <c r="D64" i="1" a="1"/>
  <c r="E64" i="1"/>
  <c r="L64" i="1" a="1"/>
  <c r="A63" i="1" a="1"/>
  <c r="C63" i="1" a="1"/>
  <c r="D63" i="1" a="1"/>
  <c r="E63" i="1"/>
  <c r="L63" i="1" a="1"/>
  <c r="A62" i="1" a="1"/>
  <c r="C62" i="1" a="1"/>
  <c r="D62" i="1" a="1"/>
  <c r="E62" i="1"/>
  <c r="L62" i="1" a="1"/>
  <c r="A61" i="1" a="1"/>
  <c r="C61" i="1" a="1"/>
  <c r="D61" i="1" a="1"/>
  <c r="E61" i="1"/>
  <c r="L61" i="1" a="1"/>
  <c r="A60" i="1" a="1"/>
  <c r="C60" i="1" a="1"/>
  <c r="D60" i="1" a="1"/>
  <c r="E60" i="1"/>
  <c r="L60" i="1" a="1"/>
  <c r="A59" i="1" a="1"/>
  <c r="C59" i="1" a="1"/>
  <c r="D59" i="1" a="1"/>
  <c r="E59" i="1"/>
  <c r="L59" i="1" a="1"/>
  <c r="A58" i="1" a="1"/>
  <c r="C58" i="1" a="1"/>
  <c r="D58" i="1" a="1"/>
  <c r="E58" i="1"/>
  <c r="L58" i="1" a="1"/>
  <c r="A57" i="1" a="1"/>
  <c r="C57" i="1" a="1"/>
  <c r="D57" i="1" a="1"/>
  <c r="E57" i="1"/>
  <c r="L57" i="1" a="1"/>
  <c r="C37" i="3" a="1"/>
  <c r="D37" i="3" a="1"/>
  <c r="E37" i="3"/>
  <c r="F37" i="3" a="1"/>
  <c r="C36" i="3" a="1"/>
  <c r="D36" i="3" a="1"/>
  <c r="E36" i="3"/>
  <c r="F36" i="3" a="1"/>
  <c r="I36" i="3" s="1"/>
  <c r="C35" i="3" a="1"/>
  <c r="D35" i="3" a="1"/>
  <c r="E35" i="3"/>
  <c r="F35" i="3" a="1"/>
  <c r="C34" i="3" a="1"/>
  <c r="D34" i="3" a="1"/>
  <c r="E34" i="3"/>
  <c r="F34" i="3" a="1"/>
  <c r="C33" i="3" a="1"/>
  <c r="D33" i="3" a="1"/>
  <c r="E33" i="3"/>
  <c r="F33" i="3" a="1"/>
  <c r="C32" i="3" a="1"/>
  <c r="D32" i="3" a="1"/>
  <c r="E32" i="3"/>
  <c r="F32" i="3" a="1"/>
  <c r="C31" i="3" a="1"/>
  <c r="D31" i="3" a="1"/>
  <c r="E31" i="3"/>
  <c r="F31" i="3" a="1"/>
  <c r="C30" i="3" a="1"/>
  <c r="D30" i="3" a="1"/>
  <c r="E30" i="3"/>
  <c r="F30" i="3" a="1"/>
  <c r="C29" i="3" a="1"/>
  <c r="D29" i="3" a="1"/>
  <c r="E29" i="3"/>
  <c r="F29" i="3" a="1"/>
  <c r="C28" i="3" a="1"/>
  <c r="D28" i="3" a="1"/>
  <c r="E28" i="3"/>
  <c r="F28" i="3" a="1"/>
  <c r="C27" i="3" a="1"/>
  <c r="D27" i="3" a="1"/>
  <c r="E27" i="3"/>
  <c r="F27" i="3" a="1"/>
  <c r="C26" i="3" a="1"/>
  <c r="D26" i="3" a="1"/>
  <c r="E26" i="3"/>
  <c r="F26" i="3" a="1"/>
  <c r="C25" i="3" a="1"/>
  <c r="D25" i="3" a="1"/>
  <c r="E25" i="3"/>
  <c r="F25" i="3" a="1"/>
  <c r="C24" i="3" a="1"/>
  <c r="D24" i="3" a="1"/>
  <c r="E24" i="3"/>
  <c r="F24" i="3" a="1"/>
  <c r="F23" i="3" a="1"/>
  <c r="E23" i="3"/>
  <c r="D23" i="3" a="1"/>
  <c r="C23" i="3" a="1"/>
  <c r="E3" i="3"/>
  <c r="E4" i="3"/>
  <c r="E5" i="3"/>
  <c r="E6" i="3"/>
  <c r="E7" i="3"/>
  <c r="E8" i="3"/>
  <c r="E9" i="3"/>
  <c r="E10" i="3"/>
  <c r="E11" i="3"/>
  <c r="E12" i="3"/>
  <c r="E13" i="3"/>
  <c r="E14" i="3"/>
  <c r="E15" i="3"/>
  <c r="E16" i="3"/>
  <c r="E17" i="3"/>
  <c r="E18" i="3"/>
  <c r="E19" i="3"/>
  <c r="E20" i="3"/>
  <c r="E21" i="3"/>
  <c r="E22" i="3"/>
  <c r="E2" i="3"/>
  <c r="E2" i="1"/>
  <c r="F3" i="3" a="1"/>
  <c r="F4" i="3" a="1"/>
  <c r="I4" i="3" s="1"/>
  <c r="F5" i="3" a="1"/>
  <c r="F6" i="3" a="1"/>
  <c r="F7" i="3" a="1"/>
  <c r="F8" i="3" a="1"/>
  <c r="H8" i="3" s="1"/>
  <c r="F9" i="3" a="1"/>
  <c r="F10" i="3" a="1"/>
  <c r="F11" i="3" a="1"/>
  <c r="F12" i="3" a="1"/>
  <c r="G12" i="3" s="1"/>
  <c r="F13" i="3" a="1"/>
  <c r="F14" i="3" a="1"/>
  <c r="F15" i="3" a="1"/>
  <c r="F16" i="3" a="1"/>
  <c r="G16" i="3" s="1"/>
  <c r="F17" i="3" a="1"/>
  <c r="F18" i="3" a="1"/>
  <c r="F19" i="3" a="1"/>
  <c r="F20" i="3" a="1"/>
  <c r="G20" i="3" s="1"/>
  <c r="F21" i="3" a="1"/>
  <c r="F22" i="3" a="1"/>
  <c r="F2" i="3" a="1"/>
  <c r="D3" i="3" a="1"/>
  <c r="D4" i="3" a="1"/>
  <c r="D5" i="3" a="1"/>
  <c r="D6" i="3" a="1"/>
  <c r="D7" i="3" a="1"/>
  <c r="D8" i="3" a="1"/>
  <c r="D9" i="3" a="1"/>
  <c r="D10" i="3" a="1"/>
  <c r="D11" i="3" a="1"/>
  <c r="D12" i="3" a="1"/>
  <c r="D13" i="3" a="1"/>
  <c r="D14" i="3" a="1"/>
  <c r="D15" i="3" a="1"/>
  <c r="D16" i="3" a="1"/>
  <c r="D17" i="3" a="1"/>
  <c r="D18" i="3" a="1"/>
  <c r="D19" i="3" a="1"/>
  <c r="D20" i="3" a="1"/>
  <c r="D21" i="3" a="1"/>
  <c r="D22" i="3" a="1"/>
  <c r="D2" i="3" a="1"/>
  <c r="C3" i="3" a="1"/>
  <c r="C4" i="3" a="1"/>
  <c r="C5" i="3" a="1"/>
  <c r="C6" i="3" a="1"/>
  <c r="C7" i="3" a="1"/>
  <c r="C8" i="3" a="1"/>
  <c r="C9" i="3" a="1"/>
  <c r="C10" i="3" a="1"/>
  <c r="C11" i="3" a="1"/>
  <c r="C12" i="3" a="1"/>
  <c r="C13" i="3" a="1"/>
  <c r="C14" i="3" a="1"/>
  <c r="C15" i="3" a="1"/>
  <c r="C16" i="3" a="1"/>
  <c r="C17" i="3" a="1"/>
  <c r="C18" i="3" a="1"/>
  <c r="C19" i="3" a="1"/>
  <c r="C20" i="3" a="1"/>
  <c r="C21" i="3" a="1"/>
  <c r="C22" i="3" a="1"/>
  <c r="C2" i="3" a="1"/>
  <c r="A56" i="1" a="1"/>
  <c r="C56" i="1" a="1"/>
  <c r="D56" i="1" a="1"/>
  <c r="E56" i="1"/>
  <c r="L56" i="1" a="1"/>
  <c r="A55" i="1" a="1"/>
  <c r="C55" i="1" a="1"/>
  <c r="D55" i="1" a="1"/>
  <c r="E55" i="1"/>
  <c r="L55" i="1" a="1"/>
  <c r="A54" i="1" a="1"/>
  <c r="C54" i="1" a="1"/>
  <c r="D54" i="1" a="1"/>
  <c r="E54" i="1"/>
  <c r="L54" i="1" a="1"/>
  <c r="A53" i="1" a="1"/>
  <c r="C53" i="1" a="1"/>
  <c r="D53" i="1" a="1"/>
  <c r="E53" i="1"/>
  <c r="L53" i="1" a="1"/>
  <c r="A52" i="1" a="1"/>
  <c r="C52" i="1" a="1"/>
  <c r="D52" i="1" a="1"/>
  <c r="E52" i="1"/>
  <c r="L52" i="1" a="1"/>
  <c r="A51" i="1" a="1"/>
  <c r="C51" i="1" a="1"/>
  <c r="D51" i="1" a="1"/>
  <c r="E51" i="1"/>
  <c r="L51" i="1" a="1"/>
  <c r="A50" i="1" a="1"/>
  <c r="C50" i="1" a="1"/>
  <c r="D50" i="1" a="1"/>
  <c r="E50" i="1"/>
  <c r="L50" i="1" a="1"/>
  <c r="C49" i="1" a="1"/>
  <c r="A49" i="1" a="1"/>
  <c r="D49" i="1" a="1"/>
  <c r="E49" i="1"/>
  <c r="L49" i="1" a="1"/>
  <c r="A3" i="1" a="1"/>
  <c r="A4" i="1" a="1"/>
  <c r="A5" i="1" a="1"/>
  <c r="A6" i="1" a="1"/>
  <c r="A7" i="1" a="1"/>
  <c r="A8" i="1" a="1"/>
  <c r="A9" i="1" a="1"/>
  <c r="A10" i="1" a="1"/>
  <c r="A11" i="1" a="1"/>
  <c r="A12" i="1" a="1"/>
  <c r="A13" i="1" a="1"/>
  <c r="A14" i="1" a="1"/>
  <c r="A15" i="1" a="1"/>
  <c r="A16" i="1" a="1"/>
  <c r="A17" i="1" a="1"/>
  <c r="A18" i="1" a="1"/>
  <c r="A19" i="1" a="1"/>
  <c r="A20" i="1" a="1"/>
  <c r="A21" i="1" a="1"/>
  <c r="A22" i="1" a="1"/>
  <c r="A23" i="1" a="1"/>
  <c r="A24" i="1" a="1"/>
  <c r="A25" i="1" a="1"/>
  <c r="A26" i="1" a="1"/>
  <c r="A27" i="1" a="1"/>
  <c r="A28" i="1" a="1"/>
  <c r="A29" i="1" a="1"/>
  <c r="A30" i="1" a="1"/>
  <c r="A31" i="1" a="1"/>
  <c r="A32" i="1" a="1"/>
  <c r="A33" i="1" a="1"/>
  <c r="A34" i="1" a="1"/>
  <c r="A35" i="1" a="1"/>
  <c r="A36" i="1" a="1"/>
  <c r="A37" i="1" a="1"/>
  <c r="A38" i="1" a="1"/>
  <c r="A39" i="1" a="1"/>
  <c r="A40" i="1" a="1"/>
  <c r="A41" i="1" a="1"/>
  <c r="A42" i="1" a="1"/>
  <c r="A43" i="1" a="1"/>
  <c r="A44" i="1" a="1"/>
  <c r="A45" i="1" a="1"/>
  <c r="A46" i="1" a="1"/>
  <c r="A47" i="1" a="1"/>
  <c r="A48" i="1" a="1"/>
  <c r="A2" i="1" a="1"/>
  <c r="C2" i="1" a="1"/>
  <c r="C3" i="1" a="1"/>
  <c r="C4" i="1" a="1"/>
  <c r="C5" i="1" a="1"/>
  <c r="C6" i="1" a="1"/>
  <c r="C7" i="1" a="1"/>
  <c r="C8" i="1" a="1"/>
  <c r="C9" i="1" a="1"/>
  <c r="C10" i="1" a="1"/>
  <c r="C11" i="1" a="1"/>
  <c r="C12" i="1" a="1"/>
  <c r="C13" i="1" a="1"/>
  <c r="C14" i="1" a="1"/>
  <c r="C15" i="1" a="1"/>
  <c r="C16" i="1" a="1"/>
  <c r="C17" i="1" a="1"/>
  <c r="C18" i="1" a="1"/>
  <c r="C19" i="1" a="1"/>
  <c r="C20" i="1" a="1"/>
  <c r="C21" i="1" a="1"/>
  <c r="C22" i="1" a="1"/>
  <c r="C23" i="1" a="1"/>
  <c r="C24" i="1" a="1"/>
  <c r="C25" i="1" a="1"/>
  <c r="C26" i="1" a="1"/>
  <c r="C27" i="1" a="1"/>
  <c r="C28" i="1" a="1"/>
  <c r="C29" i="1" a="1"/>
  <c r="C30" i="1" a="1"/>
  <c r="C31" i="1" a="1"/>
  <c r="C32" i="1" a="1"/>
  <c r="C33" i="1" a="1"/>
  <c r="C34" i="1" a="1"/>
  <c r="C35" i="1" a="1"/>
  <c r="C36" i="1" a="1"/>
  <c r="C37" i="1" a="1"/>
  <c r="C38" i="1" a="1"/>
  <c r="C39" i="1" a="1"/>
  <c r="C40" i="1" a="1"/>
  <c r="C41" i="1" a="1"/>
  <c r="C42" i="1" a="1"/>
  <c r="C43" i="1" a="1"/>
  <c r="C44" i="1" a="1"/>
  <c r="C45" i="1" a="1"/>
  <c r="C46" i="1" a="1"/>
  <c r="C47" i="1" a="1"/>
  <c r="C48" i="1" a="1"/>
  <c r="D3" i="1" a="1"/>
  <c r="D4" i="1" a="1"/>
  <c r="D5" i="1" a="1"/>
  <c r="D6" i="1" a="1"/>
  <c r="D7" i="1" a="1"/>
  <c r="D8" i="1" a="1"/>
  <c r="D9" i="1" a="1"/>
  <c r="D10" i="1" a="1"/>
  <c r="D11" i="1" a="1"/>
  <c r="D12" i="1" a="1"/>
  <c r="D13" i="1" a="1"/>
  <c r="D14" i="1" a="1"/>
  <c r="D15" i="1" a="1"/>
  <c r="D16" i="1" a="1"/>
  <c r="D17" i="1" a="1"/>
  <c r="D18" i="1" a="1"/>
  <c r="D19" i="1" a="1"/>
  <c r="D20" i="1" a="1"/>
  <c r="D21" i="1" a="1"/>
  <c r="D22" i="1" a="1"/>
  <c r="D23" i="1" a="1"/>
  <c r="D24" i="1" a="1"/>
  <c r="D25" i="1" a="1"/>
  <c r="D26" i="1" a="1"/>
  <c r="D27" i="1" a="1"/>
  <c r="D28" i="1" a="1"/>
  <c r="D29" i="1" a="1"/>
  <c r="D30" i="1" a="1"/>
  <c r="D31" i="1" a="1"/>
  <c r="D32" i="1" a="1"/>
  <c r="D33" i="1" a="1"/>
  <c r="D34" i="1" a="1"/>
  <c r="D35" i="1" a="1"/>
  <c r="D36" i="1" a="1"/>
  <c r="D37" i="1" a="1"/>
  <c r="D38" i="1" a="1"/>
  <c r="D39" i="1" a="1"/>
  <c r="D40" i="1" a="1"/>
  <c r="D41" i="1" a="1"/>
  <c r="D42" i="1" a="1"/>
  <c r="D43" i="1" a="1"/>
  <c r="D44" i="1" a="1"/>
  <c r="D45" i="1" a="1"/>
  <c r="D46" i="1" a="1"/>
  <c r="D47" i="1" a="1"/>
  <c r="D48" i="1" a="1"/>
  <c r="D2" i="1" a="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L2" i="1" a="1"/>
  <c r="L3" i="1" a="1"/>
  <c r="L4" i="1" a="1"/>
  <c r="L5" i="1" a="1"/>
  <c r="L6" i="1" a="1"/>
  <c r="L7" i="1" a="1"/>
  <c r="L8" i="1" a="1"/>
  <c r="L9" i="1" a="1"/>
  <c r="L10" i="1" a="1"/>
  <c r="L11" i="1" a="1"/>
  <c r="L12" i="1" a="1"/>
  <c r="L13" i="1" a="1"/>
  <c r="L14" i="1" a="1"/>
  <c r="L15" i="1" a="1"/>
  <c r="L16" i="1" a="1"/>
  <c r="L17" i="1" a="1"/>
  <c r="L18" i="1" a="1"/>
  <c r="L19" i="1" a="1"/>
  <c r="L20" i="1" a="1"/>
  <c r="L21" i="1" a="1"/>
  <c r="L22" i="1" a="1"/>
  <c r="L23" i="1" a="1"/>
  <c r="L24" i="1" a="1"/>
  <c r="L25" i="1" a="1"/>
  <c r="L26" i="1" a="1"/>
  <c r="L27" i="1" a="1"/>
  <c r="L28" i="1" a="1"/>
  <c r="L29" i="1" a="1"/>
  <c r="L30" i="1" a="1"/>
  <c r="L31" i="1" a="1"/>
  <c r="L32" i="1" a="1"/>
  <c r="L33" i="1" a="1"/>
  <c r="L34" i="1" a="1"/>
  <c r="L35" i="1" a="1"/>
  <c r="L36" i="1" a="1"/>
  <c r="L37" i="1" a="1"/>
  <c r="L38" i="1" a="1"/>
  <c r="L39" i="1" a="1"/>
  <c r="L40" i="1" a="1"/>
  <c r="L41" i="1" a="1"/>
  <c r="L42" i="1" a="1"/>
  <c r="L43" i="1" a="1"/>
  <c r="L44" i="1" a="1"/>
  <c r="L45" i="1" a="1"/>
  <c r="L46" i="1" a="1"/>
  <c r="L47" i="1" a="1"/>
  <c r="L48" i="1" a="1"/>
  <c r="G120" i="3"/>
  <c r="A71" i="4" s="1"/>
  <c r="A70" i="4" s="1"/>
  <c r="A69" i="4" s="1"/>
  <c r="A68" i="4" s="1"/>
  <c r="A67" i="4" s="1"/>
  <c r="A66" i="4" s="1"/>
  <c r="A65" i="4" s="1"/>
  <c r="A64" i="4" s="1"/>
  <c r="A63" i="4" s="1"/>
  <c r="A62" i="4" s="1"/>
  <c r="A61" i="4" s="1"/>
  <c r="A60" i="4" s="1"/>
  <c r="A59" i="4" s="1"/>
  <c r="A58" i="4" s="1"/>
  <c r="A57" i="4" s="1"/>
  <c r="A56" i="4" s="1"/>
  <c r="A55" i="4" s="1"/>
  <c r="A54" i="4" s="1"/>
  <c r="A53" i="4" s="1"/>
  <c r="A52" i="4" s="1"/>
  <c r="A51" i="4" s="1"/>
  <c r="A50" i="4" s="1"/>
  <c r="A49" i="4" s="1"/>
  <c r="A48" i="4" s="1"/>
  <c r="A47" i="4" s="1"/>
  <c r="A46" i="4" s="1"/>
  <c r="A45" i="4" s="1"/>
  <c r="A44" i="4" s="1"/>
  <c r="A43" i="4" s="1"/>
  <c r="A42" i="4" s="1"/>
  <c r="A41" i="4" s="1"/>
  <c r="A40" i="4" s="1"/>
  <c r="A38" i="4" s="1"/>
  <c r="A37" i="4" s="1"/>
  <c r="A35" i="4" s="1"/>
  <c r="A34" i="4" s="1"/>
  <c r="A33" i="4" s="1"/>
  <c r="A32" i="4" s="1"/>
  <c r="A29" i="4" s="1"/>
  <c r="A26" i="4" s="1"/>
  <c r="A23" i="4" s="1"/>
  <c r="A21" i="4" s="1"/>
  <c r="A14" i="4" s="1"/>
  <c r="A13" i="4" s="1"/>
  <c r="A12" i="4" s="1"/>
  <c r="A11" i="4" s="1"/>
  <c r="A9" i="4" s="1"/>
  <c r="A8" i="4" s="1"/>
  <c r="A7" i="4" s="1"/>
  <c r="A6" i="4" s="1"/>
  <c r="A5" i="4" s="1"/>
  <c r="A4" i="4" s="1"/>
  <c r="A3" i="4" s="1"/>
  <c r="A2" i="4" s="1"/>
  <c r="K104" i="1" s="1"/>
  <c r="K103" i="1" s="1"/>
  <c r="K102" i="1" s="1"/>
  <c r="K101" i="1" s="1"/>
  <c r="K100" i="1" s="1"/>
  <c r="K99" i="1" s="1"/>
  <c r="K98" i="1" s="1"/>
  <c r="K97" i="1" s="1"/>
  <c r="K96" i="1" s="1"/>
  <c r="K95" i="1" s="1"/>
  <c r="K94" i="1" s="1"/>
  <c r="K93" i="1" s="1"/>
  <c r="K92" i="1" s="1"/>
  <c r="K91" i="1" s="1"/>
  <c r="K90" i="1" s="1"/>
  <c r="K89" i="1" s="1"/>
  <c r="K88" i="1" s="1"/>
  <c r="K87" i="1" s="1"/>
  <c r="K86" i="1" s="1"/>
  <c r="K85" i="1" s="1"/>
  <c r="K84" i="1" s="1"/>
  <c r="K83" i="1" s="1"/>
  <c r="K82" i="1" s="1"/>
  <c r="K81" i="1" s="1"/>
  <c r="K80" i="1" s="1"/>
  <c r="K79" i="1" s="1"/>
  <c r="K78" i="1" s="1"/>
  <c r="K77" i="1" s="1"/>
  <c r="K76" i="1" s="1"/>
  <c r="K75" i="1" s="1"/>
  <c r="K74" i="1" s="1"/>
  <c r="K73" i="1" s="1"/>
  <c r="K72" i="1" s="1"/>
  <c r="K71" i="1" s="1"/>
  <c r="K69" i="1" s="1"/>
  <c r="K65" i="1" s="1"/>
  <c r="K64" i="1" s="1"/>
  <c r="K63" i="1" s="1"/>
  <c r="K62" i="1" s="1"/>
  <c r="K61" i="1" s="1"/>
  <c r="K60" i="1" s="1"/>
  <c r="K59" i="1" s="1"/>
  <c r="K58" i="1" s="1"/>
  <c r="K57" i="1" s="1"/>
  <c r="K56" i="1" s="1"/>
  <c r="K55" i="1" s="1"/>
  <c r="K54" i="1" s="1"/>
  <c r="K53" i="1" s="1"/>
  <c r="K52" i="1" s="1"/>
  <c r="K51" i="1" s="1"/>
  <c r="K50" i="1" s="1"/>
  <c r="K49" i="1" s="1"/>
  <c r="K48" i="1" s="1"/>
  <c r="K47" i="1" s="1"/>
  <c r="K46" i="1" s="1"/>
  <c r="K45" i="1" s="1"/>
  <c r="K44" i="1" s="1"/>
  <c r="K43" i="1" s="1"/>
  <c r="K42" i="1" s="1"/>
  <c r="K41" i="1" s="1"/>
  <c r="K40" i="1" s="1"/>
  <c r="K38" i="1" s="1"/>
  <c r="K37" i="1" s="1"/>
  <c r="K35" i="1" s="1"/>
  <c r="K34" i="1" s="1"/>
  <c r="K33" i="1" s="1"/>
  <c r="K32" i="1" s="1"/>
  <c r="K29" i="1" s="1"/>
  <c r="K26" i="1" s="1"/>
  <c r="K23" i="1" s="1"/>
  <c r="K21" i="1" s="1"/>
  <c r="K14" i="1" s="1"/>
  <c r="K13" i="1" s="1"/>
  <c r="K12" i="1" s="1"/>
  <c r="K11" i="1" s="1"/>
  <c r="K9" i="1" s="1"/>
  <c r="K8" i="1" s="1"/>
  <c r="K7" i="1" s="1"/>
  <c r="K6" i="1" s="1"/>
  <c r="K5" i="1" s="1"/>
  <c r="K4" i="1" s="1"/>
  <c r="K3" i="1" s="1"/>
  <c r="K2" i="1" s="1"/>
  <c r="I66" i="1"/>
  <c r="G9" i="1"/>
  <c r="I42" i="1"/>
  <c r="L50" i="4"/>
  <c r="L20" i="4"/>
  <c r="J54" i="4"/>
  <c r="I17" i="1"/>
  <c r="I41" i="1"/>
  <c r="I5" i="1"/>
  <c r="H48" i="1"/>
  <c r="I81" i="1"/>
  <c r="I34" i="1"/>
  <c r="L18" i="4"/>
  <c r="J21" i="4"/>
  <c r="J22" i="4"/>
  <c r="I88" i="1"/>
  <c r="I26" i="1"/>
  <c r="I90" i="1"/>
  <c r="G13" i="1"/>
  <c r="H18" i="1"/>
  <c r="I45" i="1"/>
  <c r="G32" i="1"/>
  <c r="G33" i="1"/>
  <c r="I37" i="1"/>
  <c r="H25" i="1"/>
  <c r="I120" i="3"/>
  <c r="G89" i="1"/>
  <c r="J55" i="4"/>
  <c r="I10" i="1"/>
  <c r="J56" i="4"/>
  <c r="H120" i="3"/>
  <c r="L13" i="4"/>
  <c r="J59" i="4"/>
  <c r="H40" i="1"/>
  <c r="I8" i="1"/>
  <c r="G16" i="1"/>
  <c r="J70" i="4" l="1"/>
  <c r="J69" i="4"/>
  <c r="G93" i="1"/>
  <c r="G97" i="1"/>
  <c r="L28" i="4"/>
  <c r="J63" i="4"/>
  <c r="G100" i="3"/>
  <c r="L62" i="4"/>
  <c r="J34" i="4"/>
  <c r="H32" i="3"/>
  <c r="G28" i="3"/>
  <c r="G24" i="3"/>
  <c r="J29" i="4"/>
  <c r="I65" i="1"/>
  <c r="H64" i="1"/>
  <c r="I61" i="1"/>
  <c r="I58" i="1"/>
  <c r="G57" i="1"/>
  <c r="I2" i="1"/>
  <c r="I56" i="1"/>
  <c r="J65" i="4"/>
  <c r="H77" i="1"/>
  <c r="I101" i="1"/>
  <c r="G104" i="1"/>
  <c r="I69" i="1"/>
  <c r="J30" i="4"/>
  <c r="I53" i="1"/>
  <c r="G50" i="1"/>
  <c r="I49" i="1"/>
  <c r="G73" i="1"/>
  <c r="K105" i="1"/>
  <c r="K70" i="1" s="1"/>
  <c r="K66" i="1" s="1"/>
  <c r="K68" i="1" s="1"/>
  <c r="K67" i="1" s="1"/>
  <c r="I96" i="3"/>
  <c r="H106" i="3"/>
  <c r="H56" i="1"/>
  <c r="I88" i="3"/>
  <c r="H69" i="3"/>
  <c r="H21" i="1"/>
  <c r="G100" i="1"/>
  <c r="I108" i="3"/>
  <c r="H32" i="1"/>
  <c r="I34" i="3"/>
  <c r="G26" i="3"/>
  <c r="G111" i="3"/>
  <c r="I51" i="1"/>
  <c r="H63" i="3"/>
  <c r="I50" i="1"/>
  <c r="I33" i="3"/>
  <c r="K56" i="4"/>
  <c r="H89" i="3"/>
  <c r="J46" i="4"/>
  <c r="H14" i="3"/>
  <c r="H35" i="1"/>
  <c r="H57" i="3"/>
  <c r="G23" i="1"/>
  <c r="I76" i="1"/>
  <c r="H60" i="3"/>
  <c r="H34" i="1"/>
  <c r="I95" i="1"/>
  <c r="I93" i="1"/>
  <c r="I100" i="3"/>
  <c r="L52" i="4"/>
  <c r="G43" i="3"/>
  <c r="G67" i="3"/>
  <c r="I8" i="3"/>
  <c r="L44" i="4"/>
  <c r="H26" i="3"/>
  <c r="I72" i="1"/>
  <c r="L69" i="4"/>
  <c r="H75" i="1"/>
  <c r="K29" i="4"/>
  <c r="I39" i="3"/>
  <c r="G94" i="3"/>
  <c r="L19" i="4"/>
  <c r="H75" i="3"/>
  <c r="G61" i="1"/>
  <c r="I114" i="3"/>
  <c r="K5" i="4"/>
  <c r="I104" i="1"/>
  <c r="L33" i="4"/>
  <c r="H42" i="3"/>
  <c r="J37" i="4"/>
  <c r="I70" i="1"/>
  <c r="K64" i="4"/>
  <c r="H85" i="3"/>
  <c r="K4" i="4"/>
  <c r="I3" i="3"/>
  <c r="K28" i="4"/>
  <c r="H68" i="1"/>
  <c r="I43" i="3"/>
  <c r="H14" i="1"/>
  <c r="I79" i="1"/>
  <c r="K40" i="4"/>
  <c r="G81" i="3"/>
  <c r="G7" i="3"/>
  <c r="G82" i="1"/>
  <c r="G58" i="1"/>
  <c r="H12" i="3"/>
  <c r="I111" i="3"/>
  <c r="G98" i="3"/>
  <c r="J18" i="4"/>
  <c r="G22" i="1"/>
  <c r="I28" i="3"/>
  <c r="K24" i="4"/>
  <c r="I40" i="3"/>
  <c r="G114" i="3"/>
  <c r="J16" i="4"/>
  <c r="G33" i="3"/>
  <c r="G8" i="3"/>
  <c r="I104" i="3"/>
  <c r="G59" i="1"/>
  <c r="K20" i="4"/>
  <c r="G95" i="3"/>
  <c r="H45" i="1"/>
  <c r="G35" i="1"/>
  <c r="I72" i="3"/>
  <c r="I28" i="1"/>
  <c r="I20" i="3"/>
  <c r="H103" i="3"/>
  <c r="I53" i="3"/>
  <c r="H40" i="3"/>
  <c r="J71" i="4"/>
  <c r="H5" i="1"/>
  <c r="H107" i="3"/>
  <c r="H6" i="1"/>
  <c r="H114" i="3"/>
  <c r="G19" i="1"/>
  <c r="G46" i="1"/>
  <c r="J67" i="4"/>
  <c r="H79" i="1"/>
  <c r="H44" i="1"/>
  <c r="H81" i="1"/>
  <c r="K36" i="4"/>
  <c r="J47" i="4"/>
  <c r="G66" i="3"/>
  <c r="J13" i="4"/>
  <c r="I23" i="1"/>
  <c r="L14" i="4"/>
  <c r="G98" i="1"/>
  <c r="I84" i="3"/>
  <c r="G25" i="3"/>
  <c r="H47" i="3"/>
  <c r="G70" i="3"/>
  <c r="I32" i="3"/>
  <c r="I21" i="1"/>
  <c r="L42" i="4"/>
  <c r="I42" i="3"/>
  <c r="L2" i="4"/>
  <c r="J48" i="4"/>
  <c r="H90" i="1"/>
  <c r="I86" i="1"/>
  <c r="K51" i="4"/>
  <c r="L56" i="4"/>
  <c r="L59" i="4"/>
  <c r="H43" i="3"/>
  <c r="K47" i="4"/>
  <c r="I46" i="3"/>
  <c r="I109" i="3"/>
  <c r="K7" i="4"/>
  <c r="H111" i="3"/>
  <c r="H13" i="3"/>
  <c r="H117" i="3"/>
  <c r="J24" i="4"/>
  <c r="J64" i="4"/>
  <c r="I57" i="1"/>
  <c r="H11" i="3"/>
  <c r="I19" i="3"/>
  <c r="H79" i="3"/>
  <c r="G31" i="3"/>
  <c r="J57" i="4"/>
  <c r="G11" i="3"/>
  <c r="I26" i="3"/>
  <c r="L63" i="4"/>
  <c r="G82" i="3"/>
  <c r="G84" i="1"/>
  <c r="G10" i="1"/>
  <c r="H81" i="3"/>
  <c r="G53" i="3"/>
  <c r="K15" i="4"/>
  <c r="H100" i="1"/>
  <c r="H115" i="3"/>
  <c r="H65" i="3"/>
  <c r="G91" i="3"/>
  <c r="H61" i="1"/>
  <c r="K55" i="4"/>
  <c r="G5" i="3"/>
  <c r="H110" i="3"/>
  <c r="G102" i="3"/>
  <c r="L7" i="4"/>
  <c r="J43" i="4"/>
  <c r="H67" i="3"/>
  <c r="G46" i="3"/>
  <c r="H27" i="1"/>
  <c r="H30" i="3"/>
  <c r="G4" i="3"/>
  <c r="K33" i="4"/>
  <c r="H67" i="1"/>
  <c r="I71" i="3"/>
  <c r="J52" i="4"/>
  <c r="H23" i="3"/>
  <c r="H10" i="1"/>
  <c r="H33" i="3"/>
  <c r="H87" i="3"/>
  <c r="I73" i="3"/>
  <c r="G11" i="1"/>
  <c r="J38" i="4"/>
  <c r="J53" i="4"/>
  <c r="H39" i="1"/>
  <c r="I44" i="3"/>
  <c r="G31" i="1"/>
  <c r="H15" i="3"/>
  <c r="H54" i="3"/>
  <c r="L54" i="4"/>
  <c r="I40" i="1"/>
  <c r="G8" i="1"/>
  <c r="L65" i="4"/>
  <c r="H80" i="1"/>
  <c r="I55" i="1"/>
  <c r="I70" i="3"/>
  <c r="I33" i="1"/>
  <c r="G77" i="1"/>
  <c r="H48" i="3"/>
  <c r="I105" i="3"/>
  <c r="H55" i="1"/>
  <c r="H98" i="1"/>
  <c r="G21" i="1"/>
  <c r="L26" i="4"/>
  <c r="H11" i="1"/>
  <c r="G13" i="3"/>
  <c r="H2" i="3"/>
  <c r="L15" i="4"/>
  <c r="H16" i="3"/>
  <c r="I79" i="3"/>
  <c r="L10" i="4"/>
  <c r="I62" i="3"/>
  <c r="G27" i="3"/>
  <c r="I85" i="1"/>
  <c r="I76" i="3"/>
  <c r="G2" i="1"/>
  <c r="G93" i="3"/>
  <c r="G115" i="3"/>
  <c r="H71" i="1"/>
  <c r="L57" i="4"/>
  <c r="H36" i="3"/>
  <c r="G2" i="3"/>
  <c r="L22" i="4"/>
  <c r="I10" i="3"/>
  <c r="H74" i="3"/>
  <c r="H23" i="1"/>
  <c r="H97" i="3"/>
  <c r="J12" i="4"/>
  <c r="L60" i="4"/>
  <c r="I45" i="3"/>
  <c r="H76" i="3"/>
  <c r="L71" i="4"/>
  <c r="G65" i="1"/>
  <c r="I78" i="3"/>
  <c r="G88" i="3"/>
  <c r="I64" i="3"/>
  <c r="H52" i="1"/>
  <c r="I16" i="1"/>
  <c r="K66" i="4"/>
  <c r="H26" i="1"/>
  <c r="J66" i="4"/>
  <c r="H58" i="3"/>
  <c r="H103" i="1"/>
  <c r="G45" i="3"/>
  <c r="I103" i="1"/>
  <c r="I2" i="3"/>
  <c r="G6" i="1"/>
  <c r="G38" i="3"/>
  <c r="J62" i="4"/>
  <c r="G68" i="1"/>
  <c r="K48" i="4"/>
  <c r="I78" i="1"/>
  <c r="H50" i="3"/>
  <c r="G17" i="1"/>
  <c r="G44" i="1"/>
  <c r="I35" i="1"/>
  <c r="I67" i="1"/>
  <c r="G62" i="3"/>
  <c r="G41" i="1"/>
  <c r="L16" i="4"/>
  <c r="I97" i="3"/>
  <c r="H6" i="3"/>
  <c r="G72" i="3"/>
  <c r="I24" i="3"/>
  <c r="H25" i="3"/>
  <c r="G72" i="1"/>
  <c r="I94" i="3"/>
  <c r="H64" i="3"/>
  <c r="G65" i="3"/>
  <c r="G45" i="1"/>
  <c r="K6" i="4"/>
  <c r="K37" i="4"/>
  <c r="I77" i="1"/>
  <c r="H46" i="1"/>
  <c r="I29" i="1"/>
  <c r="I63" i="3"/>
  <c r="L3" i="4"/>
  <c r="I14" i="1"/>
  <c r="G68" i="3"/>
  <c r="K10" i="4"/>
  <c r="I31" i="1"/>
  <c r="L39" i="4"/>
  <c r="H72" i="3"/>
  <c r="K50" i="4"/>
  <c r="H27" i="3"/>
  <c r="H88" i="1"/>
  <c r="H24" i="3"/>
  <c r="G32" i="3"/>
  <c r="I95" i="3"/>
  <c r="I32" i="1"/>
  <c r="G78" i="3"/>
  <c r="L35" i="4"/>
  <c r="I54" i="3"/>
  <c r="G51" i="1"/>
  <c r="H30" i="1"/>
  <c r="H31" i="3"/>
  <c r="G74" i="3"/>
  <c r="G5" i="1"/>
  <c r="I48" i="1"/>
  <c r="G69" i="3"/>
  <c r="L29" i="4"/>
  <c r="I37" i="3"/>
  <c r="I65" i="3"/>
  <c r="I112" i="3"/>
  <c r="G34" i="1"/>
  <c r="G79" i="1"/>
  <c r="K43" i="4"/>
  <c r="G51" i="3"/>
  <c r="L21" i="4"/>
  <c r="G88" i="1"/>
  <c r="H49" i="3"/>
  <c r="I13" i="1"/>
  <c r="H50" i="1"/>
  <c r="I91" i="1"/>
  <c r="L11" i="4"/>
  <c r="H83" i="1"/>
  <c r="L9" i="4"/>
  <c r="H58" i="1"/>
  <c r="H22" i="3"/>
  <c r="H9" i="1"/>
  <c r="G54" i="3"/>
  <c r="G78" i="1"/>
  <c r="H65" i="1"/>
  <c r="I94" i="1"/>
  <c r="J26" i="4"/>
  <c r="I21" i="3"/>
  <c r="H22" i="1"/>
  <c r="H66" i="3"/>
  <c r="G104" i="3"/>
  <c r="G36" i="3"/>
  <c r="G10" i="3"/>
  <c r="G21" i="3"/>
  <c r="I74" i="1"/>
  <c r="H37" i="1"/>
  <c r="G3" i="3"/>
  <c r="I64" i="1"/>
  <c r="L66" i="4"/>
  <c r="G80" i="1"/>
  <c r="I46" i="1"/>
  <c r="G89" i="3"/>
  <c r="K59" i="4"/>
  <c r="G55" i="1"/>
  <c r="L17" i="4"/>
  <c r="I44" i="1"/>
  <c r="G19" i="3"/>
  <c r="H105" i="3"/>
  <c r="K13" i="4"/>
  <c r="I85" i="3"/>
  <c r="H52" i="3"/>
  <c r="J31" i="4"/>
  <c r="H77" i="3"/>
  <c r="I74" i="3"/>
  <c r="G49" i="3"/>
  <c r="G7" i="1"/>
  <c r="G22" i="3"/>
  <c r="K30" i="4"/>
  <c r="I62" i="1"/>
  <c r="G87" i="3"/>
  <c r="H49" i="1"/>
  <c r="J60" i="4"/>
  <c r="G107" i="3"/>
  <c r="G56" i="1"/>
  <c r="G79" i="3"/>
  <c r="H60" i="1"/>
  <c r="L4" i="4"/>
  <c r="K61" i="4"/>
  <c r="H70" i="3"/>
  <c r="J11" i="4"/>
  <c r="K26" i="4"/>
  <c r="K69" i="4"/>
  <c r="H39" i="3"/>
  <c r="H19" i="1"/>
  <c r="J58" i="4"/>
  <c r="L31" i="4"/>
  <c r="I4" i="1"/>
  <c r="G20" i="1"/>
  <c r="L24" i="4"/>
  <c r="G67" i="1"/>
  <c r="I15" i="1"/>
  <c r="I59" i="1"/>
  <c r="I59" i="3"/>
  <c r="I117" i="3"/>
  <c r="I7" i="1"/>
  <c r="K19" i="4"/>
  <c r="K42" i="4"/>
  <c r="L51" i="4"/>
  <c r="G57" i="3"/>
  <c r="J28" i="4"/>
  <c r="H104" i="3"/>
  <c r="G36" i="1"/>
  <c r="H105" i="1"/>
  <c r="H83" i="3"/>
  <c r="G58" i="3"/>
  <c r="I9" i="3"/>
  <c r="H109" i="3"/>
  <c r="H78" i="1"/>
  <c r="G61" i="3"/>
  <c r="G28" i="1"/>
  <c r="J25" i="4"/>
  <c r="I6" i="1"/>
  <c r="H38" i="3"/>
  <c r="K21" i="4"/>
  <c r="L25" i="4"/>
  <c r="G101" i="3"/>
  <c r="H15" i="1"/>
  <c r="G90" i="1"/>
  <c r="I27" i="3"/>
  <c r="I119" i="3"/>
  <c r="G63" i="1"/>
  <c r="K63" i="4"/>
  <c r="H113" i="3"/>
  <c r="G109" i="3"/>
  <c r="I81" i="3"/>
  <c r="H59" i="3"/>
  <c r="L49" i="4"/>
  <c r="G103" i="3"/>
  <c r="G96" i="3"/>
  <c r="K23" i="4"/>
  <c r="I71" i="1"/>
  <c r="G66" i="1"/>
  <c r="I98" i="3"/>
  <c r="I13" i="3"/>
  <c r="H36" i="1"/>
  <c r="I84" i="1"/>
  <c r="J39" i="4"/>
  <c r="K12" i="4"/>
  <c r="G76" i="3"/>
  <c r="I30" i="3"/>
  <c r="H98" i="3"/>
  <c r="I27" i="1"/>
  <c r="H92" i="1"/>
  <c r="H96" i="1"/>
  <c r="G52" i="3"/>
  <c r="G84" i="3"/>
  <c r="H3" i="1"/>
  <c r="H41" i="1"/>
  <c r="L46" i="4"/>
  <c r="H43" i="1"/>
  <c r="H41" i="3"/>
  <c r="G17" i="3"/>
  <c r="J45" i="4"/>
  <c r="G60" i="1"/>
  <c r="G77" i="3"/>
  <c r="H7" i="1"/>
  <c r="I113" i="3"/>
  <c r="H73" i="3"/>
  <c r="H44" i="3"/>
  <c r="J40" i="4"/>
  <c r="J41" i="4"/>
  <c r="G50" i="3"/>
  <c r="G96" i="1"/>
  <c r="L34" i="4"/>
  <c r="G59" i="3"/>
  <c r="H28" i="3"/>
  <c r="K34" i="4"/>
  <c r="H45" i="3"/>
  <c r="H87" i="1"/>
  <c r="H94" i="1"/>
  <c r="H57" i="1"/>
  <c r="H20" i="3"/>
  <c r="G86" i="3"/>
  <c r="I67" i="3"/>
  <c r="H71" i="3"/>
  <c r="I91" i="3"/>
  <c r="K9" i="4"/>
  <c r="I5" i="3"/>
  <c r="I16" i="3"/>
  <c r="J27" i="4"/>
  <c r="L30" i="4"/>
  <c r="H88" i="3"/>
  <c r="G30" i="1"/>
  <c r="H9" i="3"/>
  <c r="I69" i="3"/>
  <c r="I73" i="1"/>
  <c r="L64" i="4"/>
  <c r="H46" i="3"/>
  <c r="H38" i="1"/>
  <c r="G64" i="3"/>
  <c r="H82" i="3"/>
  <c r="H74" i="1"/>
  <c r="G117" i="3"/>
  <c r="I19" i="1"/>
  <c r="I75" i="1"/>
  <c r="G87" i="1"/>
  <c r="H56" i="3"/>
  <c r="G86" i="1"/>
  <c r="I11" i="3"/>
  <c r="G25" i="1"/>
  <c r="I89" i="1"/>
  <c r="I83" i="3"/>
  <c r="I9" i="1"/>
  <c r="G42" i="3"/>
  <c r="H101" i="3"/>
  <c r="I25" i="1"/>
  <c r="G29" i="3"/>
  <c r="K52" i="4"/>
  <c r="L41" i="4"/>
  <c r="G64" i="1"/>
  <c r="I3" i="1"/>
  <c r="K62" i="4"/>
  <c r="J49" i="4"/>
  <c r="J35" i="4"/>
  <c r="H62" i="1"/>
  <c r="I55" i="3"/>
  <c r="H62" i="3"/>
  <c r="G30" i="3"/>
  <c r="K18" i="4"/>
  <c r="G103" i="1"/>
  <c r="L12" i="4"/>
  <c r="G113" i="3"/>
  <c r="G105" i="3"/>
  <c r="I12" i="3"/>
  <c r="I51" i="3"/>
  <c r="G95" i="1"/>
  <c r="J9" i="4"/>
  <c r="G75" i="1"/>
  <c r="G110" i="3"/>
  <c r="I7" i="3"/>
  <c r="G52" i="1"/>
  <c r="K58" i="4"/>
  <c r="K38" i="4"/>
  <c r="G116" i="3"/>
  <c r="H99" i="3"/>
  <c r="G35" i="3"/>
  <c r="I103" i="3"/>
  <c r="I63" i="1"/>
  <c r="G37" i="1"/>
  <c r="G76" i="1"/>
  <c r="G74" i="1"/>
  <c r="H100" i="3"/>
  <c r="G15" i="1"/>
  <c r="I92" i="3"/>
  <c r="G75" i="3"/>
  <c r="K35" i="4"/>
  <c r="I18" i="1"/>
  <c r="J51" i="4"/>
  <c r="I31" i="3"/>
  <c r="L27" i="4"/>
  <c r="H3" i="3"/>
  <c r="H92" i="3"/>
  <c r="G83" i="1"/>
  <c r="L48" i="4"/>
  <c r="L68" i="4"/>
  <c r="G47" i="3"/>
  <c r="G106" i="3"/>
  <c r="G70" i="1"/>
  <c r="H94" i="3"/>
  <c r="G108" i="3"/>
  <c r="I30" i="1"/>
  <c r="J14" i="4"/>
  <c r="K44" i="4"/>
  <c r="K11" i="4"/>
  <c r="J32" i="4"/>
  <c r="H69" i="1"/>
  <c r="G54" i="1"/>
  <c r="I49" i="3"/>
  <c r="I99" i="1"/>
  <c r="H35" i="3"/>
  <c r="G90" i="3"/>
  <c r="I14" i="3"/>
  <c r="I89" i="3"/>
  <c r="G119" i="3"/>
  <c r="I24" i="1"/>
  <c r="H10" i="3"/>
  <c r="J50" i="4"/>
  <c r="I12" i="1"/>
  <c r="I43" i="1"/>
  <c r="I38" i="1"/>
  <c r="G118" i="3"/>
  <c r="J15" i="4"/>
  <c r="I102" i="1"/>
  <c r="G105" i="1"/>
  <c r="K41" i="4"/>
  <c r="I93" i="3"/>
  <c r="H86" i="1"/>
  <c r="H17" i="1"/>
  <c r="K49" i="4"/>
  <c r="H21" i="3"/>
  <c r="J19" i="4"/>
  <c r="G9" i="3"/>
  <c r="I100" i="1"/>
  <c r="G48" i="1"/>
  <c r="H93" i="3"/>
  <c r="G99" i="1"/>
  <c r="H90" i="3"/>
  <c r="G112" i="3"/>
  <c r="L37" i="4"/>
  <c r="I17" i="3"/>
  <c r="I47" i="3"/>
  <c r="G56" i="3"/>
  <c r="G73" i="3"/>
  <c r="I22" i="3"/>
  <c r="H82" i="1"/>
  <c r="J2" i="4"/>
  <c r="I29" i="3"/>
  <c r="H7" i="3"/>
  <c r="H4" i="1"/>
  <c r="H19" i="3"/>
  <c r="L43" i="4"/>
  <c r="L67" i="4"/>
  <c r="I23" i="3"/>
  <c r="L53" i="4"/>
  <c r="H13" i="1"/>
  <c r="I58" i="3"/>
  <c r="H61" i="3"/>
  <c r="G83" i="3"/>
  <c r="G41" i="3"/>
  <c r="K8" i="4"/>
  <c r="H96" i="3"/>
  <c r="G29" i="1"/>
  <c r="I92" i="1"/>
  <c r="J68" i="4"/>
  <c r="I56" i="3"/>
  <c r="G53" i="1"/>
  <c r="G34" i="3"/>
  <c r="I118" i="3"/>
  <c r="G91" i="1"/>
  <c r="I50" i="3"/>
  <c r="H73" i="1"/>
  <c r="H28" i="1"/>
  <c r="I57" i="3"/>
  <c r="I80" i="3"/>
  <c r="H51" i="1"/>
  <c r="G37" i="3"/>
  <c r="L5" i="4"/>
  <c r="H86" i="3"/>
  <c r="H99" i="1"/>
  <c r="G6" i="3"/>
  <c r="I52" i="1"/>
  <c r="H70" i="1"/>
  <c r="K39" i="4"/>
  <c r="H17" i="3"/>
  <c r="I116" i="3"/>
  <c r="I83" i="1"/>
  <c r="H29" i="1"/>
  <c r="J44" i="4"/>
  <c r="I52" i="3"/>
  <c r="G69" i="1"/>
  <c r="I106" i="3"/>
  <c r="H54" i="1"/>
  <c r="I41" i="3"/>
  <c r="H53" i="1"/>
  <c r="K27" i="4"/>
  <c r="I68" i="1"/>
  <c r="H112" i="3"/>
  <c r="K25" i="4"/>
  <c r="L58" i="4"/>
  <c r="H42" i="1"/>
  <c r="H108" i="3"/>
  <c r="G40" i="3"/>
  <c r="H24" i="1"/>
  <c r="J33" i="4"/>
  <c r="K68" i="4"/>
  <c r="I102" i="3"/>
  <c r="H53" i="3"/>
  <c r="H12" i="1"/>
  <c r="I68" i="3"/>
  <c r="H29" i="3"/>
  <c r="K22" i="4"/>
  <c r="H37" i="3"/>
  <c r="G44" i="3"/>
  <c r="H102" i="1"/>
  <c r="I66" i="3"/>
  <c r="H104" i="1"/>
  <c r="I107" i="3"/>
  <c r="I38" i="3"/>
  <c r="G97" i="3"/>
  <c r="J3" i="4"/>
  <c r="I15" i="3"/>
  <c r="I36" i="1"/>
  <c r="K70" i="4"/>
  <c r="H8" i="1"/>
  <c r="H72" i="1"/>
  <c r="I87" i="1"/>
  <c r="H55" i="3"/>
  <c r="H80" i="3"/>
  <c r="G55" i="3"/>
  <c r="I60" i="3"/>
  <c r="I82" i="1"/>
  <c r="H59" i="1"/>
  <c r="G92" i="3"/>
  <c r="G24" i="1"/>
  <c r="K54" i="4"/>
  <c r="G4" i="1"/>
  <c r="H16" i="1"/>
  <c r="H68" i="3"/>
  <c r="I98" i="1"/>
  <c r="H116" i="3"/>
  <c r="J4" i="4"/>
  <c r="G81" i="1"/>
  <c r="I77" i="3"/>
  <c r="G14" i="3"/>
  <c r="H102" i="3"/>
  <c r="G26" i="1"/>
  <c r="I75" i="3"/>
  <c r="L40" i="4"/>
  <c r="I87" i="3"/>
  <c r="I20" i="1"/>
  <c r="I61" i="3"/>
  <c r="I54" i="1"/>
  <c r="L8" i="4"/>
  <c r="I35" i="3"/>
  <c r="I22" i="1"/>
  <c r="L55" i="4"/>
  <c r="H33" i="1"/>
  <c r="I11" i="1"/>
  <c r="G94" i="1"/>
  <c r="I48" i="3"/>
  <c r="L23" i="4"/>
  <c r="G92" i="1"/>
  <c r="J8" i="4"/>
  <c r="I80" i="1"/>
  <c r="G23" i="3"/>
  <c r="J20" i="4"/>
  <c r="H91" i="1"/>
  <c r="I6" i="3"/>
  <c r="K71" i="4"/>
  <c r="I110" i="3"/>
  <c r="G62" i="1"/>
  <c r="K65" i="4"/>
  <c r="G47" i="1"/>
  <c r="I97" i="1"/>
  <c r="K32" i="4"/>
  <c r="K57" i="4"/>
  <c r="G101" i="1"/>
  <c r="H97" i="1"/>
  <c r="G42" i="1"/>
  <c r="G102" i="1"/>
  <c r="G12" i="1"/>
  <c r="H91" i="3"/>
  <c r="I115" i="3"/>
  <c r="H119" i="3"/>
  <c r="G85" i="3"/>
  <c r="G43" i="1"/>
  <c r="H66" i="1"/>
  <c r="K31" i="4"/>
  <c r="G85" i="1"/>
  <c r="K53" i="4"/>
  <c r="G39" i="3"/>
  <c r="J36" i="4"/>
  <c r="L70" i="4"/>
  <c r="K45" i="4"/>
  <c r="H76" i="1"/>
  <c r="G71" i="1"/>
  <c r="G15" i="3"/>
  <c r="G14" i="1"/>
  <c r="H95" i="1"/>
  <c r="G40" i="1"/>
  <c r="H51" i="3"/>
  <c r="H2" i="1"/>
  <c r="I96" i="1"/>
  <c r="J61" i="4"/>
  <c r="H20" i="1"/>
  <c r="G18" i="3"/>
  <c r="K16" i="4"/>
  <c r="G99" i="3"/>
  <c r="G49" i="1"/>
  <c r="H101" i="1"/>
  <c r="H89" i="1"/>
  <c r="I39" i="1"/>
  <c r="I25" i="3"/>
  <c r="I60" i="1"/>
  <c r="I47" i="1"/>
  <c r="K46" i="4"/>
  <c r="G27" i="1"/>
  <c r="G80" i="3"/>
  <c r="I99" i="3"/>
  <c r="H63" i="1"/>
  <c r="K67" i="4"/>
  <c r="H34" i="3"/>
  <c r="L32" i="4"/>
  <c r="G60" i="3"/>
  <c r="H84" i="3"/>
  <c r="I90" i="3"/>
  <c r="G63" i="3"/>
  <c r="I82" i="3"/>
  <c r="H5" i="3"/>
  <c r="H93" i="1"/>
  <c r="H18" i="3"/>
  <c r="I86" i="3"/>
  <c r="K14" i="4"/>
  <c r="H85" i="1"/>
  <c r="J17" i="4"/>
  <c r="G38" i="1"/>
  <c r="G3" i="1"/>
  <c r="H118" i="3"/>
  <c r="H78" i="3"/>
  <c r="G18" i="1"/>
  <c r="H84" i="1"/>
  <c r="L6" i="4"/>
  <c r="K17" i="4"/>
  <c r="H4" i="3"/>
  <c r="H95" i="3"/>
  <c r="I18" i="3"/>
  <c r="H31" i="1"/>
  <c r="L61" i="4"/>
  <c r="H47" i="1"/>
  <c r="G71" i="3"/>
  <c r="K3" i="4"/>
  <c r="G39"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21">
    <bk>
      <extLst>
        <ext uri="{3e2802c4-a4d2-4d8b-9148-e3be6c30e623}">
          <xlrd:rvb i="2"/>
        </ext>
      </extLst>
    </bk>
    <bk>
      <extLst>
        <ext uri="{3e2802c4-a4d2-4d8b-9148-e3be6c30e623}">
          <xlrd:rvb i="3"/>
        </ext>
      </extLst>
    </bk>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9"/>
        </ext>
      </extLst>
    </bk>
    <bk>
      <extLst>
        <ext uri="{3e2802c4-a4d2-4d8b-9148-e3be6c30e623}">
          <xlrd:rvb i="22"/>
        </ext>
      </extLst>
    </bk>
    <bk>
      <extLst>
        <ext uri="{3e2802c4-a4d2-4d8b-9148-e3be6c30e623}">
          <xlrd:rvb i="25"/>
        </ext>
      </extLst>
    </bk>
    <bk>
      <extLst>
        <ext uri="{3e2802c4-a4d2-4d8b-9148-e3be6c30e623}">
          <xlrd:rvb i="28"/>
        </ext>
      </extLst>
    </bk>
    <bk>
      <extLst>
        <ext uri="{3e2802c4-a4d2-4d8b-9148-e3be6c30e623}">
          <xlrd:rvb i="31"/>
        </ext>
      </extLst>
    </bk>
    <bk>
      <extLst>
        <ext uri="{3e2802c4-a4d2-4d8b-9148-e3be6c30e623}">
          <xlrd:rvb i="34"/>
        </ext>
      </extLst>
    </bk>
    <bk>
      <extLst>
        <ext uri="{3e2802c4-a4d2-4d8b-9148-e3be6c30e623}">
          <xlrd:rvb i="37"/>
        </ext>
      </extLst>
    </bk>
    <bk>
      <extLst>
        <ext uri="{3e2802c4-a4d2-4d8b-9148-e3be6c30e623}">
          <xlrd:rvb i="40"/>
        </ext>
      </extLst>
    </bk>
    <bk>
      <extLst>
        <ext uri="{3e2802c4-a4d2-4d8b-9148-e3be6c30e623}">
          <xlrd:rvb i="43"/>
        </ext>
      </extLst>
    </bk>
    <bk>
      <extLst>
        <ext uri="{3e2802c4-a4d2-4d8b-9148-e3be6c30e623}">
          <xlrd:rvb i="46"/>
        </ext>
      </extLst>
    </bk>
    <bk>
      <extLst>
        <ext uri="{3e2802c4-a4d2-4d8b-9148-e3be6c30e623}">
          <xlrd:rvb i="49"/>
        </ext>
      </extLst>
    </bk>
    <bk>
      <extLst>
        <ext uri="{3e2802c4-a4d2-4d8b-9148-e3be6c30e623}">
          <xlrd:rvb i="52"/>
        </ext>
      </extLst>
    </bk>
    <bk>
      <extLst>
        <ext uri="{3e2802c4-a4d2-4d8b-9148-e3be6c30e623}">
          <xlrd:rvb i="55"/>
        </ext>
      </extLst>
    </bk>
    <bk>
      <extLst>
        <ext uri="{3e2802c4-a4d2-4d8b-9148-e3be6c30e623}">
          <xlrd:rvb i="58"/>
        </ext>
      </extLst>
    </bk>
    <bk>
      <extLst>
        <ext uri="{3e2802c4-a4d2-4d8b-9148-e3be6c30e623}">
          <xlrd:rvb i="61"/>
        </ext>
      </extLst>
    </bk>
    <bk>
      <extLst>
        <ext uri="{3e2802c4-a4d2-4d8b-9148-e3be6c30e623}">
          <xlrd:rvb i="64"/>
        </ext>
      </extLst>
    </bk>
    <bk>
      <extLst>
        <ext uri="{3e2802c4-a4d2-4d8b-9148-e3be6c30e623}">
          <xlrd:rvb i="67"/>
        </ext>
      </extLst>
    </bk>
    <bk>
      <extLst>
        <ext uri="{3e2802c4-a4d2-4d8b-9148-e3be6c30e623}">
          <xlrd:rvb i="70"/>
        </ext>
      </extLst>
    </bk>
    <bk>
      <extLst>
        <ext uri="{3e2802c4-a4d2-4d8b-9148-e3be6c30e623}">
          <xlrd:rvb i="72"/>
        </ext>
      </extLst>
    </bk>
    <bk>
      <extLst>
        <ext uri="{3e2802c4-a4d2-4d8b-9148-e3be6c30e623}">
          <xlrd:rvb i="73"/>
        </ext>
      </extLst>
    </bk>
    <bk>
      <extLst>
        <ext uri="{3e2802c4-a4d2-4d8b-9148-e3be6c30e623}">
          <xlrd:rvb i="76"/>
        </ext>
      </extLst>
    </bk>
    <bk>
      <extLst>
        <ext uri="{3e2802c4-a4d2-4d8b-9148-e3be6c30e623}">
          <xlrd:rvb i="79"/>
        </ext>
      </extLst>
    </bk>
    <bk>
      <extLst>
        <ext uri="{3e2802c4-a4d2-4d8b-9148-e3be6c30e623}">
          <xlrd:rvb i="82"/>
        </ext>
      </extLst>
    </bk>
    <bk>
      <extLst>
        <ext uri="{3e2802c4-a4d2-4d8b-9148-e3be6c30e623}">
          <xlrd:rvb i="85"/>
        </ext>
      </extLst>
    </bk>
    <bk>
      <extLst>
        <ext uri="{3e2802c4-a4d2-4d8b-9148-e3be6c30e623}">
          <xlrd:rvb i="88"/>
        </ext>
      </extLst>
    </bk>
    <bk>
      <extLst>
        <ext uri="{3e2802c4-a4d2-4d8b-9148-e3be6c30e623}">
          <xlrd:rvb i="91"/>
        </ext>
      </extLst>
    </bk>
    <bk>
      <extLst>
        <ext uri="{3e2802c4-a4d2-4d8b-9148-e3be6c30e623}">
          <xlrd:rvb i="94"/>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7"/>
        </ext>
      </extLst>
    </bk>
    <bk>
      <extLst>
        <ext uri="{3e2802c4-a4d2-4d8b-9148-e3be6c30e623}">
          <xlrd:rvb i="110"/>
        </ext>
      </extLst>
    </bk>
    <bk>
      <extLst>
        <ext uri="{3e2802c4-a4d2-4d8b-9148-e3be6c30e623}">
          <xlrd:rvb i="113"/>
        </ext>
      </extLst>
    </bk>
    <bk>
      <extLst>
        <ext uri="{3e2802c4-a4d2-4d8b-9148-e3be6c30e623}">
          <xlrd:rvb i="116"/>
        </ext>
      </extLst>
    </bk>
    <bk>
      <extLst>
        <ext uri="{3e2802c4-a4d2-4d8b-9148-e3be6c30e623}">
          <xlrd:rvb i="119"/>
        </ext>
      </extLst>
    </bk>
    <bk>
      <extLst>
        <ext uri="{3e2802c4-a4d2-4d8b-9148-e3be6c30e623}">
          <xlrd:rvb i="122"/>
        </ext>
      </extLst>
    </bk>
    <bk>
      <extLst>
        <ext uri="{3e2802c4-a4d2-4d8b-9148-e3be6c30e623}">
          <xlrd:rvb i="125"/>
        </ext>
      </extLst>
    </bk>
    <bk>
      <extLst>
        <ext uri="{3e2802c4-a4d2-4d8b-9148-e3be6c30e623}">
          <xlrd:rvb i="128"/>
        </ext>
      </extLst>
    </bk>
    <bk>
      <extLst>
        <ext uri="{3e2802c4-a4d2-4d8b-9148-e3be6c30e623}">
          <xlrd:rvb i="130"/>
        </ext>
      </extLst>
    </bk>
    <bk>
      <extLst>
        <ext uri="{3e2802c4-a4d2-4d8b-9148-e3be6c30e623}">
          <xlrd:rvb i="133"/>
        </ext>
      </extLst>
    </bk>
    <bk>
      <extLst>
        <ext uri="{3e2802c4-a4d2-4d8b-9148-e3be6c30e623}">
          <xlrd:rvb i="136"/>
        </ext>
      </extLst>
    </bk>
    <bk>
      <extLst>
        <ext uri="{3e2802c4-a4d2-4d8b-9148-e3be6c30e623}">
          <xlrd:rvb i="142"/>
        </ext>
      </extLst>
    </bk>
    <bk>
      <extLst>
        <ext uri="{3e2802c4-a4d2-4d8b-9148-e3be6c30e623}">
          <xlrd:rvb i="145"/>
        </ext>
      </extLst>
    </bk>
    <bk>
      <extLst>
        <ext uri="{3e2802c4-a4d2-4d8b-9148-e3be6c30e623}">
          <xlrd:rvb i="148"/>
        </ext>
      </extLst>
    </bk>
    <bk>
      <extLst>
        <ext uri="{3e2802c4-a4d2-4d8b-9148-e3be6c30e623}">
          <xlrd:rvb i="151"/>
        </ext>
      </extLst>
    </bk>
    <bk>
      <extLst>
        <ext uri="{3e2802c4-a4d2-4d8b-9148-e3be6c30e623}">
          <xlrd:rvb i="154"/>
        </ext>
      </extLst>
    </bk>
    <bk>
      <extLst>
        <ext uri="{3e2802c4-a4d2-4d8b-9148-e3be6c30e623}">
          <xlrd:rvb i="157"/>
        </ext>
      </extLst>
    </bk>
    <bk>
      <extLst>
        <ext uri="{3e2802c4-a4d2-4d8b-9148-e3be6c30e623}">
          <xlrd:rvb i="160"/>
        </ext>
      </extLst>
    </bk>
    <bk>
      <extLst>
        <ext uri="{3e2802c4-a4d2-4d8b-9148-e3be6c30e623}">
          <xlrd:rvb i="163"/>
        </ext>
      </extLst>
    </bk>
    <bk>
      <extLst>
        <ext uri="{3e2802c4-a4d2-4d8b-9148-e3be6c30e623}">
          <xlrd:rvb i="169"/>
        </ext>
      </extLst>
    </bk>
    <bk>
      <extLst>
        <ext uri="{3e2802c4-a4d2-4d8b-9148-e3be6c30e623}">
          <xlrd:rvb i="172"/>
        </ext>
      </extLst>
    </bk>
    <bk>
      <extLst>
        <ext uri="{3e2802c4-a4d2-4d8b-9148-e3be6c30e623}">
          <xlrd:rvb i="175"/>
        </ext>
      </extLst>
    </bk>
    <bk>
      <extLst>
        <ext uri="{3e2802c4-a4d2-4d8b-9148-e3be6c30e623}">
          <xlrd:rvb i="181"/>
        </ext>
      </extLst>
    </bk>
    <bk>
      <extLst>
        <ext uri="{3e2802c4-a4d2-4d8b-9148-e3be6c30e623}">
          <xlrd:rvb i="187"/>
        </ext>
      </extLst>
    </bk>
    <bk>
      <extLst>
        <ext uri="{3e2802c4-a4d2-4d8b-9148-e3be6c30e623}">
          <xlrd:rvb i="190"/>
        </ext>
      </extLst>
    </bk>
    <bk>
      <extLst>
        <ext uri="{3e2802c4-a4d2-4d8b-9148-e3be6c30e623}">
          <xlrd:rvb i="193"/>
        </ext>
      </extLst>
    </bk>
    <bk>
      <extLst>
        <ext uri="{3e2802c4-a4d2-4d8b-9148-e3be6c30e623}">
          <xlrd:rvb i="196"/>
        </ext>
      </extLst>
    </bk>
    <bk>
      <extLst>
        <ext uri="{3e2802c4-a4d2-4d8b-9148-e3be6c30e623}">
          <xlrd:rvb i="199"/>
        </ext>
      </extLst>
    </bk>
    <bk>
      <extLst>
        <ext uri="{3e2802c4-a4d2-4d8b-9148-e3be6c30e623}">
          <xlrd:rvb i="202"/>
        </ext>
      </extLst>
    </bk>
    <bk>
      <extLst>
        <ext uri="{3e2802c4-a4d2-4d8b-9148-e3be6c30e623}">
          <xlrd:rvb i="205"/>
        </ext>
      </extLst>
    </bk>
    <bk>
      <extLst>
        <ext uri="{3e2802c4-a4d2-4d8b-9148-e3be6c30e623}">
          <xlrd:rvb i="207"/>
        </ext>
      </extLst>
    </bk>
    <bk>
      <extLst>
        <ext uri="{3e2802c4-a4d2-4d8b-9148-e3be6c30e623}">
          <xlrd:rvb i="213"/>
        </ext>
      </extLst>
    </bk>
    <bk>
      <extLst>
        <ext uri="{3e2802c4-a4d2-4d8b-9148-e3be6c30e623}">
          <xlrd:rvb i="216"/>
        </ext>
      </extLst>
    </bk>
    <bk>
      <extLst>
        <ext uri="{3e2802c4-a4d2-4d8b-9148-e3be6c30e623}">
          <xlrd:rvb i="219"/>
        </ext>
      </extLst>
    </bk>
    <bk>
      <extLst>
        <ext uri="{3e2802c4-a4d2-4d8b-9148-e3be6c30e623}">
          <xlrd:rvb i="222"/>
        </ext>
      </extLst>
    </bk>
    <bk>
      <extLst>
        <ext uri="{3e2802c4-a4d2-4d8b-9148-e3be6c30e623}">
          <xlrd:rvb i="225"/>
        </ext>
      </extLst>
    </bk>
    <bk>
      <extLst>
        <ext uri="{3e2802c4-a4d2-4d8b-9148-e3be6c30e623}">
          <xlrd:rvb i="228"/>
        </ext>
      </extLst>
    </bk>
    <bk>
      <extLst>
        <ext uri="{3e2802c4-a4d2-4d8b-9148-e3be6c30e623}">
          <xlrd:rvb i="231"/>
        </ext>
      </extLst>
    </bk>
    <bk>
      <extLst>
        <ext uri="{3e2802c4-a4d2-4d8b-9148-e3be6c30e623}">
          <xlrd:rvb i="234"/>
        </ext>
      </extLst>
    </bk>
    <bk>
      <extLst>
        <ext uri="{3e2802c4-a4d2-4d8b-9148-e3be6c30e623}">
          <xlrd:rvb i="237"/>
        </ext>
      </extLst>
    </bk>
    <bk>
      <extLst>
        <ext uri="{3e2802c4-a4d2-4d8b-9148-e3be6c30e623}">
          <xlrd:rvb i="240"/>
        </ext>
      </extLst>
    </bk>
    <bk>
      <extLst>
        <ext uri="{3e2802c4-a4d2-4d8b-9148-e3be6c30e623}">
          <xlrd:rvb i="243"/>
        </ext>
      </extLst>
    </bk>
    <bk>
      <extLst>
        <ext uri="{3e2802c4-a4d2-4d8b-9148-e3be6c30e623}">
          <xlrd:rvb i="246"/>
        </ext>
      </extLst>
    </bk>
    <bk>
      <extLst>
        <ext uri="{3e2802c4-a4d2-4d8b-9148-e3be6c30e623}">
          <xlrd:rvb i="249"/>
        </ext>
      </extLst>
    </bk>
    <bk>
      <extLst>
        <ext uri="{3e2802c4-a4d2-4d8b-9148-e3be6c30e623}">
          <xlrd:rvb i="252"/>
        </ext>
      </extLst>
    </bk>
    <bk>
      <extLst>
        <ext uri="{3e2802c4-a4d2-4d8b-9148-e3be6c30e623}">
          <xlrd:rvb i="258"/>
        </ext>
      </extLst>
    </bk>
    <bk>
      <extLst>
        <ext uri="{3e2802c4-a4d2-4d8b-9148-e3be6c30e623}">
          <xlrd:rvb i="261"/>
        </ext>
      </extLst>
    </bk>
    <bk>
      <extLst>
        <ext uri="{3e2802c4-a4d2-4d8b-9148-e3be6c30e623}">
          <xlrd:rvb i="264"/>
        </ext>
      </extLst>
    </bk>
    <bk>
      <extLst>
        <ext uri="{3e2802c4-a4d2-4d8b-9148-e3be6c30e623}">
          <xlrd:rvb i="267"/>
        </ext>
      </extLst>
    </bk>
    <bk>
      <extLst>
        <ext uri="{3e2802c4-a4d2-4d8b-9148-e3be6c30e623}">
          <xlrd:rvb i="270"/>
        </ext>
      </extLst>
    </bk>
    <bk>
      <extLst>
        <ext uri="{3e2802c4-a4d2-4d8b-9148-e3be6c30e623}">
          <xlrd:rvb i="273"/>
        </ext>
      </extLst>
    </bk>
    <bk>
      <extLst>
        <ext uri="{3e2802c4-a4d2-4d8b-9148-e3be6c30e623}">
          <xlrd:rvb i="276"/>
        </ext>
      </extLst>
    </bk>
    <bk>
      <extLst>
        <ext uri="{3e2802c4-a4d2-4d8b-9148-e3be6c30e623}">
          <xlrd:rvb i="279"/>
        </ext>
      </extLst>
    </bk>
    <bk>
      <extLst>
        <ext uri="{3e2802c4-a4d2-4d8b-9148-e3be6c30e623}">
          <xlrd:rvb i="282"/>
        </ext>
      </extLst>
    </bk>
    <bk>
      <extLst>
        <ext uri="{3e2802c4-a4d2-4d8b-9148-e3be6c30e623}">
          <xlrd:rvb i="285"/>
        </ext>
      </extLst>
    </bk>
    <bk>
      <extLst>
        <ext uri="{3e2802c4-a4d2-4d8b-9148-e3be6c30e623}">
          <xlrd:rvb i="288"/>
        </ext>
      </extLst>
    </bk>
    <bk>
      <extLst>
        <ext uri="{3e2802c4-a4d2-4d8b-9148-e3be6c30e623}">
          <xlrd:rvb i="291"/>
        </ext>
      </extLst>
    </bk>
    <bk>
      <extLst>
        <ext uri="{3e2802c4-a4d2-4d8b-9148-e3be6c30e623}">
          <xlrd:rvb i="294"/>
        </ext>
      </extLst>
    </bk>
    <bk>
      <extLst>
        <ext uri="{3e2802c4-a4d2-4d8b-9148-e3be6c30e623}">
          <xlrd:rvb i="297"/>
        </ext>
      </extLst>
    </bk>
    <bk>
      <extLst>
        <ext uri="{3e2802c4-a4d2-4d8b-9148-e3be6c30e623}">
          <xlrd:rvb i="300"/>
        </ext>
      </extLst>
    </bk>
    <bk>
      <extLst>
        <ext uri="{3e2802c4-a4d2-4d8b-9148-e3be6c30e623}">
          <xlrd:rvb i="303"/>
        </ext>
      </extLst>
    </bk>
    <bk>
      <extLst>
        <ext uri="{3e2802c4-a4d2-4d8b-9148-e3be6c30e623}">
          <xlrd:rvb i="306"/>
        </ext>
      </extLst>
    </bk>
    <bk>
      <extLst>
        <ext uri="{3e2802c4-a4d2-4d8b-9148-e3be6c30e623}">
          <xlrd:rvb i="309"/>
        </ext>
      </extLst>
    </bk>
    <bk>
      <extLst>
        <ext uri="{3e2802c4-a4d2-4d8b-9148-e3be6c30e623}">
          <xlrd:rvb i="312"/>
        </ext>
      </extLst>
    </bk>
    <bk>
      <extLst>
        <ext uri="{3e2802c4-a4d2-4d8b-9148-e3be6c30e623}">
          <xlrd:rvb i="315"/>
        </ext>
      </extLst>
    </bk>
    <bk>
      <extLst>
        <ext uri="{3e2802c4-a4d2-4d8b-9148-e3be6c30e623}">
          <xlrd:rvb i="318"/>
        </ext>
      </extLst>
    </bk>
    <bk>
      <extLst>
        <ext uri="{3e2802c4-a4d2-4d8b-9148-e3be6c30e623}">
          <xlrd:rvb i="321"/>
        </ext>
      </extLst>
    </bk>
    <bk>
      <extLst>
        <ext uri="{3e2802c4-a4d2-4d8b-9148-e3be6c30e623}">
          <xlrd:rvb i="324"/>
        </ext>
      </extLst>
    </bk>
    <bk>
      <extLst>
        <ext uri="{3e2802c4-a4d2-4d8b-9148-e3be6c30e623}">
          <xlrd:rvb i="327"/>
        </ext>
      </extLst>
    </bk>
    <bk>
      <extLst>
        <ext uri="{3e2802c4-a4d2-4d8b-9148-e3be6c30e623}">
          <xlrd:rvb i="330"/>
        </ext>
      </extLst>
    </bk>
    <bk>
      <extLst>
        <ext uri="{3e2802c4-a4d2-4d8b-9148-e3be6c30e623}">
          <xlrd:rvb i="332"/>
        </ext>
      </extLst>
    </bk>
    <bk>
      <extLst>
        <ext uri="{3e2802c4-a4d2-4d8b-9148-e3be6c30e623}">
          <xlrd:rvb i="335"/>
        </ext>
      </extLst>
    </bk>
    <bk>
      <extLst>
        <ext uri="{3e2802c4-a4d2-4d8b-9148-e3be6c30e623}">
          <xlrd:rvb i="337"/>
        </ext>
      </extLst>
    </bk>
    <bk>
      <extLst>
        <ext uri="{3e2802c4-a4d2-4d8b-9148-e3be6c30e623}">
          <xlrd:rvb i="340"/>
        </ext>
      </extLst>
    </bk>
    <bk>
      <extLst>
        <ext uri="{3e2802c4-a4d2-4d8b-9148-e3be6c30e623}">
          <xlrd:rvb i="343"/>
        </ext>
      </extLst>
    </bk>
    <bk>
      <extLst>
        <ext uri="{3e2802c4-a4d2-4d8b-9148-e3be6c30e623}">
          <xlrd:rvb i="346"/>
        </ext>
      </extLst>
    </bk>
    <bk>
      <extLst>
        <ext uri="{3e2802c4-a4d2-4d8b-9148-e3be6c30e623}">
          <xlrd:rvb i="348"/>
        </ext>
      </extLst>
    </bk>
    <bk>
      <extLst>
        <ext uri="{3e2802c4-a4d2-4d8b-9148-e3be6c30e623}">
          <xlrd:rvb i="351"/>
        </ext>
      </extLst>
    </bk>
    <bk>
      <extLst>
        <ext uri="{3e2802c4-a4d2-4d8b-9148-e3be6c30e623}">
          <xlrd:rvb i="354"/>
        </ext>
      </extLst>
    </bk>
    <bk>
      <extLst>
        <ext uri="{3e2802c4-a4d2-4d8b-9148-e3be6c30e623}">
          <xlrd:rvb i="357"/>
        </ext>
      </extLst>
    </bk>
    <bk>
      <extLst>
        <ext uri="{3e2802c4-a4d2-4d8b-9148-e3be6c30e623}">
          <xlrd:rvb i="360"/>
        </ext>
      </extLst>
    </bk>
    <bk>
      <extLst>
        <ext uri="{3e2802c4-a4d2-4d8b-9148-e3be6c30e623}">
          <xlrd:rvb i="363"/>
        </ext>
      </extLst>
    </bk>
    <bk>
      <extLst>
        <ext uri="{3e2802c4-a4d2-4d8b-9148-e3be6c30e623}">
          <xlrd:rvb i="366"/>
        </ext>
      </extLst>
    </bk>
    <bk>
      <extLst>
        <ext uri="{3e2802c4-a4d2-4d8b-9148-e3be6c30e623}">
          <xlrd:rvb i="369"/>
        </ext>
      </extLst>
    </bk>
    <bk>
      <extLst>
        <ext uri="{3e2802c4-a4d2-4d8b-9148-e3be6c30e623}">
          <xlrd:rvb i="372"/>
        </ext>
      </extLst>
    </bk>
    <bk>
      <extLst>
        <ext uri="{3e2802c4-a4d2-4d8b-9148-e3be6c30e623}">
          <xlrd:rvb i="375"/>
        </ext>
      </extLst>
    </bk>
    <bk>
      <extLst>
        <ext uri="{3e2802c4-a4d2-4d8b-9148-e3be6c30e623}">
          <xlrd:rvb i="378"/>
        </ext>
      </extLst>
    </bk>
    <bk>
      <extLst>
        <ext uri="{3e2802c4-a4d2-4d8b-9148-e3be6c30e623}">
          <xlrd:rvb i="381"/>
        </ext>
      </extLst>
    </bk>
    <bk>
      <extLst>
        <ext uri="{3e2802c4-a4d2-4d8b-9148-e3be6c30e623}">
          <xlrd:rvb i="384"/>
        </ext>
      </extLst>
    </bk>
    <bk>
      <extLst>
        <ext uri="{3e2802c4-a4d2-4d8b-9148-e3be6c30e623}">
          <xlrd:rvb i="387"/>
        </ext>
      </extLst>
    </bk>
    <bk>
      <extLst>
        <ext uri="{3e2802c4-a4d2-4d8b-9148-e3be6c30e623}">
          <xlrd:rvb i="390"/>
        </ext>
      </extLst>
    </bk>
    <bk>
      <extLst>
        <ext uri="{3e2802c4-a4d2-4d8b-9148-e3be6c30e623}">
          <xlrd:rvb i="393"/>
        </ext>
      </extLst>
    </bk>
    <bk>
      <extLst>
        <ext uri="{3e2802c4-a4d2-4d8b-9148-e3be6c30e623}">
          <xlrd:rvb i="396"/>
        </ext>
      </extLst>
    </bk>
    <bk>
      <extLst>
        <ext uri="{3e2802c4-a4d2-4d8b-9148-e3be6c30e623}">
          <xlrd:rvb i="399"/>
        </ext>
      </extLst>
    </bk>
    <bk>
      <extLst>
        <ext uri="{3e2802c4-a4d2-4d8b-9148-e3be6c30e623}">
          <xlrd:rvb i="402"/>
        </ext>
      </extLst>
    </bk>
    <bk>
      <extLst>
        <ext uri="{3e2802c4-a4d2-4d8b-9148-e3be6c30e623}">
          <xlrd:rvb i="405"/>
        </ext>
      </extLst>
    </bk>
    <bk>
      <extLst>
        <ext uri="{3e2802c4-a4d2-4d8b-9148-e3be6c30e623}">
          <xlrd:rvb i="407"/>
        </ext>
      </extLst>
    </bk>
    <bk>
      <extLst>
        <ext uri="{3e2802c4-a4d2-4d8b-9148-e3be6c30e623}">
          <xlrd:rvb i="410"/>
        </ext>
      </extLst>
    </bk>
    <bk>
      <extLst>
        <ext uri="{3e2802c4-a4d2-4d8b-9148-e3be6c30e623}">
          <xlrd:rvb i="413"/>
        </ext>
      </extLst>
    </bk>
    <bk>
      <extLst>
        <ext uri="{3e2802c4-a4d2-4d8b-9148-e3be6c30e623}">
          <xlrd:rvb i="416"/>
        </ext>
      </extLst>
    </bk>
    <bk>
      <extLst>
        <ext uri="{3e2802c4-a4d2-4d8b-9148-e3be6c30e623}">
          <xlrd:rvb i="417"/>
        </ext>
      </extLst>
    </bk>
    <bk>
      <extLst>
        <ext uri="{3e2802c4-a4d2-4d8b-9148-e3be6c30e623}">
          <xlrd:rvb i="419"/>
        </ext>
      </extLst>
    </bk>
    <bk>
      <extLst>
        <ext uri="{3e2802c4-a4d2-4d8b-9148-e3be6c30e623}">
          <xlrd:rvb i="421"/>
        </ext>
      </extLst>
    </bk>
    <bk>
      <extLst>
        <ext uri="{3e2802c4-a4d2-4d8b-9148-e3be6c30e623}">
          <xlrd:rvb i="423"/>
        </ext>
      </extLst>
    </bk>
    <bk>
      <extLst>
        <ext uri="{3e2802c4-a4d2-4d8b-9148-e3be6c30e623}">
          <xlrd:rvb i="425"/>
        </ext>
      </extLst>
    </bk>
    <bk>
      <extLst>
        <ext uri="{3e2802c4-a4d2-4d8b-9148-e3be6c30e623}">
          <xlrd:rvb i="428"/>
        </ext>
      </extLst>
    </bk>
    <bk>
      <extLst>
        <ext uri="{3e2802c4-a4d2-4d8b-9148-e3be6c30e623}">
          <xlrd:rvb i="431"/>
        </ext>
      </extLst>
    </bk>
    <bk>
      <extLst>
        <ext uri="{3e2802c4-a4d2-4d8b-9148-e3be6c30e623}">
          <xlrd:rvb i="434"/>
        </ext>
      </extLst>
    </bk>
    <bk>
      <extLst>
        <ext uri="{3e2802c4-a4d2-4d8b-9148-e3be6c30e623}">
          <xlrd:rvb i="437"/>
        </ext>
      </extLst>
    </bk>
    <bk>
      <extLst>
        <ext uri="{3e2802c4-a4d2-4d8b-9148-e3be6c30e623}">
          <xlrd:rvb i="440"/>
        </ext>
      </extLst>
    </bk>
    <bk>
      <extLst>
        <ext uri="{3e2802c4-a4d2-4d8b-9148-e3be6c30e623}">
          <xlrd:rvb i="443"/>
        </ext>
      </extLst>
    </bk>
    <bk>
      <extLst>
        <ext uri="{3e2802c4-a4d2-4d8b-9148-e3be6c30e623}">
          <xlrd:rvb i="446"/>
        </ext>
      </extLst>
    </bk>
    <bk>
      <extLst>
        <ext uri="{3e2802c4-a4d2-4d8b-9148-e3be6c30e623}">
          <xlrd:rvb i="449"/>
        </ext>
      </extLst>
    </bk>
    <bk>
      <extLst>
        <ext uri="{3e2802c4-a4d2-4d8b-9148-e3be6c30e623}">
          <xlrd:rvb i="452"/>
        </ext>
      </extLst>
    </bk>
    <bk>
      <extLst>
        <ext uri="{3e2802c4-a4d2-4d8b-9148-e3be6c30e623}">
          <xlrd:rvb i="455"/>
        </ext>
      </extLst>
    </bk>
    <bk>
      <extLst>
        <ext uri="{3e2802c4-a4d2-4d8b-9148-e3be6c30e623}">
          <xlrd:rvb i="458"/>
        </ext>
      </extLst>
    </bk>
    <bk>
      <extLst>
        <ext uri="{3e2802c4-a4d2-4d8b-9148-e3be6c30e623}">
          <xlrd:rvb i="461"/>
        </ext>
      </extLst>
    </bk>
    <bk>
      <extLst>
        <ext uri="{3e2802c4-a4d2-4d8b-9148-e3be6c30e623}">
          <xlrd:rvb i="464"/>
        </ext>
      </extLst>
    </bk>
    <bk>
      <extLst>
        <ext uri="{3e2802c4-a4d2-4d8b-9148-e3be6c30e623}">
          <xlrd:rvb i="467"/>
        </ext>
      </extLst>
    </bk>
    <bk>
      <extLst>
        <ext uri="{3e2802c4-a4d2-4d8b-9148-e3be6c30e623}">
          <xlrd:rvb i="470"/>
        </ext>
      </extLst>
    </bk>
    <bk>
      <extLst>
        <ext uri="{3e2802c4-a4d2-4d8b-9148-e3be6c30e623}">
          <xlrd:rvb i="473"/>
        </ext>
      </extLst>
    </bk>
    <bk>
      <extLst>
        <ext uri="{3e2802c4-a4d2-4d8b-9148-e3be6c30e623}">
          <xlrd:rvb i="476"/>
        </ext>
      </extLst>
    </bk>
    <bk>
      <extLst>
        <ext uri="{3e2802c4-a4d2-4d8b-9148-e3be6c30e623}">
          <xlrd:rvb i="479"/>
        </ext>
      </extLst>
    </bk>
    <bk>
      <extLst>
        <ext uri="{3e2802c4-a4d2-4d8b-9148-e3be6c30e623}">
          <xlrd:rvb i="482"/>
        </ext>
      </extLst>
    </bk>
    <bk>
      <extLst>
        <ext uri="{3e2802c4-a4d2-4d8b-9148-e3be6c30e623}">
          <xlrd:rvb i="485"/>
        </ext>
      </extLst>
    </bk>
    <bk>
      <extLst>
        <ext uri="{3e2802c4-a4d2-4d8b-9148-e3be6c30e623}">
          <xlrd:rvb i="488"/>
        </ext>
      </extLst>
    </bk>
    <bk>
      <extLst>
        <ext uri="{3e2802c4-a4d2-4d8b-9148-e3be6c30e623}">
          <xlrd:rvb i="491"/>
        </ext>
      </extLst>
    </bk>
    <bk>
      <extLst>
        <ext uri="{3e2802c4-a4d2-4d8b-9148-e3be6c30e623}">
          <xlrd:rvb i="494"/>
        </ext>
      </extLst>
    </bk>
    <bk>
      <extLst>
        <ext uri="{3e2802c4-a4d2-4d8b-9148-e3be6c30e623}">
          <xlrd:rvb i="496"/>
        </ext>
      </extLst>
    </bk>
    <bk>
      <extLst>
        <ext uri="{3e2802c4-a4d2-4d8b-9148-e3be6c30e623}">
          <xlrd:rvb i="499"/>
        </ext>
      </extLst>
    </bk>
    <bk>
      <extLst>
        <ext uri="{3e2802c4-a4d2-4d8b-9148-e3be6c30e623}">
          <xlrd:rvb i="502"/>
        </ext>
      </extLst>
    </bk>
    <bk>
      <extLst>
        <ext uri="{3e2802c4-a4d2-4d8b-9148-e3be6c30e623}">
          <xlrd:rvb i="505"/>
        </ext>
      </extLst>
    </bk>
    <bk>
      <extLst>
        <ext uri="{3e2802c4-a4d2-4d8b-9148-e3be6c30e623}">
          <xlrd:rvb i="508"/>
        </ext>
      </extLst>
    </bk>
    <bk>
      <extLst>
        <ext uri="{3e2802c4-a4d2-4d8b-9148-e3be6c30e623}">
          <xlrd:rvb i="511"/>
        </ext>
      </extLst>
    </bk>
    <bk>
      <extLst>
        <ext uri="{3e2802c4-a4d2-4d8b-9148-e3be6c30e623}">
          <xlrd:rvb i="514"/>
        </ext>
      </extLst>
    </bk>
    <bk>
      <extLst>
        <ext uri="{3e2802c4-a4d2-4d8b-9148-e3be6c30e623}">
          <xlrd:rvb i="516"/>
        </ext>
      </extLst>
    </bk>
    <bk>
      <extLst>
        <ext uri="{3e2802c4-a4d2-4d8b-9148-e3be6c30e623}">
          <xlrd:rvb i="519"/>
        </ext>
      </extLst>
    </bk>
    <bk>
      <extLst>
        <ext uri="{3e2802c4-a4d2-4d8b-9148-e3be6c30e623}">
          <xlrd:rvb i="521"/>
        </ext>
      </extLst>
    </bk>
    <bk>
      <extLst>
        <ext uri="{3e2802c4-a4d2-4d8b-9148-e3be6c30e623}">
          <xlrd:rvb i="524"/>
        </ext>
      </extLst>
    </bk>
    <bk>
      <extLst>
        <ext uri="{3e2802c4-a4d2-4d8b-9148-e3be6c30e623}">
          <xlrd:rvb i="527"/>
        </ext>
      </extLst>
    </bk>
    <bk>
      <extLst>
        <ext uri="{3e2802c4-a4d2-4d8b-9148-e3be6c30e623}">
          <xlrd:rvb i="530"/>
        </ext>
      </extLst>
    </bk>
    <bk>
      <extLst>
        <ext uri="{3e2802c4-a4d2-4d8b-9148-e3be6c30e623}">
          <xlrd:rvb i="533"/>
        </ext>
      </extLst>
    </bk>
    <bk>
      <extLst>
        <ext uri="{3e2802c4-a4d2-4d8b-9148-e3be6c30e623}">
          <xlrd:rvb i="536"/>
        </ext>
      </extLst>
    </bk>
    <bk>
      <extLst>
        <ext uri="{3e2802c4-a4d2-4d8b-9148-e3be6c30e623}">
          <xlrd:rvb i="539"/>
        </ext>
      </extLst>
    </bk>
    <bk>
      <extLst>
        <ext uri="{3e2802c4-a4d2-4d8b-9148-e3be6c30e623}">
          <xlrd:rvb i="541"/>
        </ext>
      </extLst>
    </bk>
    <bk>
      <extLst>
        <ext uri="{3e2802c4-a4d2-4d8b-9148-e3be6c30e623}">
          <xlrd:rvb i="544"/>
        </ext>
      </extLst>
    </bk>
    <bk>
      <extLst>
        <ext uri="{3e2802c4-a4d2-4d8b-9148-e3be6c30e623}">
          <xlrd:rvb i="547"/>
        </ext>
      </extLst>
    </bk>
    <bk>
      <extLst>
        <ext uri="{3e2802c4-a4d2-4d8b-9148-e3be6c30e623}">
          <xlrd:rvb i="550"/>
        </ext>
      </extLst>
    </bk>
    <bk>
      <extLst>
        <ext uri="{3e2802c4-a4d2-4d8b-9148-e3be6c30e623}">
          <xlrd:rvb i="553"/>
        </ext>
      </extLst>
    </bk>
    <bk>
      <extLst>
        <ext uri="{3e2802c4-a4d2-4d8b-9148-e3be6c30e623}">
          <xlrd:rvb i="556"/>
        </ext>
      </extLst>
    </bk>
    <bk>
      <extLst>
        <ext uri="{3e2802c4-a4d2-4d8b-9148-e3be6c30e623}">
          <xlrd:rvb i="559"/>
        </ext>
      </extLst>
    </bk>
    <bk>
      <extLst>
        <ext uri="{3e2802c4-a4d2-4d8b-9148-e3be6c30e623}">
          <xlrd:rvb i="562"/>
        </ext>
      </extLst>
    </bk>
    <bk>
      <extLst>
        <ext uri="{3e2802c4-a4d2-4d8b-9148-e3be6c30e623}">
          <xlrd:rvb i="565"/>
        </ext>
      </extLst>
    </bk>
    <bk>
      <extLst>
        <ext uri="{3e2802c4-a4d2-4d8b-9148-e3be6c30e623}">
          <xlrd:rvb i="568"/>
        </ext>
      </extLst>
    </bk>
    <bk>
      <extLst>
        <ext uri="{3e2802c4-a4d2-4d8b-9148-e3be6c30e623}">
          <xlrd:rvb i="571"/>
        </ext>
      </extLst>
    </bk>
    <bk>
      <extLst>
        <ext uri="{3e2802c4-a4d2-4d8b-9148-e3be6c30e623}">
          <xlrd:rvb i="574"/>
        </ext>
      </extLst>
    </bk>
    <bk>
      <extLst>
        <ext uri="{3e2802c4-a4d2-4d8b-9148-e3be6c30e623}">
          <xlrd:rvb i="577"/>
        </ext>
      </extLst>
    </bk>
    <bk>
      <extLst>
        <ext uri="{3e2802c4-a4d2-4d8b-9148-e3be6c30e623}">
          <xlrd:rvb i="580"/>
        </ext>
      </extLst>
    </bk>
    <bk>
      <extLst>
        <ext uri="{3e2802c4-a4d2-4d8b-9148-e3be6c30e623}">
          <xlrd:rvb i="583"/>
        </ext>
      </extLst>
    </bk>
    <bk>
      <extLst>
        <ext uri="{3e2802c4-a4d2-4d8b-9148-e3be6c30e623}">
          <xlrd:rvb i="586"/>
        </ext>
      </extLst>
    </bk>
    <bk>
      <extLst>
        <ext uri="{3e2802c4-a4d2-4d8b-9148-e3be6c30e623}">
          <xlrd:rvb i="589"/>
        </ext>
      </extLst>
    </bk>
    <bk>
      <extLst>
        <ext uri="{3e2802c4-a4d2-4d8b-9148-e3be6c30e623}">
          <xlrd:rvb i="592"/>
        </ext>
      </extLst>
    </bk>
    <bk>
      <extLst>
        <ext uri="{3e2802c4-a4d2-4d8b-9148-e3be6c30e623}">
          <xlrd:rvb i="595"/>
        </ext>
      </extLst>
    </bk>
    <bk>
      <extLst>
        <ext uri="{3e2802c4-a4d2-4d8b-9148-e3be6c30e623}">
          <xlrd:rvb i="598"/>
        </ext>
      </extLst>
    </bk>
    <bk>
      <extLst>
        <ext uri="{3e2802c4-a4d2-4d8b-9148-e3be6c30e623}">
          <xlrd:rvb i="601"/>
        </ext>
      </extLst>
    </bk>
    <bk>
      <extLst>
        <ext uri="{3e2802c4-a4d2-4d8b-9148-e3be6c30e623}">
          <xlrd:rvb i="604"/>
        </ext>
      </extLst>
    </bk>
    <bk>
      <extLst>
        <ext uri="{3e2802c4-a4d2-4d8b-9148-e3be6c30e623}">
          <xlrd:rvb i="607"/>
        </ext>
      </extLst>
    </bk>
    <bk>
      <extLst>
        <ext uri="{3e2802c4-a4d2-4d8b-9148-e3be6c30e623}">
          <xlrd:rvb i="609"/>
        </ext>
      </extLst>
    </bk>
    <bk>
      <extLst>
        <ext uri="{3e2802c4-a4d2-4d8b-9148-e3be6c30e623}">
          <xlrd:rvb i="612"/>
        </ext>
      </extLst>
    </bk>
    <bk>
      <extLst>
        <ext uri="{3e2802c4-a4d2-4d8b-9148-e3be6c30e623}">
          <xlrd:rvb i="615"/>
        </ext>
      </extLst>
    </bk>
    <bk>
      <extLst>
        <ext uri="{3e2802c4-a4d2-4d8b-9148-e3be6c30e623}">
          <xlrd:rvb i="618"/>
        </ext>
      </extLst>
    </bk>
    <bk>
      <extLst>
        <ext uri="{3e2802c4-a4d2-4d8b-9148-e3be6c30e623}">
          <xlrd:rvb i="621"/>
        </ext>
      </extLst>
    </bk>
    <bk>
      <extLst>
        <ext uri="{3e2802c4-a4d2-4d8b-9148-e3be6c30e623}">
          <xlrd:rvb i="624"/>
        </ext>
      </extLst>
    </bk>
    <bk>
      <extLst>
        <ext uri="{3e2802c4-a4d2-4d8b-9148-e3be6c30e623}">
          <xlrd:rvb i="627"/>
        </ext>
      </extLst>
    </bk>
    <bk>
      <extLst>
        <ext uri="{3e2802c4-a4d2-4d8b-9148-e3be6c30e623}">
          <xlrd:rvb i="630"/>
        </ext>
      </extLst>
    </bk>
    <bk>
      <extLst>
        <ext uri="{3e2802c4-a4d2-4d8b-9148-e3be6c30e623}">
          <xlrd:rvb i="633"/>
        </ext>
      </extLst>
    </bk>
    <bk>
      <extLst>
        <ext uri="{3e2802c4-a4d2-4d8b-9148-e3be6c30e623}">
          <xlrd:rvb i="636"/>
        </ext>
      </extLst>
    </bk>
    <bk>
      <extLst>
        <ext uri="{3e2802c4-a4d2-4d8b-9148-e3be6c30e623}">
          <xlrd:rvb i="639"/>
        </ext>
      </extLst>
    </bk>
    <bk>
      <extLst>
        <ext uri="{3e2802c4-a4d2-4d8b-9148-e3be6c30e623}">
          <xlrd:rvb i="642"/>
        </ext>
      </extLst>
    </bk>
    <bk>
      <extLst>
        <ext uri="{3e2802c4-a4d2-4d8b-9148-e3be6c30e623}">
          <xlrd:rvb i="645"/>
        </ext>
      </extLst>
    </bk>
    <bk>
      <extLst>
        <ext uri="{3e2802c4-a4d2-4d8b-9148-e3be6c30e623}">
          <xlrd:rvb i="648"/>
        </ext>
      </extLst>
    </bk>
    <bk>
      <extLst>
        <ext uri="{3e2802c4-a4d2-4d8b-9148-e3be6c30e623}">
          <xlrd:rvb i="650"/>
        </ext>
      </extLst>
    </bk>
    <bk>
      <extLst>
        <ext uri="{3e2802c4-a4d2-4d8b-9148-e3be6c30e623}">
          <xlrd:rvb i="652"/>
        </ext>
      </extLst>
    </bk>
    <bk>
      <extLst>
        <ext uri="{3e2802c4-a4d2-4d8b-9148-e3be6c30e623}">
          <xlrd:rvb i="655"/>
        </ext>
      </extLst>
    </bk>
    <bk>
      <extLst>
        <ext uri="{3e2802c4-a4d2-4d8b-9148-e3be6c30e623}">
          <xlrd:rvb i="658"/>
        </ext>
      </extLst>
    </bk>
  </futureMetadata>
  <cellMetadata count="1">
    <bk>
      <rc t="1" v="0"/>
    </bk>
  </cellMetadata>
  <valueMetadata count="22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valueMetadata>
</metadata>
</file>

<file path=xl/sharedStrings.xml><?xml version="1.0" encoding="utf-8"?>
<sst xmlns="http://schemas.openxmlformats.org/spreadsheetml/2006/main" count="289" uniqueCount="85">
  <si>
    <t>Company</t>
  </si>
  <si>
    <t>Ticker</t>
  </si>
  <si>
    <t>Exchange</t>
  </si>
  <si>
    <t>Currency</t>
  </si>
  <si>
    <t>YTD %</t>
  </si>
  <si>
    <t>1Y %</t>
  </si>
  <si>
    <t>P/E</t>
  </si>
  <si>
    <t>Price @ Date</t>
  </si>
  <si>
    <t>Date</t>
  </si>
  <si>
    <t>Ranking</t>
  </si>
  <si>
    <t>Industry</t>
  </si>
  <si>
    <t>3Y %</t>
  </si>
  <si>
    <t>Mkt Cap</t>
  </si>
  <si>
    <t>ETF</t>
  </si>
  <si>
    <t>52 Day High</t>
  </si>
  <si>
    <t>52 Day Low</t>
  </si>
  <si>
    <t>Daily % Change</t>
  </si>
  <si>
    <t>Market Cap</t>
  </si>
  <si>
    <t>Average Volume</t>
  </si>
  <si>
    <t>Type</t>
  </si>
  <si>
    <t>Sector</t>
  </si>
  <si>
    <t>52 week high</t>
  </si>
  <si>
    <t>52 week low</t>
  </si>
  <si>
    <t>Change (%)</t>
  </si>
  <si>
    <t>Volume</t>
  </si>
  <si>
    <t>Equity</t>
  </si>
  <si>
    <t>Bond</t>
  </si>
  <si>
    <t>ETC</t>
  </si>
  <si>
    <t>Nuclear energy</t>
  </si>
  <si>
    <t>Clean energy</t>
  </si>
  <si>
    <t>Aerospace defence</t>
  </si>
  <si>
    <t>Global equities</t>
  </si>
  <si>
    <t>Developed equities</t>
  </si>
  <si>
    <t>Defence tech</t>
  </si>
  <si>
    <t>Semiconductors</t>
  </si>
  <si>
    <t>High yield bonds</t>
  </si>
  <si>
    <t>Government bonds</t>
  </si>
  <si>
    <t>Italian bonds</t>
  </si>
  <si>
    <t>China equities</t>
  </si>
  <si>
    <t>Eurozone equities</t>
  </si>
  <si>
    <t>European small caps</t>
  </si>
  <si>
    <t>Infrastructure</t>
  </si>
  <si>
    <t>European technology</t>
  </si>
  <si>
    <t>Corporate bonds</t>
  </si>
  <si>
    <t>Emerging market bonds</t>
  </si>
  <si>
    <t>US equities</t>
  </si>
  <si>
    <t>AI technology</t>
  </si>
  <si>
    <t>Cybersecurity</t>
  </si>
  <si>
    <t>Emerging equities</t>
  </si>
  <si>
    <t>Space economy</t>
  </si>
  <si>
    <t>Uranium miners</t>
  </si>
  <si>
    <t>Robotics</t>
  </si>
  <si>
    <t>Gold</t>
  </si>
  <si>
    <t>Quantum computing</t>
  </si>
  <si>
    <t>Artificial intelligence</t>
  </si>
  <si>
    <t>AI applications</t>
  </si>
  <si>
    <t>Korean equities</t>
  </si>
  <si>
    <t>Expense ratio</t>
  </si>
  <si>
    <t>European equities</t>
  </si>
  <si>
    <t>Minimum volatility</t>
  </si>
  <si>
    <t>Dividend equities</t>
  </si>
  <si>
    <t>Momentum factor</t>
  </si>
  <si>
    <t>Quality factor</t>
  </si>
  <si>
    <t>Value factor</t>
  </si>
  <si>
    <t>Smart grid</t>
  </si>
  <si>
    <t>ESG equities</t>
  </si>
  <si>
    <t>Global technology</t>
  </si>
  <si>
    <t>Video gaming</t>
  </si>
  <si>
    <t>Oil services</t>
  </si>
  <si>
    <t>US technology</t>
  </si>
  <si>
    <t>US small caps</t>
  </si>
  <si>
    <t>Inverse equities</t>
  </si>
  <si>
    <t>Short-term bonds</t>
  </si>
  <si>
    <t>Inflation-linked bonds</t>
  </si>
  <si>
    <t>Money market</t>
  </si>
  <si>
    <t>Global bonds</t>
  </si>
  <si>
    <t>Diversified bonds</t>
  </si>
  <si>
    <t>Precious metals</t>
  </si>
  <si>
    <t>Silver</t>
  </si>
  <si>
    <t>Agriculture</t>
  </si>
  <si>
    <t>Copper</t>
  </si>
  <si>
    <t>Industrial metals</t>
  </si>
  <si>
    <t>Natural gas</t>
  </si>
  <si>
    <t>Oil</t>
  </si>
  <si>
    <t>Target Maturities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</si>
</sst>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quot;€&quot;* #,##0.00_);_(&quot;€&quot;* \(#,##0.00\);_(&quot;€&quot;* &quot;-&quot;??_);_(@_)"/>
    <numFmt numFmtId="165" formatCode="_([$$-409]* #,##0_);_([$$-409]* \(#,##0\);_([$$-409]* &quot;-&quot;_);_(@_)"/>
    <numFmt numFmtId="166" formatCode="0.00\x;[Red]\(0.00\x\);\-"/>
    <numFmt numFmtId="167" formatCode="_([$€-2]\ * #,##0.00_);_([$€-2]\ * \(#,##0.00\);_([$€-2]\ * &quot;-&quot;??_);_(@_)"/>
    <numFmt numFmtId="168" formatCode="_([$€-2]\ * #,##0_);_([$€-2]\ * \(#,##0\);_([$€-2]\ * &quot;-&quot;_);_(@_)"/>
    <numFmt numFmtId="169" formatCode="_([$$-409]* #,##0.00_);_([$$-409]* \(#,##0.00\);_([$$-409]* &quot;-&quot;??_);_(@_)"/>
    <numFmt numFmtId="170" formatCode="_ [$CHF-100C]\ * #,##0.00_ ;_ [$CHF-100C]\ * \-#,##0.00_ ;_ [$CHF-100C]\ * &quot;-&quot;??_ ;_ @_ "/>
    <numFmt numFmtId="171" formatCode="_ * #,##0.00_)\ [$zł-415]_ ;_ * \(#,##0.00\)\ [$zł-415]_ ;_ * &quot;-&quot;??_)\ [$zł-415]_ ;_ @_ "/>
    <numFmt numFmtId="172" formatCode="_([$$-1009]* #,##0_);_([$$-1009]* \(#,##0\);_([$$-1009]* &quot;-&quot;_);_(@_)"/>
    <numFmt numFmtId="173" formatCode="_ [$CHF-100C]\ * #,##0_ ;_ [$CHF-100C]\ * \-#,##0_ ;_ [$CHF-100C]\ * &quot;-&quot;_ ;_ @_ "/>
    <numFmt numFmtId="174" formatCode="_ * #,##0_)\ [$zł-415]_ ;_ * \(#,##0\)\ [$zł-415]_ ;_ * &quot;-&quot;_)\ [$zł-415]_ ;_ @_ "/>
    <numFmt numFmtId="175" formatCode="_([$£-809]* #,##0.00_);_([$£-809]* \(#,##0.00\);_([$£-809]* &quot;-&quot;??_);_(@_)"/>
    <numFmt numFmtId="176" formatCode="dd/mm/yy"/>
  </numFmts>
  <fonts count="6">
    <font>
      <sz val="11"/>
      <name val="Carlito"/>
    </font>
    <font>
      <sz val="11"/>
      <name val="Carlito"/>
    </font>
    <font>
      <sz val="11"/>
      <name val="Aptos"/>
    </font>
    <font>
      <b/>
      <sz val="11"/>
      <name val="Aptos"/>
    </font>
    <font>
      <b/>
      <sz val="12"/>
      <color rgb="FFFFFFFF"/>
      <name val="Aptos"/>
    </font>
    <font>
      <sz val="8"/>
      <name val="Carlito"/>
    </font>
  </fonts>
  <fills count="4">
    <fill>
      <patternFill patternType="none"/>
    </fill>
    <fill>
      <patternFill patternType="gray125"/>
    </fill>
    <fill>
      <patternFill patternType="solid">
        <fgColor rgb="FF1F4E78"/>
      </patternFill>
    </fill>
    <fill>
      <patternFill patternType="solid">
        <fgColor rgb="FF1F4E78"/>
        <bgColor indexed="64"/>
      </patternFill>
    </fill>
  </fills>
  <borders count="2">
    <border>
      <left/>
      <right/>
      <top/>
      <bottom/>
      <diagonal/>
    </border>
    <border>
      <left/>
      <right/>
      <top/>
      <bottom/>
      <diagonal/>
    </border>
  </borders>
  <cellStyleXfs count="3">
    <xf numFmtId="0" fontId="0" fillId="0" borderId="1"/>
    <xf numFmtId="9" fontId="1" fillId="0" borderId="0" applyFont="0" applyFill="0" applyBorder="0" applyAlignment="0" applyProtection="0"/>
    <xf numFmtId="164" fontId="1" fillId="0" borderId="0" applyFont="0" applyFill="0" applyBorder="0" applyAlignment="0" applyProtection="0"/>
  </cellStyleXfs>
  <cellXfs count="42">
    <xf numFmtId="0" fontId="0" fillId="0" borderId="0" xfId="0" applyBorder="1"/>
    <xf numFmtId="0" fontId="0" fillId="0" borderId="1" xfId="0"/>
    <xf numFmtId="10" fontId="0" fillId="0" borderId="0" xfId="1" applyNumberFormat="1" applyFont="1" applyBorder="1"/>
    <xf numFmtId="10" fontId="0" fillId="0" borderId="1" xfId="1" applyNumberFormat="1" applyFont="1" applyBorder="1"/>
    <xf numFmtId="0" fontId="2" fillId="0" borderId="0" xfId="0" applyFont="1" applyBorder="1"/>
    <xf numFmtId="14" fontId="2" fillId="0" borderId="1" xfId="0" applyNumberFormat="1" applyFont="1"/>
    <xf numFmtId="10" fontId="2" fillId="0" borderId="0" xfId="1" applyNumberFormat="1" applyFont="1" applyBorder="1"/>
    <xf numFmtId="10" fontId="2" fillId="0" borderId="1" xfId="1" applyNumberFormat="1" applyFont="1" applyBorder="1"/>
    <xf numFmtId="166" fontId="2" fillId="0" borderId="0" xfId="0" applyNumberFormat="1" applyFont="1" applyBorder="1" applyAlignment="1">
      <alignment horizontal="center" vertical="center"/>
    </xf>
    <xf numFmtId="0" fontId="3" fillId="0" borderId="0" xfId="0" applyFont="1" applyBorder="1" applyAlignment="1">
      <alignment horizontal="center" vertical="top"/>
    </xf>
    <xf numFmtId="14" fontId="2" fillId="0" borderId="0" xfId="0" applyNumberFormat="1" applyFont="1" applyBorder="1"/>
    <xf numFmtId="0" fontId="3" fillId="0" borderId="0" xfId="0" applyFont="1" applyBorder="1" applyAlignment="1">
      <alignment horizontal="center"/>
    </xf>
    <xf numFmtId="0" fontId="4" fillId="2" borderId="0" xfId="0" applyFont="1" applyFill="1" applyBorder="1" applyAlignment="1">
      <alignment horizontal="center" vertical="center" wrapText="1"/>
    </xf>
    <xf numFmtId="0" fontId="4" fillId="2" borderId="1" xfId="0" applyFont="1" applyFill="1" applyAlignment="1">
      <alignment horizontal="center" vertical="center" wrapText="1"/>
    </xf>
    <xf numFmtId="10" fontId="4" fillId="2" borderId="0" xfId="1" applyNumberFormat="1" applyFont="1" applyFill="1" applyBorder="1" applyAlignment="1">
      <alignment horizontal="center" vertical="center" wrapText="1"/>
    </xf>
    <xf numFmtId="9" fontId="0" fillId="0" borderId="0" xfId="1" applyFont="1" applyBorder="1"/>
    <xf numFmtId="167" fontId="2" fillId="0" borderId="0" xfId="0" applyNumberFormat="1" applyFont="1" applyBorder="1"/>
    <xf numFmtId="168" fontId="2" fillId="0" borderId="0" xfId="0" applyNumberFormat="1" applyFont="1" applyBorder="1" applyAlignment="1">
      <alignment horizontal="center" vertical="center"/>
    </xf>
    <xf numFmtId="169" fontId="2" fillId="0" borderId="0" xfId="0" applyNumberFormat="1" applyFont="1" applyBorder="1"/>
    <xf numFmtId="170" fontId="2" fillId="0" borderId="0" xfId="0" applyNumberFormat="1" applyFont="1" applyBorder="1"/>
    <xf numFmtId="171" fontId="2" fillId="0" borderId="0" xfId="0" applyNumberFormat="1" applyFont="1" applyBorder="1"/>
    <xf numFmtId="10" fontId="2" fillId="0" borderId="0" xfId="0" applyNumberFormat="1" applyFont="1" applyBorder="1"/>
    <xf numFmtId="165" fontId="2" fillId="0" borderId="0" xfId="0" applyNumberFormat="1" applyFont="1" applyBorder="1"/>
    <xf numFmtId="172" fontId="2" fillId="0" borderId="0" xfId="0" applyNumberFormat="1" applyFont="1" applyBorder="1"/>
    <xf numFmtId="173" fontId="2" fillId="0" borderId="0" xfId="0" applyNumberFormat="1" applyFont="1" applyBorder="1"/>
    <xf numFmtId="174" fontId="2" fillId="0" borderId="0" xfId="0" applyNumberFormat="1" applyFont="1" applyBorder="1"/>
    <xf numFmtId="168" fontId="2" fillId="0" borderId="0" xfId="0" applyNumberFormat="1" applyFont="1" applyBorder="1"/>
    <xf numFmtId="3" fontId="2" fillId="0" borderId="0" xfId="0" applyNumberFormat="1" applyFont="1" applyBorder="1"/>
    <xf numFmtId="10" fontId="4" fillId="3" borderId="0" xfId="1" applyNumberFormat="1" applyFont="1" applyFill="1" applyBorder="1" applyAlignment="1">
      <alignment horizontal="center" vertical="center" wrapText="1"/>
    </xf>
    <xf numFmtId="167" fontId="2" fillId="0" borderId="0" xfId="1" applyNumberFormat="1" applyFont="1" applyBorder="1"/>
    <xf numFmtId="169" fontId="2" fillId="0" borderId="0" xfId="1" applyNumberFormat="1" applyFont="1" applyBorder="1"/>
    <xf numFmtId="175" fontId="2" fillId="0" borderId="0" xfId="1" applyNumberFormat="1" applyFont="1" applyBorder="1"/>
    <xf numFmtId="1" fontId="2" fillId="0" borderId="0" xfId="1" applyNumberFormat="1" applyFont="1" applyBorder="1"/>
    <xf numFmtId="169" fontId="2" fillId="0" borderId="0" xfId="2" applyNumberFormat="1" applyFont="1" applyBorder="1"/>
    <xf numFmtId="170" fontId="2" fillId="0" borderId="0" xfId="2" applyNumberFormat="1" applyFont="1" applyBorder="1"/>
    <xf numFmtId="171" fontId="2" fillId="0" borderId="0" xfId="2" applyNumberFormat="1" applyFont="1" applyBorder="1"/>
    <xf numFmtId="167" fontId="2" fillId="0" borderId="0" xfId="2" applyNumberFormat="1" applyFont="1" applyBorder="1"/>
    <xf numFmtId="10" fontId="2" fillId="0" borderId="0" xfId="1" applyNumberFormat="1" applyFont="1" applyBorder="1" applyAlignment="1">
      <alignment horizontal="center"/>
    </xf>
    <xf numFmtId="164" fontId="2" fillId="0" borderId="0" xfId="1" applyNumberFormat="1" applyFont="1" applyBorder="1"/>
    <xf numFmtId="165" fontId="2" fillId="0" borderId="0" xfId="0" applyNumberFormat="1" applyFont="1" applyBorder="1" applyAlignment="1">
      <alignment horizontal="center" vertical="center"/>
    </xf>
    <xf numFmtId="176" fontId="2" fillId="0" borderId="0" xfId="0" applyNumberFormat="1" applyFont="1" applyBorder="1"/>
    <xf numFmtId="164" fontId="2" fillId="0" borderId="0" xfId="2" applyFont="1" applyBorder="1"/>
  </cellXfs>
  <cellStyles count="3">
    <cellStyle name="Currency" xfId="2" builtinId="4"/>
    <cellStyle name="Normal" xfId="0" builtinId="0"/>
    <cellStyle name="Per cent" xfId="1" builtinId="5"/>
  </cellStyles>
  <dxfs count="69">
    <dxf>
      <font>
        <color rgb="FF008000"/>
      </font>
    </dxf>
    <dxf>
      <font>
        <color rgb="FFC0000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8000"/>
      </font>
    </dxf>
    <dxf>
      <font>
        <color rgb="FFC00000"/>
      </font>
    </dxf>
    <dxf>
      <font>
        <color rgb="FF9C0006"/>
      </font>
      <fill>
        <patternFill>
          <bgColor rgb="FFFFC7CE"/>
        </patternFill>
      </fill>
    </dxf>
    <dxf>
      <font>
        <color rgb="FF006100"/>
      </font>
      <fill>
        <patternFill>
          <bgColor rgb="FFC6EFCE"/>
        </patternFill>
      </fill>
    </dxf>
    <dxf>
      <font>
        <color rgb="FF008000"/>
      </font>
    </dxf>
    <dxf>
      <font>
        <color rgb="FFC00000"/>
      </font>
    </dxf>
    <dxf>
      <font>
        <strike val="0"/>
        <outline val="0"/>
        <shadow val="0"/>
        <u val="none"/>
        <vertAlign val="baseline"/>
        <sz val="11"/>
        <color auto="1"/>
        <name val="Aptos"/>
        <scheme val="none"/>
      </font>
      <numFmt numFmtId="3" formatCode="#,##0"/>
    </dxf>
    <dxf>
      <font>
        <strike val="0"/>
        <outline val="0"/>
        <shadow val="0"/>
        <u val="none"/>
        <vertAlign val="baseline"/>
        <sz val="11"/>
        <color auto="1"/>
        <name val="Aptos"/>
        <scheme val="none"/>
      </font>
      <numFmt numFmtId="165" formatCode="_([$$-409]* #,##0_);_([$$-409]* \(#,##0\);_([$$-409]* &quot;-&quot;_);_(@_)"/>
    </dxf>
    <dxf>
      <font>
        <strike val="0"/>
        <outline val="0"/>
        <shadow val="0"/>
        <u val="none"/>
        <vertAlign val="baseline"/>
        <sz val="11"/>
        <color auto="1"/>
        <name val="Aptos"/>
        <scheme val="none"/>
      </font>
      <numFmt numFmtId="169" formatCode="_([$$-409]* #,##0.00_);_([$$-409]* \(#,##0.00\);_([$$-409]* &quot;-&quot;??_);_(@_)"/>
    </dxf>
    <dxf>
      <font>
        <strike val="0"/>
        <outline val="0"/>
        <shadow val="0"/>
        <u val="none"/>
        <vertAlign val="baseline"/>
        <sz val="11"/>
        <color auto="1"/>
        <name val="Aptos"/>
        <scheme val="none"/>
      </font>
      <numFmt numFmtId="169" formatCode="_([$$-409]* #,##0.00_);_([$$-409]* \(#,##0.00\);_([$$-409]* &quot;-&quot;??_);_(@_)"/>
    </dxf>
    <dxf>
      <font>
        <b val="0"/>
        <strike val="0"/>
        <outline val="0"/>
        <shadow val="0"/>
        <u val="none"/>
        <vertAlign val="baseline"/>
        <sz val="11"/>
        <color auto="1"/>
        <name val="Aptos"/>
        <scheme val="none"/>
      </font>
      <numFmt numFmtId="166" formatCode="0.00\x;[Red]\(0.00\x\);\-"/>
      <alignment horizontal="center" vertical="center" textRotation="0" wrapText="0" indent="0" justifyLastLine="0" shrinkToFit="0" readingOrder="0"/>
    </dxf>
    <dxf>
      <font>
        <b val="0"/>
        <i val="0"/>
        <strike val="0"/>
        <condense val="0"/>
        <extend val="0"/>
        <outline val="0"/>
        <shadow val="0"/>
        <u val="none"/>
        <vertAlign val="baseline"/>
        <sz val="11"/>
        <color auto="1"/>
        <name val="Aptos"/>
        <scheme val="none"/>
      </font>
      <numFmt numFmtId="14" formatCode="0.00%"/>
    </dxf>
    <dxf>
      <font>
        <strike val="0"/>
        <outline val="0"/>
        <shadow val="0"/>
        <u val="none"/>
        <vertAlign val="baseline"/>
        <sz val="11"/>
        <color auto="1"/>
        <name val="Aptos"/>
        <scheme val="none"/>
      </font>
      <numFmt numFmtId="14" formatCode="0.00%"/>
    </dxf>
    <dxf>
      <font>
        <strike val="0"/>
        <outline val="0"/>
        <shadow val="0"/>
        <u val="none"/>
        <vertAlign val="baseline"/>
        <sz val="11"/>
        <color auto="1"/>
        <name val="Aptos"/>
        <scheme val="none"/>
      </font>
      <numFmt numFmtId="14" formatCode="0.00%"/>
    </dxf>
    <dxf>
      <font>
        <strike val="0"/>
        <outline val="0"/>
        <shadow val="0"/>
        <u val="none"/>
        <vertAlign val="baseline"/>
        <sz val="11"/>
        <color auto="1"/>
        <name val="Aptos"/>
        <scheme val="none"/>
      </font>
      <numFmt numFmtId="14" formatCode="0.00%"/>
    </dxf>
    <dxf>
      <font>
        <strike val="0"/>
        <outline val="0"/>
        <shadow val="0"/>
        <u val="none"/>
        <vertAlign val="baseline"/>
        <sz val="11"/>
        <color auto="1"/>
        <name val="Aptos"/>
        <scheme val="none"/>
      </font>
      <numFmt numFmtId="177" formatCode="#,##0.00;[Red]\(#,##0.00\);\-"/>
    </dxf>
    <dxf>
      <font>
        <strike val="0"/>
        <outline val="0"/>
        <shadow val="0"/>
        <u val="none"/>
        <vertAlign val="baseline"/>
        <sz val="11"/>
        <color auto="1"/>
        <name val="Aptos"/>
        <scheme val="none"/>
      </font>
      <numFmt numFmtId="176" formatCode="dd/mm/yy"/>
    </dxf>
    <dxf>
      <font>
        <strike val="0"/>
        <outline val="0"/>
        <shadow val="0"/>
        <u val="none"/>
        <vertAlign val="baseline"/>
        <sz val="11"/>
        <color auto="1"/>
        <name val="Aptos"/>
        <scheme val="none"/>
      </font>
    </dxf>
    <dxf>
      <font>
        <strike val="0"/>
        <outline val="0"/>
        <shadow val="0"/>
        <u val="none"/>
        <vertAlign val="baseline"/>
        <sz val="11"/>
        <color auto="1"/>
        <name val="Aptos"/>
        <scheme val="none"/>
      </font>
    </dxf>
    <dxf>
      <font>
        <strike val="0"/>
        <outline val="0"/>
        <shadow val="0"/>
        <u val="none"/>
        <vertAlign val="baseline"/>
        <sz val="11"/>
        <color auto="1"/>
        <name val="Aptos"/>
        <scheme val="none"/>
      </font>
    </dxf>
    <dxf>
      <font>
        <strike val="0"/>
        <outline val="0"/>
        <shadow val="0"/>
        <u val="none"/>
        <vertAlign val="baseline"/>
        <sz val="11"/>
        <color auto="1"/>
        <name val="Aptos"/>
        <scheme val="none"/>
      </font>
    </dxf>
    <dxf>
      <font>
        <b/>
        <strike val="0"/>
        <outline val="0"/>
        <shadow val="0"/>
        <u val="none"/>
        <vertAlign val="baseline"/>
        <sz val="11"/>
        <color auto="1"/>
        <name val="Aptos"/>
        <scheme val="none"/>
      </font>
      <alignment horizontal="center" vertical="bottom" textRotation="0" wrapText="0" indent="0" justifyLastLine="0" shrinkToFit="0" readingOrder="0"/>
    </dxf>
    <dxf>
      <font>
        <b/>
        <strike val="0"/>
        <outline val="0"/>
        <shadow val="0"/>
        <u val="none"/>
        <vertAlign val="baseline"/>
        <sz val="11"/>
        <color auto="1"/>
        <name val="Aptos"/>
        <scheme val="none"/>
      </font>
      <numFmt numFmtId="0" formatCode="General"/>
      <alignment horizontal="center" vertical="bottom" textRotation="0" wrapText="0" indent="0" justifyLastLine="0" shrinkToFit="0" readingOrder="0"/>
    </dxf>
    <dxf>
      <font>
        <strike val="0"/>
        <outline val="0"/>
        <shadow val="0"/>
        <u val="none"/>
        <vertAlign val="baseline"/>
        <sz val="11"/>
        <color auto="1"/>
        <name val="Aptos"/>
        <scheme val="none"/>
      </font>
    </dxf>
    <dxf>
      <font>
        <strike val="0"/>
        <outline val="0"/>
        <shadow val="0"/>
        <u val="none"/>
        <vertAlign val="baseline"/>
        <sz val="12"/>
        <color rgb="FFFFFFFF"/>
        <name val="Aptos"/>
        <scheme val="none"/>
      </font>
    </dxf>
    <dxf>
      <font>
        <strike val="0"/>
        <outline val="0"/>
        <shadow val="0"/>
        <u val="none"/>
        <vertAlign val="baseline"/>
        <sz val="11"/>
        <color auto="1"/>
        <name val="Aptos"/>
        <scheme val="none"/>
      </font>
      <numFmt numFmtId="3" formatCode="#,##0"/>
    </dxf>
    <dxf>
      <font>
        <strike val="0"/>
        <outline val="0"/>
        <shadow val="0"/>
        <u val="none"/>
        <vertAlign val="baseline"/>
        <sz val="11"/>
        <color auto="1"/>
        <name val="Aptos"/>
        <scheme val="none"/>
      </font>
      <numFmt numFmtId="165" formatCode="_([$$-409]* #,##0_);_([$$-409]* \(#,##0\);_([$$-409]* &quot;-&quot;_);_(@_)"/>
    </dxf>
    <dxf>
      <font>
        <strike val="0"/>
        <outline val="0"/>
        <shadow val="0"/>
        <u val="none"/>
        <vertAlign val="baseline"/>
        <sz val="11"/>
        <color auto="1"/>
        <name val="Aptos"/>
        <scheme val="none"/>
      </font>
      <numFmt numFmtId="14" formatCode="0.00%"/>
    </dxf>
    <dxf>
      <font>
        <strike val="0"/>
        <outline val="0"/>
        <shadow val="0"/>
        <u val="none"/>
        <vertAlign val="baseline"/>
        <sz val="11"/>
        <color auto="1"/>
        <name val="Aptos"/>
        <scheme val="none"/>
      </font>
      <numFmt numFmtId="169" formatCode="_([$$-409]* #,##0.00_);_([$$-409]* \(#,##0.00\);_([$$-409]* &quot;-&quot;??_);_(@_)"/>
    </dxf>
    <dxf>
      <font>
        <strike val="0"/>
        <outline val="0"/>
        <shadow val="0"/>
        <u val="none"/>
        <vertAlign val="baseline"/>
        <sz val="11"/>
        <color auto="1"/>
        <name val="Aptos"/>
        <scheme val="none"/>
      </font>
      <numFmt numFmtId="169" formatCode="_([$$-409]* #,##0.00_);_([$$-409]* \(#,##0.00\);_([$$-409]* &quot;-&quot;??_);_(@_)"/>
    </dxf>
    <dxf>
      <font>
        <strike val="0"/>
        <outline val="0"/>
        <shadow val="0"/>
        <u val="none"/>
        <vertAlign val="baseline"/>
        <sz val="11"/>
        <color auto="1"/>
        <name val="Aptos"/>
        <scheme val="none"/>
      </font>
    </dxf>
    <dxf>
      <font>
        <b/>
        <strike val="0"/>
        <outline val="0"/>
        <shadow val="0"/>
        <u val="none"/>
        <vertAlign val="baseline"/>
        <sz val="11"/>
        <color auto="1"/>
        <name val="Aptos"/>
        <scheme val="none"/>
      </font>
      <numFmt numFmtId="0" formatCode="General"/>
      <alignment horizontal="center" vertical="bottom" textRotation="0" wrapText="0" indent="0" justifyLastLine="0" shrinkToFit="0" readingOrder="0"/>
    </dxf>
    <dxf>
      <font>
        <b val="0"/>
        <strike val="0"/>
        <outline val="0"/>
        <shadow val="0"/>
        <u val="none"/>
        <vertAlign val="baseline"/>
        <sz val="11"/>
        <color auto="1"/>
        <name val="Aptos"/>
        <scheme val="none"/>
      </font>
      <numFmt numFmtId="166" formatCode="0.00\x;[Red]\(0.00\x\);\-"/>
      <alignment horizontal="center" vertical="center" textRotation="0" wrapText="0" indent="0" justifyLastLine="0" shrinkToFit="0" readingOrder="0"/>
    </dxf>
    <dxf>
      <font>
        <b val="0"/>
        <i val="0"/>
        <strike val="0"/>
        <condense val="0"/>
        <extend val="0"/>
        <outline val="0"/>
        <shadow val="0"/>
        <u val="none"/>
        <vertAlign val="baseline"/>
        <sz val="11"/>
        <color auto="1"/>
        <name val="Aptos"/>
        <scheme val="none"/>
      </font>
      <numFmt numFmtId="14" formatCode="0.00%"/>
    </dxf>
    <dxf>
      <font>
        <strike val="0"/>
        <outline val="0"/>
        <shadow val="0"/>
        <u val="none"/>
        <vertAlign val="baseline"/>
        <sz val="11"/>
        <color auto="1"/>
        <name val="Aptos"/>
        <scheme val="none"/>
      </font>
      <numFmt numFmtId="14" formatCode="0.00%"/>
    </dxf>
    <dxf>
      <font>
        <strike val="0"/>
        <outline val="0"/>
        <shadow val="0"/>
        <u val="none"/>
        <vertAlign val="baseline"/>
        <sz val="11"/>
        <color auto="1"/>
        <name val="Aptos"/>
        <scheme val="none"/>
      </font>
      <numFmt numFmtId="14" formatCode="0.00%"/>
    </dxf>
    <dxf>
      <font>
        <strike val="0"/>
        <outline val="0"/>
        <shadow val="0"/>
        <u val="none"/>
        <vertAlign val="baseline"/>
        <sz val="11"/>
        <color auto="1"/>
        <name val="Aptos"/>
        <scheme val="none"/>
      </font>
      <numFmt numFmtId="177" formatCode="#,##0.00;[Red]\(#,##0.00\);\-"/>
    </dxf>
    <dxf>
      <font>
        <strike val="0"/>
        <outline val="0"/>
        <shadow val="0"/>
        <u val="none"/>
        <vertAlign val="baseline"/>
        <sz val="11"/>
        <color auto="1"/>
        <name val="Aptos"/>
        <scheme val="none"/>
      </font>
      <numFmt numFmtId="176" formatCode="dd/mm/yy"/>
    </dxf>
    <dxf>
      <font>
        <strike val="0"/>
        <outline val="0"/>
        <shadow val="0"/>
        <u val="none"/>
        <vertAlign val="baseline"/>
        <sz val="11"/>
        <color auto="1"/>
        <name val="Aptos"/>
        <scheme val="none"/>
      </font>
    </dxf>
    <dxf>
      <font>
        <strike val="0"/>
        <outline val="0"/>
        <shadow val="0"/>
        <u val="none"/>
        <vertAlign val="baseline"/>
        <sz val="11"/>
        <color auto="1"/>
        <name val="Aptos"/>
        <scheme val="none"/>
      </font>
    </dxf>
    <dxf>
      <font>
        <strike val="0"/>
        <outline val="0"/>
        <shadow val="0"/>
        <u val="none"/>
        <vertAlign val="baseline"/>
        <sz val="11"/>
        <color auto="1"/>
        <name val="Aptos"/>
        <scheme val="none"/>
      </font>
    </dxf>
    <dxf>
      <font>
        <strike val="0"/>
        <outline val="0"/>
        <shadow val="0"/>
        <u val="none"/>
        <vertAlign val="baseline"/>
        <sz val="11"/>
        <color auto="1"/>
        <name val="Aptos"/>
        <scheme val="none"/>
      </font>
    </dxf>
    <dxf>
      <font>
        <strike val="0"/>
        <outline val="0"/>
        <shadow val="0"/>
        <u val="none"/>
        <vertAlign val="baseline"/>
        <sz val="11"/>
        <color auto="1"/>
        <name val="Aptos"/>
        <scheme val="none"/>
      </font>
    </dxf>
    <dxf>
      <font>
        <strike val="0"/>
        <outline val="0"/>
        <shadow val="0"/>
        <u val="none"/>
        <vertAlign val="baseline"/>
        <sz val="12"/>
        <color rgb="FFFFFFFF"/>
        <name val="Aptos"/>
        <scheme val="none"/>
      </font>
    </dxf>
    <dxf>
      <font>
        <b val="0"/>
        <i val="0"/>
        <strike val="0"/>
        <condense val="0"/>
        <extend val="0"/>
        <outline val="0"/>
        <shadow val="0"/>
        <u val="none"/>
        <vertAlign val="baseline"/>
        <sz val="11"/>
        <color auto="1"/>
        <name val="Aptos"/>
        <scheme val="none"/>
      </font>
      <numFmt numFmtId="14" formatCode="0.00%"/>
    </dxf>
    <dxf>
      <font>
        <b val="0"/>
        <i val="0"/>
        <strike val="0"/>
        <condense val="0"/>
        <extend val="0"/>
        <outline val="0"/>
        <shadow val="0"/>
        <u val="none"/>
        <vertAlign val="baseline"/>
        <sz val="11"/>
        <color auto="1"/>
        <name val="Aptos"/>
        <scheme val="none"/>
      </font>
      <numFmt numFmtId="1" formatCode="0"/>
    </dxf>
    <dxf>
      <font>
        <b val="0"/>
        <i val="0"/>
        <strike val="0"/>
        <condense val="0"/>
        <extend val="0"/>
        <outline val="0"/>
        <shadow val="0"/>
        <u val="none"/>
        <vertAlign val="baseline"/>
        <sz val="11"/>
        <color auto="1"/>
        <name val="Aptos"/>
        <scheme val="none"/>
      </font>
      <numFmt numFmtId="14" formatCode="0.00%"/>
    </dxf>
    <dxf>
      <font>
        <b val="0"/>
        <i val="0"/>
        <strike val="0"/>
        <condense val="0"/>
        <extend val="0"/>
        <outline val="0"/>
        <shadow val="0"/>
        <u val="none"/>
        <vertAlign val="baseline"/>
        <sz val="11"/>
        <color auto="1"/>
        <name val="Aptos"/>
        <scheme val="none"/>
      </font>
      <numFmt numFmtId="14" formatCode="0.00%"/>
    </dxf>
    <dxf>
      <font>
        <b val="0"/>
        <i val="0"/>
        <strike val="0"/>
        <condense val="0"/>
        <extend val="0"/>
        <outline val="0"/>
        <shadow val="0"/>
        <u val="none"/>
        <vertAlign val="baseline"/>
        <sz val="11"/>
        <color auto="1"/>
        <name val="Aptos"/>
        <scheme val="none"/>
      </font>
      <numFmt numFmtId="14" formatCode="0.00%"/>
    </dxf>
    <dxf>
      <font>
        <b val="0"/>
        <i val="0"/>
        <strike val="0"/>
        <condense val="0"/>
        <extend val="0"/>
        <outline val="0"/>
        <shadow val="0"/>
        <u val="none"/>
        <vertAlign val="baseline"/>
        <sz val="11"/>
        <color auto="1"/>
        <name val="Aptos"/>
        <scheme val="none"/>
      </font>
      <numFmt numFmtId="14" formatCode="0.00%"/>
    </dxf>
    <dxf>
      <font>
        <b val="0"/>
        <i val="0"/>
        <strike val="0"/>
        <condense val="0"/>
        <extend val="0"/>
        <outline val="0"/>
        <shadow val="0"/>
        <u val="none"/>
        <vertAlign val="baseline"/>
        <sz val="11"/>
        <color auto="1"/>
        <name val="Aptos"/>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auto="1"/>
        <name val="Aptos"/>
        <scheme val="none"/>
      </font>
      <numFmt numFmtId="168" formatCode="_([$€-2]\ * #,##0_);_([$€-2]\ * \(#,##0\);_([$€-2]\ * &quot;-&quot;_);_(@_)"/>
      <alignment horizontal="center" vertical="center" textRotation="0" wrapText="0" indent="0" justifyLastLine="0" shrinkToFit="0" readingOrder="0"/>
    </dxf>
    <dxf>
      <font>
        <b val="0"/>
        <i val="0"/>
        <strike val="0"/>
        <condense val="0"/>
        <extend val="0"/>
        <outline val="0"/>
        <shadow val="0"/>
        <u val="none"/>
        <vertAlign val="baseline"/>
        <sz val="11"/>
        <color auto="1"/>
        <name val="Aptos"/>
        <scheme val="none"/>
      </font>
      <numFmt numFmtId="14" formatCode="0.00%"/>
    </dxf>
    <dxf>
      <font>
        <b val="0"/>
        <i val="0"/>
        <strike val="0"/>
        <condense val="0"/>
        <extend val="0"/>
        <outline val="0"/>
        <shadow val="0"/>
        <u val="none"/>
        <vertAlign val="baseline"/>
        <sz val="11"/>
        <color auto="1"/>
        <name val="Aptos"/>
        <scheme val="none"/>
      </font>
      <numFmt numFmtId="14" formatCode="0.00%"/>
    </dxf>
    <dxf>
      <font>
        <b val="0"/>
        <i val="0"/>
        <strike val="0"/>
        <condense val="0"/>
        <extend val="0"/>
        <outline val="0"/>
        <shadow val="0"/>
        <u val="none"/>
        <vertAlign val="baseline"/>
        <sz val="11"/>
        <color auto="1"/>
        <name val="Aptos"/>
        <scheme val="none"/>
      </font>
      <numFmt numFmtId="14" formatCode="0.00%"/>
    </dxf>
    <dxf>
      <font>
        <b val="0"/>
        <i val="0"/>
        <strike val="0"/>
        <condense val="0"/>
        <extend val="0"/>
        <outline val="0"/>
        <shadow val="0"/>
        <u val="none"/>
        <vertAlign val="baseline"/>
        <sz val="11"/>
        <color auto="1"/>
        <name val="Aptos"/>
        <scheme val="none"/>
      </font>
      <numFmt numFmtId="167" formatCode="_([$€-2]\ * #,##0.00_);_([$€-2]\ * \(#,##0.00\);_([$€-2]\ * &quot;-&quot;??_);_(@_)"/>
    </dxf>
    <dxf>
      <font>
        <b val="0"/>
        <i val="0"/>
        <strike val="0"/>
        <condense val="0"/>
        <extend val="0"/>
        <outline val="0"/>
        <shadow val="0"/>
        <u val="none"/>
        <vertAlign val="baseline"/>
        <sz val="11"/>
        <color auto="1"/>
        <name val="Aptos"/>
        <scheme val="none"/>
      </font>
      <numFmt numFmtId="176" formatCode="dd/mm/yy"/>
    </dxf>
    <dxf>
      <font>
        <b val="0"/>
        <i val="0"/>
        <strike val="0"/>
        <condense val="0"/>
        <extend val="0"/>
        <outline val="0"/>
        <shadow val="0"/>
        <u val="none"/>
        <vertAlign val="baseline"/>
        <sz val="11"/>
        <color auto="1"/>
        <name val="Aptos"/>
        <scheme val="none"/>
      </font>
      <numFmt numFmtId="167" formatCode="_([$€-2]\ * #,##0.00_);_([$€-2]\ * \(#,##0.00\);_([$€-2]\ * &quot;-&quot;??_);_(@_)"/>
    </dxf>
    <dxf>
      <font>
        <b val="0"/>
        <i val="0"/>
        <strike val="0"/>
        <condense val="0"/>
        <extend val="0"/>
        <outline val="0"/>
        <shadow val="0"/>
        <u val="none"/>
        <vertAlign val="baseline"/>
        <sz val="11"/>
        <color auto="1"/>
        <name val="Aptos"/>
        <scheme val="none"/>
      </font>
    </dxf>
    <dxf>
      <font>
        <b val="0"/>
        <i val="0"/>
        <strike val="0"/>
        <condense val="0"/>
        <extend val="0"/>
        <outline val="0"/>
        <shadow val="0"/>
        <u val="none"/>
        <vertAlign val="baseline"/>
        <sz val="11"/>
        <color auto="1"/>
        <name val="Aptos"/>
        <scheme val="none"/>
      </font>
    </dxf>
    <dxf>
      <font>
        <b val="0"/>
        <i val="0"/>
        <strike val="0"/>
        <condense val="0"/>
        <extend val="0"/>
        <outline val="0"/>
        <shadow val="0"/>
        <u val="none"/>
        <vertAlign val="baseline"/>
        <sz val="11"/>
        <color auto="1"/>
        <name val="Aptos"/>
        <scheme val="none"/>
      </font>
      <numFmt numFmtId="0" formatCode="General"/>
    </dxf>
    <dxf>
      <font>
        <b val="0"/>
        <i val="0"/>
        <strike val="0"/>
        <condense val="0"/>
        <extend val="0"/>
        <outline val="0"/>
        <shadow val="0"/>
        <u val="none"/>
        <vertAlign val="baseline"/>
        <sz val="11"/>
        <color auto="1"/>
        <name val="Aptos"/>
        <scheme val="none"/>
      </font>
    </dxf>
    <dxf>
      <font>
        <b/>
        <i val="0"/>
        <strike val="0"/>
        <condense val="0"/>
        <extend val="0"/>
        <outline val="0"/>
        <shadow val="0"/>
        <u val="none"/>
        <vertAlign val="baseline"/>
        <sz val="12"/>
        <color rgb="FFFFFFFF"/>
        <name val="Aptos"/>
        <scheme val="none"/>
      </font>
      <numFmt numFmtId="14" formatCode="0.00%"/>
      <fill>
        <patternFill patternType="solid">
          <fgColor indexed="64"/>
          <bgColor rgb="FF1F4E78"/>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ichStyles" Target="richData/richStyles.xml"/><Relationship Id="rId5" Type="http://schemas.openxmlformats.org/officeDocument/2006/relationships/styles" Target="styles.xml"/><Relationship Id="rId15" Type="http://schemas.openxmlformats.org/officeDocument/2006/relationships/calcChain" Target="calcChain.xml"/><Relationship Id="rId10" Type="http://schemas.microsoft.com/office/2017/06/relationships/rdArray" Target="richData/rdarray.xml"/><Relationship Id="rId4" Type="http://schemas.openxmlformats.org/officeDocument/2006/relationships/theme" Target="theme/theme1.xml"/><Relationship Id="rId9" Type="http://schemas.microsoft.com/office/2017/06/relationships/rdRichValueStructure" Target="richData/rdrichvaluestructure.xml"/><Relationship Id="rId14"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687">
  <a r="1" c="761">
    <v t="i">0</v>
    <v t="i">1</v>
    <v t="i">2</v>
    <v t="i">3</v>
    <v t="i">4</v>
    <v t="i">7</v>
    <v t="i">8</v>
    <v t="i">9</v>
    <v t="i">10</v>
    <v t="i">11</v>
    <v t="i">14</v>
    <v t="i">15</v>
    <v t="i">16</v>
    <v t="i">17</v>
    <v t="i">18</v>
    <v t="i">21</v>
    <v t="i">22</v>
    <v t="i">23</v>
    <v t="i">24</v>
    <v t="i">25</v>
    <v t="i">28</v>
    <v t="i">29</v>
    <v t="i">30</v>
    <v t="i">31</v>
    <v t="i">32</v>
    <v t="i">35</v>
    <v t="i">36</v>
    <v t="i">37</v>
    <v t="i">38</v>
    <v t="i">39</v>
    <v t="i">42</v>
    <v t="i">43</v>
    <v t="i">44</v>
    <v t="i">45</v>
    <v t="i">46</v>
    <v t="i">49</v>
    <v t="i">50</v>
    <v t="i">51</v>
    <v t="i">52</v>
    <v t="i">53</v>
    <v t="i">56</v>
    <v t="i">57</v>
    <v t="i">58</v>
    <v t="i">59</v>
    <v t="i">60</v>
    <v t="i">65</v>
    <v t="i">66</v>
    <v t="i">67</v>
    <v t="i">71</v>
    <v t="i">72</v>
    <v t="i">73</v>
    <v t="i">74</v>
    <v t="i">77</v>
    <v t="i">78</v>
    <v t="i">79</v>
    <v t="i">80</v>
    <v t="i">81</v>
    <v t="i">84</v>
    <v t="i">85</v>
    <v t="i">86</v>
    <v t="i">87</v>
    <v t="i">88</v>
    <v t="i">91</v>
    <v t="i">92</v>
    <v t="i">93</v>
    <v t="i">94</v>
    <v t="i">95</v>
    <v t="i">98</v>
    <v t="i">99</v>
    <v t="i">100</v>
    <v t="i">101</v>
    <v t="i">102</v>
    <v t="i">105</v>
    <v t="i">106</v>
    <v t="i">107</v>
    <v t="i">108</v>
    <v t="i">109</v>
    <v t="i">112</v>
    <v t="i">113</v>
    <v t="i">114</v>
    <v t="i">115</v>
    <v t="i">116</v>
    <v t="i">119</v>
    <v t="i">120</v>
    <v t="i">121</v>
    <v t="i">122</v>
    <v t="i">123</v>
    <v t="i">126</v>
    <v t="i">127</v>
    <v t="i">128</v>
    <v t="i">129</v>
    <v t="i">130</v>
    <v t="i">133</v>
    <v t="i">134</v>
    <v t="i">135</v>
    <v t="i">136</v>
    <v t="i">137</v>
    <v t="i">140</v>
    <v t="i">141</v>
    <v t="i">142</v>
    <v t="i">143</v>
    <v t="i">144</v>
    <v t="i">147</v>
    <v t="i">148</v>
    <v t="i">149</v>
    <v t="i">150</v>
    <v t="i">151</v>
    <v t="i">154</v>
    <v t="i">155</v>
    <v t="i">156</v>
    <v t="i">157</v>
    <v t="i">162</v>
    <v t="i">163</v>
    <v t="i">164</v>
    <v t="i">165</v>
    <v t="i">168</v>
    <v t="i">169</v>
    <v t="i">170</v>
    <v t="i">171</v>
    <v t="i">172</v>
    <v t="i">175</v>
    <v t="i">176</v>
    <v t="i">177</v>
    <v t="i">178</v>
    <v t="i">179</v>
    <v t="i">182</v>
    <v t="i">183</v>
    <v t="i">184</v>
    <v t="i">185</v>
    <v t="i">186</v>
    <v t="i">189</v>
    <v t="i">190</v>
    <v t="i">192</v>
    <v t="i">193</v>
    <v t="i">196</v>
    <v t="i">197</v>
    <v t="i">198</v>
    <v t="i">199</v>
    <v t="i">200</v>
    <v t="i">203</v>
    <v t="i">204</v>
    <v t="i">205</v>
    <v t="i">206</v>
    <v t="i">207</v>
    <v t="i">210</v>
    <v t="i">211</v>
    <v t="i">212</v>
    <v t="i">213</v>
    <v t="i">214</v>
    <v t="i">217</v>
    <v t="i">218</v>
    <v t="i">219</v>
    <v t="i">220</v>
    <v t="i">221</v>
    <v t="i">224</v>
    <v t="i">225</v>
    <v t="i">226</v>
    <v t="i">227</v>
    <v t="i">228</v>
    <v t="i">231</v>
    <v t="i">232</v>
    <v t="i">233</v>
    <v t="i">234</v>
    <v t="i">235</v>
    <v t="i">238</v>
    <v t="i">239</v>
    <v t="i">240</v>
    <v t="i">241</v>
    <v t="i">242</v>
    <v t="i">245</v>
    <v t="i">246</v>
    <v t="i">247</v>
    <v t="i">248</v>
    <v t="i">249</v>
    <v t="i">252</v>
    <v t="i">253</v>
    <v t="i">254</v>
    <v t="i">255</v>
    <v t="i">256</v>
    <v t="i">259</v>
    <v t="i">260</v>
    <v t="i">261</v>
    <v t="i">262</v>
    <v t="i">263</v>
    <v t="i">266</v>
    <v t="i">267</v>
    <v t="i">268</v>
    <v t="i">269</v>
    <v t="i">270</v>
    <v t="i">273</v>
    <v t="i">274</v>
    <v t="i">275</v>
    <v t="i">276</v>
    <v t="i">277</v>
    <v t="i">280</v>
    <v t="i">281</v>
    <v t="i">282</v>
    <v t="i">283</v>
    <v t="i">284</v>
    <v t="i">287</v>
    <v t="i">288</v>
    <v t="i">289</v>
    <v t="i">290</v>
    <v t="i">291</v>
    <v t="i">294</v>
    <v t="i">295</v>
    <v t="i">296</v>
    <v t="i">298</v>
    <v t="i">301</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v t="i">365</v>
    <v t="i">366</v>
    <v t="i">367</v>
    <v t="i">368</v>
    <v t="i">371</v>
    <v t="i">372</v>
    <v t="i">373</v>
    <v t="i">374</v>
    <v t="i">375</v>
    <v t="i">378</v>
    <v t="i">379</v>
    <v t="i">380</v>
    <v t="i">381</v>
    <v t="i">382</v>
    <v t="i">385</v>
    <v t="i">386</v>
    <v t="i">387</v>
    <v t="i">388</v>
    <v t="i">389</v>
    <v t="i">392</v>
    <v t="i">393</v>
    <v t="i">394</v>
    <v t="i">395</v>
    <v t="i">396</v>
    <v t="i">399</v>
    <v t="i">400</v>
    <v t="i">401</v>
    <v t="i">402</v>
    <v t="i">403</v>
    <v t="i">406</v>
    <v t="i">407</v>
    <v t="i">408</v>
    <v t="i">409</v>
    <v t="i">410</v>
    <v t="i">413</v>
    <v t="i">414</v>
    <v t="i">415</v>
    <v t="i">416</v>
    <v t="i">417</v>
    <v t="i">420</v>
    <v t="i">421</v>
    <v t="i">422</v>
    <v t="i">423</v>
    <v t="i">424</v>
    <v t="i">427</v>
    <v t="i">431</v>
    <v t="i">434</v>
    <v t="i">437</v>
    <v t="i">438</v>
    <v t="i">441</v>
    <v t="i">442</v>
    <v t="i">443</v>
    <v t="i">444</v>
    <v t="i">445</v>
    <v t="i">448</v>
    <v t="i">449</v>
    <v t="i">450</v>
    <v t="i">451</v>
    <v t="i">452</v>
    <v t="i">455</v>
    <v t="i">456</v>
    <v t="i">457</v>
    <v t="i">458</v>
    <v t="i">459</v>
    <v t="i">462</v>
    <v t="i">463</v>
    <v t="i">464</v>
    <v t="i">465</v>
    <v t="i">466</v>
    <v t="i">469</v>
    <v t="i">470</v>
    <v t="i">471</v>
    <v t="i">472</v>
    <v t="i">473</v>
    <v t="i">476</v>
    <v t="i">477</v>
    <v t="i">478</v>
    <v t="i">479</v>
    <v t="i">480</v>
    <v t="i">483</v>
    <v t="i">484</v>
    <v t="i">485</v>
    <v t="i">486</v>
    <v t="i">487</v>
    <v t="i">490</v>
    <v t="i">491</v>
    <v t="i">492</v>
    <v t="i">493</v>
    <v t="i">494</v>
    <v t="i">497</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547</v>
    <v t="i">548</v>
    <v t="i">549</v>
    <v t="i">550</v>
    <v t="i">553</v>
    <v t="i">554</v>
    <v t="i">555</v>
    <v t="i">557</v>
    <v t="i">560</v>
    <v t="i">561</v>
    <v t="i">562</v>
    <v t="i">563</v>
    <v t="i">564</v>
    <v t="i">567</v>
    <v t="i">568</v>
    <v t="i">569</v>
    <v t="i">570</v>
    <v t="i">571</v>
    <v t="i">574</v>
    <v t="i">575</v>
    <v t="i">576</v>
    <v t="i">577</v>
    <v t="i">578</v>
    <v t="i">581</v>
    <v t="i">582</v>
    <v t="i">583</v>
    <v t="i">584</v>
    <v t="i">585</v>
    <v t="i">588</v>
    <v t="i">589</v>
    <v t="i">590</v>
    <v t="i">591</v>
    <v t="i">592</v>
    <v t="i">595</v>
    <v t="i">596</v>
    <v t="i">597</v>
    <v t="i">598</v>
    <v t="i">599</v>
    <v t="i">602</v>
    <v t="i">603</v>
    <v t="i">604</v>
    <v t="i">605</v>
    <v t="i">606</v>
    <v t="i">609</v>
    <v t="i">610</v>
    <v t="i">611</v>
    <v t="i">612</v>
    <v t="i">613</v>
    <v t="i">616</v>
    <v t="i">617</v>
    <v t="i">618</v>
    <v t="i">619</v>
    <v t="i">620</v>
    <v t="i">623</v>
    <v t="i">624</v>
    <v t="i">625</v>
    <v t="i">626</v>
    <v t="i">627</v>
    <v t="i">630</v>
    <v t="i">631</v>
    <v t="i">632</v>
    <v t="i">633</v>
    <v t="i">634</v>
    <v t="i">637</v>
    <v t="i">638</v>
    <v t="i">639</v>
    <v t="i">640</v>
    <v t="i">641</v>
    <v t="i">644</v>
    <v t="i">645</v>
    <v t="i">646</v>
    <v t="i">647</v>
    <v t="i">648</v>
    <v t="i">651</v>
    <v t="i">652</v>
    <v t="i">653</v>
    <v t="i">654</v>
    <v t="i">655</v>
    <v t="i">658</v>
    <v t="i">659</v>
    <v t="i">660</v>
    <v t="i">661</v>
    <v t="i">665</v>
    <v t="i">666</v>
    <v t="i">667</v>
    <v t="i">668</v>
    <v t="i">669</v>
    <v t="i">672</v>
    <v t="i">673</v>
    <v t="i">674</v>
    <v t="i">675</v>
    <v t="i">676</v>
    <v t="i">679</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750</v>
    <v t="i">751</v>
    <v t="i">752</v>
    <v t="i">753</v>
    <v t="i">756</v>
    <v t="i">757</v>
    <v t="i">758</v>
    <v t="i">759</v>
    <v t="i">760</v>
    <v t="i">763</v>
    <v t="i">764</v>
    <v t="i">765</v>
    <v t="i">766</v>
    <v t="i">767</v>
    <v t="i">770</v>
    <v t="i">771</v>
    <v t="i">772</v>
    <v t="i">773</v>
    <v t="i">774</v>
    <v t="i">777</v>
    <v t="i">778</v>
    <v t="i">779</v>
    <v t="i">780</v>
    <v t="i">781</v>
    <v t="i">784</v>
    <v t="i">785</v>
    <v t="i">786</v>
    <v t="i">787</v>
    <v t="i">788</v>
    <v t="i">791</v>
    <v t="i">792</v>
    <v t="i">798</v>
    <v t="i">799</v>
    <v t="i">802</v>
    <v t="i">805</v>
    <v t="i">806</v>
    <v t="i">807</v>
    <v t="i">808</v>
    <v t="i">809</v>
    <v t="i">812</v>
    <v t="i">813</v>
    <v t="i">814</v>
    <v t="i">815</v>
    <v t="i">816</v>
    <v t="i">819</v>
    <v t="i">820</v>
    <v t="i">821</v>
    <v t="i">822</v>
    <v t="i">823</v>
    <v t="i">826</v>
    <v t="i">827</v>
    <v t="i">828</v>
    <v t="i">829</v>
    <v t="i">830</v>
    <v t="i">833</v>
    <v t="i">834</v>
    <v t="i">835</v>
    <v t="i">836</v>
    <v t="i">837</v>
    <v t="i">840</v>
    <v t="i">841</v>
    <v t="i">842</v>
    <v t="i">843</v>
    <v t="i">844</v>
    <v t="i">847</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897</v>
    <v t="i">898</v>
    <v t="i">899</v>
    <v t="i">900</v>
    <v t="i">903</v>
    <v t="i">904</v>
    <v t="i">905</v>
    <v t="i">906</v>
    <v t="i">907</v>
    <v t="i">910</v>
    <v t="i">911</v>
    <v t="i">912</v>
    <v t="i">913</v>
    <v t="i">914</v>
    <v t="i">917</v>
    <v t="i">918</v>
    <v t="i">919</v>
    <v t="i">920</v>
    <v t="i">924</v>
    <v t="i">925</v>
    <v t="i">926</v>
    <v t="i">927</v>
    <v t="i">928</v>
    <v t="i">931</v>
    <v t="i">932</v>
    <v t="i">933</v>
    <v t="i">934</v>
    <v t="i">935</v>
    <v t="i">938</v>
    <v t="i">939</v>
    <v t="i">940</v>
    <v t="i">941</v>
    <v t="i">942</v>
    <v t="i">945</v>
    <v t="i">946</v>
    <v t="i">947</v>
    <v t="i">948</v>
    <v t="i">949</v>
    <v t="i">952</v>
    <v t="i">953</v>
    <v t="i">954</v>
    <v t="i">955</v>
    <v t="i">956</v>
    <v t="i">959</v>
    <v t="i">960</v>
    <v t="i">961</v>
    <v t="i">962</v>
    <v t="i">963</v>
    <v t="i">966</v>
    <v t="i">967</v>
    <v t="i">968</v>
    <v t="i">969</v>
    <v t="i">970</v>
    <v t="i">973</v>
    <v t="i">974</v>
    <v t="i">975</v>
    <v t="i">976</v>
    <v t="i">977</v>
    <v t="i">980</v>
    <v t="i">981</v>
    <v t="i">982</v>
    <v t="i">983</v>
    <v t="i">984</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1050</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761">
    <v>24.245000000000001</v>
    <v>24.385000000000002</v>
    <v>24.125</v>
    <v>23.93</v>
    <v>23.954999999999998</v>
    <v>24.05</v>
    <v>24.065000000000001</v>
    <v>24.22</v>
    <v>24.324999999999999</v>
    <v>24.285</v>
    <v>24.23</v>
    <v>24.434999999999999</v>
    <v>24.47</v>
    <v>24.39</v>
    <v>24.57</v>
    <v>24.545000000000002</v>
    <v>24.574999999999999</v>
    <v>24.55</v>
    <v>24.48</v>
    <v>24.5</v>
    <v>24.315000000000001</v>
    <v>24.434999999999999</v>
    <v>24.64</v>
    <v>24.53</v>
    <v>24.5</v>
    <v>24.44</v>
    <v>24.524999999999999</v>
    <v>24.745000000000001</v>
    <v>25.065000000000001</v>
    <v>25.305</v>
    <v>25.745000000000001</v>
    <v>26.03</v>
    <v>26.22</v>
    <v>26.234999999999999</v>
    <v>26.204999999999998</v>
    <v>26.46</v>
    <v>26.184999999999999</v>
    <v>26.24</v>
    <v>26.22</v>
    <v>26.635000000000002</v>
    <v>26.52</v>
    <v>26.605</v>
    <v>26.02</v>
    <v>26.204999999999998</v>
    <v>26.295000000000002</v>
    <v>26.34</v>
    <v>26.51</v>
    <v>26.45</v>
    <v>26.7</v>
    <v>26.7</v>
    <v>26.905000000000001</v>
    <v>27.01</v>
    <v>26.835000000000001</v>
    <v>26.86</v>
    <v>26.91</v>
    <v>26.84</v>
    <v>27.42</v>
    <v>27.565000000000001</v>
    <v>27.36</v>
    <v>26.98</v>
    <v>27.125</v>
    <v>27.35</v>
    <v>27.524999999999999</v>
    <v>26.99</v>
    <v>27.17</v>
    <v>27.324999999999999</v>
    <v>27.265000000000001</v>
    <v>27.835000000000001</v>
    <v>27.48</v>
    <v>27.83</v>
    <v>27.785</v>
    <v>28.02</v>
    <v>28.195</v>
    <v>28.6</v>
    <v>28.53</v>
    <v>28.33</v>
    <v>28.3</v>
    <v>28.21</v>
    <v>28.055</v>
    <v>28.64</v>
    <v>28.605</v>
    <v>28.69</v>
    <v>28.765000000000001</v>
    <v>28.774999999999999</v>
    <v>28.55</v>
    <v>28.8</v>
    <v>28.88</v>
    <v>28.73</v>
    <v>28.725000000000001</v>
    <v>28.42</v>
    <v>28.625</v>
    <v>29.01</v>
    <v>28.95</v>
    <v>28.85</v>
    <v>28.965</v>
    <v>28.98</v>
    <v>28.97</v>
    <v>28.74</v>
    <v>28.664999999999999</v>
    <v>27.69</v>
    <v>28.17</v>
    <v>28.055</v>
    <v>28.2</v>
    <v>27.875</v>
    <v>27.93</v>
    <v>28.175000000000001</v>
    <v>28.245000000000001</v>
    <v>28.25</v>
    <v>28.36</v>
    <v>28.535</v>
    <v>28.9</v>
    <v>29.05</v>
    <v>28.97</v>
    <v>29.04</v>
    <v>29.094999999999999</v>
    <v>29.324999999999999</v>
    <v>29.175000000000001</v>
    <v>29.324999999999999</v>
    <v>29.375</v>
    <v>29.4</v>
    <v>29.285</v>
    <v>29.13</v>
    <v>28.92</v>
    <v>28.934999999999999</v>
    <v>29.045000000000002</v>
    <v>29.35</v>
    <v>29.355</v>
    <v>29.33</v>
    <v>29.385000000000002</v>
    <v>29.565000000000001</v>
    <v>29.65</v>
    <v>29.645</v>
    <v>29.96</v>
    <v>29.605</v>
    <v>29.4</v>
    <v>29.16</v>
    <v>29.344999999999999</v>
    <v>28.945</v>
    <v>28.855</v>
    <v>29.035</v>
    <v>29.21</v>
    <v>29.155000000000001</v>
    <v>29.31</v>
    <v>29.515000000000001</v>
    <v>29.74</v>
    <v>29.765000000000001</v>
    <v>29.9</v>
    <v>30.28</v>
    <v>30.285</v>
    <v>30.23</v>
    <v>29.95</v>
    <v>29.895</v>
    <v>29.695</v>
    <v>29.53</v>
    <v>30.53</v>
    <v>28.5</v>
    <v>29.5</v>
    <v>29.74</v>
    <v>30.39</v>
    <v>30.69</v>
    <v>30.71</v>
    <v>30.754999999999999</v>
    <v>30.885000000000002</v>
    <v>31.375</v>
    <v>31.454999999999998</v>
    <v>31.585000000000001</v>
    <v>31.225000000000001</v>
    <v>31.28</v>
    <v>31.22</v>
    <v>31.42</v>
    <v>31.405000000000001</v>
    <v>31.555</v>
    <v>31.86</v>
    <v>31.805</v>
    <v>31.995000000000001</v>
    <v>31.96</v>
    <v>32.024999999999999</v>
    <v>31.88</v>
    <v>32.020000000000003</v>
    <v>32.045000000000002</v>
    <v>32.234999999999999</v>
    <v>32.119999999999997</v>
    <v>32.090000000000003</v>
    <v>32.104999999999997</v>
    <v>32.119999999999997</v>
    <v>32.270000000000003</v>
    <v>32.04</v>
    <v>32.164999999999999</v>
    <v>31.574999999999999</v>
    <v>31.824999999999999</v>
    <v>31.84</v>
    <v>31.645</v>
    <v>31.734999999999999</v>
    <v>32.255000000000003</v>
    <v>32.395000000000003</v>
    <v>32.515000000000001</v>
    <v>32.840000000000003</v>
    <v>32.585000000000001</v>
    <v>31.745000000000001</v>
    <v>30.785</v>
    <v>30.91</v>
    <v>31.395</v>
    <v>31.405000000000001</v>
    <v>31.43</v>
    <v>31.375</v>
    <v>31.125</v>
    <v>30.85</v>
    <v>31.585000000000001</v>
    <v>31.504999999999999</v>
    <v>31.47</v>
    <v>31.585000000000001</v>
    <v>31.614999999999998</v>
    <v>31.585000000000001</v>
    <v>31.77</v>
    <v>31.68</v>
    <v>31.83</v>
    <v>32.104999999999997</v>
    <v>32.340000000000003</v>
    <v>32.244999999999997</v>
    <v>32.215000000000003</v>
    <v>32.195</v>
    <v>32.005000000000003</v>
    <v>31.51</v>
    <v>31.914999999999999</v>
    <v>32.015000000000001</v>
    <v>31.8</v>
    <v>32.33</v>
    <v>32.340000000000003</v>
    <v>32.33</v>
    <v>32.33</v>
    <v>32.145000000000003</v>
    <v>32.274999999999999</v>
    <v>32.695</v>
    <v>33.075000000000003</v>
    <v>32.895000000000003</v>
    <v>32.965000000000003</v>
    <v>33</v>
    <v>33.104999999999997</v>
    <v>32.590000000000003</v>
    <v>32.685000000000002</v>
    <v>32.479999999999997</v>
    <v>32.295000000000002</v>
    <v>32.145000000000003</v>
    <v>31.745000000000001</v>
    <v>32.17</v>
    <v>32.43</v>
    <v>32.28</v>
    <v>32.25</v>
    <v>32.405000000000001</v>
    <v>32.325000000000003</v>
    <v>32.424999999999997</v>
    <v>32.03</v>
    <v>32.08</v>
    <v>31.895</v>
    <v>31.49</v>
    <v>31.475000000000001</v>
    <v>31.32</v>
    <v>30.905000000000001</v>
    <v>31.035</v>
    <v>31.19</v>
    <v>30.84</v>
    <v>30.655000000000001</v>
    <v>30.785</v>
    <v>30.36</v>
    <v>30.46</v>
    <v>31.23</v>
    <v>30.855</v>
    <v>30.715</v>
    <v>31.094999999999999</v>
    <v>30.734999999999999</v>
    <v>30.44</v>
    <v>30.524999999999999</v>
    <v>30.395</v>
    <v>30.44</v>
    <v>30.555</v>
    <v>30.78</v>
    <v>30.56</v>
    <v>31.41</v>
    <v>31.704999999999998</v>
    <v>31.605</v>
    <v>31.425000000000001</v>
    <v>31.265000000000001</v>
    <v>31.545000000000002</v>
    <v>31.67</v>
    <v>31.81</v>
    <v>31.824999999999999</v>
    <v>32.1</v>
    <v>32.020000000000003</v>
    <v>32.01</v>
    <v>32.155000000000001</v>
    <v>32.365000000000002</v>
    <v>32.094999999999999</v>
    <v>32.33</v>
    <v>32.244999999999997</v>
    <v>31.905000000000001</v>
    <v>31.774999999999999</v>
    <v>31.754999999999999</v>
    <v>31.295000000000002</v>
    <v>31.14</v>
    <v>30.98</v>
    <v>30.785</v>
    <v>31.885000000000002</v>
    <v>31.68</v>
    <v>30.914999999999999</v>
    <v>30.875</v>
    <v>30.86</v>
    <v>30.734999999999999</v>
    <v>30.315000000000001</v>
    <v>29.844999999999999</v>
    <v>29.875</v>
    <v>30.18</v>
    <v>29.995000000000001</v>
    <v>30.045000000000002</v>
    <v>30.09</v>
    <v>29.44</v>
    <v>29.3</v>
    <v>29.585000000000001</v>
    <v>29.085000000000001</v>
    <v>28.605</v>
    <v>28.85</v>
    <v>29.145</v>
    <v>29.47</v>
    <v>29.71</v>
    <v>29.84</v>
    <v>30.004999999999999</v>
    <v>29.74</v>
    <v>29.6</v>
    <v>29.48</v>
    <v>29.535</v>
    <v>29.13</v>
    <v>28.81</v>
    <v>28.914999999999999</v>
    <v>28.364999999999998</v>
    <v>28.434999999999999</v>
    <v>28.405000000000001</v>
    <v>28.585000000000001</v>
    <v>28.605</v>
    <v>28.4</v>
    <v>28.125</v>
    <v>27.885000000000002</v>
    <v>27.945</v>
    <v>27.934999999999999</v>
    <v>27.344999999999999</v>
    <v>27.344999999999999</v>
    <v>26.86</v>
    <v>26.875</v>
    <v>27.01</v>
    <v>26.78</v>
    <v>26.61</v>
    <v>26.495000000000001</v>
    <v>26.57</v>
    <v>26.625</v>
    <v>26.725000000000001</v>
    <v>26.934999999999999</v>
    <v>27.31</v>
    <v>27.754999999999999</v>
    <v>28.03</v>
    <v>28.57</v>
    <v>29.1</v>
    <v>28.954999999999998</v>
    <v>28.7</v>
    <v>28.885000000000002</v>
    <v>28.555</v>
    <v>28.55</v>
    <v>28.49</v>
    <v>28.585000000000001</v>
    <v>27.88</v>
    <v>26.875</v>
    <v>26.645</v>
    <v>27.364999999999998</v>
    <v>26.344999999999999</v>
    <v>26.98</v>
    <v>26.51</v>
    <v>26.96</v>
    <v>27.395</v>
    <v>27.355</v>
    <v>27.914999999999999</v>
    <v>28.23</v>
    <v>28.414999999999999</v>
    <v>28.555</v>
    <v>28.07</v>
    <v>28.29</v>
    <v>28.335000000000001</v>
    <v>28.44</v>
    <v>28.77</v>
    <v>29.12</v>
    <v>28.77</v>
    <v>28.52</v>
    <v>27.795000000000002</v>
    <v>28.055</v>
    <v>29.68</v>
    <v>29.37</v>
    <v>29.35</v>
    <v>29.765000000000001</v>
    <v>29.765000000000001</v>
    <v>29.62</v>
    <v>29.225000000000001</v>
    <v>29.065000000000001</v>
    <v>28.92</v>
    <v>29.15</v>
    <v>29.29</v>
    <v>29.17</v>
    <v>29.114999999999998</v>
    <v>29.08</v>
    <v>28.984999999999999</v>
    <v>28.855</v>
    <v>28.76</v>
    <v>28.614999999999998</v>
    <v>28.8</v>
    <v>29.274999999999999</v>
    <v>29.34</v>
    <v>29.355</v>
    <v>29.31</v>
    <v>28.675000000000001</v>
    <v>28.36</v>
    <v>28.625</v>
    <v>28.44</v>
    <v>28.245000000000001</v>
    <v>28.01</v>
    <v>28.4</v>
    <v>28.335000000000001</v>
    <v>28.565000000000001</v>
    <v>28.66</v>
    <v>28.87</v>
    <v>29.04</v>
    <v>28.74</v>
    <v>28.8</v>
    <v>28.675000000000001</v>
    <v>28.79</v>
    <v>28.71</v>
    <v>28.76</v>
    <v>28.864999999999998</v>
    <v>28.82</v>
    <v>28.7</v>
    <v>28.48</v>
    <v>28.46</v>
    <v>28.76</v>
    <v>28.555</v>
    <v>28.64</v>
    <v>28.31</v>
    <v>28.35</v>
    <v>28.16</v>
    <v>28.274999999999999</v>
    <v>27.885000000000002</v>
    <v>27.62</v>
    <v>27.7</v>
    <v>27.984999999999999</v>
    <v>27.83</v>
    <v>27.9</v>
    <v>27.574999999999999</v>
    <v>27.38</v>
    <v>27.34</v>
    <v>27.024999999999999</v>
    <v>27.254999999999999</v>
    <v>26.864999999999998</v>
    <v>27.175000000000001</v>
    <v>27.03</v>
    <v>27.105</v>
    <v>27.045000000000002</v>
    <v>27.6</v>
    <v>27.79</v>
    <v>27.885000000000002</v>
    <v>27.925000000000001</v>
    <v>27.51</v>
    <v>27.574999999999999</v>
    <v>27.175000000000001</v>
    <v>27.245000000000001</v>
    <v>27.015000000000001</v>
    <v>26.565000000000001</v>
    <v>26.93</v>
    <v>26.87</v>
    <v>27.04</v>
    <v>27.085000000000001</v>
    <v>26.885000000000002</v>
    <v>27.074999999999999</v>
    <v>27.08</v>
    <v>27.315000000000001</v>
    <v>27.29</v>
    <v>27.33</v>
    <v>27.315000000000001</v>
    <v>27.31</v>
    <v>27.58</v>
    <v>27.515000000000001</v>
    <v>27.7</v>
    <v>27.395</v>
    <v>27.145</v>
    <v>27.06</v>
    <v>27.045000000000002</v>
    <v>26.75</v>
    <v>26.675000000000001</v>
    <v>26.55</v>
    <v>26.864999999999998</v>
    <v>26.77</v>
    <v>26.83</v>
    <v>27.085000000000001</v>
    <v>27.274999999999999</v>
    <v>27.265000000000001</v>
    <v>27.51</v>
    <v>27.46</v>
    <v>27.62</v>
    <v>27.38</v>
    <v>27.78</v>
    <v>28.045000000000002</v>
    <v>28.13</v>
    <v>28.335000000000001</v>
    <v>28.344999999999999</v>
    <v>28.824999999999999</v>
    <v>28.565000000000001</v>
    <v>28.305</v>
    <v>28.405000000000001</v>
    <v>28.28</v>
    <v>28.295000000000002</v>
    <v>28.375</v>
    <v>28.114999999999998</v>
    <v>28.274999999999999</v>
    <v>28.28</v>
    <v>28.41</v>
    <v>27.89</v>
    <v>27.72</v>
    <v>28.05</v>
    <v>28.355</v>
    <v>28.3</v>
    <v>28.05</v>
    <v>28.31</v>
    <v>28.44</v>
    <v>28.355</v>
    <v>28.61</v>
    <v>28.68</v>
    <v>28.31</v>
    <v>28.29</v>
    <v>28.065000000000001</v>
    <v>28.355</v>
    <v>28.305</v>
    <v>28.45</v>
    <v>28.225000000000001</v>
    <v>27.85</v>
    <v>27.53</v>
    <v>27.74</v>
    <v>27.914999999999999</v>
    <v>27.405000000000001</v>
    <v>27.48</v>
    <v>27.425000000000001</v>
    <v>27.364999999999998</v>
    <v>27.16</v>
    <v>27.2</v>
    <v>26.93</v>
    <v>27.02</v>
    <v>27.305</v>
    <v>27.92</v>
    <v>27.785</v>
    <v>27.785</v>
    <v>27.44</v>
    <v>27.52</v>
    <v>27.995000000000001</v>
    <v>27.98</v>
    <v>27.9</v>
    <v>28.05</v>
    <v>27.774999999999999</v>
    <v>27.565000000000001</v>
    <v>27.54</v>
    <v>27.375</v>
    <v>27.454999999999998</v>
    <v>27.57</v>
    <v>27.285</v>
    <v>27.1</v>
    <v>26.52</v>
    <v>26.33</v>
    <v>26.44</v>
    <v>26.01</v>
    <v>25.92</v>
    <v>25.85</v>
    <v>25.785</v>
    <v>25.885000000000002</v>
    <v>25.99</v>
    <v>26.274999999999999</v>
    <v>26.98</v>
    <v>27.09</v>
    <v>26.945</v>
    <v>27.164999999999999</v>
    <v>27.085000000000001</v>
    <v>27.114999999999998</v>
    <v>27</v>
    <v>26.864999999999998</v>
    <v>26.664999999999999</v>
    <v>26.72</v>
    <v>26.89</v>
    <v>26.975000000000001</v>
    <v>26.545000000000002</v>
    <v>27.1</v>
    <v>26.715</v>
    <v>26.844999999999999</v>
    <v>26.67</v>
    <v>26.754999999999999</v>
    <v>26.445</v>
    <v>26.05</v>
    <v>25.37</v>
    <v>25.53</v>
    <v>25.7</v>
    <v>25.635000000000002</v>
    <v>25.43</v>
    <v>25.605</v>
    <v>25.265000000000001</v>
    <v>24.905000000000001</v>
    <v>24.89</v>
    <v>24.975000000000001</v>
    <v>24.9</v>
    <v>24.74</v>
    <v>24.28</v>
    <v>23.87</v>
    <v>24.175000000000001</v>
    <v>23.704999999999998</v>
    <v>24.254999999999999</v>
    <v>23.96</v>
    <v>23.4</v>
    <v>23.33</v>
    <v>23.36</v>
    <v>23.715</v>
    <v>23.715</v>
    <v>23.9</v>
    <v>25.01</v>
    <v>24.93</v>
    <v>24.984999999999999</v>
    <v>24.704999999999998</v>
    <v>25.004999999999999</v>
    <v>25.164999999999999</v>
    <v>25.184999999999999</v>
    <v>25.975000000000001</v>
    <v>25.585000000000001</v>
    <v>25.305</v>
    <v>25.385000000000002</v>
    <v>25.35</v>
    <v>25.03</v>
    <v>25.03</v>
    <v>24.795000000000002</v>
    <v>24.855</v>
    <v>24.93</v>
    <v>24.605</v>
    <v>24.885000000000002</v>
    <v>25.36</v>
    <v>25.335000000000001</v>
    <v>25.094999999999999</v>
    <v>24.414999999999999</v>
    <v>23.84</v>
    <v>24.16</v>
    <v>24.565000000000001</v>
    <v>24.6</v>
    <v>24.25</v>
    <v>24.12</v>
    <v>24.42</v>
    <v>24.315000000000001</v>
    <v>24.774999999999999</v>
    <v>25.055</v>
    <v>24.835000000000001</v>
    <v>24.824999999999999</v>
    <v>24.59</v>
    <v>24.76</v>
    <v>24.375</v>
    <v>24.445</v>
    <v>24.225000000000001</v>
    <v>24.4</v>
    <v>24.35</v>
    <v>24.265000000000001</v>
    <v>24.335000000000001</v>
    <v>24.285</v>
    <v>24.08</v>
    <v>24.725000000000001</v>
    <v>25.234999999999999</v>
    <v>25.324999999999999</v>
    <v>25.48</v>
    <v>25.765000000000001</v>
    <v>25.72</v>
    <v>25.93</v>
    <v>25.62</v>
    <v>25.984999999999999</v>
    <v>25.82</v>
    <v>25.96</v>
    <v>25.515000000000001</v>
    <v>25.704999999999998</v>
    <v>25.75</v>
    <v>25.77</v>
    <v>25.68</v>
    <v>25.94</v>
    <v>25.745000000000001</v>
    <v>25.21</v>
    <v>25.504999999999999</v>
    <v>25.704999999999998</v>
    <v>25.535</v>
    <v>25.335000000000001</v>
    <v>25.364999999999998</v>
    <v>25.34</v>
    <v>25.44</v>
    <v>25.414999999999999</v>
    <v>25.47</v>
    <v>25.17</v>
    <v>24.905000000000001</v>
    <v>25.204999999999998</v>
    <v>25.41</v>
    <v>25.77</v>
    <v>25.645</v>
    <v>25.645</v>
    <v>25.72</v>
    <v>25.95</v>
    <v>26.015000000000001</v>
    <v>25.98</v>
    <v>25.94</v>
    <v>26</v>
    <v>25.855</v>
    <v>25.84</v>
    <v>25.7</v>
    <v>25.76</v>
    <v>25.54</v>
    <v>25.6</v>
    <v>25.3</v>
    <v>25.22</v>
    <v>25.3</v>
    <v>25.305</v>
    <v>25.105</v>
    <v>25.495000000000001</v>
    <v>25.38</v>
    <v>25.29</v>
    <v>25.38</v>
    <v>25.315000000000001</v>
    <v>25.4</v>
    <v>25.405000000000001</v>
    <v>25.335000000000001</v>
    <v>25.364999999999998</v>
    <v>25.074999999999999</v>
    <v>25.045000000000002</v>
    <v>24.765000000000001</v>
    <v>24.465</v>
    <v>24.625</v>
    <v>24.64</v>
    <v>24.344999999999999</v>
    <v>24.39</v>
    <v>24.664999999999999</v>
    <v>24.66</v>
    <v>24.87</v>
    <v>24.86</v>
    <v>24.95</v>
    <v>24.54</v>
    <v>24.61</v>
    <v>24.29</v>
    <v>24.175000000000001</v>
    <v>24.024999999999999</v>
    <v>24.15</v>
    <v>24.195</v>
    <v>24.225000000000001</v>
    <v>24.39</v>
    <v>24.08</v>
    <v>23.675000000000001</v>
    <v>23.98</v>
    <v>24.355</v>
    <v>24.74</v>
    <v>24.684999999999999</v>
    <v>25.024999999999999</v>
    <v>24.99</v>
    <v>24.75</v>
    <v>24.83</v>
    <v>24.67</v>
    <v>24.605</v>
    <v>24.215</v>
  </a>
  <a r="1" c="208">
    <v t="i">2</v>
    <v t="i">5</v>
    <v t="i">6</v>
    <v t="i">7</v>
    <v t="i">8</v>
    <v t="i">9</v>
    <v t="i">12</v>
    <v t="i">13</v>
    <v t="i">14</v>
    <v t="i">15</v>
    <v t="i">16</v>
    <v t="i">19</v>
    <v t="i">20</v>
    <v t="i">21</v>
    <v t="i">22</v>
    <v t="i">23</v>
    <v t="i">26</v>
    <v t="i">27</v>
    <v t="i">28</v>
    <v t="i">29</v>
    <v t="i">30</v>
    <v t="i">33</v>
    <v t="i">34</v>
    <v t="i">35</v>
    <v t="i">36</v>
    <v t="i">37</v>
    <v t="i">40</v>
    <v t="i">41</v>
    <v t="i">42</v>
    <v t="i">43</v>
    <v t="i">44</v>
    <v t="i">47</v>
    <v t="i">48</v>
    <v t="i">49</v>
    <v t="i">50</v>
    <v t="i">51</v>
    <v t="i">54</v>
    <v t="i">55</v>
    <v t="i">56</v>
    <v t="i">57</v>
    <v t="i">58</v>
    <v t="i">61</v>
    <v t="i">62</v>
    <v t="i">63</v>
    <v t="i">64</v>
    <v t="i">65</v>
    <v t="i">68</v>
    <v t="i">69</v>
    <v t="i">70</v>
    <v t="i">71</v>
    <v t="i">72</v>
    <v t="i">75</v>
    <v t="i">76</v>
    <v t="i">77</v>
    <v t="i">78</v>
    <v t="i">79</v>
    <v t="i">82</v>
    <v t="i">83</v>
    <v t="i">84</v>
    <v t="i">85</v>
    <v t="i">86</v>
    <v t="i">89</v>
    <v t="i">90</v>
    <v t="i">91</v>
    <v t="i">92</v>
    <v t="i">97</v>
    <v t="i">98</v>
    <v t="i">99</v>
    <v t="i">100</v>
    <v t="i">103</v>
    <v t="i">104</v>
    <v t="i">105</v>
    <v t="i">106</v>
    <v t="i">107</v>
    <v t="i">110</v>
    <v t="i">111</v>
    <v t="i">112</v>
    <v t="i">113</v>
    <v t="i">114</v>
    <v t="i">117</v>
    <v t="i">118</v>
    <v t="i">119</v>
    <v t="i">120</v>
    <v t="i">124</v>
    <v t="i">125</v>
    <v t="i">126</v>
    <v t="i">127</v>
    <v t="i">128</v>
    <v t="i">131</v>
    <v t="i">132</v>
    <v t="i">133</v>
    <v t="i">134</v>
    <v t="i">135</v>
    <v t="i">138</v>
    <v t="i">139</v>
    <v t="i">140</v>
    <v t="i">141</v>
    <v t="i">142</v>
    <v t="i">145</v>
    <v t="i">146</v>
    <v t="i">147</v>
    <v t="i">148</v>
    <v t="i">149</v>
    <v t="i">152</v>
    <v t="i">153</v>
    <v t="i">154</v>
    <v t="i">155</v>
    <v t="i">156</v>
    <v t="i">159</v>
    <v t="i">160</v>
    <v t="i">161</v>
    <v t="i">162</v>
    <v t="i">163</v>
    <v t="i">166</v>
    <v t="i">167</v>
    <v t="i">168</v>
    <v t="i">169</v>
    <v t="i">170</v>
    <v t="i">173</v>
    <v t="i">174</v>
    <v t="i">175</v>
    <v t="i">176</v>
    <v t="i">177</v>
    <v t="i">180</v>
    <v t="i">181</v>
    <v t="i">182</v>
    <v t="i">183</v>
    <v t="i">184</v>
    <v t="i">187</v>
    <v t="i">188</v>
    <v t="i">189</v>
    <v t="i">190</v>
    <v t="i">191</v>
    <v t="i">194</v>
    <v t="i">195</v>
    <v t="i">196</v>
    <v t="i">197</v>
    <v t="i">198</v>
    <v t="i">201</v>
    <v t="i">202</v>
    <v t="i">203</v>
    <v t="i">204</v>
    <v t="i">205</v>
    <v t="i">208</v>
    <v t="i">209</v>
    <v t="i">210</v>
    <v t="i">211</v>
    <v t="i">212</v>
    <v t="i">215</v>
    <v t="i">216</v>
    <v t="i">217</v>
    <v t="i">218</v>
    <v t="i">219</v>
    <v t="i">222</v>
    <v t="i">223</v>
    <v t="i">224</v>
    <v t="i">225</v>
    <v t="i">226</v>
    <v t="i">229</v>
    <v t="i">230</v>
    <v t="i">231</v>
    <v t="i">232</v>
    <v t="i">233</v>
    <v t="i">236</v>
    <v t="i">237</v>
    <v t="i">238</v>
    <v t="i">239</v>
    <v t="i">240</v>
    <v t="i">243</v>
    <v t="i">244</v>
    <v t="i">245</v>
    <v t="i">246</v>
    <v t="i">247</v>
    <v t="i">250</v>
    <v t="i">251</v>
    <v t="i">252</v>
    <v t="i">253</v>
    <v t="i">254</v>
    <v t="i">257</v>
    <v t="i">258</v>
    <v t="i">259</v>
    <v t="i">260</v>
    <v t="i">261</v>
    <v t="i">264</v>
    <v t="i">265</v>
    <v t="i">266</v>
    <v t="i">267</v>
    <v t="i">268</v>
    <v t="i">271</v>
    <v t="i">272</v>
    <v t="i">273</v>
    <v t="i">274</v>
    <v t="i">275</v>
    <v t="i">278</v>
    <v t="i">279</v>
    <v t="i">280</v>
    <v t="i">281</v>
    <v t="i">282</v>
    <v t="i">285</v>
    <v t="i">286</v>
    <v t="i">287</v>
    <v t="i">288</v>
    <v t="i">289</v>
    <v t="i">292</v>
    <v t="i">293</v>
    <v t="i">294</v>
    <v t="i">295</v>
    <v t="i">296</v>
  </a>
  <a r="1" c="208">
    <v>27.995000000000001</v>
    <v>27.98</v>
    <v>27.9</v>
    <v>28.05</v>
    <v>27.774999999999999</v>
    <v>27.565000000000001</v>
    <v>27.54</v>
    <v>27.375</v>
    <v>27.454999999999998</v>
    <v>27.57</v>
    <v>27.285</v>
    <v>27.1</v>
    <v>26.52</v>
    <v>26.33</v>
    <v>26.44</v>
    <v>26.01</v>
    <v>25.92</v>
    <v>25.85</v>
    <v>25.785</v>
    <v>25.885000000000002</v>
    <v>25.99</v>
    <v>26.274999999999999</v>
    <v>26.98</v>
    <v>27.09</v>
    <v>26.945</v>
    <v>27.164999999999999</v>
    <v>27.085000000000001</v>
    <v>27.114999999999998</v>
    <v>27</v>
    <v>26.864999999999998</v>
    <v>26.664999999999999</v>
    <v>26.72</v>
    <v>26.89</v>
    <v>26.975000000000001</v>
    <v>26.545000000000002</v>
    <v>27.1</v>
    <v>26.715</v>
    <v>26.844999999999999</v>
    <v>26.67</v>
    <v>26.754999999999999</v>
    <v>26.445</v>
    <v>26.05</v>
    <v>25.37</v>
    <v>25.53</v>
    <v>25.7</v>
    <v>25.635000000000002</v>
    <v>25.43</v>
    <v>25.605</v>
    <v>25.265000000000001</v>
    <v>24.905000000000001</v>
    <v>24.89</v>
    <v>24.975000000000001</v>
    <v>24.9</v>
    <v>24.74</v>
    <v>24.28</v>
    <v>23.87</v>
    <v>24.175000000000001</v>
    <v>23.704999999999998</v>
    <v>24.254999999999999</v>
    <v>23.96</v>
    <v>23.4</v>
    <v>23.33</v>
    <v>23.36</v>
    <v>23.715</v>
    <v>23.715</v>
    <v>23.9</v>
    <v>25.01</v>
    <v>24.93</v>
    <v>24.984999999999999</v>
    <v>24.704999999999998</v>
    <v>25.004999999999999</v>
    <v>25.164999999999999</v>
    <v>25.184999999999999</v>
    <v>25.975000000000001</v>
    <v>25.585000000000001</v>
    <v>25.305</v>
    <v>25.385000000000002</v>
    <v>25.35</v>
    <v>25.03</v>
    <v>25.03</v>
    <v>24.795000000000002</v>
    <v>24.855</v>
    <v>24.93</v>
    <v>24.605</v>
    <v>24.885000000000002</v>
    <v>25.36</v>
    <v>25.335000000000001</v>
    <v>25.094999999999999</v>
    <v>24.414999999999999</v>
    <v>23.84</v>
    <v>24.16</v>
    <v>24.565000000000001</v>
    <v>24.6</v>
    <v>24.25</v>
    <v>24.12</v>
    <v>24.42</v>
    <v>24.315000000000001</v>
    <v>24.774999999999999</v>
    <v>25.055</v>
    <v>24.835000000000001</v>
    <v>24.824999999999999</v>
    <v>24.59</v>
    <v>24.76</v>
    <v>24.375</v>
    <v>24.445</v>
    <v>24.225000000000001</v>
    <v>24.4</v>
    <v>24.35</v>
    <v>24.265000000000001</v>
    <v>24.335000000000001</v>
    <v>24.285</v>
    <v>24.08</v>
    <v>24.725000000000001</v>
    <v>25.234999999999999</v>
    <v>25.324999999999999</v>
    <v>25.48</v>
    <v>25.765000000000001</v>
    <v>25.72</v>
    <v>25.93</v>
    <v>25.62</v>
    <v>25.984999999999999</v>
    <v>25.82</v>
    <v>25.96</v>
    <v>25.515000000000001</v>
    <v>25.704999999999998</v>
    <v>25.75</v>
    <v>25.77</v>
    <v>25.68</v>
    <v>25.94</v>
    <v>25.745000000000001</v>
    <v>25.21</v>
    <v>25.504999999999999</v>
    <v>25.704999999999998</v>
    <v>25.535</v>
    <v>25.335000000000001</v>
    <v>25.364999999999998</v>
    <v>25.34</v>
    <v>25.44</v>
    <v>25.414999999999999</v>
    <v>25.47</v>
    <v>25.17</v>
    <v>24.905000000000001</v>
    <v>25.204999999999998</v>
    <v>25.41</v>
    <v>25.77</v>
    <v>25.645</v>
    <v>25.645</v>
    <v>25.72</v>
    <v>25.95</v>
    <v>26.015000000000001</v>
    <v>25.98</v>
    <v>25.94</v>
    <v>26</v>
    <v>25.855</v>
    <v>25.84</v>
    <v>25.7</v>
    <v>25.76</v>
    <v>25.54</v>
    <v>25.6</v>
    <v>25.3</v>
    <v>25.22</v>
    <v>25.3</v>
    <v>25.305</v>
    <v>25.105</v>
    <v>25.495000000000001</v>
    <v>25.38</v>
    <v>25.29</v>
    <v>25.38</v>
    <v>25.315000000000001</v>
    <v>25.4</v>
    <v>25.405000000000001</v>
    <v>25.335000000000001</v>
    <v>25.364999999999998</v>
    <v>25.074999999999999</v>
    <v>25.045000000000002</v>
    <v>24.765000000000001</v>
    <v>24.465</v>
    <v>24.625</v>
    <v>24.64</v>
    <v>24.344999999999999</v>
    <v>24.39</v>
    <v>24.664999999999999</v>
    <v>24.66</v>
    <v>24.87</v>
    <v>24.86</v>
    <v>24.95</v>
    <v>24.54</v>
    <v>24.61</v>
    <v>24.29</v>
    <v>24.175000000000001</v>
    <v>24.024999999999999</v>
    <v>24.15</v>
    <v>24.195</v>
    <v>24.225000000000001</v>
    <v>24.39</v>
    <v>24.08</v>
    <v>23.675000000000001</v>
    <v>23.98</v>
    <v>24.355</v>
    <v>24.74</v>
    <v>24.684999999999999</v>
    <v>25.024999999999999</v>
    <v>24.99</v>
    <v>24.75</v>
    <v>24.83</v>
    <v>24.67</v>
    <v>24.605</v>
    <v>24.215</v>
  </a>
  <a r="1" c="254">
    <v t="i">0</v>
    <v t="i">1</v>
    <v t="i">4</v>
    <v t="i">5</v>
    <v t="i">6</v>
    <v t="i">7</v>
    <v t="i">8</v>
    <v t="i">11</v>
    <v t="i">12</v>
    <v t="i">13</v>
    <v t="i">14</v>
    <v t="i">15</v>
    <v t="i">18</v>
    <v t="i">19</v>
    <v t="i">20</v>
    <v t="i">21</v>
    <v t="i">22</v>
    <v t="i">25</v>
    <v t="i">26</v>
    <v t="i">27</v>
    <v t="i">28</v>
    <v t="i">29</v>
    <v t="i">32</v>
    <v t="i">33</v>
    <v t="i">34</v>
    <v t="i">35</v>
    <v t="i">36</v>
    <v t="i">39</v>
    <v t="i">40</v>
    <v t="i">41</v>
    <v t="i">42</v>
    <v t="i">43</v>
    <v t="i">46</v>
    <v t="i">47</v>
    <v t="i">48</v>
    <v t="i">49</v>
    <v t="i">50</v>
    <v t="i">53</v>
    <v t="i">54</v>
    <v t="i">55</v>
    <v t="i">56</v>
    <v t="i">57</v>
    <v t="i">60</v>
    <v t="i">61</v>
    <v t="i">67</v>
    <v t="i">68</v>
    <v t="i">71</v>
    <v t="i">74</v>
    <v t="i">75</v>
    <v t="i">76</v>
    <v t="i">77</v>
    <v t="i">78</v>
    <v t="i">81</v>
    <v t="i">82</v>
    <v t="i">83</v>
    <v t="i">84</v>
    <v t="i">85</v>
    <v t="i">88</v>
    <v t="i">89</v>
    <v t="i">90</v>
    <v t="i">91</v>
    <v t="i">92</v>
    <v t="i">95</v>
    <v t="i">96</v>
    <v t="i">97</v>
    <v t="i">98</v>
    <v t="i">99</v>
    <v t="i">102</v>
    <v t="i">103</v>
    <v t="i">104</v>
    <v t="i">105</v>
    <v t="i">106</v>
    <v t="i">109</v>
    <v t="i">110</v>
    <v t="i">111</v>
    <v t="i">112</v>
    <v t="i">113</v>
    <v t="i">116</v>
    <v t="i">117</v>
    <v t="i">118</v>
    <v t="i">119</v>
    <v t="i">120</v>
    <v t="i">123</v>
    <v t="i">124</v>
    <v t="i">125</v>
    <v t="i">126</v>
    <v t="i">127</v>
    <v t="i">130</v>
    <v t="i">131</v>
    <v t="i">132</v>
    <v t="i">133</v>
    <v t="i">134</v>
    <v t="i">137</v>
    <v t="i">138</v>
    <v t="i">139</v>
    <v t="i">140</v>
    <v t="i">141</v>
    <v t="i">144</v>
    <v t="i">145</v>
    <v t="i">146</v>
    <v t="i">147</v>
    <v t="i">148</v>
    <v t="i">151</v>
    <v t="i">152</v>
    <v t="i">153</v>
    <v t="i">154</v>
    <v t="i">155</v>
    <v t="i">158</v>
    <v t="i">159</v>
    <v t="i">160</v>
    <v t="i">161</v>
    <v t="i">166</v>
    <v t="i">167</v>
    <v t="i">168</v>
    <v t="i">169</v>
    <v t="i">172</v>
    <v t="i">173</v>
    <v t="i">174</v>
    <v t="i">175</v>
    <v t="i">176</v>
    <v t="i">179</v>
    <v t="i">180</v>
    <v t="i">181</v>
    <v t="i">182</v>
    <v t="i">183</v>
    <v t="i">186</v>
    <v t="i">187</v>
    <v t="i">188</v>
    <v t="i">189</v>
    <v t="i">193</v>
    <v t="i">194</v>
    <v t="i">195</v>
    <v t="i">196</v>
    <v t="i">197</v>
    <v t="i">200</v>
    <v t="i">201</v>
    <v t="i">202</v>
    <v t="i">203</v>
    <v t="i">204</v>
    <v t="i">207</v>
    <v t="i">208</v>
    <v t="i">209</v>
    <v t="i">210</v>
    <v t="i">211</v>
    <v t="i">214</v>
    <v t="i">215</v>
    <v t="i">216</v>
    <v t="i">217</v>
    <v t="i">218</v>
    <v t="i">221</v>
    <v t="i">222</v>
    <v t="i">223</v>
    <v t="i">224</v>
    <v t="i">225</v>
    <v t="i">228</v>
    <v t="i">229</v>
    <v t="i">230</v>
    <v t="i">231</v>
    <v t="i">232</v>
    <v t="i">235</v>
    <v t="i">236</v>
    <v t="i">237</v>
    <v t="i">238</v>
    <v t="i">239</v>
    <v t="i">242</v>
    <v t="i">243</v>
    <v t="i">244</v>
    <v t="i">245</v>
    <v t="i">246</v>
    <v t="i">249</v>
    <v t="i">250</v>
    <v t="i">251</v>
    <v t="i">252</v>
    <v t="i">253</v>
    <v t="i">256</v>
    <v t="i">257</v>
    <v t="i">258</v>
    <v t="i">259</v>
    <v t="i">260</v>
    <v t="i">263</v>
    <v t="i">264</v>
    <v t="i">265</v>
    <v t="i">266</v>
    <v t="i">267</v>
    <v t="i">270</v>
    <v t="i">271</v>
    <v t="i">272</v>
    <v t="i">273</v>
    <v t="i">274</v>
    <v t="i">277</v>
    <v t="i">278</v>
    <v t="i">279</v>
    <v t="i">280</v>
    <v t="i">281</v>
    <v t="i">284</v>
    <v t="i">285</v>
    <v t="i">286</v>
    <v t="i">287</v>
    <v t="i">288</v>
    <v t="i">291</v>
    <v t="i">292</v>
    <v t="i">293</v>
    <v t="i">294</v>
    <v t="i">295</v>
    <v t="i">298</v>
    <v t="i">299</v>
    <v t="i">300</v>
    <v t="i">301</v>
    <v t="i">302</v>
    <v t="i">305</v>
    <v t="i">306</v>
    <v t="i">307</v>
    <v t="i">308</v>
    <v t="i">309</v>
    <v t="i">312</v>
    <v t="i">313</v>
    <v t="i">314</v>
    <v t="i">315</v>
    <v t="i">316</v>
    <v t="i">319</v>
    <v t="i">320</v>
    <v t="i">321</v>
    <v t="i">322</v>
    <v t="i">323</v>
    <v t="i">326</v>
    <v t="i">327</v>
    <v t="i">328</v>
    <v t="i">329</v>
    <v t="i">330</v>
    <v t="i">333</v>
    <v t="i">334</v>
    <v t="i">335</v>
    <v t="i">336</v>
    <v t="i">337</v>
    <v t="i">340</v>
    <v t="i">341</v>
    <v t="i">342</v>
    <v t="i">343</v>
    <v t="i">344</v>
    <v t="i">347</v>
    <v t="i">348</v>
    <v t="i">349</v>
    <v t="i">350</v>
    <v t="i">351</v>
    <v t="i">354</v>
    <v t="i">355</v>
    <v t="i">356</v>
    <v t="i">357</v>
    <v t="i">358</v>
    <v t="i">361</v>
    <v t="i">362</v>
    <v t="i">363</v>
    <v t="i">364</v>
    <v t="i">365</v>
  </a>
  <a r="1" c="254">
    <v>28.565000000000001</v>
    <v>28.305</v>
    <v>28.405000000000001</v>
    <v>28.28</v>
    <v>28.295000000000002</v>
    <v>28.375</v>
    <v>28.114999999999998</v>
    <v>28.274999999999999</v>
    <v>28.28</v>
    <v>28.41</v>
    <v>27.89</v>
    <v>27.72</v>
    <v>28.05</v>
    <v>28.355</v>
    <v>28.3</v>
    <v>28.05</v>
    <v>28.31</v>
    <v>28.44</v>
    <v>28.355</v>
    <v>28.61</v>
    <v>28.68</v>
    <v>28.31</v>
    <v>28.29</v>
    <v>28.065000000000001</v>
    <v>28.355</v>
    <v>28.305</v>
    <v>28.45</v>
    <v>28.225000000000001</v>
    <v>27.85</v>
    <v>27.53</v>
    <v>27.74</v>
    <v>27.914999999999999</v>
    <v>27.405000000000001</v>
    <v>27.48</v>
    <v>27.425000000000001</v>
    <v>27.364999999999998</v>
    <v>27.16</v>
    <v>27.2</v>
    <v>26.93</v>
    <v>27.02</v>
    <v>27.305</v>
    <v>27.92</v>
    <v>27.785</v>
    <v>27.785</v>
    <v>27.44</v>
    <v>27.52</v>
    <v>27.995000000000001</v>
    <v>27.98</v>
    <v>27.9</v>
    <v>28.05</v>
    <v>27.774999999999999</v>
    <v>27.565000000000001</v>
    <v>27.54</v>
    <v>27.375</v>
    <v>27.454999999999998</v>
    <v>27.57</v>
    <v>27.285</v>
    <v>27.1</v>
    <v>26.52</v>
    <v>26.33</v>
    <v>26.44</v>
    <v>26.01</v>
    <v>25.92</v>
    <v>25.85</v>
    <v>25.785</v>
    <v>25.885000000000002</v>
    <v>25.99</v>
    <v>26.274999999999999</v>
    <v>26.98</v>
    <v>27.09</v>
    <v>26.945</v>
    <v>27.164999999999999</v>
    <v>27.085000000000001</v>
    <v>27.114999999999998</v>
    <v>27</v>
    <v>26.864999999999998</v>
    <v>26.664999999999999</v>
    <v>26.72</v>
    <v>26.89</v>
    <v>26.975000000000001</v>
    <v>26.545000000000002</v>
    <v>27.1</v>
    <v>26.715</v>
    <v>26.844999999999999</v>
    <v>26.67</v>
    <v>26.754999999999999</v>
    <v>26.445</v>
    <v>26.05</v>
    <v>25.37</v>
    <v>25.53</v>
    <v>25.7</v>
    <v>25.635000000000002</v>
    <v>25.43</v>
    <v>25.605</v>
    <v>25.265000000000001</v>
    <v>24.905000000000001</v>
    <v>24.89</v>
    <v>24.975000000000001</v>
    <v>24.9</v>
    <v>24.74</v>
    <v>24.28</v>
    <v>23.87</v>
    <v>24.175000000000001</v>
    <v>23.704999999999998</v>
    <v>24.254999999999999</v>
    <v>23.96</v>
    <v>23.4</v>
    <v>23.33</v>
    <v>23.36</v>
    <v>23.715</v>
    <v>23.715</v>
    <v>23.9</v>
    <v>25.01</v>
    <v>24.93</v>
    <v>24.984999999999999</v>
    <v>24.704999999999998</v>
    <v>25.004999999999999</v>
    <v>25.164999999999999</v>
    <v>25.184999999999999</v>
    <v>25.975000000000001</v>
    <v>25.585000000000001</v>
    <v>25.305</v>
    <v>25.385000000000002</v>
    <v>25.35</v>
    <v>25.03</v>
    <v>25.03</v>
    <v>24.795000000000002</v>
    <v>24.855</v>
    <v>24.93</v>
    <v>24.605</v>
    <v>24.885000000000002</v>
    <v>25.36</v>
    <v>25.335000000000001</v>
    <v>25.094999999999999</v>
    <v>24.414999999999999</v>
    <v>23.84</v>
    <v>24.16</v>
    <v>24.565000000000001</v>
    <v>24.6</v>
    <v>24.25</v>
    <v>24.12</v>
    <v>24.42</v>
    <v>24.315000000000001</v>
    <v>24.774999999999999</v>
    <v>25.055</v>
    <v>24.835000000000001</v>
    <v>24.824999999999999</v>
    <v>24.59</v>
    <v>24.76</v>
    <v>24.375</v>
    <v>24.445</v>
    <v>24.225000000000001</v>
    <v>24.4</v>
    <v>24.35</v>
    <v>24.265000000000001</v>
    <v>24.335000000000001</v>
    <v>24.285</v>
    <v>24.08</v>
    <v>24.725000000000001</v>
    <v>25.234999999999999</v>
    <v>25.324999999999999</v>
    <v>25.48</v>
    <v>25.765000000000001</v>
    <v>25.72</v>
    <v>25.93</v>
    <v>25.62</v>
    <v>25.984999999999999</v>
    <v>25.82</v>
    <v>25.96</v>
    <v>25.515000000000001</v>
    <v>25.704999999999998</v>
    <v>25.75</v>
    <v>25.77</v>
    <v>25.68</v>
    <v>25.94</v>
    <v>25.745000000000001</v>
    <v>25.21</v>
    <v>25.504999999999999</v>
    <v>25.704999999999998</v>
    <v>25.535</v>
    <v>25.335000000000001</v>
    <v>25.364999999999998</v>
    <v>25.34</v>
    <v>25.44</v>
    <v>25.414999999999999</v>
    <v>25.47</v>
    <v>25.17</v>
    <v>24.905000000000001</v>
    <v>25.204999999999998</v>
    <v>25.41</v>
    <v>25.77</v>
    <v>25.645</v>
    <v>25.645</v>
    <v>25.72</v>
    <v>25.95</v>
    <v>26.015000000000001</v>
    <v>25.98</v>
    <v>25.94</v>
    <v>26</v>
    <v>25.855</v>
    <v>25.84</v>
    <v>25.7</v>
    <v>25.76</v>
    <v>25.54</v>
    <v>25.6</v>
    <v>25.3</v>
    <v>25.22</v>
    <v>25.3</v>
    <v>25.305</v>
    <v>25.105</v>
    <v>25.495000000000001</v>
    <v>25.38</v>
    <v>25.29</v>
    <v>25.38</v>
    <v>25.315000000000001</v>
    <v>25.4</v>
    <v>25.405000000000001</v>
    <v>25.335000000000001</v>
    <v>25.364999999999998</v>
    <v>25.074999999999999</v>
    <v>25.045000000000002</v>
    <v>24.765000000000001</v>
    <v>24.465</v>
    <v>24.625</v>
    <v>24.64</v>
    <v>24.344999999999999</v>
    <v>24.39</v>
    <v>24.664999999999999</v>
    <v>24.66</v>
    <v>24.87</v>
    <v>24.86</v>
    <v>24.95</v>
    <v>24.54</v>
    <v>24.61</v>
    <v>24.29</v>
    <v>24.175000000000001</v>
    <v>24.024999999999999</v>
    <v>24.15</v>
    <v>24.195</v>
    <v>24.225000000000001</v>
    <v>24.39</v>
    <v>24.08</v>
    <v>23.675000000000001</v>
    <v>23.98</v>
    <v>24.355</v>
    <v>24.74</v>
    <v>24.684999999999999</v>
    <v>25.024999999999999</v>
    <v>24.99</v>
    <v>24.75</v>
    <v>24.83</v>
    <v>24.67</v>
    <v>24.605</v>
    <v>24.215</v>
  </a>
  <a r="1" c="205">
    <v t="i">0</v>
    <v t="i">2</v>
    <v t="i">5</v>
    <v t="i">6</v>
    <v t="i">7</v>
    <v t="i">8</v>
    <v t="i">9</v>
    <v t="i">12</v>
    <v t="i">13</v>
    <v t="i">14</v>
    <v t="i">15</v>
    <v t="i">16</v>
    <v t="i">20</v>
    <v t="i">21</v>
    <v t="i">22</v>
    <v t="i">23</v>
    <v t="i">26</v>
    <v t="i">27</v>
    <v t="i">28</v>
    <v t="i">29</v>
    <v t="i">30</v>
    <v t="i">33</v>
    <v t="i">34</v>
    <v t="i">35</v>
    <v t="i">36</v>
    <v t="i">37</v>
    <v t="i">40</v>
    <v t="i">41</v>
    <v t="i">42</v>
    <v t="i">43</v>
    <v t="i">44</v>
    <v t="i">48</v>
    <v t="i">49</v>
    <v t="i">50</v>
    <v t="i">51</v>
    <v t="i">54</v>
    <v t="i">55</v>
    <v t="i">56</v>
    <v t="i">57</v>
    <v t="i">58</v>
    <v t="i">61</v>
    <v t="i">62</v>
    <v t="i">63</v>
    <v t="i">64</v>
    <v t="i">65</v>
    <v t="i">68</v>
    <v t="i">69</v>
    <v t="i">70</v>
    <v t="i">71</v>
    <v t="i">72</v>
    <v t="i">75</v>
    <v t="i">76</v>
    <v t="i">77</v>
    <v t="i">78</v>
    <v t="i">79</v>
    <v t="i">82</v>
    <v t="i">83</v>
    <v t="i">84</v>
    <v t="i">85</v>
    <v t="i">86</v>
    <v t="i">89</v>
    <v t="i">90</v>
    <v t="i">91</v>
    <v t="i">92</v>
    <v t="i">96</v>
    <v t="i">97</v>
    <v t="i">98</v>
    <v t="i">99</v>
    <v t="i">100</v>
    <v t="i">103</v>
    <v t="i">104</v>
    <v t="i">105</v>
    <v t="i">106</v>
    <v t="i">107</v>
    <v t="i">110</v>
    <v t="i">111</v>
    <v t="i">112</v>
    <v t="i">113</v>
    <v t="i">114</v>
    <v t="i">117</v>
    <v t="i">118</v>
    <v t="i">119</v>
    <v t="i">120</v>
    <v t="i">121</v>
    <v t="i">124</v>
    <v t="i">125</v>
    <v t="i">126</v>
    <v t="i">127</v>
    <v t="i">128</v>
    <v t="i">131</v>
    <v t="i">132</v>
    <v t="i">133</v>
    <v t="i">134</v>
    <v t="i">135</v>
    <v t="i">138</v>
    <v t="i">139</v>
    <v t="i">140</v>
    <v t="i">141</v>
    <v t="i">142</v>
    <v t="i">146</v>
    <v t="i">147</v>
    <v t="i">148</v>
    <v t="i">149</v>
    <v t="i">152</v>
    <v t="i">153</v>
    <v t="i">154</v>
    <v t="i">155</v>
    <v t="i">156</v>
    <v t="i">159</v>
    <v t="i">160</v>
    <v t="i">161</v>
    <v t="i">162</v>
    <v t="i">163</v>
    <v t="i">166</v>
    <v t="i">167</v>
    <v t="i">168</v>
    <v t="i">169</v>
    <v t="i">173</v>
    <v t="i">174</v>
    <v t="i">175</v>
    <v t="i">176</v>
    <v t="i">177</v>
    <v t="i">180</v>
    <v t="i">181</v>
    <v t="i">182</v>
    <v t="i">183</v>
    <v t="i">187</v>
    <v t="i">188</v>
    <v t="i">189</v>
    <v t="i">190</v>
    <v t="i">191</v>
    <v t="i">194</v>
    <v t="i">195</v>
    <v t="i">196</v>
    <v t="i">197</v>
    <v t="i">198</v>
    <v t="i">201</v>
    <v t="i">202</v>
    <v t="i">203</v>
    <v t="i">204</v>
    <v t="i">205</v>
    <v t="i">208</v>
    <v t="i">209</v>
    <v t="i">210</v>
    <v t="i">211</v>
    <v t="i">212</v>
    <v t="i">215</v>
    <v t="i">216</v>
    <v t="i">217</v>
    <v t="i">218</v>
    <v t="i">219</v>
    <v t="i">222</v>
    <v t="i">223</v>
    <v t="i">224</v>
    <v t="i">225</v>
    <v t="i">226</v>
    <v t="i">229</v>
    <v t="i">230</v>
    <v t="i">231</v>
    <v t="i">232</v>
    <v t="i">233</v>
    <v t="i">236</v>
    <v t="i">237</v>
    <v t="i">238</v>
    <v t="i">239</v>
    <v t="i">240</v>
    <v t="i">243</v>
    <v t="i">244</v>
    <v t="i">245</v>
    <v t="i">246</v>
    <v t="i">247</v>
    <v t="i">251</v>
    <v t="i">252</v>
    <v t="i">253</v>
    <v t="i">254</v>
    <v t="i">257</v>
    <v t="i">258</v>
    <v t="i">259</v>
    <v t="i">260</v>
    <v t="i">261</v>
    <v t="i">264</v>
    <v t="i">265</v>
    <v t="i">266</v>
    <v t="i">267</v>
    <v t="i">268</v>
    <v t="i">271</v>
    <v t="i">272</v>
    <v t="i">273</v>
    <v t="i">274</v>
    <v t="i">275</v>
    <v t="i">278</v>
    <v t="i">279</v>
    <v t="i">280</v>
    <v t="i">281</v>
    <v t="i">282</v>
    <v t="i">285</v>
    <v t="i">286</v>
    <v t="i">287</v>
    <v t="i">288</v>
    <v t="i">289</v>
    <v t="i">292</v>
    <v t="i">293</v>
    <v t="i">294</v>
    <v t="i">295</v>
    <v t="i">296</v>
  </a>
  <a r="1" c="205">
    <v>171.05</v>
    <v>172.98</v>
    <v>176.31</v>
    <v>182.45</v>
    <v>180.19</v>
    <v>181.87</v>
    <v>177.78</v>
    <v>169.27</v>
    <v>165.29</v>
    <v>164.54</v>
    <v>161.38999999999999</v>
    <v>159.41999999999999</v>
    <v>154.07</v>
    <v>156.37</v>
    <v>157.80000000000001</v>
    <v>155.82</v>
    <v>154.52000000000001</v>
    <v>153.04</v>
    <v>152.69999999999999</v>
    <v>152.22</v>
    <v>151.59</v>
    <v>152.62</v>
    <v>147.18</v>
    <v>148.88999999999999</v>
    <v>136.30000000000001</v>
    <v>137.34</v>
    <v>138.93</v>
    <v>140.09</v>
    <v>141.04</v>
    <v>138.47</v>
    <v>140.69999999999999</v>
    <v>142.63</v>
    <v>143.24</v>
    <v>141.27000000000001</v>
    <v>142.88</v>
    <v>140.41</v>
    <v>144.78</v>
    <v>145.82</v>
    <v>145.59</v>
    <v>142.36000000000001</v>
    <v>141.03</v>
    <v>138.13</v>
    <v>139.51</v>
    <v>137</v>
    <v>135.69</v>
    <v>138.11000000000001</v>
    <v>135.19999999999999</v>
    <v>134.12</v>
    <v>131.15</v>
    <v>129.82</v>
    <v>129.38999999999999</v>
    <v>131.59</v>
    <v>130.47</v>
    <v>131.28</v>
    <v>129.9</v>
    <v>128.35</v>
    <v>128.66999999999999</v>
    <v>130.35</v>
    <v>130.54</v>
    <v>127.11</v>
    <v>127.07</v>
    <v>128.78</v>
    <v>127.28</v>
    <v>126.8</v>
    <v>125.73</v>
    <v>124.07</v>
    <v>127.51</v>
    <v>127.75</v>
    <v>128.06</v>
    <v>131.24</v>
    <v>132.84</v>
    <v>133.05000000000001</v>
    <v>134.47</v>
    <v>136.19999999999999</v>
    <v>137.52000000000001</v>
    <v>135.56</v>
    <v>136.07</v>
    <v>133.94999999999999</v>
    <v>148.85</v>
    <v>150.26</v>
    <v>150</v>
    <v>156</v>
    <v>179.58</v>
    <v>177.01</v>
    <v>168.38</v>
    <v>186.55</v>
    <v>192.57</v>
    <v>202.55</v>
    <v>219.09</v>
    <v>237.53</v>
    <v>210.31</v>
    <v>213.17</v>
    <v>200.08</v>
    <v>201.49</v>
    <v>203.64</v>
    <v>195.61</v>
    <v>202.51</v>
    <v>213.41</v>
    <v>238.16</v>
    <v>248.82</v>
    <v>233.4</v>
    <v>243.29</v>
    <v>251.02</v>
    <v>228.99</v>
    <v>240.84</v>
    <v>250.01</v>
    <v>242.57</v>
    <v>215.94</v>
    <v>217.77</v>
    <v>205.42</v>
    <v>191.2</v>
    <v>202.96</v>
    <v>211.72</v>
    <v>220.81</v>
    <v>214.07</v>
    <v>212.97</v>
    <v>226.11</v>
    <v>221.9</v>
    <v>204.13</v>
    <v>197.41</v>
    <v>204.9</v>
    <v>189.39</v>
    <v>188.72</v>
    <v>184.79</v>
    <v>181.92</v>
    <v>176.25</v>
    <v>186.48</v>
    <v>182.97</v>
    <v>186.56</v>
    <v>191.11</v>
    <v>189.16</v>
    <v>183.98</v>
    <v>178.1</v>
    <v>177.98</v>
    <v>170.61</v>
    <v>171.78</v>
    <v>170.32</v>
    <v>173.5</v>
    <v>175.63</v>
    <v>171.11</v>
    <v>166.97</v>
    <v>170.04</v>
    <v>162.88</v>
    <v>155.68</v>
    <v>151.6</v>
    <v>147.61000000000001</v>
    <v>151.57</v>
    <v>162.66999999999999</v>
    <v>157.53</v>
    <v>160.38999999999999</v>
    <v>167.86</v>
    <v>162.16999999999999</v>
    <v>162.68</v>
    <v>163.07</v>
    <v>164.79</v>
    <v>165.79</v>
    <v>162.18</v>
    <v>160.19</v>
    <v>161.91</v>
    <v>160.74</v>
    <v>160.75</v>
    <v>158.53</v>
    <v>160.56</v>
    <v>163.72</v>
    <v>164.78</v>
    <v>164.19</v>
    <v>170.48</v>
    <v>166.61</v>
    <v>169.96</v>
    <v>168.57</v>
    <v>168.74</v>
    <v>174.09</v>
    <v>176.4</v>
    <v>176.88</v>
    <v>181.97</v>
    <v>180.15</v>
    <v>187.8</v>
    <v>184.84</v>
    <v>188.71</v>
    <v>177.72</v>
    <v>194.23</v>
    <v>198.27</v>
    <v>197.24</v>
    <v>194.26</v>
    <v>201.97</v>
    <v>187.48</v>
    <v>184.1</v>
    <v>184.04</v>
    <v>182.09</v>
    <v>184.87</v>
    <v>180.79</v>
    <v>181.03</v>
    <v>177.12</v>
    <v>176.01</v>
    <v>175.5</v>
    <v>174.43</v>
    <v>176.86</v>
    <v>172.62</v>
    <v>178.4</v>
    <v>172.11</v>
    <v>173.53</v>
    <v>175.71</v>
    <v>177.96</v>
    <v>172.83</v>
    <v>175.91</v>
  </a>
  <a r="1" c="754">
    <v t="i">0</v>
    <v t="i">1</v>
    <v t="i">2</v>
    <v t="i">3</v>
    <v t="i">4</v>
    <v t="i">7</v>
    <v t="i">8</v>
    <v t="i">9</v>
    <v t="i">10</v>
    <v t="i">11</v>
    <v t="i">14</v>
    <v t="i">15</v>
    <v t="i">16</v>
    <v t="i">17</v>
    <v t="i">18</v>
    <v t="i">21</v>
    <v t="i">22</v>
    <v t="i">23</v>
    <v t="i">24</v>
    <v t="i">25</v>
    <v t="i">28</v>
    <v t="i">29</v>
    <v t="i">30</v>
    <v t="i">32</v>
    <v t="i">35</v>
    <v t="i">36</v>
    <v t="i">37</v>
    <v t="i">38</v>
    <v t="i">39</v>
    <v t="i">42</v>
    <v t="i">43</v>
    <v t="i">44</v>
    <v t="i">45</v>
    <v t="i">46</v>
    <v t="i">49</v>
    <v t="i">50</v>
    <v t="i">51</v>
    <v t="i">52</v>
    <v t="i">53</v>
    <v t="i">56</v>
    <v t="i">57</v>
    <v t="i">58</v>
    <v t="i">59</v>
    <v t="i">60</v>
    <v t="i">64</v>
    <v t="i">65</v>
    <v t="i">66</v>
    <v t="i">67</v>
    <v t="i">71</v>
    <v t="i">72</v>
    <v t="i">73</v>
    <v t="i">74</v>
    <v t="i">77</v>
    <v t="i">78</v>
    <v t="i">79</v>
    <v t="i">80</v>
    <v t="i">81</v>
    <v t="i">85</v>
    <v t="i">86</v>
    <v t="i">87</v>
    <v t="i">88</v>
    <v t="i">91</v>
    <v t="i">92</v>
    <v t="i">93</v>
    <v t="i">94</v>
    <v t="i">95</v>
    <v t="i">98</v>
    <v t="i">99</v>
    <v t="i">100</v>
    <v t="i">101</v>
    <v t="i">102</v>
    <v t="i">105</v>
    <v t="i">106</v>
    <v t="i">107</v>
    <v t="i">108</v>
    <v t="i">109</v>
    <v t="i">112</v>
    <v t="i">113</v>
    <v t="i">114</v>
    <v t="i">115</v>
    <v t="i">116</v>
    <v t="i">120</v>
    <v t="i">121</v>
    <v t="i">122</v>
    <v t="i">123</v>
    <v t="i">126</v>
    <v t="i">127</v>
    <v t="i">128</v>
    <v t="i">129</v>
    <v t="i">130</v>
    <v t="i">133</v>
    <v t="i">134</v>
    <v t="i">135</v>
    <v t="i">136</v>
    <v t="i">137</v>
    <v t="i">140</v>
    <v t="i">141</v>
    <v t="i">142</v>
    <v t="i">143</v>
    <v t="i">144</v>
    <v t="i">147</v>
    <v t="i">148</v>
    <v t="i">149</v>
    <v t="i">150</v>
    <v t="i">151</v>
    <v t="i">154</v>
    <v t="i">155</v>
    <v t="i">156</v>
    <v t="i">157</v>
    <v t="i">161</v>
    <v t="i">162</v>
    <v t="i">163</v>
    <v t="i">164</v>
    <v t="i">165</v>
    <v t="i">168</v>
    <v t="i">169</v>
    <v t="i">170</v>
    <v t="i">171</v>
    <v t="i">172</v>
    <v t="i">175</v>
    <v t="i">176</v>
    <v t="i">177</v>
    <v t="i">178</v>
    <v t="i">179</v>
    <v t="i">182</v>
    <v t="i">183</v>
    <v t="i">184</v>
    <v t="i">185</v>
    <v t="i">186</v>
    <v t="i">189</v>
    <v t="i">190</v>
    <v t="i">191</v>
    <v t="i">192</v>
    <v t="i">193</v>
    <v t="i">196</v>
    <v t="i">197</v>
    <v t="i">198</v>
    <v t="i">199</v>
    <v t="i">200</v>
    <v t="i">203</v>
    <v t="i">204</v>
    <v t="i">205</v>
    <v t="i">206</v>
    <v t="i">207</v>
    <v t="i">210</v>
    <v t="i">211</v>
    <v t="i">212</v>
    <v t="i">213</v>
    <v t="i">214</v>
    <v t="i">218</v>
    <v t="i">219</v>
    <v t="i">220</v>
    <v t="i">221</v>
    <v t="i">224</v>
    <v t="i">225</v>
    <v t="i">226</v>
    <v t="i">227</v>
    <v t="i">228</v>
    <v t="i">231</v>
    <v t="i">232</v>
    <v t="i">233</v>
    <v t="i">234</v>
    <v t="i">235</v>
    <v t="i">238</v>
    <v t="i">239</v>
    <v t="i">241</v>
    <v t="i">242</v>
    <v t="i">245</v>
    <v t="i">246</v>
    <v t="i">247</v>
    <v t="i">248</v>
    <v t="i">249</v>
    <v t="i">252</v>
    <v t="i">253</v>
    <v t="i">254</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v t="i">365</v>
    <v t="i">366</v>
    <v t="i">367</v>
    <v t="i">368</v>
    <v t="i">371</v>
    <v t="i">372</v>
    <v t="i">373</v>
    <v t="i">374</v>
    <v t="i">375</v>
    <v t="i">378</v>
    <v t="i">379</v>
    <v t="i">380</v>
    <v t="i">381</v>
    <v t="i">382</v>
    <v t="i">385</v>
    <v t="i">386</v>
    <v t="i">387</v>
    <v t="i">388</v>
    <v t="i">389</v>
    <v t="i">392</v>
    <v t="i">393</v>
    <v t="i">394</v>
    <v t="i">395</v>
    <v t="i">396</v>
    <v t="i">399</v>
    <v t="i">400</v>
    <v t="i">401</v>
    <v t="i">403</v>
    <v t="i">406</v>
    <v t="i">407</v>
    <v t="i">408</v>
    <v t="i">409</v>
    <v t="i">410</v>
    <v t="i">413</v>
    <v t="i">414</v>
    <v t="i">415</v>
    <v t="i">416</v>
    <v t="i">417</v>
    <v t="i">420</v>
    <v t="i">421</v>
    <v t="i">422</v>
    <v t="i">423</v>
    <v t="i">424</v>
    <v t="i">427</v>
    <v t="i">428</v>
    <v t="i">430</v>
    <v t="i">431</v>
    <v t="i">434</v>
    <v t="i">435</v>
    <v t="i">437</v>
    <v t="i">438</v>
    <v t="i">441</v>
    <v t="i">442</v>
    <v t="i">443</v>
    <v t="i">445</v>
    <v t="i">448</v>
    <v t="i">449</v>
    <v t="i">450</v>
    <v t="i">451</v>
    <v t="i">452</v>
    <v t="i">456</v>
    <v t="i">457</v>
    <v t="i">458</v>
    <v t="i">459</v>
    <v t="i">462</v>
    <v t="i">463</v>
    <v t="i">464</v>
    <v t="i">465</v>
    <v t="i">466</v>
    <v t="i">469</v>
    <v t="i">470</v>
    <v t="i">471</v>
    <v t="i">472</v>
    <v t="i">473</v>
    <v t="i">476</v>
    <v t="i">477</v>
    <v t="i">478</v>
    <v t="i">479</v>
    <v t="i">480</v>
    <v t="i">484</v>
    <v t="i">485</v>
    <v t="i">486</v>
    <v t="i">487</v>
    <v t="i">490</v>
    <v t="i">491</v>
    <v t="i">492</v>
    <v t="i">493</v>
    <v t="i">494</v>
    <v t="i">497</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546</v>
    <v t="i">547</v>
    <v t="i">548</v>
    <v t="i">549</v>
    <v t="i">550</v>
    <v t="i">553</v>
    <v t="i">554</v>
    <v t="i">555</v>
    <v t="i">556</v>
    <v t="i">557</v>
    <v t="i">560</v>
    <v t="i">561</v>
    <v t="i">562</v>
    <v t="i">563</v>
    <v t="i">564</v>
    <v t="i">567</v>
    <v t="i">568</v>
    <v t="i">569</v>
    <v t="i">570</v>
    <v t="i">571</v>
    <v t="i">574</v>
    <v t="i">575</v>
    <v t="i">576</v>
    <v t="i">577</v>
    <v t="i">578</v>
    <v t="i">582</v>
    <v t="i">583</v>
    <v t="i">584</v>
    <v t="i">585</v>
    <v t="i">588</v>
    <v t="i">589</v>
    <v t="i">590</v>
    <v t="i">591</v>
    <v t="i">592</v>
    <v t="i">595</v>
    <v t="i">596</v>
    <v t="i">597</v>
    <v t="i">598</v>
    <v t="i">599</v>
    <v t="i">602</v>
    <v t="i">603</v>
    <v t="i">604</v>
    <v t="i">606</v>
    <v t="i">609</v>
    <v t="i">610</v>
    <v t="i">611</v>
    <v t="i">612</v>
    <v t="i">613</v>
    <v t="i">616</v>
    <v t="i">617</v>
    <v t="i">618</v>
    <v t="i">619</v>
    <v t="i">623</v>
    <v t="i">624</v>
    <v t="i">625</v>
    <v t="i">626</v>
    <v t="i">627</v>
    <v t="i">630</v>
    <v t="i">631</v>
    <v t="i">632</v>
    <v t="i">633</v>
    <v t="i">634</v>
    <v t="i">637</v>
    <v t="i">638</v>
    <v t="i">639</v>
    <v t="i">640</v>
    <v t="i">641</v>
    <v t="i">644</v>
    <v t="i">645</v>
    <v t="i">646</v>
    <v t="i">647</v>
    <v t="i">648</v>
    <v t="i">651</v>
    <v t="i">652</v>
    <v t="i">653</v>
    <v t="i">654</v>
    <v t="i">655</v>
    <v t="i">658</v>
    <v t="i">659</v>
    <v t="i">660</v>
    <v t="i">661</v>
    <v t="i">662</v>
    <v t="i">665</v>
    <v t="i">666</v>
    <v t="i">667</v>
    <v t="i">668</v>
    <v t="i">669</v>
    <v t="i">672</v>
    <v t="i">673</v>
    <v t="i">674</v>
    <v t="i">675</v>
    <v t="i">676</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750</v>
    <v t="i">751</v>
    <v t="i">752</v>
    <v t="i">753</v>
    <v t="i">756</v>
    <v t="i">757</v>
    <v t="i">758</v>
    <v t="i">759</v>
    <v t="i">760</v>
    <v t="i">763</v>
    <v t="i">764</v>
    <v t="i">765</v>
    <v t="i">767</v>
    <v t="i">770</v>
    <v t="i">771</v>
    <v t="i">772</v>
    <v t="i">773</v>
    <v t="i">774</v>
    <v t="i">777</v>
    <v t="i">778</v>
    <v t="i">779</v>
    <v t="i">780</v>
    <v t="i">781</v>
    <v t="i">784</v>
    <v t="i">785</v>
    <v t="i">786</v>
    <v t="i">787</v>
    <v t="i">788</v>
    <v t="i">791</v>
    <v t="i">792</v>
    <v t="i">793</v>
    <v t="i">795</v>
    <v t="i">798</v>
    <v t="i">799</v>
    <v t="i">800</v>
    <v t="i">802</v>
    <v t="i">805</v>
    <v t="i">806</v>
    <v t="i">807</v>
    <v t="i">808</v>
    <v t="i">809</v>
    <v t="i">812</v>
    <v t="i">813</v>
    <v t="i">814</v>
    <v t="i">815</v>
    <v t="i">816</v>
    <v t="i">820</v>
    <v t="i">821</v>
    <v t="i">822</v>
    <v t="i">823</v>
    <v t="i">826</v>
    <v t="i">827</v>
    <v t="i">828</v>
    <v t="i">829</v>
    <v t="i">830</v>
    <v t="i">833</v>
    <v t="i">834</v>
    <v t="i">835</v>
    <v t="i">836</v>
    <v t="i">837</v>
    <v t="i">840</v>
    <v t="i">841</v>
    <v t="i">842</v>
    <v t="i">843</v>
    <v t="i">844</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896</v>
    <v t="i">897</v>
    <v t="i">898</v>
    <v t="i">899</v>
    <v t="i">900</v>
    <v t="i">903</v>
    <v t="i">904</v>
    <v t="i">905</v>
    <v t="i">906</v>
    <v t="i">907</v>
    <v t="i">910</v>
    <v t="i">911</v>
    <v t="i">912</v>
    <v t="i">913</v>
    <v t="i">914</v>
    <v t="i">917</v>
    <v t="i">918</v>
    <v t="i">919</v>
    <v t="i">920</v>
    <v t="i">921</v>
    <v t="i">924</v>
    <v t="i">925</v>
    <v t="i">926</v>
    <v t="i">927</v>
    <v t="i">928</v>
    <v t="i">931</v>
    <v t="i">932</v>
    <v t="i">933</v>
    <v t="i">934</v>
    <v t="i">935</v>
    <v t="i">938</v>
    <v t="i">939</v>
    <v t="i">940</v>
    <v t="i">941</v>
    <v t="i">942</v>
    <v t="i">946</v>
    <v t="i">947</v>
    <v t="i">948</v>
    <v t="i">949</v>
    <v t="i">952</v>
    <v t="i">953</v>
    <v t="i">954</v>
    <v t="i">955</v>
    <v t="i">956</v>
    <v t="i">959</v>
    <v t="i">960</v>
    <v t="i">961</v>
    <v t="i">962</v>
    <v t="i">963</v>
    <v t="i">966</v>
    <v t="i">967</v>
    <v t="i">968</v>
    <v t="i">969</v>
    <v t="i">973</v>
    <v t="i">974</v>
    <v t="i">975</v>
    <v t="i">976</v>
    <v t="i">977</v>
    <v t="i">980</v>
    <v t="i">981</v>
    <v t="i">982</v>
    <v t="i">983</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754">
    <v>108.66</v>
    <v>109.39</v>
    <v>104.78</v>
    <v>105.62</v>
    <v>106.46</v>
    <v>107.83</v>
    <v>108.99</v>
    <v>110.89</v>
    <v>117.36</v>
    <v>119.52</v>
    <v>119.93</v>
    <v>120.72</v>
    <v>120.06</v>
    <v>120.1</v>
    <v>124.21</v>
    <v>123.85</v>
    <v>127.36</v>
    <v>128.91999999999999</v>
    <v>128.69999999999999</v>
    <v>129.47</v>
    <v>129.51</v>
    <v>127.02</v>
    <v>127.5</v>
    <v>127.75</v>
    <v>128.19999999999999</v>
    <v>126.59</v>
    <v>127.91</v>
    <v>129.05000000000001</v>
    <v>129.66999999999999</v>
    <v>129.94999999999999</v>
    <v>130.75</v>
    <v>129.96</v>
    <v>132.94</v>
    <v>132.97</v>
    <v>136.1</v>
    <v>136.68</v>
    <v>138.80000000000001</v>
    <v>141.5</v>
    <v>143.13</v>
    <v>141.65</v>
    <v>143.22999999999999</v>
    <v>140.44</v>
    <v>142.44</v>
    <v>143.49</v>
    <v>145.46</v>
    <v>145.72</v>
    <v>145.86000000000001</v>
    <v>144.63</v>
    <v>140.22999999999999</v>
    <v>137.6</v>
    <v>136.16999999999999</v>
    <v>136.72999999999999</v>
    <v>139.03</v>
    <v>139.88999999999999</v>
    <v>139.31</v>
    <v>139.03</v>
    <v>140.19999999999999</v>
    <v>141.12</v>
    <v>139.32</v>
    <v>145.29</v>
    <v>151.96</v>
    <v>152.87</v>
    <v>153.5</v>
    <v>154.37</v>
    <v>154.47</v>
    <v>150.72</v>
    <v>149.63999999999999</v>
    <v>145.97999999999999</v>
    <v>148.51</v>
    <v>141.11000000000001</v>
    <v>141.69</v>
    <v>144.03</v>
    <v>144.1</v>
    <v>145.88999999999999</v>
    <v>148.18</v>
    <v>151</v>
    <v>153.1</v>
    <v>150.04</v>
    <v>153.94</v>
    <v>155.97999999999999</v>
    <v>152.69</v>
    <v>151.96</v>
    <v>152.01</v>
    <v>154.75</v>
    <v>154.91</v>
    <v>157.03</v>
    <v>158.30000000000001</v>
    <v>155.85</v>
    <v>157.79</v>
    <v>163.09</v>
    <v>166.56</v>
    <v>161.44999999999999</v>
    <v>167.89</v>
    <v>175.72</v>
    <v>170.57</v>
    <v>171.12</v>
    <v>173.08</v>
    <v>169.25</v>
    <v>168.45</v>
    <v>167.2</v>
    <v>166.92</v>
    <v>164.1</v>
    <v>167.67</v>
    <v>170.85</v>
    <v>170.1</v>
    <v>167.52</v>
    <v>167.07</v>
    <v>169.13</v>
    <v>169.3</v>
    <v>171.72</v>
    <v>171.04</v>
    <v>173.91</v>
    <v>169.76</v>
    <v>171.53</v>
    <v>173.62</v>
    <v>175.57</v>
    <v>170.86</v>
    <v>175.13</v>
    <v>171.29</v>
    <v>169.84</v>
    <v>168.58</v>
    <v>164.32</v>
    <v>161.44</v>
    <v>157.63</v>
    <v>160.18</v>
    <v>161.35</v>
    <v>163.63</v>
    <v>163.30000000000001</v>
    <v>165.66</v>
    <v>169.2</v>
    <v>165.85</v>
    <v>164.11</v>
    <v>180.1</v>
    <v>179.64</v>
    <v>181.85</v>
    <v>180.15</v>
    <v>180.55</v>
    <v>180.54</v>
    <v>182.08</v>
    <v>184.21</v>
    <v>188.97</v>
    <v>194.61</v>
    <v>193.27</v>
    <v>193.86</v>
    <v>197.76</v>
    <v>200.85</v>
    <v>202.93</v>
    <v>201.76</v>
    <v>210.36</v>
    <v>213.08</v>
    <v>208.26</v>
    <v>204.8</v>
    <v>204.05</v>
    <v>205.91</v>
    <v>204.37</v>
    <v>211.9</v>
    <v>209.44</v>
    <v>206.62</v>
    <v>209.35</v>
    <v>208.52</v>
    <v>215.39</v>
    <v>217.81</v>
    <v>215.33</v>
    <v>222.22</v>
    <v>227.09</v>
    <v>215.47</v>
    <v>212.53</v>
    <v>200.84</v>
    <v>202.17</v>
    <v>197.33</v>
    <v>195.15</v>
    <v>199.18</v>
    <v>200.03</v>
    <v>200.16</v>
    <v>203.81</v>
    <v>205.75</v>
    <v>207.89</v>
    <v>207.12</v>
    <v>208.8</v>
    <v>199.85</v>
    <v>202.43</v>
    <v>208.18</v>
    <v>209.64</v>
    <v>191.6</v>
    <v>191.46</v>
    <v>186.21</v>
    <v>194.97</v>
    <v>193.35</v>
    <v>181.07</v>
    <v>175.39</v>
    <v>180.05</v>
    <v>178.64</v>
    <v>166.94</v>
    <v>180.95</v>
    <v>164</v>
    <v>159.31</v>
    <v>157.94999999999999</v>
    <v>158.72</v>
    <v>156.12</v>
    <v>164.95</v>
    <v>164.48</v>
    <v>162.88999999999999</v>
    <v>169.47</v>
    <v>167.15</v>
    <v>173.34</v>
    <v>172.18</v>
    <v>174.26</v>
    <v>172.11</v>
    <v>174.22</v>
    <v>169</v>
    <v>173.5</v>
    <v>169.49</v>
    <v>173.93</v>
    <v>171.85</v>
    <v>169.49</v>
    <v>175.3</v>
    <v>163.24</v>
    <v>165.33</v>
    <v>163.69999999999999</v>
    <v>158.19</v>
    <v>160.77000000000001</v>
    <v>161.68</v>
    <v>166.56</v>
    <v>164.98</v>
    <v>167.73</v>
    <v>166.61</v>
    <v>168.7</v>
    <v>168.3</v>
    <v>173.92</v>
    <v>168.92</v>
    <v>165.96</v>
    <v>166.95</v>
    <v>168.27</v>
    <v>172.66</v>
    <v>170.13</v>
    <v>170.05</v>
    <v>165.78</v>
    <v>168.32</v>
    <v>168.92</v>
    <v>168.9</v>
    <v>166.94</v>
    <v>166.34</v>
    <v>170.22</v>
    <v>168.52</v>
    <v>169.98</v>
    <v>178.04</v>
    <v>174.09</v>
    <v>171.48</v>
    <v>171.1</v>
    <v>170.92</v>
    <v>169.01</v>
    <v>173.18</v>
    <v>166.6</v>
    <v>168.1</v>
    <v>170.27</v>
    <v>172.22</v>
    <v>176</v>
    <v>167.62</v>
    <v>162.77000000000001</v>
    <v>165.27</v>
    <v>165.18</v>
    <v>165.91</v>
    <v>172.99</v>
    <v>172.91</v>
    <v>170.91</v>
    <v>168.29</v>
    <v>163.41</v>
    <v>160.41999999999999</v>
    <v>163.97</v>
    <v>160.5</v>
    <v>164.5</v>
    <v>164.71</v>
    <v>154.27000000000001</v>
    <v>155.46</v>
    <v>156.79</v>
    <v>158.82</v>
    <v>156.93</v>
    <v>156.4</v>
    <v>158.53</v>
    <v>163.03</v>
    <v>162.58000000000001</v>
    <v>163.34</v>
    <v>160.38999999999999</v>
    <v>159.51</v>
    <v>160.74</v>
    <v>156.46</v>
    <v>159.83000000000001</v>
    <v>158.24</v>
    <v>158.53</v>
    <v>157.88999999999999</v>
    <v>157.91999999999999</v>
    <v>153.05000000000001</v>
    <v>150.4</v>
    <v>152.88999999999999</v>
    <v>158.24</v>
    <v>159.36000000000001</v>
    <v>158.53</v>
    <v>157.24</v>
    <v>154.58000000000001</v>
    <v>153.62</v>
    <v>153.63999999999999</v>
    <v>157.83000000000001</v>
    <v>159.85</v>
    <v>160.52000000000001</v>
    <v>159.08000000000001</v>
    <v>156.97999999999999</v>
    <v>157.13</v>
    <v>159.53</v>
    <v>164.41</v>
    <v>161.43</v>
    <v>164.56</v>
    <v>167.27</v>
    <v>170.24</v>
    <v>174.36</v>
    <v>172.11</v>
    <v>171.18</v>
    <v>171.55</v>
    <v>171.71</v>
    <v>171.93</v>
    <v>172.93</v>
    <v>170.24</v>
    <v>173.04</v>
    <v>175.86</v>
    <v>169.32</v>
    <v>167.96</v>
    <v>171.36</v>
    <v>171.99</v>
    <v>170.29</v>
    <v>172.15</v>
    <v>172.23</v>
    <v>173.64</v>
    <v>175.22</v>
    <v>173.7</v>
    <v>165.43</v>
    <v>161.1</v>
    <v>161.22</v>
    <v>162.1</v>
    <v>154.44</v>
    <v>157.16999999999999</v>
    <v>153.62</v>
    <v>154.46</v>
    <v>158.49</v>
    <v>156.04</v>
    <v>161.22</v>
    <v>154.97999999999999</v>
    <v>153.1</v>
    <v>152.80000000000001</v>
    <v>151.94</v>
    <v>156.58000000000001</v>
    <v>157.94999999999999</v>
    <v>156.29</v>
    <v>158.26</v>
    <v>157.94999999999999</v>
    <v>156.82</v>
    <v>160.08000000000001</v>
    <v>160.15</v>
    <v>158.38999999999999</v>
    <v>157.97</v>
    <v>152.72</v>
    <v>153.61000000000001</v>
    <v>153.05000000000001</v>
    <v>154.08000000000001</v>
    <v>139.41999999999999</v>
    <v>127.46</v>
    <v>129.72</v>
    <v>124.66</v>
    <v>143.59</v>
    <v>134.4</v>
    <v>139.25</v>
    <v>139.19</v>
    <v>138.6</v>
    <v>135.74</v>
    <v>136.66</v>
    <v>136.13999999999999</v>
    <v>138.74</v>
    <v>140.46</v>
    <v>147.21</v>
    <v>148.56</v>
    <v>147.62</v>
    <v>146.88</v>
    <v>148.46</v>
    <v>135.21</v>
    <v>139.81</v>
    <v>139.44</v>
    <v>139.9</v>
    <v>144.30000000000001</v>
    <v>145.1</v>
    <v>145.18</v>
    <v>152.12</v>
    <v>151.34</v>
    <v>152.97999999999999</v>
    <v>152.61000000000001</v>
    <v>152.5</v>
    <v>153.69999999999999</v>
    <v>153.82</v>
    <v>151.31</v>
    <v>147.37</v>
    <v>145.38</v>
    <v>148.63</v>
    <v>147.6</v>
    <v>148.34</v>
    <v>145.19999999999999</v>
    <v>146.63</v>
    <v>148.94</v>
    <v>149.05000000000001</v>
    <v>147.56</v>
    <v>149.24</v>
    <v>155.41</v>
    <v>159.13</v>
    <v>159.47999999999999</v>
    <v>158.69999999999999</v>
    <v>154.72</v>
    <v>156.87</v>
    <v>154.46</v>
    <v>153.63</v>
    <v>151.32</v>
    <v>153.13999999999999</v>
    <v>155.71</v>
    <v>155.93</v>
    <v>158.19</v>
    <v>158.54</v>
    <v>159.26</v>
    <v>159.4</v>
    <v>162.32</v>
    <v>162.21</v>
    <v>158.09</v>
    <v>159.44999999999999</v>
    <v>159.35</v>
    <v>159.09</v>
    <v>157.46</v>
    <v>154.29</v>
    <v>154.30000000000001</v>
    <v>154.07</v>
    <v>152.61000000000001</v>
    <v>154.80000000000001</v>
    <v>158.97</v>
    <v>157.99</v>
    <v>159.88</v>
    <v>158.84</v>
    <v>158.4</v>
    <v>161.05000000000001</v>
    <v>162.08000000000001</v>
    <v>159.06</v>
    <v>146.76</v>
    <v>148.19</v>
    <v>147.51</v>
    <v>146.71</v>
    <v>145.84</v>
    <v>145.9</v>
    <v>147.56</v>
    <v>147.97</v>
    <v>153.72999999999999</v>
    <v>156.59</v>
    <v>158.09</v>
    <v>157.85</v>
    <v>158.9</v>
    <v>156.25</v>
    <v>155.44</v>
    <v>154.13</v>
    <v>158.01</v>
    <v>156.41999999999999</v>
    <v>159.16999999999999</v>
    <v>159.77000000000001</v>
    <v>160.80000000000001</v>
    <v>160.72999999999999</v>
    <v>158.78</v>
    <v>157.28</v>
    <v>159.71</v>
    <v>159.84</v>
    <v>160.24</v>
    <v>158.66</v>
    <v>158.94999999999999</v>
    <v>161.51</v>
    <v>161.83000000000001</v>
    <v>161.22</v>
    <v>164.14</v>
    <v>165.26</v>
    <v>168.13</v>
    <v>166.85</v>
    <v>169.72</v>
    <v>169.53</v>
    <v>173.55</v>
    <v>169.68</v>
    <v>169.2</v>
    <v>165.3</v>
    <v>166.36</v>
    <v>166.49</v>
    <v>168.85</v>
    <v>169.18</v>
    <v>168.62</v>
    <v>165.46</v>
    <v>167.77</v>
    <v>165.66</v>
    <v>153.59</v>
    <v>161.78</v>
    <v>161.74</v>
    <v>162.97</v>
    <v>164.08</v>
    <v>163.44999999999999</v>
    <v>167.04</v>
    <v>168.83</v>
    <v>169.27</v>
    <v>170.03</v>
    <v>168.94</v>
    <v>187.68</v>
    <v>181.03</v>
    <v>178.67</v>
    <v>177.26</v>
    <v>180.9</v>
    <v>180.72</v>
    <v>172.84</v>
    <v>179.72</v>
    <v>173.2</v>
    <v>170.89</v>
    <v>171.57</v>
    <v>173.98</v>
    <v>176.67</v>
    <v>174.5</v>
    <v>173.98</v>
    <v>166.75</v>
    <v>165.06</v>
    <v>166.11</v>
    <v>159.59</v>
    <v>163.30000000000001</v>
    <v>165.06</v>
    <v>163.30000000000001</v>
    <v>165.14</v>
    <v>168.09</v>
    <v>168.04</v>
    <v>170.7</v>
    <v>175.07</v>
    <v>174.35</v>
    <v>174.81</v>
    <v>175.31</v>
    <v>176</v>
    <v>182.21</v>
    <v>181.27</v>
    <v>178.29</v>
    <v>179.26</v>
    <v>176.12</v>
    <v>172.34</v>
    <v>174.19</v>
    <v>175.25</v>
    <v>174.22</v>
    <v>174.75</v>
    <v>174.77</v>
    <v>174.81</v>
    <v>173.43</v>
    <v>173.65</v>
    <v>171.05</v>
    <v>172.98</v>
    <v>176.31</v>
    <v>182.45</v>
    <v>180.19</v>
    <v>181.87</v>
    <v>177.78</v>
    <v>169.27</v>
    <v>165.29</v>
    <v>164.54</v>
    <v>161.38999999999999</v>
    <v>159.41999999999999</v>
    <v>154.07</v>
    <v>156.37</v>
    <v>157.80000000000001</v>
    <v>155.82</v>
    <v>154.52000000000001</v>
    <v>153.04</v>
    <v>152.69999999999999</v>
    <v>152.22</v>
    <v>151.59</v>
    <v>152.62</v>
    <v>147.18</v>
    <v>148.88999999999999</v>
    <v>136.30000000000001</v>
    <v>137.34</v>
    <v>138.93</v>
    <v>140.09</v>
    <v>141.04</v>
    <v>138.47</v>
    <v>140.69999999999999</v>
    <v>142.63</v>
    <v>143.24</v>
    <v>141.27000000000001</v>
    <v>142.88</v>
    <v>140.41</v>
    <v>144.78</v>
    <v>145.82</v>
    <v>145.59</v>
    <v>142.36000000000001</v>
    <v>141.03</v>
    <v>138.13</v>
    <v>139.51</v>
    <v>137</v>
    <v>135.69</v>
    <v>138.11000000000001</v>
    <v>135.19999999999999</v>
    <v>134.12</v>
    <v>131.15</v>
    <v>129.82</v>
    <v>129.38999999999999</v>
    <v>131.59</v>
    <v>130.47</v>
    <v>131.28</v>
    <v>129.9</v>
    <v>128.35</v>
    <v>128.66999999999999</v>
    <v>130.35</v>
    <v>130.54</v>
    <v>127.11</v>
    <v>127.07</v>
    <v>128.78</v>
    <v>127.28</v>
    <v>126.8</v>
    <v>125.73</v>
    <v>124.07</v>
    <v>127.51</v>
    <v>127.75</v>
    <v>128.06</v>
    <v>131.24</v>
    <v>132.84</v>
    <v>133.05000000000001</v>
    <v>134.47</v>
    <v>136.19999999999999</v>
    <v>137.52000000000001</v>
    <v>135.56</v>
    <v>136.07</v>
    <v>133.94999999999999</v>
    <v>148.85</v>
    <v>150.26</v>
    <v>150</v>
    <v>156</v>
    <v>179.58</v>
    <v>177.01</v>
    <v>168.38</v>
    <v>186.55</v>
    <v>192.57</v>
    <v>202.55</v>
    <v>219.09</v>
    <v>237.53</v>
    <v>210.31</v>
    <v>213.17</v>
    <v>200.08</v>
    <v>201.49</v>
    <v>203.64</v>
    <v>195.61</v>
    <v>202.51</v>
    <v>213.41</v>
    <v>238.16</v>
    <v>248.82</v>
    <v>233.4</v>
    <v>243.29</v>
    <v>251.02</v>
    <v>228.99</v>
    <v>240.84</v>
    <v>250.01</v>
    <v>242.57</v>
    <v>215.94</v>
    <v>217.77</v>
    <v>205.42</v>
    <v>191.2</v>
    <v>202.96</v>
    <v>211.72</v>
    <v>220.81</v>
    <v>214.07</v>
    <v>212.97</v>
    <v>226.11</v>
    <v>221.9</v>
    <v>204.13</v>
    <v>197.41</v>
    <v>204.9</v>
    <v>189.39</v>
    <v>188.72</v>
    <v>184.79</v>
    <v>181.92</v>
    <v>176.25</v>
    <v>186.48</v>
    <v>182.97</v>
    <v>186.56</v>
    <v>191.11</v>
    <v>189.16</v>
    <v>183.98</v>
    <v>178.1</v>
    <v>177.98</v>
    <v>170.61</v>
    <v>171.78</v>
    <v>170.32</v>
    <v>173.5</v>
    <v>175.63</v>
    <v>171.11</v>
    <v>166.97</v>
    <v>170.04</v>
    <v>162.88</v>
    <v>155.68</v>
    <v>151.6</v>
    <v>147.61000000000001</v>
    <v>151.57</v>
    <v>162.66999999999999</v>
    <v>157.53</v>
    <v>160.38999999999999</v>
    <v>167.86</v>
    <v>162.16999999999999</v>
    <v>162.68</v>
    <v>163.07</v>
    <v>164.79</v>
    <v>165.79</v>
    <v>162.18</v>
    <v>160.19</v>
    <v>161.91</v>
    <v>160.74</v>
    <v>160.75</v>
    <v>158.53</v>
    <v>160.56</v>
    <v>163.72</v>
    <v>164.78</v>
    <v>164.19</v>
    <v>170.48</v>
    <v>166.61</v>
    <v>169.96</v>
    <v>168.57</v>
    <v>168.74</v>
    <v>174.09</v>
    <v>176.4</v>
    <v>176.88</v>
    <v>181.97</v>
    <v>180.15</v>
    <v>187.8</v>
    <v>184.84</v>
    <v>188.71</v>
    <v>177.72</v>
    <v>194.23</v>
    <v>198.27</v>
    <v>197.24</v>
    <v>194.26</v>
    <v>201.97</v>
    <v>187.48</v>
    <v>184.1</v>
    <v>184.04</v>
    <v>182.09</v>
    <v>184.87</v>
    <v>180.79</v>
    <v>181.03</v>
    <v>177.12</v>
    <v>176.01</v>
    <v>175.5</v>
    <v>174.43</v>
    <v>176.86</v>
    <v>172.62</v>
    <v>178.4</v>
    <v>172.11</v>
    <v>173.53</v>
    <v>175.71</v>
    <v>177.96</v>
    <v>172.83</v>
    <v>175.91</v>
  </a>
  <a r="1" c="252">
    <v t="i">0</v>
    <v t="i">1</v>
    <v t="i">4</v>
    <v t="i">5</v>
    <v t="i">6</v>
    <v t="i">7</v>
    <v t="i">8</v>
    <v t="i">11</v>
    <v t="i">12</v>
    <v t="i">13</v>
    <v t="i">14</v>
    <v t="i">15</v>
    <v t="i">18</v>
    <v t="i">19</v>
    <v t="i">20</v>
    <v t="i">21</v>
    <v t="i">22</v>
    <v t="i">25</v>
    <v t="i">26</v>
    <v t="i">27</v>
    <v t="i">28</v>
    <v t="i">29</v>
    <v t="i">32</v>
    <v t="i">33</v>
    <v t="i">34</v>
    <v t="i">36</v>
    <v t="i">39</v>
    <v t="i">40</v>
    <v t="i">41</v>
    <v t="i">42</v>
    <v t="i">43</v>
    <v t="i">46</v>
    <v t="i">47</v>
    <v t="i">48</v>
    <v t="i">49</v>
    <v t="i">50</v>
    <v t="i">53</v>
    <v t="i">54</v>
    <v t="i">55</v>
    <v t="i">56</v>
    <v t="i">57</v>
    <v t="i">60</v>
    <v t="i">61</v>
    <v t="i">62</v>
    <v t="i">64</v>
    <v t="i">67</v>
    <v t="i">68</v>
    <v t="i">69</v>
    <v t="i">71</v>
    <v t="i">74</v>
    <v t="i">75</v>
    <v t="i">76</v>
    <v t="i">77</v>
    <v t="i">78</v>
    <v t="i">81</v>
    <v t="i">82</v>
    <v t="i">83</v>
    <v t="i">84</v>
    <v t="i">85</v>
    <v t="i">89</v>
    <v t="i">90</v>
    <v t="i">91</v>
    <v t="i">92</v>
    <v t="i">95</v>
    <v t="i">96</v>
    <v t="i">97</v>
    <v t="i">98</v>
    <v t="i">99</v>
    <v t="i">102</v>
    <v t="i">103</v>
    <v t="i">104</v>
    <v t="i">105</v>
    <v t="i">106</v>
    <v t="i">109</v>
    <v t="i">110</v>
    <v t="i">111</v>
    <v t="i">112</v>
    <v t="i">113</v>
    <v t="i">117</v>
    <v t="i">118</v>
    <v t="i">119</v>
    <v t="i">120</v>
    <v t="i">123</v>
    <v t="i">124</v>
    <v t="i">125</v>
    <v t="i">126</v>
    <v t="i">127</v>
    <v t="i">130</v>
    <v t="i">131</v>
    <v t="i">132</v>
    <v t="i">133</v>
    <v t="i">134</v>
    <v t="i">137</v>
    <v t="i">138</v>
    <v t="i">139</v>
    <v t="i">140</v>
    <v t="i">141</v>
    <v t="i">144</v>
    <v t="i">145</v>
    <v t="i">146</v>
    <v t="i">147</v>
    <v t="i">148</v>
    <v t="i">151</v>
    <v t="i">152</v>
    <v t="i">153</v>
    <v t="i">154</v>
    <v t="i">155</v>
    <v t="i">158</v>
    <v t="i">159</v>
    <v t="i">160</v>
    <v t="i">161</v>
    <v t="i">165</v>
    <v t="i">166</v>
    <v t="i">167</v>
    <v t="i">168</v>
    <v t="i">169</v>
    <v t="i">172</v>
    <v t="i">173</v>
    <v t="i">174</v>
    <v t="i">175</v>
    <v t="i">176</v>
    <v t="i">179</v>
    <v t="i">180</v>
    <v t="i">181</v>
    <v t="i">182</v>
    <v t="i">183</v>
    <v t="i">186</v>
    <v t="i">187</v>
    <v t="i">188</v>
    <v t="i">189</v>
    <v t="i">190</v>
    <v t="i">193</v>
    <v t="i">194</v>
    <v t="i">195</v>
    <v t="i">196</v>
    <v t="i">197</v>
    <v t="i">200</v>
    <v t="i">201</v>
    <v t="i">202</v>
    <v t="i">203</v>
    <v t="i">204</v>
    <v t="i">207</v>
    <v t="i">208</v>
    <v t="i">209</v>
    <v t="i">210</v>
    <v t="i">211</v>
    <v t="i">215</v>
    <v t="i">216</v>
    <v t="i">217</v>
    <v t="i">218</v>
    <v t="i">221</v>
    <v t="i">222</v>
    <v t="i">223</v>
    <v t="i">224</v>
    <v t="i">225</v>
    <v t="i">228</v>
    <v t="i">229</v>
    <v t="i">230</v>
    <v t="i">231</v>
    <v t="i">232</v>
    <v t="i">235</v>
    <v t="i">236</v>
    <v t="i">237</v>
    <v t="i">238</v>
    <v t="i">242</v>
    <v t="i">243</v>
    <v t="i">244</v>
    <v t="i">245</v>
    <v t="i">246</v>
    <v t="i">249</v>
    <v t="i">250</v>
    <v t="i">251</v>
    <v t="i">252</v>
    <v t="i">256</v>
    <v t="i">257</v>
    <v t="i">258</v>
    <v t="i">259</v>
    <v t="i">260</v>
    <v t="i">263</v>
    <v t="i">264</v>
    <v t="i">265</v>
    <v t="i">266</v>
    <v t="i">267</v>
    <v t="i">270</v>
    <v t="i">271</v>
    <v t="i">272</v>
    <v t="i">273</v>
    <v t="i">274</v>
    <v t="i">277</v>
    <v t="i">278</v>
    <v t="i">279</v>
    <v t="i">280</v>
    <v t="i">281</v>
    <v t="i">284</v>
    <v t="i">285</v>
    <v t="i">286</v>
    <v t="i">287</v>
    <v t="i">288</v>
    <v t="i">291</v>
    <v t="i">292</v>
    <v t="i">293</v>
    <v t="i">294</v>
    <v t="i">295</v>
    <v t="i">298</v>
    <v t="i">299</v>
    <v t="i">300</v>
    <v t="i">301</v>
    <v t="i">302</v>
    <v t="i">305</v>
    <v t="i">306</v>
    <v t="i">307</v>
    <v t="i">308</v>
    <v t="i">309</v>
    <v t="i">312</v>
    <v t="i">313</v>
    <v t="i">314</v>
    <v t="i">315</v>
    <v t="i">316</v>
    <v t="i">320</v>
    <v t="i">321</v>
    <v t="i">322</v>
    <v t="i">323</v>
    <v t="i">326</v>
    <v t="i">327</v>
    <v t="i">328</v>
    <v t="i">329</v>
    <v t="i">330</v>
    <v t="i">333</v>
    <v t="i">334</v>
    <v t="i">335</v>
    <v t="i">336</v>
    <v t="i">337</v>
    <v t="i">340</v>
    <v t="i">341</v>
    <v t="i">342</v>
    <v t="i">343</v>
    <v t="i">344</v>
    <v t="i">347</v>
    <v t="i">348</v>
    <v t="i">349</v>
    <v t="i">350</v>
    <v t="i">351</v>
    <v t="i">354</v>
    <v t="i">355</v>
    <v t="i">356</v>
    <v t="i">357</v>
    <v t="i">358</v>
    <v t="i">361</v>
    <v t="i">362</v>
    <v t="i">363</v>
    <v t="i">364</v>
    <v t="i">365</v>
  </a>
  <a r="1" c="252">
    <v>170.03</v>
    <v>168.94</v>
    <v>187.68</v>
    <v>181.03</v>
    <v>178.67</v>
    <v>177.26</v>
    <v>180.9</v>
    <v>180.72</v>
    <v>172.84</v>
    <v>179.72</v>
    <v>173.2</v>
    <v>170.89</v>
    <v>171.57</v>
    <v>173.98</v>
    <v>176.67</v>
    <v>174.5</v>
    <v>173.98</v>
    <v>166.75</v>
    <v>165.06</v>
    <v>166.11</v>
    <v>159.59</v>
    <v>163.30000000000001</v>
    <v>165.06</v>
    <v>163.30000000000001</v>
    <v>165.14</v>
    <v>168.09</v>
    <v>168.04</v>
    <v>170.7</v>
    <v>175.07</v>
    <v>174.35</v>
    <v>174.81</v>
    <v>175.31</v>
    <v>176</v>
    <v>182.21</v>
    <v>181.27</v>
    <v>178.29</v>
    <v>179.26</v>
    <v>176.12</v>
    <v>172.34</v>
    <v>174.19</v>
    <v>175.25</v>
    <v>174.22</v>
    <v>174.75</v>
    <v>174.77</v>
    <v>174.81</v>
    <v>173.43</v>
    <v>173.65</v>
    <v>171.05</v>
    <v>172.98</v>
    <v>176.31</v>
    <v>182.45</v>
    <v>180.19</v>
    <v>181.87</v>
    <v>177.78</v>
    <v>169.27</v>
    <v>165.29</v>
    <v>164.54</v>
    <v>161.38999999999999</v>
    <v>159.41999999999999</v>
    <v>154.07</v>
    <v>156.37</v>
    <v>157.80000000000001</v>
    <v>155.82</v>
    <v>154.52000000000001</v>
    <v>153.04</v>
    <v>152.69999999999999</v>
    <v>152.22</v>
    <v>151.59</v>
    <v>152.62</v>
    <v>147.18</v>
    <v>148.88999999999999</v>
    <v>136.30000000000001</v>
    <v>137.34</v>
    <v>138.93</v>
    <v>140.09</v>
    <v>141.04</v>
    <v>138.47</v>
    <v>140.69999999999999</v>
    <v>142.63</v>
    <v>143.24</v>
    <v>141.27000000000001</v>
    <v>142.88</v>
    <v>140.41</v>
    <v>144.78</v>
    <v>145.82</v>
    <v>145.59</v>
    <v>142.36000000000001</v>
    <v>141.03</v>
    <v>138.13</v>
    <v>139.51</v>
    <v>137</v>
    <v>135.69</v>
    <v>138.11000000000001</v>
    <v>135.19999999999999</v>
    <v>134.12</v>
    <v>131.15</v>
    <v>129.82</v>
    <v>129.38999999999999</v>
    <v>131.59</v>
    <v>130.47</v>
    <v>131.28</v>
    <v>129.9</v>
    <v>128.35</v>
    <v>128.66999999999999</v>
    <v>130.35</v>
    <v>130.54</v>
    <v>127.11</v>
    <v>127.07</v>
    <v>128.78</v>
    <v>127.28</v>
    <v>126.8</v>
    <v>125.73</v>
    <v>124.07</v>
    <v>127.51</v>
    <v>127.75</v>
    <v>128.06</v>
    <v>131.24</v>
    <v>132.84</v>
    <v>133.05000000000001</v>
    <v>134.47</v>
    <v>136.19999999999999</v>
    <v>137.52000000000001</v>
    <v>135.56</v>
    <v>136.07</v>
    <v>133.94999999999999</v>
    <v>148.85</v>
    <v>150.26</v>
    <v>150</v>
    <v>156</v>
    <v>179.58</v>
    <v>177.01</v>
    <v>168.38</v>
    <v>186.55</v>
    <v>192.57</v>
    <v>202.55</v>
    <v>219.09</v>
    <v>237.53</v>
    <v>210.31</v>
    <v>213.17</v>
    <v>200.08</v>
    <v>201.49</v>
    <v>203.64</v>
    <v>195.61</v>
    <v>202.51</v>
    <v>213.41</v>
    <v>238.16</v>
    <v>248.82</v>
    <v>233.4</v>
    <v>243.29</v>
    <v>251.02</v>
    <v>228.99</v>
    <v>240.84</v>
    <v>250.01</v>
    <v>242.57</v>
    <v>215.94</v>
    <v>217.77</v>
    <v>205.42</v>
    <v>191.2</v>
    <v>202.96</v>
    <v>211.72</v>
    <v>220.81</v>
    <v>214.07</v>
    <v>212.97</v>
    <v>226.11</v>
    <v>221.9</v>
    <v>204.13</v>
    <v>197.41</v>
    <v>204.9</v>
    <v>189.39</v>
    <v>188.72</v>
    <v>184.79</v>
    <v>181.92</v>
    <v>176.25</v>
    <v>186.48</v>
    <v>182.97</v>
    <v>186.56</v>
    <v>191.11</v>
    <v>189.16</v>
    <v>183.98</v>
    <v>178.1</v>
    <v>177.98</v>
    <v>170.61</v>
    <v>171.78</v>
    <v>170.32</v>
    <v>173.5</v>
    <v>175.63</v>
    <v>171.11</v>
    <v>166.97</v>
    <v>170.04</v>
    <v>162.88</v>
    <v>155.68</v>
    <v>151.6</v>
    <v>147.61000000000001</v>
    <v>151.57</v>
    <v>162.66999999999999</v>
    <v>157.53</v>
    <v>160.38999999999999</v>
    <v>167.86</v>
    <v>162.16999999999999</v>
    <v>162.68</v>
    <v>163.07</v>
    <v>164.79</v>
    <v>165.79</v>
    <v>162.18</v>
    <v>160.19</v>
    <v>161.91</v>
    <v>160.74</v>
    <v>160.75</v>
    <v>158.53</v>
    <v>160.56</v>
    <v>163.72</v>
    <v>164.78</v>
    <v>164.19</v>
    <v>170.48</v>
    <v>166.61</v>
    <v>169.96</v>
    <v>168.57</v>
    <v>168.74</v>
    <v>174.09</v>
    <v>176.4</v>
    <v>176.88</v>
    <v>181.97</v>
    <v>180.15</v>
    <v>187.8</v>
    <v>184.84</v>
    <v>188.71</v>
    <v>177.72</v>
    <v>194.23</v>
    <v>198.27</v>
    <v>197.24</v>
    <v>194.26</v>
    <v>201.97</v>
    <v>187.48</v>
    <v>184.1</v>
    <v>184.04</v>
    <v>182.09</v>
    <v>184.87</v>
    <v>180.79</v>
    <v>181.03</v>
    <v>177.12</v>
    <v>176.01</v>
    <v>175.5</v>
    <v>174.43</v>
    <v>176.86</v>
    <v>172.62</v>
    <v>178.4</v>
    <v>172.11</v>
    <v>173.53</v>
    <v>175.71</v>
    <v>177.96</v>
    <v>172.83</v>
    <v>175.91</v>
  </a>
  <a r="1" c="254">
    <v>54.94</v>
    <v>54.89</v>
    <v>54.94</v>
    <v>55.05</v>
    <v>54.89</v>
    <v>54.8</v>
    <v>55.01</v>
    <v>55.75</v>
    <v>55.32</v>
    <v>54.12</v>
    <v>52.77</v>
    <v>52.06</v>
    <v>53.7</v>
    <v>53.17</v>
    <v>53.06</v>
    <v>52.44</v>
    <v>52.23</v>
    <v>52.36</v>
    <v>51.46</v>
    <v>50.64</v>
    <v>50.8</v>
    <v>49.255000000000003</v>
    <v>49.454999999999998</v>
    <v>49.814999999999998</v>
    <v>50.24</v>
    <v>50.29</v>
    <v>50.31</v>
    <v>49.295000000000002</v>
    <v>49.34</v>
    <v>49.564999999999998</v>
    <v>50.85</v>
    <v>50.27</v>
    <v>51.09</v>
    <v>52.1</v>
    <v>51.5</v>
    <v>51.38</v>
    <v>51.35</v>
    <v>51.28</v>
    <v>50.19</v>
    <v>50.1</v>
    <v>50.95</v>
    <v>51.55</v>
    <v>52.25</v>
    <v>52.52</v>
    <v>52.16</v>
    <v>52.3</v>
    <v>52.86</v>
    <v>55.71</v>
    <v>56.66</v>
    <v>58.56</v>
    <v>59.81</v>
    <v>61.5</v>
    <v>62</v>
    <v>62.71</v>
    <v>62.37</v>
    <v>63.18</v>
    <v>63.87</v>
    <v>64.17</v>
    <v>63.38</v>
    <v>62.37</v>
    <v>61.43</v>
    <v>62.13</v>
    <v>60.63</v>
    <v>61.21</v>
    <v>61.53</v>
    <v>60.45</v>
    <v>59.94</v>
    <v>59.45</v>
    <v>60.72</v>
    <v>58.51</v>
    <v>57.12</v>
    <v>57.94</v>
    <v>59.21</v>
    <v>57.91</v>
    <v>56.53</v>
    <v>55.74</v>
    <v>56.6</v>
    <v>57</v>
    <v>56.97</v>
    <v>58.95</v>
    <v>59.86</v>
    <v>60.44</v>
    <v>59.24</v>
    <v>59.26</v>
    <v>59.4</v>
    <v>59.16</v>
    <v>58.97</v>
    <v>61.53</v>
    <v>62.32</v>
    <v>62.23</v>
    <v>60.79</v>
    <v>62.56</v>
    <v>63.24</v>
    <v>62.85</v>
    <v>61.69</v>
    <v>62.27</v>
    <v>62.23</v>
    <v>62.26</v>
    <v>62.82</v>
    <v>62.8</v>
    <v>61.78</v>
    <v>60.33</v>
    <v>60.16</v>
    <v>59.27</v>
    <v>60.6</v>
    <v>58.63</v>
    <v>57.08</v>
    <v>56.55</v>
    <v>56.46</v>
    <v>59.69</v>
    <v>60.38</v>
    <v>59.93</v>
    <v>60.98</v>
    <v>60.12</v>
    <v>58.82</v>
    <v>59.7</v>
    <v>59.72</v>
    <v>59.57</v>
    <v>59.66</v>
    <v>59.7</v>
    <v>59.24</v>
    <v>58.13</v>
    <v>57.78</v>
    <v>57.89</v>
    <v>56.25</v>
    <v>55.78</v>
    <v>55.46</v>
    <v>55.1</v>
    <v>55.97</v>
    <v>56.74</v>
    <v>56.38</v>
    <v>56</v>
    <v>54.38</v>
    <v>53.69</v>
    <v>53.39</v>
    <v>52.63</v>
    <v>52.61</v>
    <v>53.4</v>
    <v>52.26</v>
    <v>52.15</v>
    <v>52.73</v>
    <v>53.74</v>
    <v>53.57</v>
    <v>54.24</v>
    <v>54.97</v>
    <v>55.72</v>
    <v>55.17</v>
    <v>57.25</v>
    <v>56.99</v>
    <v>56.25</v>
    <v>55.02</v>
    <v>54.17</v>
    <v>54.5</v>
    <v>53.63</v>
    <v>53.08</v>
    <v>51.7</v>
    <v>52.84</v>
    <v>53.86</v>
    <v>53.99</v>
    <v>52.94</v>
    <v>52.91</v>
    <v>53.57</v>
    <v>52.57</v>
    <v>52.35</v>
    <v>51.24</v>
    <v>51.15</v>
    <v>50.55</v>
    <v>49.155000000000001</v>
    <v>48.905000000000001</v>
    <v>49.06</v>
    <v>49.814999999999998</v>
    <v>52.21</v>
    <v>53.97</v>
    <v>53.51</v>
    <v>54.5</v>
    <v>53.44</v>
    <v>52.43</v>
    <v>52.04</v>
    <v>51.1</v>
    <v>51.11</v>
    <v>50.79</v>
    <v>50.49</v>
    <v>49.8</v>
    <v>50</v>
    <v>50.39</v>
    <v>50.84</v>
    <v>51.3</v>
    <v>52.57</v>
    <v>53.1</v>
    <v>52.94</v>
    <v>52.96</v>
    <v>51.6</v>
    <v>50.72</v>
    <v>51.35</v>
    <v>52.81</v>
    <v>55.75</v>
    <v>55.93</v>
    <v>56.87</v>
    <v>57.17</v>
    <v>58.35</v>
    <v>57.84</v>
    <v>58.31</v>
    <v>58.45</v>
    <v>58.72</v>
    <v>58.69</v>
    <v>58.05</v>
    <v>57.12</v>
    <v>55.91</v>
    <v>55.14</v>
    <v>54.44</v>
    <v>54.09</v>
    <v>54.08</v>
    <v>54.73</v>
    <v>54.69</v>
    <v>53.71</v>
    <v>52.98</v>
    <v>51.91</v>
    <v>52.13</v>
    <v>51.91</v>
    <v>51.64</v>
    <v>51.83</v>
    <v>51.07</v>
    <v>51.02</v>
    <v>50.94</v>
    <v>51.73</v>
    <v>51.43</v>
    <v>52.31</v>
    <v>52.7</v>
    <v>52.24</v>
    <v>52.88</v>
    <v>52.29</v>
    <v>52.96</v>
    <v>52.1</v>
    <v>52.11</v>
    <v>51.64</v>
    <v>51.2</v>
    <v>51.47</v>
    <v>51.71</v>
    <v>52.04</v>
    <v>52.61</v>
    <v>51.49</v>
    <v>50.05</v>
    <v>49.774999999999999</v>
    <v>50.61</v>
    <v>50.85</v>
    <v>49.95</v>
    <v>50.5</v>
    <v>50.7</v>
    <v>51.42</v>
    <v>51.72</v>
    <v>50.81</v>
    <v>50.98</v>
    <v>50.85</v>
    <v>50.72</v>
  </a>
  <a r="1" c="761">
    <v>21.864999999999998</v>
    <v>21.925000000000001</v>
    <v>21.945</v>
    <v>21.885000000000002</v>
    <v>21.58</v>
    <v>21.475000000000001</v>
    <v>21.695</v>
    <v>22.06</v>
    <v>22.5</v>
    <v>22.495000000000001</v>
    <v>22.4</v>
    <v>22.58</v>
    <v>22.37</v>
    <v>22.484999999999999</v>
    <v>22.71</v>
    <v>22.9</v>
    <v>22.9</v>
    <v>23</v>
    <v>22.664999999999999</v>
    <v>22.84</v>
    <v>22.984999999999999</v>
    <v>22.95</v>
    <v>23.024999999999999</v>
    <v>23.024999999999999</v>
    <v>22.934999999999999</v>
    <v>22.72</v>
    <v>22.71</v>
    <v>23.17</v>
    <v>22.704999999999998</v>
    <v>23.035</v>
    <v>23.16</v>
    <v>23.135000000000002</v>
    <v>23.045000000000002</v>
    <v>22.795000000000002</v>
    <v>22.925000000000001</v>
    <v>23.04</v>
    <v>22.97</v>
    <v>23.16</v>
    <v>22.684999999999999</v>
    <v>22.96</v>
    <v>22.86</v>
    <v>22.8</v>
    <v>22.855</v>
    <v>22.745000000000001</v>
    <v>22.824999999999999</v>
    <v>22.75</v>
    <v>22.795000000000002</v>
    <v>22.795000000000002</v>
    <v>22.96</v>
    <v>22.824999999999999</v>
    <v>23.01</v>
    <v>22.815000000000001</v>
    <v>22.9</v>
    <v>23.045000000000002</v>
    <v>23.265000000000001</v>
    <v>23.145</v>
    <v>23.484999999999999</v>
    <v>23.64</v>
    <v>23.614999999999998</v>
    <v>23.355</v>
    <v>23.4</v>
    <v>23.34</v>
    <v>23.765000000000001</v>
    <v>23.675000000000001</v>
    <v>23.66</v>
    <v>23.57</v>
    <v>23.74</v>
    <v>23.905000000000001</v>
    <v>23.9</v>
    <v>23.754999999999999</v>
    <v>23.614999999999998</v>
    <v>23.85</v>
    <v>23.864999999999998</v>
    <v>24.61</v>
    <v>24.855</v>
    <v>24.795000000000002</v>
    <v>25</v>
    <v>25.484999999999999</v>
    <v>25.344999999999999</v>
    <v>25.88</v>
    <v>26.315000000000001</v>
    <v>26.44</v>
    <v>26.305</v>
    <v>26.18</v>
    <v>26.105</v>
    <v>26.32</v>
    <v>26.305</v>
    <v>26.66</v>
    <v>26.664999999999999</v>
    <v>26.934999999999999</v>
    <v>27</v>
    <v>27.25</v>
    <v>27.315000000000001</v>
    <v>27.51</v>
    <v>27.8</v>
    <v>27.75</v>
    <v>27.55</v>
    <v>27.094999999999999</v>
    <v>26.984999999999999</v>
    <v>27.22</v>
    <v>27.245000000000001</v>
    <v>27.295000000000002</v>
    <v>27.3</v>
    <v>27.35</v>
    <v>27.5</v>
    <v>27.684999999999999</v>
    <v>27.905000000000001</v>
    <v>28.2</v>
    <v>28.39</v>
    <v>28.434999999999999</v>
    <v>28.42</v>
    <v>28.405000000000001</v>
    <v>28.285</v>
    <v>28.28</v>
    <v>28.035</v>
    <v>28.335000000000001</v>
    <v>27.39</v>
    <v>27.425000000000001</v>
    <v>27.585000000000001</v>
    <v>27.93</v>
    <v>27.934999999999999</v>
    <v>27.555</v>
    <v>27.5</v>
    <v>27.47</v>
    <v>27.364999999999998</v>
    <v>27.434999999999999</v>
    <v>27.95</v>
    <v>27.954999999999998</v>
    <v>27.745000000000001</v>
    <v>28.105</v>
    <v>28.22</v>
    <v>28.14</v>
    <v>28.225000000000001</v>
    <v>28.17</v>
    <v>28.704999999999998</v>
    <v>28.6</v>
    <v>28.46</v>
    <v>28.61</v>
    <v>28.86</v>
    <v>28.61</v>
    <v>28.43</v>
    <v>28.885000000000002</v>
    <v>29</v>
    <v>28.725000000000001</v>
    <v>28.975000000000001</v>
    <v>29.14</v>
    <v>29.024999999999999</v>
    <v>29.22</v>
    <v>29.225000000000001</v>
    <v>29.31</v>
    <v>29.105</v>
    <v>28.734999999999999</v>
    <v>28.754999999999999</v>
    <v>28.91</v>
    <v>28.95</v>
    <v>28.61</v>
    <v>28.78</v>
    <v>28.89</v>
    <v>28.975000000000001</v>
    <v>29</v>
    <v>28.81</v>
    <v>28.74</v>
    <v>28.5</v>
    <v>28.01</v>
    <v>28.34</v>
    <v>28.68</v>
    <v>28.92</v>
    <v>29.105</v>
    <v>28.754999999999999</v>
    <v>29.04</v>
    <v>28.8</v>
    <v>28.754999999999999</v>
    <v>28.68</v>
    <v>28.925000000000001</v>
    <v>28.704999999999998</v>
    <v>28.605</v>
    <v>28.76</v>
    <v>28.9</v>
    <v>28.75</v>
    <v>28.984999999999999</v>
    <v>28.864999999999998</v>
    <v>29.16</v>
    <v>29.395</v>
    <v>29.495000000000001</v>
    <v>29.594999999999999</v>
    <v>29.88</v>
    <v>29.68</v>
    <v>29.715</v>
    <v>29.515000000000001</v>
    <v>29.565000000000001</v>
    <v>30</v>
    <v>29.67</v>
    <v>29.33</v>
    <v>29.22</v>
    <v>29.53</v>
    <v>29.635000000000002</v>
    <v>29.76</v>
    <v>29.45</v>
    <v>28.385000000000002</v>
    <v>27.69</v>
    <v>28.48</v>
    <v>28.945</v>
    <v>29.125</v>
    <v>29.48</v>
    <v>29.555</v>
    <v>29.72</v>
    <v>30.074999999999999</v>
    <v>30.465</v>
    <v>30.26</v>
    <v>29.984999999999999</v>
    <v>30.01</v>
    <v>30.195</v>
    <v>30.22</v>
    <v>30.17</v>
    <v>30.15</v>
    <v>30.465</v>
    <v>30.97</v>
    <v>30.82</v>
    <v>30.754999999999999</v>
    <v>30.29</v>
    <v>29.934999999999999</v>
    <v>29.725000000000001</v>
    <v>29.17</v>
    <v>29.8</v>
    <v>29.954999999999998</v>
    <v>29.585000000000001</v>
    <v>30.105</v>
    <v>30.52</v>
    <v>30.45</v>
    <v>30.23</v>
    <v>30.23</v>
    <v>30.62</v>
    <v>30.57</v>
    <v>31.06</v>
    <v>30.824999999999999</v>
    <v>30.835000000000001</v>
    <v>30.79</v>
    <v>30.99</v>
    <v>31.055</v>
    <v>31.48</v>
    <v>32</v>
    <v>31.934999999999999</v>
    <v>32.29</v>
    <v>32.424999999999997</v>
    <v>32.594999999999999</v>
    <v>32.97</v>
    <v>32.564999999999998</v>
    <v>32.700000000000003</v>
    <v>33.055</v>
    <v>33.14</v>
    <v>33.414999999999999</v>
    <v>33.755000000000003</v>
    <v>33.795000000000002</v>
    <v>33.685000000000002</v>
    <v>33.865000000000002</v>
    <v>33.534999999999997</v>
    <v>33.765000000000001</v>
    <v>34.005000000000003</v>
    <v>34.185000000000002</v>
    <v>34.44</v>
    <v>34.454999999999998</v>
    <v>33.445</v>
    <v>33.725000000000001</v>
    <v>33.365000000000002</v>
    <v>34.31</v>
    <v>35.805</v>
    <v>36.134999999999998</v>
    <v>36.835000000000001</v>
    <v>38.04</v>
    <v>37.72</v>
    <v>38.005000000000003</v>
    <v>36.15</v>
    <v>35.344999999999999</v>
    <v>34.729999999999997</v>
    <v>34.814999999999998</v>
    <v>34.784999999999997</v>
    <v>35.799999999999997</v>
    <v>36.085000000000001</v>
    <v>35.515000000000001</v>
    <v>35.585000000000001</v>
    <v>35.04</v>
    <v>35.314999999999998</v>
    <v>35.314999999999998</v>
    <v>35.594999999999999</v>
    <v>35.76</v>
    <v>35.935000000000002</v>
    <v>35.634999999999998</v>
    <v>35.814999999999998</v>
    <v>34.715000000000003</v>
    <v>34.755000000000003</v>
    <v>34.734999999999999</v>
    <v>34.950000000000003</v>
    <v>34.835000000000001</v>
    <v>35</v>
    <v>34.590000000000003</v>
    <v>34.79</v>
    <v>34.435000000000002</v>
    <v>34.594999999999999</v>
    <v>34.825000000000003</v>
    <v>34.81</v>
    <v>34.82</v>
    <v>35.47</v>
    <v>35.51</v>
    <v>35.56</v>
    <v>35.299999999999997</v>
    <v>35.450000000000003</v>
    <v>35.619999999999997</v>
    <v>35.79</v>
    <v>36.155000000000001</v>
    <v>36.25</v>
    <v>36.74</v>
    <v>37.155000000000001</v>
    <v>37.24</v>
    <v>37.1</v>
    <v>37.68</v>
    <v>38</v>
    <v>37.47</v>
    <v>37</v>
    <v>36.04</v>
    <v>36.19</v>
    <v>35.905000000000001</v>
    <v>36.06</v>
    <v>36.770000000000003</v>
    <v>36.880000000000003</v>
    <v>37.715000000000003</v>
    <v>37.39</v>
    <v>37.43</v>
    <v>37.795000000000002</v>
    <v>38.03</v>
    <v>37.9</v>
    <v>37.744999999999997</v>
    <v>37.494999999999997</v>
    <v>37.215000000000003</v>
    <v>38.479999999999997</v>
    <v>39.229999999999997</v>
    <v>39.78</v>
    <v>38.07</v>
    <v>38.134999999999998</v>
    <v>37.619999999999997</v>
    <v>37.619999999999997</v>
    <v>38.26</v>
    <v>38.590000000000003</v>
    <v>37.78</v>
    <v>39.954999999999998</v>
    <v>39.619999999999997</v>
    <v>40.49</v>
    <v>40.744999999999997</v>
    <v>40.215000000000003</v>
    <v>40.365000000000002</v>
    <v>39.765000000000001</v>
    <v>40.18</v>
    <v>40.295000000000002</v>
    <v>41.55</v>
    <v>42.2</v>
    <v>42.51</v>
    <v>42.48</v>
    <v>41.814999999999998</v>
    <v>41.01</v>
    <v>41.975000000000001</v>
    <v>42.204999999999998</v>
    <v>42.21</v>
    <v>42.07</v>
    <v>40.89</v>
    <v>40.615000000000002</v>
    <v>41.36</v>
    <v>41.31</v>
    <v>41.155000000000001</v>
    <v>38.755000000000003</v>
    <v>36.965000000000003</v>
    <v>39.78</v>
    <v>38.57</v>
    <v>40.134999999999998</v>
    <v>40.104999999999997</v>
    <v>41.48</v>
    <v>42.215000000000003</v>
    <v>42.064999999999998</v>
    <v>41.9</v>
    <v>41.33</v>
    <v>42.005000000000003</v>
    <v>42.414999999999999</v>
    <v>42.5</v>
    <v>42.645000000000003</v>
    <v>43.164999999999999</v>
    <v>43.24</v>
    <v>45.005000000000003</v>
    <v>45.43</v>
    <v>44.905000000000001</v>
    <v>44.99</v>
    <v>46.15</v>
    <v>45.615000000000002</v>
    <v>45.115000000000002</v>
    <v>45.29</v>
    <v>45.3</v>
    <v>46.2</v>
    <v>46.784999999999997</v>
    <v>46.95</v>
    <v>47.15</v>
    <v>47.085000000000001</v>
    <v>46.884999999999998</v>
    <v>46.255000000000003</v>
    <v>46.66</v>
    <v>47.365000000000002</v>
    <v>47.564999999999998</v>
    <v>47.064999999999998</v>
    <v>46.98</v>
    <v>46.965000000000003</v>
    <v>47.72</v>
    <v>47.645000000000003</v>
    <v>48.45</v>
    <v>48.11</v>
    <v>47.62</v>
    <v>46.844999999999999</v>
    <v>47.045000000000002</v>
    <v>47.19</v>
    <v>48.075000000000003</v>
    <v>48.14</v>
    <v>48.16</v>
    <v>47.975000000000001</v>
    <v>47.564999999999998</v>
    <v>47.78</v>
    <v>47.515000000000001</v>
    <v>46.454999999999998</v>
    <v>47.21</v>
    <v>48.29</v>
    <v>47.81</v>
    <v>48.125</v>
    <v>46.85</v>
    <v>46.74</v>
    <v>47.365000000000002</v>
    <v>46.94</v>
    <v>47.75</v>
    <v>47.58</v>
    <v>48.005000000000003</v>
    <v>48.055</v>
    <v>48.05</v>
    <v>48.74</v>
    <v>48.645000000000003</v>
    <v>48.17</v>
    <v>49.48</v>
    <v>49.924999999999997</v>
    <v>49.854999999999997</v>
    <v>48.895000000000003</v>
    <v>49.39</v>
    <v>49.45</v>
    <v>49.674999999999997</v>
    <v>49.234999999999999</v>
    <v>50.27</v>
    <v>50.25</v>
    <v>50.49</v>
    <v>49.185000000000002</v>
    <v>49.984999999999999</v>
    <v>50.85</v>
    <v>50.94</v>
    <v>50.19</v>
    <v>49.8</v>
    <v>49.645000000000003</v>
    <v>49.655000000000001</v>
    <v>49.87</v>
    <v>50.38</v>
    <v>50.37</v>
    <v>48.384999999999998</v>
    <v>47.825000000000003</v>
    <v>48.85</v>
    <v>49.575000000000003</v>
    <v>49.545000000000002</v>
    <v>49.94</v>
    <v>50.2</v>
    <v>49.924999999999997</v>
    <v>49.494999999999997</v>
    <v>49.965000000000003</v>
    <v>49.85</v>
    <v>50.02</v>
    <v>49.25</v>
    <v>48.814999999999998</v>
    <v>49.57</v>
    <v>49.244999999999997</v>
    <v>50.35</v>
    <v>51.65</v>
    <v>51.86</v>
    <v>52.1</v>
    <v>51.8</v>
    <v>51.54</v>
    <v>52.19</v>
    <v>52.62</v>
    <v>52.95</v>
    <v>52.92</v>
    <v>54.07</v>
    <v>53.72</v>
    <v>54.02</v>
    <v>54.84</v>
    <v>55.34</v>
    <v>55.79</v>
    <v>56.43</v>
    <v>56.75</v>
    <v>56.76</v>
    <v>56.59</v>
    <v>57.32</v>
    <v>57.1</v>
    <v>54.68</v>
    <v>54.53</v>
    <v>53.94</v>
    <v>53.25</v>
    <v>53.22</v>
    <v>51.21</v>
    <v>53.13</v>
    <v>53.9</v>
    <v>53.7</v>
    <v>54.94</v>
    <v>54.89</v>
    <v>54.94</v>
    <v>55.05</v>
    <v>54.89</v>
    <v>54.8</v>
    <v>55.01</v>
    <v>55.75</v>
    <v>55.32</v>
    <v>54.12</v>
    <v>52.77</v>
    <v>52.06</v>
    <v>53.7</v>
    <v>53.17</v>
    <v>53.06</v>
    <v>52.44</v>
    <v>52.23</v>
    <v>52.36</v>
    <v>51.46</v>
    <v>50.64</v>
    <v>50.8</v>
    <v>49.255000000000003</v>
    <v>49.454999999999998</v>
    <v>49.814999999999998</v>
    <v>50.24</v>
    <v>50.29</v>
    <v>50.31</v>
    <v>49.295000000000002</v>
    <v>49.34</v>
    <v>49.564999999999998</v>
    <v>50.85</v>
    <v>50.27</v>
    <v>51.09</v>
    <v>52.1</v>
    <v>51.5</v>
    <v>51.38</v>
    <v>51.35</v>
    <v>51.28</v>
    <v>50.19</v>
    <v>50.1</v>
    <v>50.95</v>
    <v>51.55</v>
    <v>52.25</v>
    <v>52.52</v>
    <v>52.16</v>
    <v>52.3</v>
    <v>52.86</v>
    <v>55.71</v>
    <v>56.66</v>
    <v>58.56</v>
    <v>59.81</v>
    <v>61.5</v>
    <v>62</v>
    <v>62.71</v>
    <v>62.37</v>
    <v>63.18</v>
    <v>63.87</v>
    <v>64.17</v>
    <v>63.38</v>
    <v>62.37</v>
    <v>61.43</v>
    <v>62.13</v>
    <v>60.63</v>
    <v>61.21</v>
    <v>61.53</v>
    <v>60.45</v>
    <v>59.94</v>
    <v>59.45</v>
    <v>60.72</v>
    <v>58.51</v>
    <v>57.12</v>
    <v>57.94</v>
    <v>59.21</v>
    <v>57.91</v>
    <v>56.53</v>
    <v>55.74</v>
    <v>56.6</v>
    <v>57</v>
    <v>56.97</v>
    <v>58.95</v>
    <v>59.86</v>
    <v>60.44</v>
    <v>59.24</v>
    <v>59.26</v>
    <v>59.4</v>
    <v>59.16</v>
    <v>58.97</v>
    <v>61.53</v>
    <v>62.32</v>
    <v>62.23</v>
    <v>60.79</v>
    <v>62.56</v>
    <v>63.24</v>
    <v>62.85</v>
    <v>61.69</v>
    <v>62.27</v>
    <v>62.23</v>
    <v>62.26</v>
    <v>62.82</v>
    <v>62.8</v>
    <v>61.78</v>
    <v>60.33</v>
    <v>60.16</v>
    <v>59.27</v>
    <v>60.6</v>
    <v>58.63</v>
    <v>57.08</v>
    <v>56.55</v>
    <v>56.46</v>
    <v>59.69</v>
    <v>60.38</v>
    <v>59.93</v>
    <v>60.98</v>
    <v>60.12</v>
    <v>58.82</v>
    <v>59.7</v>
    <v>59.72</v>
    <v>59.57</v>
    <v>59.66</v>
    <v>59.7</v>
    <v>59.24</v>
    <v>58.13</v>
    <v>57.78</v>
    <v>57.89</v>
    <v>56.25</v>
    <v>55.78</v>
    <v>55.46</v>
    <v>55.1</v>
    <v>55.97</v>
    <v>56.74</v>
    <v>56.38</v>
    <v>56</v>
    <v>54.38</v>
    <v>53.69</v>
    <v>53.39</v>
    <v>52.63</v>
    <v>52.61</v>
    <v>53.4</v>
    <v>52.26</v>
    <v>52.15</v>
    <v>52.73</v>
    <v>53.74</v>
    <v>53.57</v>
    <v>54.24</v>
    <v>54.97</v>
    <v>55.72</v>
    <v>55.17</v>
    <v>57.25</v>
    <v>56.99</v>
    <v>56.25</v>
    <v>55.02</v>
    <v>54.17</v>
    <v>54.5</v>
    <v>53.63</v>
    <v>53.08</v>
    <v>51.7</v>
    <v>52.84</v>
    <v>53.86</v>
    <v>53.99</v>
    <v>52.94</v>
    <v>52.91</v>
    <v>53.57</v>
    <v>52.57</v>
    <v>52.35</v>
    <v>51.24</v>
    <v>51.15</v>
    <v>50.55</v>
    <v>49.155000000000001</v>
    <v>48.905000000000001</v>
    <v>49.06</v>
    <v>49.814999999999998</v>
    <v>52.21</v>
    <v>53.97</v>
    <v>53.51</v>
    <v>54.5</v>
    <v>53.44</v>
    <v>52.43</v>
    <v>52.04</v>
    <v>51.1</v>
    <v>51.11</v>
    <v>50.79</v>
    <v>50.49</v>
    <v>49.8</v>
    <v>50</v>
    <v>50.39</v>
    <v>50.84</v>
    <v>51.3</v>
    <v>52.57</v>
    <v>53.1</v>
    <v>52.94</v>
    <v>52.96</v>
    <v>51.6</v>
    <v>50.72</v>
    <v>51.35</v>
    <v>52.81</v>
    <v>55.75</v>
    <v>55.93</v>
    <v>56.87</v>
    <v>57.17</v>
    <v>58.35</v>
    <v>57.84</v>
    <v>58.31</v>
    <v>58.45</v>
    <v>58.72</v>
    <v>58.69</v>
    <v>58.05</v>
    <v>57.12</v>
    <v>55.91</v>
    <v>55.14</v>
    <v>54.44</v>
    <v>54.09</v>
    <v>54.08</v>
    <v>54.73</v>
    <v>54.69</v>
    <v>53.71</v>
    <v>52.98</v>
    <v>51.91</v>
    <v>52.13</v>
    <v>51.91</v>
    <v>51.64</v>
    <v>51.83</v>
    <v>51.07</v>
    <v>51.02</v>
    <v>50.94</v>
    <v>51.73</v>
    <v>51.43</v>
    <v>52.31</v>
    <v>52.7</v>
    <v>52.24</v>
    <v>52.88</v>
    <v>52.29</v>
    <v>52.96</v>
    <v>52.1</v>
    <v>52.11</v>
    <v>51.64</v>
    <v>51.2</v>
    <v>51.47</v>
    <v>51.71</v>
    <v>52.04</v>
    <v>52.61</v>
    <v>51.49</v>
    <v>50.05</v>
    <v>49.774999999999999</v>
    <v>50.61</v>
    <v>50.85</v>
    <v>49.95</v>
    <v>50.5</v>
    <v>50.7</v>
    <v>51.42</v>
    <v>51.72</v>
    <v>50.81</v>
    <v>50.98</v>
    <v>50.85</v>
    <v>50.72</v>
  </a>
  <a r="1" c="208">
    <v>52.86</v>
    <v>55.71</v>
    <v>56.66</v>
    <v>58.56</v>
    <v>59.81</v>
    <v>61.5</v>
    <v>62</v>
    <v>62.71</v>
    <v>62.37</v>
    <v>63.18</v>
    <v>63.87</v>
    <v>64.17</v>
    <v>63.38</v>
    <v>62.37</v>
    <v>61.43</v>
    <v>62.13</v>
    <v>60.63</v>
    <v>61.21</v>
    <v>61.53</v>
    <v>60.45</v>
    <v>59.94</v>
    <v>59.45</v>
    <v>60.72</v>
    <v>58.51</v>
    <v>57.12</v>
    <v>57.94</v>
    <v>59.21</v>
    <v>57.91</v>
    <v>56.53</v>
    <v>55.74</v>
    <v>56.6</v>
    <v>57</v>
    <v>56.97</v>
    <v>58.95</v>
    <v>59.86</v>
    <v>60.44</v>
    <v>59.24</v>
    <v>59.26</v>
    <v>59.4</v>
    <v>59.16</v>
    <v>58.97</v>
    <v>61.53</v>
    <v>62.32</v>
    <v>62.23</v>
    <v>60.79</v>
    <v>62.56</v>
    <v>63.24</v>
    <v>62.85</v>
    <v>61.69</v>
    <v>62.27</v>
    <v>62.23</v>
    <v>62.26</v>
    <v>62.82</v>
    <v>62.8</v>
    <v>61.78</v>
    <v>60.33</v>
    <v>60.16</v>
    <v>59.27</v>
    <v>60.6</v>
    <v>58.63</v>
    <v>57.08</v>
    <v>56.55</v>
    <v>56.46</v>
    <v>59.69</v>
    <v>60.38</v>
    <v>59.93</v>
    <v>60.98</v>
    <v>60.12</v>
    <v>58.82</v>
    <v>59.7</v>
    <v>59.72</v>
    <v>59.57</v>
    <v>59.66</v>
    <v>59.7</v>
    <v>59.24</v>
    <v>58.13</v>
    <v>57.78</v>
    <v>57.89</v>
    <v>56.25</v>
    <v>55.78</v>
    <v>55.46</v>
    <v>55.1</v>
    <v>55.97</v>
    <v>56.74</v>
    <v>56.38</v>
    <v>56</v>
    <v>54.38</v>
    <v>53.69</v>
    <v>53.39</v>
    <v>52.63</v>
    <v>52.61</v>
    <v>53.4</v>
    <v>52.26</v>
    <v>52.15</v>
    <v>52.73</v>
    <v>53.74</v>
    <v>53.57</v>
    <v>54.24</v>
    <v>54.97</v>
    <v>55.72</v>
    <v>55.17</v>
    <v>57.25</v>
    <v>56.99</v>
    <v>56.25</v>
    <v>55.02</v>
    <v>54.17</v>
    <v>54.5</v>
    <v>53.63</v>
    <v>53.08</v>
    <v>51.7</v>
    <v>52.84</v>
    <v>53.86</v>
    <v>53.99</v>
    <v>52.94</v>
    <v>52.91</v>
    <v>53.57</v>
    <v>52.57</v>
    <v>52.35</v>
    <v>51.24</v>
    <v>51.15</v>
    <v>50.55</v>
    <v>49.155000000000001</v>
    <v>48.905000000000001</v>
    <v>49.06</v>
    <v>49.814999999999998</v>
    <v>52.21</v>
    <v>53.97</v>
    <v>53.51</v>
    <v>54.5</v>
    <v>53.44</v>
    <v>52.43</v>
    <v>52.04</v>
    <v>51.1</v>
    <v>51.11</v>
    <v>50.79</v>
    <v>50.49</v>
    <v>49.8</v>
    <v>50</v>
    <v>50.39</v>
    <v>50.84</v>
    <v>51.3</v>
    <v>52.57</v>
    <v>53.1</v>
    <v>52.94</v>
    <v>52.96</v>
    <v>51.6</v>
    <v>50.72</v>
    <v>51.35</v>
    <v>52.81</v>
    <v>55.75</v>
    <v>55.93</v>
    <v>56.87</v>
    <v>57.17</v>
    <v>58.35</v>
    <v>57.84</v>
    <v>58.31</v>
    <v>58.45</v>
    <v>58.72</v>
    <v>58.69</v>
    <v>58.05</v>
    <v>57.12</v>
    <v>55.91</v>
    <v>55.14</v>
    <v>54.44</v>
    <v>54.09</v>
    <v>54.08</v>
    <v>54.73</v>
    <v>54.69</v>
    <v>53.71</v>
    <v>52.98</v>
    <v>51.91</v>
    <v>52.13</v>
    <v>51.91</v>
    <v>51.64</v>
    <v>51.83</v>
    <v>51.07</v>
    <v>51.02</v>
    <v>50.94</v>
    <v>51.73</v>
    <v>51.43</v>
    <v>52.31</v>
    <v>52.7</v>
    <v>52.24</v>
    <v>52.88</v>
    <v>52.29</v>
    <v>52.96</v>
    <v>52.1</v>
    <v>52.11</v>
    <v>51.64</v>
    <v>51.2</v>
    <v>51.47</v>
    <v>51.71</v>
    <v>52.04</v>
    <v>52.61</v>
    <v>51.49</v>
    <v>50.05</v>
    <v>49.774999999999999</v>
    <v>50.61</v>
    <v>50.85</v>
    <v>49.95</v>
    <v>50.5</v>
    <v>50.7</v>
    <v>51.42</v>
    <v>51.72</v>
    <v>50.81</v>
    <v>50.98</v>
    <v>50.85</v>
    <v>50.72</v>
  </a>
  <a r="1" c="761">
    <v>6.8890000000000002</v>
    <v>7.0060000000000002</v>
    <v>6.83</v>
    <v>6.8840000000000003</v>
    <v>6.8179999999999996</v>
    <v>6.6890000000000001</v>
    <v>6.8280000000000003</v>
    <v>6.8869999999999996</v>
    <v>7.1879999999999997</v>
    <v>7.3570000000000002</v>
    <v>7.2759999999999998</v>
    <v>7.1059999999999999</v>
    <v>6.9470000000000001</v>
    <v>7.1829999999999998</v>
    <v>6.6509999999999998</v>
    <v>6.7009999999999996</v>
    <v>7.0529999999999999</v>
    <v>7.26</v>
    <v>7.0309999999999997</v>
    <v>6.8730000000000002</v>
    <v>7.125</v>
    <v>7.0019999999999998</v>
    <v>7.0069999999999997</v>
    <v>6.976</v>
    <v>7.05</v>
    <v>7.0149999999999997</v>
    <v>6.9939999999999998</v>
    <v>7.12</v>
    <v>7.218</v>
    <v>7.32</v>
    <v>7.3869999999999996</v>
    <v>7.3360000000000003</v>
    <v>7.1420000000000003</v>
    <v>7.0720000000000001</v>
    <v>7.0839999999999996</v>
    <v>6.9950000000000001</v>
    <v>6.9480000000000004</v>
    <v>6.8529999999999998</v>
    <v>7.2510000000000003</v>
    <v>7.3230000000000004</v>
    <v>7.15</v>
    <v>7.21</v>
    <v>7.1449999999999996</v>
    <v>7.1120000000000001</v>
    <v>7.0919999999999996</v>
    <v>7.2389999999999999</v>
    <v>7.2350000000000003</v>
    <v>7.1619999999999999</v>
    <v>7.2949999999999999</v>
    <v>7.0519999999999996</v>
    <v>7.016</v>
    <v>6.9359999999999999</v>
    <v>6.8849999999999998</v>
    <v>6.7569999999999997</v>
    <v>6.71</v>
    <v>6.5839999999999996</v>
    <v>6.58</v>
    <v>6.5590000000000002</v>
    <v>6.3840000000000003</v>
    <v>6.101</v>
    <v>6.06</v>
    <v>6.0289999999999999</v>
    <v>6.2039999999999997</v>
    <v>6.3460000000000001</v>
    <v>6.4029999999999996</v>
    <v>6.3</v>
    <v>6.4409999999999998</v>
    <v>6.4189999999999996</v>
    <v>6.3929999999999998</v>
    <v>6.5949999999999998</v>
    <v>6.5789999999999997</v>
    <v>6.6</v>
    <v>6.29</v>
    <v>6.2649999999999997</v>
    <v>6.3289999999999997</v>
    <v>6.27</v>
    <v>6.2409999999999997</v>
    <v>6.5140000000000002</v>
    <v>6.3410000000000002</v>
    <v>6.32</v>
    <v>6.3579999999999997</v>
    <v>6.2629999999999999</v>
    <v>6.226</v>
    <v>6.1970000000000001</v>
    <v>6.1029999999999998</v>
    <v>6.0720000000000001</v>
    <v>5.9359999999999999</v>
    <v>5.9180000000000001</v>
    <v>6.0179999999999998</v>
    <v>6.11</v>
    <v>6.12</v>
    <v>6.18</v>
    <v>6.1219999999999999</v>
    <v>6.0609999999999999</v>
    <v>6.2389999999999999</v>
    <v>6.3010000000000002</v>
    <v>6.3220000000000001</v>
    <v>6.2329999999999997</v>
    <v>6.1269999999999998</v>
    <v>6.085</v>
    <v>6.0460000000000003</v>
    <v>6.05</v>
    <v>6.0279999999999996</v>
    <v>5.9509999999999996</v>
    <v>5.9489999999999998</v>
    <v>6.1509999999999998</v>
    <v>6.11</v>
    <v>6.1539999999999999</v>
    <v>6.2910000000000004</v>
    <v>6.3840000000000003</v>
    <v>6.593</v>
    <v>6.6269999999999998</v>
    <v>6.47</v>
    <v>6.6849999999999996</v>
    <v>6.5540000000000003</v>
    <v>6.6520000000000001</v>
    <v>6.73</v>
    <v>6.556</v>
    <v>6.38</v>
    <v>6.3029999999999999</v>
    <v>6.0709999999999997</v>
    <v>5.9610000000000003</v>
    <v>5.8390000000000004</v>
    <v>5.95</v>
    <v>5.8449999999999998</v>
    <v>5.7220000000000004</v>
    <v>5.8129999999999997</v>
    <v>5.7</v>
    <v>5.5990000000000002</v>
    <v>5.7759999999999998</v>
    <v>5.9969999999999999</v>
    <v>5.9359999999999999</v>
    <v>5.9569999999999999</v>
    <v>6.1470000000000002</v>
    <v>6.2220000000000004</v>
    <v>6.2290000000000001</v>
    <v>6.1139999999999999</v>
    <v>6.1929999999999996</v>
    <v>6.1020000000000003</v>
    <v>6.2279999999999998</v>
    <v>6.53</v>
    <v>6.415</v>
    <v>6.3410000000000002</v>
    <v>6.4829999999999997</v>
    <v>6.3520000000000003</v>
    <v>6.4779999999999998</v>
    <v>6.8650000000000002</v>
    <v>6.8369999999999997</v>
    <v>6.8659999999999997</v>
    <v>7.0039999999999996</v>
    <v>7.19</v>
    <v>6.85</v>
    <v>6.88</v>
    <v>6.9969999999999999</v>
    <v>7.0590000000000002</v>
    <v>6.8339999999999996</v>
    <v>6.8029999999999999</v>
    <v>6.7080000000000002</v>
    <v>6.6829999999999998</v>
    <v>6.7880000000000003</v>
    <v>6.5529999999999999</v>
    <v>6.6749999999999998</v>
    <v>6.5350000000000001</v>
    <v>6.3570000000000002</v>
    <v>6.2229999999999999</v>
    <v>6.2869999999999999</v>
    <v>6.2439999999999998</v>
    <v>6.1980000000000004</v>
    <v>6.0919999999999996</v>
    <v>6.0419999999999998</v>
    <v>5.9180000000000001</v>
    <v>5.8680000000000003</v>
    <v>5.8250000000000002</v>
    <v>5.7850000000000001</v>
    <v>5.7389999999999999</v>
    <v>5.6580000000000004</v>
    <v>5.7539999999999996</v>
    <v>5.7889999999999997</v>
    <v>5.8739999999999997</v>
    <v>6</v>
    <v>5.8769999999999998</v>
    <v>5.931</v>
    <v>6.1130000000000004</v>
    <v>6.306</v>
    <v>6.2359999999999998</v>
    <v>6.2990000000000004</v>
    <v>6.2590000000000003</v>
    <v>6.2149999999999999</v>
    <v>5.9740000000000002</v>
    <v>5.87</v>
    <v>5.8819999999999997</v>
    <v>5.8170000000000002</v>
    <v>5.8540000000000001</v>
    <v>5.891</v>
    <v>5.8529999999999998</v>
    <v>5.7869999999999999</v>
    <v>5.9009999999999998</v>
    <v>5.88</v>
    <v>5.5279999999999996</v>
    <v>5.3120000000000003</v>
    <v>5.3540000000000001</v>
    <v>5.3940000000000001</v>
    <v>5.3440000000000003</v>
    <v>5.3860000000000001</v>
    <v>5.3579999999999997</v>
    <v>5.4269999999999996</v>
    <v>5.44</v>
    <v>5.4770000000000003</v>
    <v>5.51</v>
    <v>5.41</v>
    <v>5.4349999999999996</v>
    <v>5.3739999999999997</v>
    <v>5.47</v>
    <v>5.4610000000000003</v>
    <v>5.3769999999999998</v>
    <v>5.2990000000000004</v>
    <v>5.3339999999999996</v>
    <v>5.3369999999999997</v>
    <v>5.3929999999999998</v>
    <v>5.2640000000000002</v>
    <v>5.2869999999999999</v>
    <v>5.2249999999999996</v>
    <v>5.0229999999999997</v>
    <v>5.085</v>
    <v>5.0359999999999996</v>
    <v>5.1520000000000001</v>
    <v>5.2489999999999997</v>
    <v>5.3289999999999997</v>
    <v>5.258</v>
    <v>5.4139999999999997</v>
    <v>5.3360000000000003</v>
    <v>5.4329999999999998</v>
    <v>5.2309999999999999</v>
    <v>5.3090000000000002</v>
    <v>5.2939999999999996</v>
    <v>5.2569999999999997</v>
    <v>5.3070000000000004</v>
    <v>5.4720000000000004</v>
    <v>5.4960000000000004</v>
    <v>5.3650000000000002</v>
    <v>5.3659999999999997</v>
    <v>5.3369999999999997</v>
    <v>5.3760000000000003</v>
    <v>5.4</v>
    <v>5.4</v>
    <v>5.3289999999999997</v>
    <v>5.2110000000000003</v>
    <v>5.2220000000000004</v>
    <v>5.2110000000000003</v>
    <v>5.2089999999999996</v>
    <v>5.1859999999999999</v>
    <v>5.1289999999999996</v>
    <v>5.1109999999999998</v>
    <v>5.1520000000000001</v>
    <v>5.18</v>
    <v>5.1020000000000003</v>
    <v>5.141</v>
    <v>5.1189999999999998</v>
    <v>5.2119999999999997</v>
    <v>5.17</v>
    <v>5.0880000000000001</v>
    <v>4.95</v>
    <v>5.0060000000000002</v>
    <v>5.1079999999999997</v>
    <v>5.1619999999999999</v>
    <v>4.8</v>
    <v>4.8949999999999996</v>
    <v>4.9654999999999996</v>
    <v>4.9859999999999998</v>
    <v>4.8285</v>
    <v>4.8819999999999997</v>
    <v>4.827</v>
    <v>5.2050000000000001</v>
    <v>5.4610000000000003</v>
    <v>5.3479999999999999</v>
    <v>5.3380000000000001</v>
    <v>5.2119999999999997</v>
    <v>5.4329999999999998</v>
    <v>5.5979999999999999</v>
    <v>5.6509999999999998</v>
    <v>5.7320000000000002</v>
    <v>5.71</v>
    <v>5.7370000000000001</v>
    <v>5.76</v>
    <v>5.6310000000000002</v>
    <v>5.5359999999999996</v>
    <v>5.508</v>
    <v>5.5670000000000002</v>
    <v>5.7519999999999998</v>
    <v>5.5759999999999996</v>
    <v>5.6</v>
    <v>5.6289999999999996</v>
    <v>5.4640000000000004</v>
    <v>5.4740000000000002</v>
    <v>5.4749999999999996</v>
    <v>5.5460000000000003</v>
    <v>5.2960000000000003</v>
    <v>5.4539999999999997</v>
    <v>5.4580000000000002</v>
    <v>5.4180000000000001</v>
    <v>5.2640000000000002</v>
    <v>5.5410000000000004</v>
    <v>5.6630000000000003</v>
    <v>5.8310000000000004</v>
    <v>5.8479999999999999</v>
    <v>5.57</v>
    <v>5.5330000000000004</v>
    <v>5.44</v>
    <v>5.3250000000000002</v>
    <v>5.3490000000000002</v>
    <v>5.4160000000000004</v>
    <v>5.3479999999999999</v>
    <v>5.4130000000000003</v>
    <v>5.35</v>
    <v>5.2930000000000001</v>
    <v>5.24</v>
    <v>5.2130000000000001</v>
    <v>5.2329999999999997</v>
    <v>4.9705000000000004</v>
    <v>4.95</v>
    <v>4.9965000000000002</v>
    <v>5.0869999999999997</v>
    <v>5.149</v>
    <v>5.0999999999999996</v>
    <v>5.03</v>
    <v>5.1289999999999996</v>
    <v>5.165</v>
    <v>5.0890000000000004</v>
    <v>5.1239999999999997</v>
    <v>5.0590000000000002</v>
    <v>4.9790000000000001</v>
    <v>5.0140000000000002</v>
    <v>5.0410000000000004</v>
    <v>5.101</v>
    <v>5.1550000000000002</v>
    <v>5.1719999999999997</v>
    <v>5.0129999999999999</v>
    <v>5.0350000000000001</v>
    <v>4.9435000000000002</v>
    <v>4.782</v>
    <v>4.9275000000000002</v>
    <v>4.9455</v>
    <v>4.8529999999999998</v>
    <v>4.8825000000000003</v>
    <v>4.6094999999999997</v>
    <v>4.5964999999999998</v>
    <v>4.7164999999999999</v>
    <v>4.6820000000000004</v>
    <v>4.6740000000000004</v>
    <v>4.5324999999999998</v>
    <v>4.7645</v>
    <v>4.7645</v>
    <v>4.7725</v>
    <v>4.9444999999999997</v>
    <v>4.9009999999999998</v>
    <v>4.8639999999999999</v>
    <v>4.9095000000000004</v>
    <v>4.7569999999999997</v>
    <v>4.7149999999999999</v>
    <v>4.6204999999999998</v>
    <v>4.5294999999999996</v>
    <v>4.5110000000000001</v>
    <v>4.3285</v>
    <v>4.2679999999999998</v>
    <v>4.3295000000000003</v>
    <v>4.4184999999999999</v>
    <v>4.0004999999999997</v>
    <v>3.9285000000000001</v>
    <v>3.8180000000000001</v>
    <v>3.8919999999999999</v>
    <v>3.7389999999999999</v>
    <v>3.9064999999999999</v>
    <v>3.86</v>
    <v>3.93</v>
    <v>3.996</v>
    <v>3.9704999999999999</v>
    <v>3.8835000000000002</v>
    <v>3.7280000000000002</v>
    <v>3.9594999999999998</v>
    <v>3.9319999999999999</v>
    <v>3.9554999999999998</v>
    <v>4.0529999999999999</v>
    <v>4.0015000000000001</v>
    <v>3.9590000000000001</v>
    <v>4</v>
    <v>4.0199999999999996</v>
    <v>4.0425000000000004</v>
    <v>4.0209999999999999</v>
    <v>4.1275000000000004</v>
    <v>4.194</v>
    <v>4.3920000000000003</v>
    <v>4.4335000000000004</v>
    <v>4.3914999999999997</v>
    <v>4.3570000000000002</v>
    <v>4.3760000000000003</v>
    <v>4.3765000000000001</v>
    <v>4.3784999999999998</v>
    <v>4.2889999999999997</v>
    <v>4.242</v>
    <v>4.2350000000000003</v>
    <v>4.2305000000000001</v>
    <v>4.2685000000000004</v>
    <v>4.2439999999999998</v>
    <v>4.2755000000000001</v>
    <v>4.2750000000000004</v>
    <v>4.29</v>
    <v>4.4109999999999996</v>
    <v>4.4870000000000001</v>
    <v>4.4545000000000003</v>
    <v>4.5599999999999996</v>
    <v>4.6210000000000004</v>
    <v>4.7394999999999996</v>
    <v>4.7750000000000004</v>
    <v>4.7510000000000003</v>
    <v>4.5860000000000003</v>
    <v>4.6935000000000002</v>
    <v>4.5854999999999997</v>
    <v>4.5735000000000001</v>
    <v>4.5585000000000004</v>
    <v>4.6494999999999997</v>
    <v>4.5910000000000002</v>
    <v>4.5979999999999999</v>
    <v>4.5614999999999997</v>
    <v>4.5975000000000001</v>
    <v>4.6064999999999996</v>
    <v>4.6924999999999999</v>
    <v>4.7285000000000004</v>
    <v>4.7255000000000003</v>
    <v>4.8285</v>
    <v>4.7809999999999997</v>
    <v>4.7610000000000001</v>
    <v>4.7939999999999996</v>
    <v>4.9749999999999996</v>
    <v>4.9984999999999999</v>
    <v>4.8890000000000002</v>
    <v>4.8085000000000004</v>
    <v>4.827</v>
    <v>4.6970000000000001</v>
    <v>4.8564999999999996</v>
    <v>4.8979999999999997</v>
    <v>5.0030000000000001</v>
    <v>4.8739999999999997</v>
    <v>4.923</v>
    <v>5.1040000000000001</v>
    <v>5.1059999999999999</v>
    <v>5.1210000000000004</v>
    <v>5.05</v>
    <v>5.1100000000000003</v>
    <v>5.08</v>
    <v>4.7584999999999997</v>
    <v>4.8324999999999996</v>
    <v>4.8730000000000002</v>
    <v>4.9124999999999996</v>
    <v>4.8695000000000004</v>
    <v>4.8944999999999999</v>
    <v>4.891</v>
    <v>4.8550000000000004</v>
    <v>5.0179999999999998</v>
    <v>5.0430000000000001</v>
    <v>5.1970000000000001</v>
    <v>5.0620000000000003</v>
    <v>5.0250000000000004</v>
    <v>5.0880000000000001</v>
    <v>5.218</v>
    <v>5.2240000000000002</v>
    <v>5.25</v>
    <v>5.2489999999999997</v>
    <v>5.2939999999999996</v>
    <v>5.2480000000000002</v>
    <v>5.2309999999999999</v>
    <v>5.0880000000000001</v>
    <v>5.1079999999999997</v>
    <v>5.0910000000000002</v>
    <v>5.0970000000000004</v>
    <v>5.1779999999999999</v>
    <v>5.0570000000000004</v>
    <v>5.3029999999999999</v>
    <v>5.5149999999999997</v>
    <v>5.49</v>
    <v>5.5960000000000001</v>
    <v>5.673</v>
    <v>5.87</v>
    <v>6.2450000000000001</v>
    <v>6.2969999999999997</v>
    <v>6.4160000000000004</v>
    <v>6.6050000000000004</v>
    <v>6.2869999999999999</v>
    <v>6.1909999999999998</v>
    <v>6.1760000000000002</v>
    <v>6.1539999999999999</v>
    <v>6.0919999999999996</v>
    <v>6.4359999999999999</v>
    <v>6.5640000000000001</v>
    <v>7.0670000000000002</v>
    <v>7.2640000000000002</v>
    <v>7.1619999999999999</v>
    <v>7.0620000000000003</v>
    <v>7.1360000000000001</v>
    <v>6.89</v>
    <v>7.2779999999999996</v>
    <v>7.2439999999999998</v>
    <v>7.532</v>
    <v>7.484</v>
    <v>7.0830000000000002</v>
    <v>7.1840000000000002</v>
    <v>6.9470000000000001</v>
    <v>6.54</v>
    <v>6.6710000000000003</v>
    <v>6.8079999999999998</v>
    <v>6.7960000000000003</v>
    <v>7.0019999999999998</v>
    <v>7.36</v>
    <v>7.2009999999999996</v>
    <v>7.0129999999999999</v>
    <v>7.2709999999999999</v>
    <v>7.2069999999999999</v>
    <v>7.2039999999999997</v>
    <v>7.024</v>
    <v>6.7949999999999999</v>
    <v>7.11</v>
    <v>6.92</v>
    <v>6.9359999999999999</v>
    <v>6.649</v>
    <v>6.8239999999999998</v>
    <v>6.5170000000000003</v>
    <v>6.2649999999999997</v>
    <v>6.2450000000000001</v>
    <v>6.2519999999999998</v>
    <v>6.0270000000000001</v>
    <v>6.1580000000000004</v>
    <v>6.0620000000000003</v>
    <v>6.1710000000000003</v>
    <v>6.2279999999999998</v>
    <v>6.3949999999999996</v>
    <v>6.1950000000000003</v>
    <v>6.218</v>
    <v>6.1950000000000003</v>
    <v>6.2610000000000001</v>
    <v>6.3639999999999999</v>
    <v>6.1950000000000003</v>
    <v>6.1040000000000001</v>
    <v>5.952</v>
    <v>5.9029999999999996</v>
    <v>5.944</v>
    <v>5.9370000000000003</v>
    <v>5.718</v>
    <v>5.6820000000000004</v>
    <v>5.7190000000000003</v>
    <v>5.7670000000000003</v>
    <v>5.8040000000000003</v>
    <v>5.76</v>
    <v>5.7350000000000003</v>
    <v>5.6790000000000003</v>
    <v>5.8330000000000002</v>
    <v>5.9240000000000004</v>
    <v>6.024</v>
    <v>6.0389999999999997</v>
    <v>6.1369999999999996</v>
    <v>6.173</v>
    <v>6.343</v>
    <v>6.3680000000000003</v>
    <v>6.4829999999999997</v>
    <v>6.569</v>
    <v>6.556</v>
    <v>6.5</v>
    <v>6.399</v>
    <v>6.4</v>
    <v>6.5439999999999996</v>
    <v>6.6210000000000004</v>
    <v>6.3940000000000001</v>
    <v>6.3860000000000001</v>
    <v>6.4720000000000004</v>
    <v>6.3220000000000001</v>
    <v>6.3040000000000003</v>
    <v>6.2880000000000003</v>
    <v>6.38</v>
    <v>6.45</v>
    <v>6.258</v>
    <v>6.3460000000000001</v>
    <v>6.4690000000000003</v>
    <v>6.5039999999999996</v>
    <v>6.431</v>
    <v>6.38</v>
    <v>6.4420000000000002</v>
    <v>6.4340000000000002</v>
    <v>6.4210000000000003</v>
    <v>6.61</v>
    <v>6.5590000000000002</v>
    <v>6.6849999999999996</v>
    <v>6.593</v>
    <v>6.7290000000000001</v>
    <v>6.82</v>
    <v>6.7679999999999998</v>
    <v>6.7249999999999996</v>
    <v>6.6929999999999996</v>
    <v>6.56</v>
    <v>6.6989999999999998</v>
    <v>6.7080000000000002</v>
    <v>6.5540000000000003</v>
    <v>6.4669999999999996</v>
    <v>6.7</v>
    <v>6.6210000000000004</v>
    <v>6.8920000000000003</v>
    <v>6.7729999999999997</v>
    <v>6.8390000000000004</v>
    <v>6.8550000000000004</v>
    <v>6.891</v>
    <v>6.7759999999999998</v>
    <v>6.7030000000000003</v>
    <v>6.508</v>
    <v>6.4539999999999997</v>
    <v>6.6529999999999996</v>
    <v>6.54</v>
    <v>6.3739999999999997</v>
    <v>6.3579999999999997</v>
    <v>6.3220000000000001</v>
    <v>6.5229999999999997</v>
    <v>6.556</v>
    <v>6.4749999999999996</v>
    <v>6.7649999999999997</v>
    <v>6.87</v>
    <v>6.8940000000000001</v>
    <v>6.9889999999999999</v>
    <v>7.444</v>
    <v>7.593</v>
    <v>7.516</v>
    <v>7.766</v>
    <v>7.6580000000000004</v>
    <v>7.8780000000000001</v>
    <v>8.0619999999999994</v>
    <v>8.1449999999999996</v>
    <v>8.3059999999999992</v>
    <v>8.1270000000000007</v>
    <v>7.9020000000000001</v>
    <v>8.66</v>
    <v>8.7289999999999992</v>
    <v>8.83</v>
    <v>9.3109999999999999</v>
    <v>9.5950000000000006</v>
    <v>9.3719999999999999</v>
    <v>9.3819999999999997</v>
    <v>9.9499999999999993</v>
    <v>9.4350000000000005</v>
    <v>9.9559999999999995</v>
    <v>9.9849999999999994</v>
    <v>9.6720000000000006</v>
    <v>9.4879999999999995</v>
    <v>9.2479999999999993</v>
    <v>9.3510000000000009</v>
    <v>9.8759999999999994</v>
    <v>10.6</v>
    <v>10.744</v>
    <v>10.708</v>
    <v>10.802</v>
    <v>10.827999999999999</v>
    <v>10.516</v>
    <v>10.343999999999999</v>
    <v>10.474</v>
    <v>10.1</v>
    <v>9.8320000000000007</v>
    <v>9.3209999999999997</v>
    <v>9.1199999999999992</v>
    <v>8.7279999999999998</v>
    <v>8.4629999999999992</v>
    <v>8.4359999999999999</v>
    <v>8.718</v>
    <v>8.766</v>
    <v>8.7810000000000006</v>
    <v>8.74</v>
    <v>8.7010000000000005</v>
    <v>8.9580000000000002</v>
    <v>8.9819999999999993</v>
    <v>8.6999999999999993</v>
    <v>8.6620000000000008</v>
    <v>8.3879999999999999</v>
    <v>8.1630000000000003</v>
    <v>8.2159999999999993</v>
    <v>8.6140000000000008</v>
    <v>8.7889999999999997</v>
    <v>8.6929999999999996</v>
    <v>8.6890000000000001</v>
    <v>8.7729999999999997</v>
    <v>8.2880000000000003</v>
    <v>8.1080000000000005</v>
    <v>8.23</v>
    <v>8.0739999999999998</v>
    <v>8.1020000000000003</v>
    <v>8.1389999999999993</v>
    <v>7.9550000000000001</v>
    <v>7.83</v>
    <v>7.79</v>
    <v>7.64</v>
    <v>7.8559999999999999</v>
    <v>7.899</v>
    <v>7.8579999999999997</v>
    <v>7.7519999999999998</v>
    <v>7.5090000000000003</v>
    <v>7.22</v>
    <v>6.9969999999999999</v>
    <v>7.2229999999999999</v>
    <v>7.2130000000000001</v>
    <v>7.31</v>
    <v>7.4829999999999997</v>
    <v>7.5670000000000002</v>
    <v>7.6790000000000003</v>
    <v>7.5890000000000004</v>
    <v>7.6319999999999997</v>
    <v>7.7050000000000001</v>
    <v>7.8760000000000003</v>
    <v>7.8630000000000004</v>
    <v>7.7709999999999999</v>
    <v>7.702</v>
    <v>7.3860000000000001</v>
    <v>7.4320000000000004</v>
    <v>7.3840000000000003</v>
    <v>7.3970000000000002</v>
    <v>7.3449999999999998</v>
    <v>7.4669999999999996</v>
    <v>7.4660000000000002</v>
    <v>7.5570000000000004</v>
    <v>7.56</v>
    <v>7.5220000000000002</v>
    <v>7.5229999999999997</v>
    <v>7.47</v>
    <v>7.6379999999999999</v>
    <v>7.7030000000000003</v>
    <v>7.8810000000000002</v>
    <v>7.923</v>
    <v>7.8490000000000002</v>
    <v>7.6509999999999998</v>
    <v>7.6879999999999997</v>
    <v>7.4969999999999999</v>
    <v>7.5620000000000003</v>
    <v>7.6609999999999996</v>
    <v>7.7320000000000002</v>
    <v>7.6239999999999997</v>
    <v>7.6749999999999998</v>
    <v>7.7480000000000002</v>
    <v>7.7619999999999996</v>
    <v>7.4870000000000001</v>
    <v>7.6840000000000002</v>
    <v>7.4539999999999997</v>
    <v>7.5960000000000001</v>
    <v>7.665</v>
    <v>7.5049999999999999</v>
    <v>7.7629999999999999</v>
    <v>7.7480000000000002</v>
    <v>7.7560000000000002</v>
    <v>7.5830000000000002</v>
    <v>7.4870000000000001</v>
    <v>7.5060000000000002</v>
    <v>7.3339999999999996</v>
    <v>7.29</v>
    <v>7.2350000000000003</v>
    <v>6.944</v>
    <v>6.9980000000000002</v>
    <v>6.9770000000000003</v>
    <v>6.8040000000000003</v>
    <v>6.9169999999999998</v>
    <v>6.7210000000000001</v>
    <v>6.6639999999999997</v>
  </a>
  <a r="1" c="254">
    <v>6.6710000000000003</v>
    <v>6.8079999999999998</v>
    <v>6.7960000000000003</v>
    <v>7.0019999999999998</v>
    <v>7.36</v>
    <v>7.2009999999999996</v>
    <v>7.0129999999999999</v>
    <v>7.2709999999999999</v>
    <v>7.2069999999999999</v>
    <v>7.2039999999999997</v>
    <v>7.024</v>
    <v>6.7949999999999999</v>
    <v>7.11</v>
    <v>6.92</v>
    <v>6.9359999999999999</v>
    <v>6.649</v>
    <v>6.8239999999999998</v>
    <v>6.5170000000000003</v>
    <v>6.2649999999999997</v>
    <v>6.2450000000000001</v>
    <v>6.2519999999999998</v>
    <v>6.0270000000000001</v>
    <v>6.1580000000000004</v>
    <v>6.0620000000000003</v>
    <v>6.1710000000000003</v>
    <v>6.2279999999999998</v>
    <v>6.3949999999999996</v>
    <v>6.1950000000000003</v>
    <v>6.218</v>
    <v>6.1950000000000003</v>
    <v>6.2610000000000001</v>
    <v>6.3639999999999999</v>
    <v>6.1950000000000003</v>
    <v>6.1040000000000001</v>
    <v>5.952</v>
    <v>5.9029999999999996</v>
    <v>5.944</v>
    <v>5.9370000000000003</v>
    <v>5.718</v>
    <v>5.6820000000000004</v>
    <v>5.7190000000000003</v>
    <v>5.7670000000000003</v>
    <v>5.8040000000000003</v>
    <v>5.76</v>
    <v>5.7350000000000003</v>
    <v>5.6790000000000003</v>
    <v>5.8330000000000002</v>
    <v>5.9240000000000004</v>
    <v>6.024</v>
    <v>6.0389999999999997</v>
    <v>6.1369999999999996</v>
    <v>6.173</v>
    <v>6.343</v>
    <v>6.3680000000000003</v>
    <v>6.4829999999999997</v>
    <v>6.569</v>
    <v>6.556</v>
    <v>6.5</v>
    <v>6.399</v>
    <v>6.4</v>
    <v>6.5439999999999996</v>
    <v>6.6210000000000004</v>
    <v>6.3940000000000001</v>
    <v>6.3860000000000001</v>
    <v>6.4720000000000004</v>
    <v>6.3220000000000001</v>
    <v>6.3040000000000003</v>
    <v>6.2880000000000003</v>
    <v>6.38</v>
    <v>6.45</v>
    <v>6.258</v>
    <v>6.3460000000000001</v>
    <v>6.4690000000000003</v>
    <v>6.5039999999999996</v>
    <v>6.431</v>
    <v>6.38</v>
    <v>6.4420000000000002</v>
    <v>6.4340000000000002</v>
    <v>6.4210000000000003</v>
    <v>6.61</v>
    <v>6.5590000000000002</v>
    <v>6.6849999999999996</v>
    <v>6.593</v>
    <v>6.7290000000000001</v>
    <v>6.82</v>
    <v>6.7679999999999998</v>
    <v>6.7249999999999996</v>
    <v>6.6929999999999996</v>
    <v>6.56</v>
    <v>6.6989999999999998</v>
    <v>6.7080000000000002</v>
    <v>6.5540000000000003</v>
    <v>6.4669999999999996</v>
    <v>6.7</v>
    <v>6.6210000000000004</v>
    <v>6.8920000000000003</v>
    <v>6.7729999999999997</v>
    <v>6.8390000000000004</v>
    <v>6.8550000000000004</v>
    <v>6.891</v>
    <v>6.7759999999999998</v>
    <v>6.7030000000000003</v>
    <v>6.508</v>
    <v>6.4539999999999997</v>
    <v>6.6529999999999996</v>
    <v>6.54</v>
    <v>6.3739999999999997</v>
    <v>6.3579999999999997</v>
    <v>6.3220000000000001</v>
    <v>6.5229999999999997</v>
    <v>6.556</v>
    <v>6.4749999999999996</v>
    <v>6.7649999999999997</v>
    <v>6.87</v>
    <v>6.8940000000000001</v>
    <v>6.9889999999999999</v>
    <v>7.444</v>
    <v>7.593</v>
    <v>7.516</v>
    <v>7.766</v>
    <v>7.6580000000000004</v>
    <v>7.8780000000000001</v>
    <v>8.0619999999999994</v>
    <v>8.1449999999999996</v>
    <v>8.3059999999999992</v>
    <v>8.1270000000000007</v>
    <v>7.9020000000000001</v>
    <v>8.66</v>
    <v>8.7289999999999992</v>
    <v>8.83</v>
    <v>9.3109999999999999</v>
    <v>9.5950000000000006</v>
    <v>9.3719999999999999</v>
    <v>9.3819999999999997</v>
    <v>9.9499999999999993</v>
    <v>9.4350000000000005</v>
    <v>9.9559999999999995</v>
    <v>9.9849999999999994</v>
    <v>9.6720000000000006</v>
    <v>9.4879999999999995</v>
    <v>9.2479999999999993</v>
    <v>9.3510000000000009</v>
    <v>9.8759999999999994</v>
    <v>10.6</v>
    <v>10.744</v>
    <v>10.708</v>
    <v>10.802</v>
    <v>10.827999999999999</v>
    <v>10.516</v>
    <v>10.343999999999999</v>
    <v>10.474</v>
    <v>10.1</v>
    <v>9.8320000000000007</v>
    <v>9.3209999999999997</v>
    <v>9.1199999999999992</v>
    <v>8.7279999999999998</v>
    <v>8.4629999999999992</v>
    <v>8.4359999999999999</v>
    <v>8.718</v>
    <v>8.766</v>
    <v>8.7810000000000006</v>
    <v>8.74</v>
    <v>8.7010000000000005</v>
    <v>8.9580000000000002</v>
    <v>8.9819999999999993</v>
    <v>8.6999999999999993</v>
    <v>8.6620000000000008</v>
    <v>8.3879999999999999</v>
    <v>8.1630000000000003</v>
    <v>8.2159999999999993</v>
    <v>8.6140000000000008</v>
    <v>8.7889999999999997</v>
    <v>8.6929999999999996</v>
    <v>8.6890000000000001</v>
    <v>8.7729999999999997</v>
    <v>8.2880000000000003</v>
    <v>8.1080000000000005</v>
    <v>8.23</v>
    <v>8.0739999999999998</v>
    <v>8.1020000000000003</v>
    <v>8.1389999999999993</v>
    <v>7.9550000000000001</v>
    <v>7.83</v>
    <v>7.79</v>
    <v>7.64</v>
    <v>7.8559999999999999</v>
    <v>7.899</v>
    <v>7.8579999999999997</v>
    <v>7.7519999999999998</v>
    <v>7.5090000000000003</v>
    <v>7.22</v>
    <v>6.9969999999999999</v>
    <v>7.2229999999999999</v>
    <v>7.2130000000000001</v>
    <v>7.31</v>
    <v>7.4829999999999997</v>
    <v>7.5670000000000002</v>
    <v>7.6790000000000003</v>
    <v>7.5890000000000004</v>
    <v>7.6319999999999997</v>
    <v>7.7050000000000001</v>
    <v>7.8760000000000003</v>
    <v>7.8630000000000004</v>
    <v>7.7709999999999999</v>
    <v>7.702</v>
    <v>7.3860000000000001</v>
    <v>7.4320000000000004</v>
    <v>7.3840000000000003</v>
    <v>7.3970000000000002</v>
    <v>7.3449999999999998</v>
    <v>7.4669999999999996</v>
    <v>7.4660000000000002</v>
    <v>7.5570000000000004</v>
    <v>7.56</v>
    <v>7.5220000000000002</v>
    <v>7.5229999999999997</v>
    <v>7.47</v>
    <v>7.6379999999999999</v>
    <v>7.7030000000000003</v>
    <v>7.8810000000000002</v>
    <v>7.923</v>
    <v>7.8490000000000002</v>
    <v>7.6509999999999998</v>
    <v>7.6879999999999997</v>
    <v>7.4969999999999999</v>
    <v>7.5620000000000003</v>
    <v>7.6609999999999996</v>
    <v>7.7320000000000002</v>
    <v>7.6239999999999997</v>
    <v>7.6749999999999998</v>
    <v>7.7480000000000002</v>
    <v>7.7619999999999996</v>
    <v>7.4870000000000001</v>
    <v>7.6840000000000002</v>
    <v>7.4539999999999997</v>
    <v>7.5960000000000001</v>
    <v>7.665</v>
    <v>7.5049999999999999</v>
    <v>7.7629999999999999</v>
    <v>7.7480000000000002</v>
    <v>7.7560000000000002</v>
    <v>7.5830000000000002</v>
    <v>7.4870000000000001</v>
    <v>7.5060000000000002</v>
    <v>7.3339999999999996</v>
    <v>7.29</v>
    <v>7.2350000000000003</v>
    <v>6.944</v>
    <v>6.9980000000000002</v>
    <v>6.9770000000000003</v>
    <v>6.8040000000000003</v>
    <v>6.9169999999999998</v>
    <v>6.7210000000000001</v>
    <v>6.6639999999999997</v>
  </a>
  <a r="1" c="208">
    <v>5.8330000000000002</v>
    <v>5.9240000000000004</v>
    <v>6.024</v>
    <v>6.0389999999999997</v>
    <v>6.1369999999999996</v>
    <v>6.173</v>
    <v>6.343</v>
    <v>6.3680000000000003</v>
    <v>6.4829999999999997</v>
    <v>6.569</v>
    <v>6.556</v>
    <v>6.5</v>
    <v>6.399</v>
    <v>6.4</v>
    <v>6.5439999999999996</v>
    <v>6.6210000000000004</v>
    <v>6.3940000000000001</v>
    <v>6.3860000000000001</v>
    <v>6.4720000000000004</v>
    <v>6.3220000000000001</v>
    <v>6.3040000000000003</v>
    <v>6.2880000000000003</v>
    <v>6.38</v>
    <v>6.45</v>
    <v>6.258</v>
    <v>6.3460000000000001</v>
    <v>6.4690000000000003</v>
    <v>6.5039999999999996</v>
    <v>6.431</v>
    <v>6.38</v>
    <v>6.4420000000000002</v>
    <v>6.4340000000000002</v>
    <v>6.4210000000000003</v>
    <v>6.61</v>
    <v>6.5590000000000002</v>
    <v>6.6849999999999996</v>
    <v>6.593</v>
    <v>6.7290000000000001</v>
    <v>6.82</v>
    <v>6.7679999999999998</v>
    <v>6.7249999999999996</v>
    <v>6.6929999999999996</v>
    <v>6.56</v>
    <v>6.6989999999999998</v>
    <v>6.7080000000000002</v>
    <v>6.5540000000000003</v>
    <v>6.4669999999999996</v>
    <v>6.7</v>
    <v>6.6210000000000004</v>
    <v>6.8920000000000003</v>
    <v>6.7729999999999997</v>
    <v>6.8390000000000004</v>
    <v>6.8550000000000004</v>
    <v>6.891</v>
    <v>6.7759999999999998</v>
    <v>6.7030000000000003</v>
    <v>6.508</v>
    <v>6.4539999999999997</v>
    <v>6.6529999999999996</v>
    <v>6.54</v>
    <v>6.3739999999999997</v>
    <v>6.3579999999999997</v>
    <v>6.3220000000000001</v>
    <v>6.5229999999999997</v>
    <v>6.556</v>
    <v>6.4749999999999996</v>
    <v>6.7649999999999997</v>
    <v>6.87</v>
    <v>6.8940000000000001</v>
    <v>6.9889999999999999</v>
    <v>7.444</v>
    <v>7.593</v>
    <v>7.516</v>
    <v>7.766</v>
    <v>7.6580000000000004</v>
    <v>7.8780000000000001</v>
    <v>8.0619999999999994</v>
    <v>8.1449999999999996</v>
    <v>8.3059999999999992</v>
    <v>8.1270000000000007</v>
    <v>7.9020000000000001</v>
    <v>8.66</v>
    <v>8.7289999999999992</v>
    <v>8.83</v>
    <v>9.3109999999999999</v>
    <v>9.5950000000000006</v>
    <v>9.3719999999999999</v>
    <v>9.3819999999999997</v>
    <v>9.9499999999999993</v>
    <v>9.4350000000000005</v>
    <v>9.9559999999999995</v>
    <v>9.9849999999999994</v>
    <v>9.6720000000000006</v>
    <v>9.4879999999999995</v>
    <v>9.2479999999999993</v>
    <v>9.3510000000000009</v>
    <v>9.8759999999999994</v>
    <v>10.6</v>
    <v>10.744</v>
    <v>10.708</v>
    <v>10.802</v>
    <v>10.827999999999999</v>
    <v>10.516</v>
    <v>10.343999999999999</v>
    <v>10.474</v>
    <v>10.1</v>
    <v>9.8320000000000007</v>
    <v>9.3209999999999997</v>
    <v>9.1199999999999992</v>
    <v>8.7279999999999998</v>
    <v>8.4629999999999992</v>
    <v>8.4359999999999999</v>
    <v>8.718</v>
    <v>8.766</v>
    <v>8.7810000000000006</v>
    <v>8.74</v>
    <v>8.7010000000000005</v>
    <v>8.9580000000000002</v>
    <v>8.9819999999999993</v>
    <v>8.6999999999999993</v>
    <v>8.6620000000000008</v>
    <v>8.3879999999999999</v>
    <v>8.1630000000000003</v>
    <v>8.2159999999999993</v>
    <v>8.6140000000000008</v>
    <v>8.7889999999999997</v>
    <v>8.6929999999999996</v>
    <v>8.6890000000000001</v>
    <v>8.7729999999999997</v>
    <v>8.2880000000000003</v>
    <v>8.1080000000000005</v>
    <v>8.23</v>
    <v>8.0739999999999998</v>
    <v>8.1020000000000003</v>
    <v>8.1389999999999993</v>
    <v>7.9550000000000001</v>
    <v>7.83</v>
    <v>7.79</v>
    <v>7.64</v>
    <v>7.8559999999999999</v>
    <v>7.899</v>
    <v>7.8579999999999997</v>
    <v>7.7519999999999998</v>
    <v>7.5090000000000003</v>
    <v>7.22</v>
    <v>6.9969999999999999</v>
    <v>7.2229999999999999</v>
    <v>7.2130000000000001</v>
    <v>7.31</v>
    <v>7.4829999999999997</v>
    <v>7.5670000000000002</v>
    <v>7.6790000000000003</v>
    <v>7.5890000000000004</v>
    <v>7.6319999999999997</v>
    <v>7.7050000000000001</v>
    <v>7.8760000000000003</v>
    <v>7.8630000000000004</v>
    <v>7.7709999999999999</v>
    <v>7.702</v>
    <v>7.3860000000000001</v>
    <v>7.4320000000000004</v>
    <v>7.3840000000000003</v>
    <v>7.3970000000000002</v>
    <v>7.3449999999999998</v>
    <v>7.4669999999999996</v>
    <v>7.4660000000000002</v>
    <v>7.5570000000000004</v>
    <v>7.56</v>
    <v>7.5220000000000002</v>
    <v>7.5229999999999997</v>
    <v>7.47</v>
    <v>7.6379999999999999</v>
    <v>7.7030000000000003</v>
    <v>7.8810000000000002</v>
    <v>7.923</v>
    <v>7.8490000000000002</v>
    <v>7.6509999999999998</v>
    <v>7.6879999999999997</v>
    <v>7.4969999999999999</v>
    <v>7.5620000000000003</v>
    <v>7.6609999999999996</v>
    <v>7.7320000000000002</v>
    <v>7.6239999999999997</v>
    <v>7.6749999999999998</v>
    <v>7.7480000000000002</v>
    <v>7.7619999999999996</v>
    <v>7.4870000000000001</v>
    <v>7.6840000000000002</v>
    <v>7.4539999999999997</v>
    <v>7.5960000000000001</v>
    <v>7.665</v>
    <v>7.5049999999999999</v>
    <v>7.7629999999999999</v>
    <v>7.7480000000000002</v>
    <v>7.7560000000000002</v>
    <v>7.5830000000000002</v>
    <v>7.4870000000000001</v>
    <v>7.5060000000000002</v>
    <v>7.3339999999999996</v>
    <v>7.29</v>
    <v>7.2350000000000003</v>
    <v>6.944</v>
    <v>6.9980000000000002</v>
    <v>6.9770000000000003</v>
    <v>6.8040000000000003</v>
    <v>6.9169999999999998</v>
    <v>6.7210000000000001</v>
    <v>6.6639999999999997</v>
  </a>
  <a r="1" c="208">
    <v>108.19</v>
    <v>108.3</v>
    <v>108.46</v>
    <v>108.61</v>
    <v>108.57</v>
    <v>108.72</v>
    <v>108.73</v>
    <v>108.81</v>
    <v>108.75</v>
    <v>108.76</v>
    <v>108.69</v>
    <v>108.83</v>
    <v>108.67</v>
    <v>108.73</v>
    <v>108.84</v>
    <v>108.76</v>
    <v>108.92</v>
    <v>109</v>
    <v>109.14</v>
    <v>109.2</v>
    <v>109.17</v>
    <v>109.16</v>
    <v>109.04</v>
    <v>109.18</v>
    <v>109.14</v>
    <v>109.2</v>
    <v>109.18</v>
    <v>109.39</v>
    <v>109.37</v>
    <v>109.51</v>
    <v>109.42</v>
    <v>109.43</v>
    <v>109.43</v>
    <v>109.51</v>
    <v>109.51</v>
    <v>109.57</v>
    <v>109.72</v>
    <v>109.69</v>
    <v>109.65</v>
    <v>109.63</v>
    <v>109.61</v>
    <v>109.33</v>
    <v>108.78</v>
    <v>109.35</v>
    <v>108.84</v>
    <v>108.38</v>
    <v>108.35</v>
    <v>108.79</v>
    <v>108.04</v>
    <v>107.79</v>
    <v>107.61</v>
    <v>107.76</v>
    <v>108.08</v>
    <v>107.91</v>
    <v>107.51</v>
    <v>106.98</v>
    <v>107.1</v>
    <v>107.18</v>
    <v>107.59</v>
    <v>106.8</v>
    <v>106.64</v>
    <v>106.73</v>
    <v>107.1</v>
    <v>107.41</v>
    <v>107.64</v>
    <v>107.12</v>
    <v>108.42</v>
    <v>108.09</v>
    <v>108.07</v>
    <v>107.84</v>
    <v>108.26</v>
    <v>108.23</v>
    <v>108.32</v>
    <v>108.79</v>
    <v>108.67</v>
    <v>108.42</v>
    <v>108.39</v>
    <v>108.34</v>
    <v>108.3</v>
    <v>108.2</v>
    <v>108</v>
    <v>107.81</v>
    <v>108.22</v>
    <v>107.99</v>
    <v>108.05</v>
    <v>108.59</v>
    <v>108.48</v>
    <v>108.42</v>
    <v>108.31</v>
    <v>107.96</v>
    <v>108.06</v>
    <v>108.3</v>
    <v>107.98</v>
    <v>107.99</v>
    <v>107.84</v>
    <v>108.29</v>
    <v>108.24</v>
    <v>108.57</v>
    <v>108.96</v>
    <v>108.88</v>
    <v>108.83</v>
    <v>108.85</v>
    <v>109.26</v>
    <v>108.86</v>
    <v>109.09</v>
    <v>108.81</v>
    <v>108.9</v>
    <v>108.82</v>
    <v>108.68</v>
    <v>108.82</v>
    <v>108.61</v>
    <v>108.79</v>
    <v>109.04</v>
    <v>109.27</v>
    <v>109.39</v>
    <v>109.33</v>
    <v>109.37</v>
    <v>109.05</v>
    <v>109.28</v>
    <v>109.42</v>
    <v>109.63</v>
    <v>109.68</v>
    <v>109.71</v>
    <v>109.65</v>
    <v>109.71</v>
    <v>109.83</v>
    <v>109.78</v>
    <v>109.66</v>
    <v>109.75</v>
    <v>109.49</v>
    <v>109</v>
    <v>109.29</v>
    <v>109.29</v>
    <v>109.04</v>
    <v>108.99</v>
    <v>109.04</v>
    <v>108.87</v>
    <v>108.88</v>
    <v>108.82</v>
    <v>108.69</v>
    <v>108.65</v>
    <v>108.23</v>
    <v>108.56</v>
    <v>108.77</v>
    <v>108.94</v>
    <v>108.54</v>
    <v>108.73</v>
    <v>108.62</v>
    <v>108.98</v>
    <v>109.25</v>
    <v>109.29</v>
    <v>109.09</v>
    <v>109.26</v>
    <v>109.01</v>
    <v>109.11</v>
    <v>109.1</v>
    <v>109.21</v>
    <v>109.04</v>
    <v>108.94</v>
    <v>108.47</v>
    <v>108.6</v>
    <v>108.59</v>
    <v>108.79</v>
    <v>108.67</v>
    <v>109.01</v>
    <v>108.91</v>
    <v>108.72</v>
    <v>108.56</v>
    <v>108.41</v>
    <v>108.3</v>
    <v>108.12</v>
    <v>108.29</v>
    <v>108.31</v>
    <v>108.04</v>
    <v>108.2</v>
    <v>107.92</v>
    <v>107.29</v>
    <v>107.42</v>
    <v>106.88</v>
    <v>106.94</v>
    <v>107.19</v>
    <v>107.4</v>
    <v>107.09</v>
    <v>107.46</v>
    <v>107.44</v>
    <v>107</v>
    <v>106.55</v>
    <v>106.61</v>
    <v>106.39</v>
    <v>106.43</v>
    <v>106.86</v>
    <v>107.08</v>
    <v>106.97</v>
    <v>107</v>
    <v>107.33</v>
    <v>107.34</v>
    <v>107.27</v>
    <v>107.36</v>
    <v>107.44</v>
    <v>107.4</v>
    <v>107.5</v>
    <v>107.82</v>
    <v>107.76</v>
    <v>107.56</v>
    <v>107.52</v>
    <v>107.45</v>
    <v>107.5</v>
    <v>107.16</v>
  </a>
  <a r="1" c="761">
    <v>94.7</v>
    <v>95</v>
    <v>94.86</v>
    <v>95</v>
    <v>95.11</v>
    <v>95.28</v>
    <v>95.48</v>
    <v>95.82</v>
    <v>96.09</v>
    <v>96.4</v>
    <v>96.01</v>
    <v>96.12</v>
    <v>96.38</v>
    <v>96.42</v>
    <v>96.13</v>
    <v>96.14</v>
    <v>96.85</v>
    <v>96.8</v>
    <v>96.9</v>
    <v>96.91</v>
    <v>96.77</v>
    <v>97</v>
    <v>96.95</v>
    <v>96.78</v>
    <v>96.72</v>
    <v>97.14</v>
    <v>97.46</v>
    <v>97.93</v>
    <v>97.93</v>
    <v>98.51</v>
    <v>98.51</v>
    <v>98.89</v>
    <v>99.07</v>
    <v>99.07</v>
    <v>98.75</v>
    <v>98.79</v>
    <v>98.88</v>
    <v>99.16</v>
    <v>99.82</v>
    <v>100.25</v>
    <v>100.01</v>
    <v>100.21</v>
    <v>100.41</v>
    <v>100.62</v>
    <v>100.78</v>
    <v>100.93</v>
    <v>100.84</v>
    <v>100.58</v>
    <v>100.32</v>
    <v>100.1</v>
    <v>99.76</v>
    <v>99.55</v>
    <v>99.68</v>
    <v>99.52</v>
    <v>99.48</v>
    <v>99.52</v>
    <v>99.95</v>
    <v>99.73</v>
    <v>99.71</v>
    <v>99.27</v>
    <v>99.34</v>
    <v>99.39</v>
    <v>99.61</v>
    <v>99.45</v>
    <v>99.64</v>
    <v>99.9</v>
    <v>99.95</v>
    <v>100.25</v>
    <v>100.06</v>
    <v>100.47</v>
    <v>100.58</v>
    <v>100.06</v>
    <v>99.7</v>
    <v>99.9</v>
    <v>99.82</v>
    <v>99.59</v>
    <v>99.5</v>
    <v>99.6</v>
    <v>99.46</v>
    <v>99.69</v>
    <v>99.82</v>
    <v>99.59</v>
    <v>99.69</v>
    <v>99.82</v>
    <v>99.61</v>
    <v>99.77</v>
    <v>99.99</v>
    <v>99.79</v>
    <v>99.61</v>
    <v>99.49</v>
    <v>99.7</v>
    <v>99.75</v>
    <v>99.82</v>
    <v>100.07</v>
    <v>100.05</v>
    <v>100.35</v>
    <v>100.59</v>
    <v>100.54</v>
    <v>100.54</v>
    <v>100.51</v>
    <v>100.36</v>
    <v>100.15</v>
    <v>100.11</v>
    <v>100.24</v>
    <v>100.23</v>
    <v>100.48</v>
    <v>100.7</v>
    <v>100.49</v>
    <v>100.61</v>
    <v>100.89</v>
    <v>100.99</v>
    <v>100.69</v>
    <v>100.86</v>
    <v>101.08</v>
    <v>100.91</v>
    <v>100.73</v>
    <v>100.95</v>
    <v>100.63</v>
    <v>100.38</v>
    <v>100.77</v>
    <v>100.38</v>
    <v>100.02</v>
    <v>100.15</v>
    <v>100.15</v>
    <v>100.06</v>
    <v>100.29</v>
    <v>100.4</v>
    <v>99.96</v>
    <v>99.83</v>
    <v>100.13</v>
    <v>100.38</v>
    <v>100.08</v>
    <v>100.28</v>
    <v>100.52</v>
    <v>100.74</v>
    <v>100.86</v>
    <v>100.76</v>
    <v>100.59</v>
    <v>100.47</v>
    <v>100.55</v>
    <v>100.41</v>
    <v>101.02</v>
    <v>100.88</v>
    <v>100.59</v>
    <v>100.62</v>
    <v>100.67</v>
    <v>100.56</v>
    <v>100.26</v>
    <v>100.3</v>
    <v>100.61</v>
    <v>100.44</v>
    <v>100.07</v>
    <v>100.21</v>
    <v>100.21</v>
    <v>100.5</v>
    <v>100.71</v>
    <v>100.81</v>
    <v>100.67</v>
    <v>100.32</v>
    <v>100.15</v>
    <v>100.36</v>
    <v>100.82</v>
    <v>100.84</v>
    <v>100.96</v>
    <v>100.72</v>
    <v>100.96</v>
    <v>100.9</v>
    <v>100.89</v>
    <v>100.93</v>
    <v>100.97</v>
    <v>101.06</v>
    <v>100.97</v>
    <v>100.98</v>
    <v>100.94</v>
    <v>100.85</v>
    <v>100.95</v>
    <v>101.21</v>
    <v>101.15</v>
    <v>101.4</v>
    <v>101.47</v>
    <v>101.26</v>
    <v>101.46</v>
    <v>101.77</v>
    <v>101.68</v>
    <v>101.75</v>
    <v>101.83</v>
    <v>101.77</v>
    <v>101.96</v>
    <v>101.77</v>
    <v>101.72</v>
    <v>102.01</v>
    <v>102.01</v>
    <v>102.17</v>
    <v>102.29</v>
    <v>102.38</v>
    <v>102.47</v>
    <v>102.64</v>
    <v>102.74</v>
    <v>102.77</v>
    <v>102.46</v>
    <v>102.58</v>
    <v>102.48</v>
    <v>102.55</v>
    <v>102.68</v>
    <v>102.65</v>
    <v>102.83</v>
    <v>102.92</v>
    <v>102.75</v>
    <v>102.73</v>
    <v>102.98</v>
    <v>103.07</v>
    <v>102.89</v>
    <v>103.05</v>
    <v>102.93</v>
    <v>102.87</v>
    <v>102.93</v>
    <v>102.9</v>
    <v>102.88</v>
    <v>102.71</v>
    <v>102.94</v>
    <v>103.19</v>
    <v>103.18</v>
    <v>103.42</v>
    <v>103.44</v>
    <v>103.48</v>
    <v>103.48</v>
    <v>103.35</v>
    <v>103.55</v>
    <v>103.66</v>
    <v>103.57</v>
    <v>103.44</v>
    <v>103.77</v>
    <v>103.62</v>
    <v>103.83</v>
    <v>104.04</v>
    <v>103.82</v>
    <v>103.92</v>
    <v>104.11</v>
    <v>104.11</v>
    <v>104.46</v>
    <v>104.33</v>
    <v>104.26</v>
    <v>104.01</v>
    <v>103.89</v>
    <v>103.89</v>
    <v>103.85</v>
    <v>103.89</v>
    <v>103.88</v>
    <v>103.91</v>
    <v>104.15</v>
    <v>104.4</v>
    <v>104.42</v>
    <v>104.77</v>
    <v>104.35</v>
    <v>104.13</v>
    <v>104.25</v>
    <v>104.49</v>
    <v>104.39</v>
    <v>104.46</v>
    <v>104.21</v>
    <v>103.93</v>
    <v>103.74</v>
    <v>103.85</v>
    <v>104.04</v>
    <v>103.87</v>
    <v>104.26</v>
    <v>104.1</v>
    <v>104.33</v>
    <v>104.62</v>
    <v>104.53</v>
    <v>104.41</v>
    <v>104.67</v>
    <v>104.6</v>
    <v>104.46</v>
    <v>104.42</v>
    <v>104.39</v>
    <v>104.44</v>
    <v>104.71</v>
    <v>104.95</v>
    <v>104.88</v>
    <v>105.08</v>
    <v>105.29</v>
    <v>105.58</v>
    <v>105.84</v>
    <v>105.8</v>
    <v>105.84</v>
    <v>105.76</v>
    <v>105.83</v>
    <v>105.9</v>
    <v>105.95</v>
    <v>105.94</v>
    <v>105.7</v>
    <v>105.41</v>
    <v>105.41</v>
    <v>105.44</v>
    <v>105.43</v>
    <v>104.91</v>
    <v>105.24</v>
    <v>105.07</v>
    <v>105.11</v>
    <v>105.03</v>
    <v>105.04</v>
    <v>104.64</v>
    <v>104.54</v>
    <v>104.53</v>
    <v>104.35</v>
    <v>104.49</v>
    <v>104.15</v>
    <v>104</v>
    <v>103.94</v>
    <v>104.41</v>
    <v>104.4</v>
    <v>104.67</v>
    <v>104.77</v>
    <v>104.83</v>
    <v>104.83</v>
    <v>104.74</v>
    <v>104.59</v>
    <v>104.74</v>
    <v>104.7</v>
    <v>104.77</v>
    <v>105.21</v>
    <v>105.51</v>
    <v>105.69</v>
    <v>105.75</v>
    <v>105.87</v>
    <v>105.89</v>
    <v>105.76</v>
    <v>105.94</v>
    <v>105.62</v>
    <v>105.49</v>
    <v>105.86</v>
    <v>105.82</v>
    <v>105.65</v>
    <v>105.69</v>
    <v>105.49</v>
    <v>105.42</v>
    <v>105.83</v>
    <v>105.93</v>
    <v>105.82</v>
    <v>105.98</v>
    <v>106.03</v>
    <v>106.07</v>
    <v>105.83</v>
    <v>105.77</v>
    <v>104.84</v>
    <v>104.44</v>
    <v>104.72</v>
    <v>104.82</v>
    <v>104.48</v>
    <v>104.46</v>
    <v>104.26</v>
    <v>104.34</v>
    <v>104.6</v>
    <v>104.6</v>
    <v>104.67</v>
    <v>104.77</v>
    <v>104.81</v>
    <v>104.97</v>
    <v>104.87</v>
    <v>104.86</v>
    <v>104.91</v>
    <v>105.01</v>
    <v>104.96</v>
    <v>105.04</v>
    <v>105.01</v>
    <v>105.14</v>
    <v>105.1</v>
    <v>104.16</v>
    <v>104.88</v>
    <v>104.42</v>
    <v>104.94</v>
    <v>105.12</v>
    <v>105.16</v>
    <v>105.28</v>
    <v>105.61</v>
    <v>105.95</v>
    <v>106.03</v>
    <v>106.04</v>
    <v>106.31</v>
    <v>106.11</v>
    <v>106.03</v>
    <v>105.94</v>
    <v>106.03</v>
    <v>105.9</v>
    <v>105.9</v>
    <v>106.01</v>
    <v>106.13</v>
    <v>106.13</v>
    <v>106.08</v>
    <v>105.78</v>
    <v>105.78</v>
    <v>105.57</v>
    <v>105.82</v>
    <v>106.19</v>
    <v>106.12</v>
    <v>106.22</v>
    <v>106</v>
    <v>105.99</v>
    <v>106.19</v>
    <v>106.29</v>
    <v>106.43</v>
    <v>106.38</v>
    <v>106.62</v>
    <v>106.57</v>
    <v>106.57</v>
    <v>106.72</v>
    <v>106.69</v>
    <v>106.4</v>
    <v>106.53</v>
    <v>106.6</v>
    <v>106.81</v>
    <v>106.8</v>
    <v>106.95</v>
    <v>106.65</v>
    <v>106.82</v>
    <v>106.86</v>
    <v>106.72</v>
    <v>106.6</v>
    <v>106.81</v>
    <v>106.82</v>
    <v>106.9</v>
    <v>106.79</v>
    <v>106.96</v>
    <v>106.8</v>
    <v>106.97</v>
    <v>107.12</v>
    <v>107.17</v>
    <v>107.31</v>
    <v>107.46</v>
    <v>107.4</v>
    <v>107.22</v>
    <v>107.35</v>
    <v>107.18</v>
    <v>107.02</v>
    <v>107.09</v>
    <v>107.13</v>
    <v>107.22</v>
    <v>107.3</v>
    <v>107.25</v>
    <v>107.51</v>
    <v>107.65</v>
    <v>107.71</v>
    <v>107.39</v>
    <v>107.3</v>
    <v>107.46</v>
    <v>107.5</v>
    <v>107.45</v>
    <v>107.42</v>
    <v>107.37</v>
    <v>107.53</v>
    <v>107.69</v>
    <v>107.64</v>
    <v>107.79</v>
    <v>107.58</v>
    <v>107.42</v>
    <v>107.39</v>
    <v>107.74</v>
    <v>107.69</v>
    <v>107.41</v>
    <v>107.44</v>
    <v>107.6</v>
    <v>107.33</v>
    <v>107.49</v>
    <v>107.33</v>
    <v>107.42</v>
    <v>107.52</v>
    <v>107.43</v>
    <v>107.39</v>
    <v>107.38</v>
    <v>107</v>
    <v>107.29</v>
    <v>107.48</v>
    <v>107.82</v>
    <v>107.91</v>
    <v>107.85</v>
    <v>107.93</v>
    <v>107.93</v>
    <v>107.8</v>
    <v>107.91</v>
    <v>107.88</v>
    <v>107.88</v>
    <v>107.96</v>
    <v>107.92</v>
    <v>107.88</v>
    <v>107.84</v>
    <v>107.85</v>
    <v>107.65</v>
    <v>107.78</v>
    <v>107.92</v>
    <v>107.92</v>
    <v>108.03</v>
    <v>108.19</v>
    <v>108.18</v>
    <v>108.07</v>
    <v>108.18</v>
    <v>108.29</v>
    <v>108.17</v>
    <v>108.22</v>
    <v>108.27</v>
    <v>108.41</v>
    <v>108.76</v>
    <v>108.67</v>
    <v>108.63</v>
    <v>108.68</v>
    <v>108.79</v>
    <v>108.74</v>
    <v>108.71</v>
    <v>108.62</v>
    <v>108.76</v>
    <v>108.73</v>
    <v>108.78</v>
    <v>108.64</v>
    <v>108.69</v>
    <v>108.45</v>
    <v>108.55</v>
    <v>108.47</v>
    <v>108.44</v>
    <v>108.33</v>
    <v>108.46</v>
    <v>108.5</v>
    <v>108.51</v>
    <v>108.27</v>
    <v>108.27</v>
    <v>108.27</v>
    <v>108.18</v>
    <v>108.25</v>
    <v>108.2</v>
    <v>108.27</v>
    <v>108.34</v>
    <v>108.46</v>
    <v>108.48</v>
    <v>108.54</v>
    <v>108.43</v>
    <v>108.37</v>
    <v>108.44</v>
    <v>108.51</v>
    <v>108.41</v>
    <v>108.3</v>
    <v>107.95</v>
    <v>107.98</v>
    <v>107.96</v>
    <v>107.94</v>
    <v>108.01</v>
    <v>108.12</v>
    <v>108.08</v>
    <v>108.03</v>
    <v>108.2</v>
    <v>107.93</v>
    <v>107.81</v>
    <v>108.07</v>
    <v>108.48</v>
    <v>108.28</v>
    <v>108.19</v>
    <v>108.3</v>
    <v>108.46</v>
    <v>108.61</v>
    <v>108.57</v>
    <v>108.72</v>
    <v>108.73</v>
    <v>108.81</v>
    <v>108.75</v>
    <v>108.76</v>
    <v>108.69</v>
    <v>108.83</v>
    <v>108.67</v>
    <v>108.73</v>
    <v>108.84</v>
    <v>108.76</v>
    <v>108.92</v>
    <v>109</v>
    <v>109.14</v>
    <v>109.2</v>
    <v>109.17</v>
    <v>109.16</v>
    <v>109.04</v>
    <v>109.18</v>
    <v>109.14</v>
    <v>109.2</v>
    <v>109.18</v>
    <v>109.39</v>
    <v>109.37</v>
    <v>109.51</v>
    <v>109.42</v>
    <v>109.43</v>
    <v>109.43</v>
    <v>109.51</v>
    <v>109.51</v>
    <v>109.57</v>
    <v>109.72</v>
    <v>109.69</v>
    <v>109.65</v>
    <v>109.63</v>
    <v>109.61</v>
    <v>109.33</v>
    <v>108.78</v>
    <v>109.35</v>
    <v>108.84</v>
    <v>108.38</v>
    <v>108.35</v>
    <v>108.79</v>
    <v>108.04</v>
    <v>107.79</v>
    <v>107.61</v>
    <v>107.76</v>
    <v>108.08</v>
    <v>107.91</v>
    <v>107.51</v>
    <v>106.98</v>
    <v>107.1</v>
    <v>107.18</v>
    <v>107.59</v>
    <v>106.8</v>
    <v>106.64</v>
    <v>106.73</v>
    <v>107.1</v>
    <v>107.41</v>
    <v>107.64</v>
    <v>107.12</v>
    <v>108.42</v>
    <v>108.09</v>
    <v>108.07</v>
    <v>107.84</v>
    <v>108.26</v>
    <v>108.23</v>
    <v>108.32</v>
    <v>108.79</v>
    <v>108.67</v>
    <v>108.42</v>
    <v>108.39</v>
    <v>108.34</v>
    <v>108.3</v>
    <v>108.2</v>
    <v>108</v>
    <v>107.81</v>
    <v>108.22</v>
    <v>107.99</v>
    <v>108.05</v>
    <v>108.59</v>
    <v>108.48</v>
    <v>108.42</v>
    <v>108.31</v>
    <v>107.96</v>
    <v>108.06</v>
    <v>108.3</v>
    <v>107.98</v>
    <v>107.99</v>
    <v>107.84</v>
    <v>108.29</v>
    <v>108.24</v>
    <v>108.57</v>
    <v>108.96</v>
    <v>108.88</v>
    <v>108.83</v>
    <v>108.85</v>
    <v>109.26</v>
    <v>108.86</v>
    <v>109.09</v>
    <v>108.81</v>
    <v>108.9</v>
    <v>108.82</v>
    <v>108.68</v>
    <v>108.82</v>
    <v>108.61</v>
    <v>108.79</v>
    <v>109.04</v>
    <v>109.27</v>
    <v>109.39</v>
    <v>109.33</v>
    <v>109.37</v>
    <v>109.05</v>
    <v>109.28</v>
    <v>109.42</v>
    <v>109.63</v>
    <v>109.68</v>
    <v>109.71</v>
    <v>109.65</v>
    <v>109.71</v>
    <v>109.83</v>
    <v>109.78</v>
    <v>109.66</v>
    <v>109.75</v>
    <v>109.49</v>
    <v>109</v>
    <v>109.29</v>
    <v>109.29</v>
    <v>109.04</v>
    <v>108.99</v>
    <v>109.04</v>
    <v>108.87</v>
    <v>108.88</v>
    <v>108.82</v>
    <v>108.69</v>
    <v>108.65</v>
    <v>108.23</v>
    <v>108.56</v>
    <v>108.77</v>
    <v>108.94</v>
    <v>108.54</v>
    <v>108.73</v>
    <v>108.62</v>
    <v>108.98</v>
    <v>109.25</v>
    <v>109.29</v>
    <v>109.09</v>
    <v>109.26</v>
    <v>109.01</v>
    <v>109.11</v>
    <v>109.1</v>
    <v>109.21</v>
    <v>109.04</v>
    <v>108.94</v>
    <v>108.47</v>
    <v>108.6</v>
    <v>108.59</v>
    <v>108.79</v>
    <v>108.67</v>
    <v>109.01</v>
    <v>108.91</v>
    <v>108.72</v>
    <v>108.56</v>
    <v>108.41</v>
    <v>108.3</v>
    <v>108.12</v>
    <v>108.29</v>
    <v>108.31</v>
    <v>108.04</v>
    <v>108.2</v>
    <v>107.92</v>
    <v>107.29</v>
    <v>107.42</v>
    <v>106.88</v>
    <v>106.94</v>
    <v>107.19</v>
    <v>107.4</v>
    <v>107.09</v>
    <v>107.46</v>
    <v>107.44</v>
    <v>107</v>
    <v>106.55</v>
    <v>106.61</v>
    <v>106.39</v>
    <v>106.43</v>
    <v>106.86</v>
    <v>107.08</v>
    <v>106.97</v>
    <v>107</v>
    <v>107.33</v>
    <v>107.34</v>
    <v>107.27</v>
    <v>107.36</v>
    <v>107.44</v>
    <v>107.4</v>
    <v>107.5</v>
    <v>107.82</v>
    <v>107.76</v>
    <v>107.56</v>
    <v>107.52</v>
    <v>107.45</v>
    <v>107.5</v>
    <v>107.16</v>
  </a>
  <a r="1" c="254">
    <v>108.71</v>
    <v>108.62</v>
    <v>108.76</v>
    <v>108.73</v>
    <v>108.78</v>
    <v>108.64</v>
    <v>108.69</v>
    <v>108.45</v>
    <v>108.55</v>
    <v>108.47</v>
    <v>108.44</v>
    <v>108.33</v>
    <v>108.46</v>
    <v>108.5</v>
    <v>108.51</v>
    <v>108.27</v>
    <v>108.27</v>
    <v>108.27</v>
    <v>108.18</v>
    <v>108.25</v>
    <v>108.2</v>
    <v>108.27</v>
    <v>108.34</v>
    <v>108.46</v>
    <v>108.48</v>
    <v>108.54</v>
    <v>108.43</v>
    <v>108.37</v>
    <v>108.44</v>
    <v>108.51</v>
    <v>108.41</v>
    <v>108.3</v>
    <v>107.95</v>
    <v>107.98</v>
    <v>107.96</v>
    <v>107.94</v>
    <v>108.01</v>
    <v>108.12</v>
    <v>108.08</v>
    <v>108.03</v>
    <v>108.2</v>
    <v>107.93</v>
    <v>107.81</v>
    <v>108.07</v>
    <v>108.48</v>
    <v>108.28</v>
    <v>108.19</v>
    <v>108.3</v>
    <v>108.46</v>
    <v>108.61</v>
    <v>108.57</v>
    <v>108.72</v>
    <v>108.73</v>
    <v>108.81</v>
    <v>108.75</v>
    <v>108.76</v>
    <v>108.69</v>
    <v>108.83</v>
    <v>108.67</v>
    <v>108.73</v>
    <v>108.84</v>
    <v>108.76</v>
    <v>108.92</v>
    <v>109</v>
    <v>109.14</v>
    <v>109.2</v>
    <v>109.17</v>
    <v>109.16</v>
    <v>109.04</v>
    <v>109.18</v>
    <v>109.14</v>
    <v>109.2</v>
    <v>109.18</v>
    <v>109.39</v>
    <v>109.37</v>
    <v>109.51</v>
    <v>109.42</v>
    <v>109.43</v>
    <v>109.43</v>
    <v>109.51</v>
    <v>109.51</v>
    <v>109.57</v>
    <v>109.72</v>
    <v>109.69</v>
    <v>109.65</v>
    <v>109.63</v>
    <v>109.61</v>
    <v>109.33</v>
    <v>108.78</v>
    <v>109.35</v>
    <v>108.84</v>
    <v>108.38</v>
    <v>108.35</v>
    <v>108.79</v>
    <v>108.04</v>
    <v>107.79</v>
    <v>107.61</v>
    <v>107.76</v>
    <v>108.08</v>
    <v>107.91</v>
    <v>107.51</v>
    <v>106.98</v>
    <v>107.1</v>
    <v>107.18</v>
    <v>107.59</v>
    <v>106.8</v>
    <v>106.64</v>
    <v>106.73</v>
    <v>107.1</v>
    <v>107.41</v>
    <v>107.64</v>
    <v>107.12</v>
    <v>108.42</v>
    <v>108.09</v>
    <v>108.07</v>
    <v>107.84</v>
    <v>108.26</v>
    <v>108.23</v>
    <v>108.32</v>
    <v>108.79</v>
    <v>108.67</v>
    <v>108.42</v>
    <v>108.39</v>
    <v>108.34</v>
    <v>108.3</v>
    <v>108.2</v>
    <v>108</v>
    <v>107.81</v>
    <v>108.22</v>
    <v>107.99</v>
    <v>108.05</v>
    <v>108.59</v>
    <v>108.48</v>
    <v>108.42</v>
    <v>108.31</v>
    <v>107.96</v>
    <v>108.06</v>
    <v>108.3</v>
    <v>107.98</v>
    <v>107.99</v>
    <v>107.84</v>
    <v>108.29</v>
    <v>108.24</v>
    <v>108.57</v>
    <v>108.96</v>
    <v>108.88</v>
    <v>108.83</v>
    <v>108.85</v>
    <v>109.26</v>
    <v>108.86</v>
    <v>109.09</v>
    <v>108.81</v>
    <v>108.9</v>
    <v>108.82</v>
    <v>108.68</v>
    <v>108.82</v>
    <v>108.61</v>
    <v>108.79</v>
    <v>109.04</v>
    <v>109.27</v>
    <v>109.39</v>
    <v>109.33</v>
    <v>109.37</v>
    <v>109.05</v>
    <v>109.28</v>
    <v>109.42</v>
    <v>109.63</v>
    <v>109.68</v>
    <v>109.71</v>
    <v>109.65</v>
    <v>109.71</v>
    <v>109.83</v>
    <v>109.78</v>
    <v>109.66</v>
    <v>109.75</v>
    <v>109.49</v>
    <v>109</v>
    <v>109.29</v>
    <v>109.29</v>
    <v>109.04</v>
    <v>108.99</v>
    <v>109.04</v>
    <v>108.87</v>
    <v>108.88</v>
    <v>108.82</v>
    <v>108.69</v>
    <v>108.65</v>
    <v>108.23</v>
    <v>108.56</v>
    <v>108.77</v>
    <v>108.94</v>
    <v>108.54</v>
    <v>108.73</v>
    <v>108.62</v>
    <v>108.98</v>
    <v>109.25</v>
    <v>109.29</v>
    <v>109.09</v>
    <v>109.26</v>
    <v>109.01</v>
    <v>109.11</v>
    <v>109.1</v>
    <v>109.21</v>
    <v>109.04</v>
    <v>108.94</v>
    <v>108.47</v>
    <v>108.6</v>
    <v>108.59</v>
    <v>108.79</v>
    <v>108.67</v>
    <v>109.01</v>
    <v>108.91</v>
    <v>108.72</v>
    <v>108.56</v>
    <v>108.41</v>
    <v>108.3</v>
    <v>108.12</v>
    <v>108.29</v>
    <v>108.31</v>
    <v>108.04</v>
    <v>108.2</v>
    <v>107.92</v>
    <v>107.29</v>
    <v>107.42</v>
    <v>106.88</v>
    <v>106.94</v>
    <v>107.19</v>
    <v>107.4</v>
    <v>107.09</v>
    <v>107.46</v>
    <v>107.44</v>
    <v>107</v>
    <v>106.55</v>
    <v>106.61</v>
    <v>106.39</v>
    <v>106.43</v>
    <v>106.86</v>
    <v>107.08</v>
    <v>106.97</v>
    <v>107</v>
    <v>107.33</v>
    <v>107.34</v>
    <v>107.27</v>
    <v>107.36</v>
    <v>107.44</v>
    <v>107.4</v>
    <v>107.5</v>
    <v>107.82</v>
    <v>107.76</v>
    <v>107.56</v>
    <v>107.52</v>
    <v>107.45</v>
    <v>107.5</v>
    <v>107.16</v>
  </a>
  <a r="1" c="205">
    <v>2.58</v>
    <v>2.73</v>
    <v>2.99</v>
    <v>3.05</v>
    <v>3.06</v>
    <v>3.15</v>
    <v>3.11</v>
    <v>3.25</v>
    <v>3.54</v>
    <v>3.43</v>
    <v>3.4</v>
    <v>3.47</v>
    <v>3.19</v>
    <v>3.23</v>
    <v>3.07</v>
    <v>3.22</v>
    <v>3.03</v>
    <v>3.04</v>
    <v>2.95</v>
    <v>2.75</v>
    <v>2.79</v>
    <v>2.46</v>
    <v>2.4649999999999999</v>
    <v>2.29</v>
    <v>2.0099999999999998</v>
    <v>2.33</v>
    <v>2.38</v>
    <v>2.2999999999999998</v>
    <v>2.23</v>
    <v>2.14</v>
    <v>2.21</v>
    <v>2.12</v>
    <v>2.12</v>
    <v>2.17</v>
    <v>2.12</v>
    <v>2.11</v>
    <v>2.2200000000000002</v>
    <v>2.29</v>
    <v>2.2799999999999998</v>
    <v>2.14</v>
    <v>2.2000000000000002</v>
    <v>2.1</v>
    <v>2.2999999999999998</v>
    <v>2.2000000000000002</v>
    <v>2.0499999999999998</v>
    <v>2.0699999999999998</v>
    <v>2.0699999999999998</v>
    <v>2.13</v>
    <v>2.08</v>
    <v>2.13</v>
    <v>2.2000000000000002</v>
    <v>2.21</v>
    <v>2.12</v>
    <v>2.09</v>
    <v>2.02</v>
    <v>2.1</v>
    <v>2.0499999999999998</v>
    <v>2.14</v>
    <v>1.93</v>
    <v>1.82</v>
    <v>1.75</v>
    <v>1.9</v>
    <v>1.89</v>
    <v>1.92</v>
    <v>1.97</v>
    <v>1.94</v>
    <v>2.0699999999999998</v>
    <v>2.0699999999999998</v>
    <v>2.08</v>
    <v>2.17</v>
    <v>2.42</v>
    <v>2.4700000000000002</v>
    <v>2.1850000000000001</v>
    <v>2.5099999999999998</v>
    <v>2.54</v>
    <v>2.48</v>
    <v>2.6</v>
    <v>2.54</v>
    <v>2.52</v>
    <v>2.4500000000000002</v>
    <v>2.2999999999999998</v>
    <v>2.2200000000000002</v>
    <v>2.41</v>
    <v>2.4300000000000002</v>
    <v>2.6</v>
    <v>2.84</v>
    <v>2.94</v>
    <v>2.87</v>
    <v>2.82</v>
    <v>3.01</v>
    <v>2.82</v>
    <v>2.76</v>
    <v>2.97</v>
    <v>2.69</v>
    <v>3.46</v>
    <v>3.35</v>
    <v>3.87</v>
    <v>3.85</v>
    <v>4.07</v>
    <v>4.0999999999999996</v>
    <v>4.46</v>
    <v>4.45</v>
    <v>4.5199999999999996</v>
    <v>4.76</v>
    <v>4.54</v>
    <v>4.38</v>
    <v>4.37</v>
    <v>3.77</v>
    <v>3.96</v>
    <v>3.74</v>
    <v>3.5</v>
    <v>3.79</v>
    <v>3.73</v>
    <v>3.96</v>
    <v>4.07</v>
    <v>3.97</v>
    <v>4.26</v>
    <v>4.9000000000000004</v>
    <v>4.63</v>
    <v>4.1399999999999997</v>
    <v>3.79</v>
    <v>4.03</v>
    <v>3.76</v>
    <v>3.64</v>
    <v>3.46</v>
    <v>3.24</v>
    <v>3.38</v>
    <v>3.18</v>
    <v>3.24</v>
    <v>3.36</v>
    <v>3.35</v>
    <v>3.19</v>
    <v>3.18</v>
    <v>3.2</v>
    <v>2.88</v>
    <v>2.85</v>
    <v>3.085</v>
    <v>3.23</v>
    <v>3.19</v>
    <v>3.18</v>
    <v>2.96</v>
    <v>2.95</v>
    <v>2.84</v>
    <v>2.5350000000000001</v>
    <v>3</v>
    <v>2.83</v>
    <v>2.89</v>
    <v>2.91</v>
    <v>2.84</v>
    <v>2.76</v>
    <v>2.84</v>
    <v>2.6</v>
    <v>2.65</v>
    <v>2.74</v>
    <v>2.58</v>
    <v>2.69</v>
    <v>3.07</v>
    <v>2.78</v>
    <v>2.82</v>
    <v>3.13</v>
    <v>3.03</v>
    <v>2.86</v>
    <v>3.02</v>
    <v>2.87</v>
    <v>3.06</v>
    <v>2.7749999999999999</v>
    <v>2.78</v>
    <v>2.64</v>
    <v>2.72</v>
    <v>3.05</v>
    <v>3.11</v>
    <v>3.15</v>
    <v>3.1</v>
    <v>2.99</v>
    <v>3.03</v>
    <v>2.99</v>
    <v>2.89</v>
    <v>2.9</v>
    <v>3.11</v>
    <v>3.41</v>
    <v>3.48</v>
    <v>3.54</v>
    <v>3.37</v>
    <v>3.3</v>
    <v>3.16</v>
    <v>3.04</v>
    <v>3.01</v>
    <v>2.95</v>
    <v>2.92</v>
    <v>2.9750000000000001</v>
    <v>2.9</v>
    <v>2.9</v>
    <v>2.75</v>
    <v>2.56</v>
    <v>2.5</v>
    <v>2.4</v>
    <v>2.37</v>
    <v>2.2400000000000002</v>
    <v>2.2200000000000002</v>
    <v>2.0299999999999998</v>
    <v>1.9950000000000001</v>
    <v>1.9750000000000001</v>
    <v>2.0299999999999998</v>
    <v>1.95</v>
    <v>1.93</v>
  </a>
  <a r="1" c="754">
    <v>3.13</v>
    <v>3.41</v>
    <v>3.33</v>
    <v>3.08</v>
    <v>2.94</v>
    <v>2.95</v>
    <v>3.06</v>
    <v>3.09</v>
    <v>3.3</v>
    <v>3.34</v>
    <v>3.31</v>
    <v>3.34</v>
    <v>3.22</v>
    <v>3.21</v>
    <v>3.13</v>
    <v>2.85</v>
    <v>2.85</v>
    <v>3.1</v>
    <v>2.92</v>
    <v>3</v>
    <v>2.95</v>
    <v>2.85</v>
    <v>2.87</v>
    <v>2.94</v>
    <v>2.89</v>
    <v>3.15</v>
    <v>3.15</v>
    <v>3.07</v>
    <v>3.47</v>
    <v>3.83</v>
    <v>3.98</v>
    <v>3.85</v>
    <v>3.92</v>
    <v>4.2</v>
    <v>3.34</v>
    <v>3.41</v>
    <v>3.72</v>
    <v>3.59</v>
    <v>3.68</v>
    <v>3.86</v>
    <v>3.83</v>
    <v>4.16</v>
    <v>4.9000000000000004</v>
    <v>5.1100000000000003</v>
    <v>5.12</v>
    <v>5.72</v>
    <v>5.34</v>
    <v>4.53</v>
    <v>4.3899999999999997</v>
    <v>4.3</v>
    <v>4.3499999999999996</v>
    <v>4.1500000000000004</v>
    <v>4.3899999999999997</v>
    <v>4.2</v>
    <v>4.41</v>
    <v>4.0599999999999996</v>
    <v>3.62</v>
    <v>3.54</v>
    <v>3.44</v>
    <v>3.17</v>
    <v>3.18</v>
    <v>3.13</v>
    <v>3.02</v>
    <v>3</v>
    <v>3.1</v>
    <v>3.34</v>
    <v>3.47</v>
    <v>3.39</v>
    <v>3.17</v>
    <v>3.24</v>
    <v>3.12</v>
    <v>3.01</v>
    <v>3.07</v>
    <v>3.11</v>
    <v>3.42</v>
    <v>3.61</v>
    <v>3.86</v>
    <v>3.62</v>
    <v>4.34</v>
    <v>4.46</v>
    <v>4.41</v>
    <v>4.25</v>
    <v>4.08</v>
    <v>4.1100000000000003</v>
    <v>3.82</v>
    <v>4.2699999999999996</v>
    <v>4.33</v>
    <v>4</v>
    <v>3.81</v>
    <v>3.87</v>
    <v>3.59</v>
    <v>3.4</v>
    <v>3.45</v>
    <v>3.39</v>
    <v>3.43</v>
    <v>3.13</v>
    <v>3.14</v>
    <v>3.13</v>
    <v>2.95</v>
    <v>3.07</v>
    <v>2.97</v>
    <v>2.96</v>
    <v>3.21</v>
    <v>3.12</v>
    <v>3.05</v>
    <v>3.19</v>
    <v>3.15</v>
    <v>3.24</v>
    <v>3.37</v>
    <v>3.35</v>
    <v>3.2</v>
    <v>3.21</v>
    <v>3.2</v>
    <v>3.18</v>
    <v>3.17</v>
    <v>3.06</v>
    <v>3.04</v>
    <v>3</v>
    <v>2.85</v>
    <v>2.6749999999999998</v>
    <v>2.66</v>
    <v>2.6</v>
    <v>2.6</v>
    <v>2.71</v>
    <v>2.94</v>
    <v>3.05</v>
    <v>3.07</v>
    <v>3.07</v>
    <v>3.05</v>
    <v>2.83</v>
    <v>2.54</v>
    <v>2.5099999999999998</v>
    <v>2.4900000000000002</v>
    <v>2.44</v>
    <v>2.44</v>
    <v>2.27</v>
    <v>2.27</v>
    <v>2.38</v>
    <v>2.36</v>
    <v>2.33</v>
    <v>2.3199999999999998</v>
    <v>2.5099999999999998</v>
    <v>2.4500000000000002</v>
    <v>2.44</v>
    <v>2.62</v>
    <v>2.58</v>
    <v>2.63</v>
    <v>2.4900000000000002</v>
    <v>2.63</v>
    <v>2.63</v>
    <v>2.5499999999999998</v>
    <v>2.59</v>
    <v>2.52</v>
    <v>2.58</v>
    <v>2.78</v>
    <v>2.85</v>
    <v>2.97</v>
    <v>2.8</v>
    <v>2.91</v>
    <v>2.87</v>
    <v>2.98</v>
    <v>3.18</v>
    <v>2.93</v>
    <v>3.26</v>
    <v>3.3</v>
    <v>3.36</v>
    <v>3.08</v>
    <v>2.93</v>
    <v>2.99</v>
    <v>3.29</v>
    <v>3.17</v>
    <v>3.08</v>
    <v>3.22</v>
    <v>3.14</v>
    <v>3.05</v>
    <v>3.34</v>
    <v>3.42</v>
    <v>3.29</v>
    <v>3.23</v>
    <v>3.31</v>
    <v>3.52</v>
    <v>3.84</v>
    <v>4.05</v>
    <v>4.04</v>
    <v>3.66</v>
    <v>4.1500000000000004</v>
    <v>4.5</v>
    <v>4.3</v>
    <v>4.1100000000000003</v>
    <v>3.7</v>
    <v>3.81</v>
    <v>3.69</v>
    <v>3.58</v>
    <v>3.63</v>
    <v>3.37</v>
    <v>3.06</v>
    <v>2.78</v>
    <v>2.87</v>
    <v>2.61</v>
    <v>2.96</v>
    <v>2.88</v>
    <v>2.79</v>
    <v>2.84</v>
    <v>2.81</v>
    <v>2.88</v>
    <v>3.05</v>
    <v>3.07</v>
    <v>3.08</v>
    <v>3.31</v>
    <v>3.16</v>
    <v>3.63</v>
    <v>3.56</v>
    <v>3.35</v>
    <v>3.1</v>
    <v>3.19</v>
    <v>3.12</v>
    <v>2.81</v>
    <v>2.8</v>
    <v>2.75</v>
    <v>2.58</v>
    <v>2.78</v>
    <v>2.92</v>
    <v>3.01</v>
    <v>3.02</v>
    <v>3.08</v>
    <v>2.96</v>
    <v>3.05</v>
    <v>2.99</v>
    <v>3.11</v>
    <v>3.11</v>
    <v>3.13</v>
    <v>3.38</v>
    <v>3.24</v>
    <v>3.41</v>
    <v>3.35</v>
    <v>3.13</v>
    <v>2.96</v>
    <v>3.1</v>
    <v>3.1</v>
    <v>3.17</v>
    <v>3.08</v>
    <v>3.01</v>
    <v>2.9</v>
    <v>2.91</v>
    <v>3.15</v>
    <v>3.35</v>
    <v>3.33</v>
    <v>3.45</v>
    <v>3.3</v>
    <v>3.81</v>
    <v>3.83</v>
    <v>3.87</v>
    <v>3.65</v>
    <v>3.78</v>
    <v>3.63</v>
    <v>4.1100000000000003</v>
    <v>4.28</v>
    <v>4.2699999999999996</v>
    <v>3.69</v>
    <v>3.54</v>
    <v>3.39</v>
    <v>3.64</v>
    <v>4.07</v>
    <v>4.5199999999999996</v>
    <v>4.6500000000000004</v>
    <v>5.25</v>
    <v>5.24</v>
    <v>4.67</v>
    <v>4.3049999999999997</v>
    <v>4.43</v>
    <v>4.32</v>
    <v>4.29</v>
    <v>4.16</v>
    <v>4</v>
    <v>4.09</v>
    <v>3.93</v>
    <v>3.66</v>
    <v>4.04</v>
    <v>4.08</v>
    <v>4.09</v>
    <v>4.07</v>
    <v>4.34</v>
    <v>4.0999999999999996</v>
    <v>4.3499999999999996</v>
    <v>4.04</v>
    <v>3.94</v>
    <v>3.98</v>
    <v>3.86</v>
    <v>3.81</v>
    <v>3.92</v>
    <v>3.84</v>
    <v>3.4</v>
    <v>3.14</v>
    <v>3.13</v>
    <v>2.97</v>
    <v>3.13</v>
    <v>3.03</v>
    <v>2.97</v>
    <v>2.915</v>
    <v>2.85</v>
    <v>3.09</v>
    <v>3.31</v>
    <v>3.35</v>
    <v>3.13</v>
    <v>3.12</v>
    <v>3.04</v>
    <v>2.91</v>
    <v>2.92</v>
    <v>3.14</v>
    <v>3.15</v>
    <v>3.2</v>
    <v>3.12</v>
    <v>3.15</v>
    <v>3.11</v>
    <v>3.09</v>
    <v>2.78</v>
    <v>2.79</v>
    <v>2.87</v>
    <v>3.08</v>
    <v>2.93</v>
    <v>2.91</v>
    <v>2.92</v>
    <v>2.84</v>
    <v>2.85</v>
    <v>2.83</v>
    <v>2.83</v>
    <v>2.72</v>
    <v>2.75</v>
    <v>2.86</v>
    <v>2.85</v>
    <v>2.81</v>
    <v>2.75</v>
    <v>2.69</v>
    <v>2.4900000000000002</v>
    <v>2.38</v>
    <v>2.1800000000000002</v>
    <v>2.0699999999999998</v>
    <v>2.04</v>
    <v>2.0699999999999998</v>
    <v>1.9</v>
    <v>1.9</v>
    <v>1.96</v>
    <v>1.89</v>
    <v>2</v>
    <v>1.7250000000000001</v>
    <v>1.76</v>
    <v>1.76</v>
    <v>1.67</v>
    <v>1.74</v>
    <v>1.75</v>
    <v>1.62</v>
    <v>1.68</v>
    <v>1.67</v>
    <v>1.66</v>
    <v>1.79</v>
    <v>1.81</v>
    <v>1.68</v>
    <v>1.61</v>
    <v>1.5</v>
    <v>1.45</v>
    <v>1.54</v>
    <v>1.61</v>
    <v>1.48</v>
    <v>1.4</v>
    <v>1.42</v>
    <v>1.31</v>
    <v>1.52</v>
    <v>1.43</v>
    <v>1.48</v>
    <v>1.49</v>
    <v>1.44</v>
    <v>1.46</v>
    <v>1.49</v>
    <v>1.48</v>
    <v>1.6</v>
    <v>1.69</v>
    <v>1.72</v>
    <v>1.79</v>
    <v>1.75</v>
    <v>1.72</v>
    <v>1.69</v>
    <v>1.76</v>
    <v>1.79</v>
    <v>1.72</v>
    <v>1.73</v>
    <v>1.73</v>
    <v>1.83</v>
    <v>1.84</v>
    <v>1.85</v>
    <v>1.96</v>
    <v>1.91</v>
    <v>1.84</v>
    <v>2.0699999999999998</v>
    <v>2.09</v>
    <v>2.08</v>
    <v>2</v>
    <v>2.0099999999999998</v>
    <v>1.96</v>
    <v>1.98</v>
    <v>1.89</v>
    <v>1.81</v>
    <v>1.8</v>
    <v>1.77</v>
    <v>1.88</v>
    <v>1.94</v>
    <v>1.82</v>
    <v>2.0099999999999998</v>
    <v>2.0099999999999998</v>
    <v>2.02</v>
    <v>2</v>
    <v>1.95</v>
    <v>1.89</v>
    <v>1.9</v>
    <v>1.76</v>
    <v>1.76</v>
    <v>1.7</v>
    <v>1.67</v>
    <v>1.85</v>
    <v>1.78</v>
    <v>1.79</v>
    <v>1.8</v>
    <v>1.8</v>
    <v>2.0699999999999998</v>
    <v>2.25</v>
    <v>2.31</v>
    <v>2.27</v>
    <v>2.2200000000000002</v>
    <v>2.21</v>
    <v>2.3199999999999998</v>
    <v>2.2999999999999998</v>
    <v>2.2999999999999998</v>
    <v>2.16</v>
    <v>2.2000000000000002</v>
    <v>2.2200000000000002</v>
    <v>2.23</v>
    <v>2.27</v>
    <v>2.5</v>
    <v>2.4</v>
    <v>2.35</v>
    <v>2.27</v>
    <v>2.2200000000000002</v>
    <v>2.15</v>
    <v>2.19</v>
    <v>2.14</v>
    <v>2.0299999999999998</v>
    <v>2.0699999999999998</v>
    <v>2.0699999999999998</v>
    <v>2.12</v>
    <v>2.1</v>
    <v>2.0699999999999998</v>
    <v>2.12</v>
    <v>2.15</v>
    <v>2.23</v>
    <v>2.25</v>
    <v>2.2200000000000002</v>
    <v>2.37</v>
    <v>2.39</v>
    <v>2.4</v>
    <v>2.33</v>
    <v>2.52</v>
    <v>2.64</v>
    <v>2.85</v>
    <v>2.94</v>
    <v>2.94</v>
    <v>2.95</v>
    <v>2.95</v>
    <v>2.88</v>
    <v>2.71</v>
    <v>2.66</v>
    <v>2.6</v>
    <v>2.99</v>
    <v>3.12</v>
    <v>3.38</v>
    <v>3.81</v>
    <v>3.96</v>
    <v>3.88</v>
    <v>3.88</v>
    <v>3.84</v>
    <v>3.79</v>
    <v>3.82</v>
    <v>3.73</v>
    <v>4.05</v>
    <v>3.58</v>
    <v>3.52</v>
    <v>3.85</v>
    <v>4.03</v>
    <v>4.16</v>
    <v>4.3600000000000003</v>
    <v>4.45</v>
    <v>5.57</v>
    <v>6.2</v>
    <v>6.54</v>
    <v>6.96</v>
    <v>6.61</v>
    <v>6.76</v>
    <v>6.92</v>
    <v>6.81</v>
    <v>5.84</v>
    <v>5.71</v>
    <v>5.59</v>
    <v>5.5</v>
    <v>4.9400000000000004</v>
    <v>5.12</v>
    <v>6.03</v>
    <v>5.9</v>
    <v>5.57</v>
    <v>5.55</v>
    <v>5.3</v>
    <v>5.2</v>
    <v>5.38</v>
    <v>4.93</v>
    <v>5.08</v>
    <v>4.7699999999999996</v>
    <v>4.7</v>
    <v>4.7300000000000004</v>
    <v>4.62</v>
    <v>4.0999999999999996</v>
    <v>3.66</v>
    <v>3.31</v>
    <v>3.56</v>
    <v>3.48</v>
    <v>3.08</v>
    <v>2.92</v>
    <v>2.89</v>
    <v>3.21</v>
    <v>3.17</v>
    <v>3.2</v>
    <v>3.36</v>
    <v>3.15</v>
    <v>3.15</v>
    <v>3.28</v>
    <v>3.32</v>
    <v>3.12</v>
    <v>3.1</v>
    <v>3.21</v>
    <v>3.18</v>
    <v>3.26</v>
    <v>3.06</v>
    <v>2.78</v>
    <v>2.78</v>
    <v>2.66</v>
    <v>2.67</v>
    <v>2.83</v>
    <v>2.92</v>
    <v>2.83</v>
    <v>2.85</v>
    <v>2.72</v>
    <v>2.71</v>
    <v>2.57</v>
    <v>2.58</v>
    <v>2.73</v>
    <v>2.99</v>
    <v>3.05</v>
    <v>3.06</v>
    <v>3.15</v>
    <v>3.11</v>
    <v>3.25</v>
    <v>3.54</v>
    <v>3.43</v>
    <v>3.4</v>
    <v>3.47</v>
    <v>3.19</v>
    <v>3.23</v>
    <v>3.07</v>
    <v>3.22</v>
    <v>3.03</v>
    <v>3.04</v>
    <v>2.95</v>
    <v>2.75</v>
    <v>2.79</v>
    <v>2.46</v>
    <v>2.4649999999999999</v>
    <v>2.29</v>
    <v>2.0099999999999998</v>
    <v>2.33</v>
    <v>2.38</v>
    <v>2.2999999999999998</v>
    <v>2.23</v>
    <v>2.14</v>
    <v>2.21</v>
    <v>2.12</v>
    <v>2.12</v>
    <v>2.17</v>
    <v>2.12</v>
    <v>2.11</v>
    <v>2.2200000000000002</v>
    <v>2.29</v>
    <v>2.2799999999999998</v>
    <v>2.14</v>
    <v>2.2000000000000002</v>
    <v>2.1</v>
    <v>2.2999999999999998</v>
    <v>2.2000000000000002</v>
    <v>2.0499999999999998</v>
    <v>2.0699999999999998</v>
    <v>2.0699999999999998</v>
    <v>2.13</v>
    <v>2.08</v>
    <v>2.13</v>
    <v>2.2000000000000002</v>
    <v>2.21</v>
    <v>2.12</v>
    <v>2.09</v>
    <v>2.02</v>
    <v>2.1</v>
    <v>2.0499999999999998</v>
    <v>2.14</v>
    <v>1.93</v>
    <v>1.82</v>
    <v>1.75</v>
    <v>1.9</v>
    <v>1.89</v>
    <v>1.92</v>
    <v>1.97</v>
    <v>1.94</v>
    <v>2.0699999999999998</v>
    <v>2.0699999999999998</v>
    <v>2.08</v>
    <v>2.17</v>
    <v>2.42</v>
    <v>2.4700000000000002</v>
    <v>2.1850000000000001</v>
    <v>2.5099999999999998</v>
    <v>2.54</v>
    <v>2.48</v>
    <v>2.6</v>
    <v>2.54</v>
    <v>2.52</v>
    <v>2.4500000000000002</v>
    <v>2.2999999999999998</v>
    <v>2.2200000000000002</v>
    <v>2.41</v>
    <v>2.4300000000000002</v>
    <v>2.6</v>
    <v>2.84</v>
    <v>2.94</v>
    <v>2.87</v>
    <v>2.82</v>
    <v>3.01</v>
    <v>2.82</v>
    <v>2.76</v>
    <v>2.97</v>
    <v>2.69</v>
    <v>3.46</v>
    <v>3.35</v>
    <v>3.87</v>
    <v>3.85</v>
    <v>4.07</v>
    <v>4.0999999999999996</v>
    <v>4.46</v>
    <v>4.45</v>
    <v>4.5199999999999996</v>
    <v>4.76</v>
    <v>4.54</v>
    <v>4.38</v>
    <v>4.37</v>
    <v>3.77</v>
    <v>3.96</v>
    <v>3.74</v>
    <v>3.5</v>
    <v>3.79</v>
    <v>3.73</v>
    <v>3.96</v>
    <v>4.07</v>
    <v>3.97</v>
    <v>4.26</v>
    <v>4.9000000000000004</v>
    <v>4.63</v>
    <v>4.1399999999999997</v>
    <v>3.79</v>
    <v>4.03</v>
    <v>3.76</v>
    <v>3.64</v>
    <v>3.46</v>
    <v>3.24</v>
    <v>3.38</v>
    <v>3.18</v>
    <v>3.24</v>
    <v>3.36</v>
    <v>3.35</v>
    <v>3.19</v>
    <v>3.18</v>
    <v>3.2</v>
    <v>2.88</v>
    <v>2.85</v>
    <v>3.085</v>
    <v>3.23</v>
    <v>3.19</v>
    <v>3.18</v>
    <v>2.96</v>
    <v>2.95</v>
    <v>2.84</v>
    <v>2.5350000000000001</v>
    <v>3</v>
    <v>2.83</v>
    <v>2.89</v>
    <v>2.91</v>
    <v>2.84</v>
    <v>2.76</v>
    <v>2.84</v>
    <v>2.6</v>
    <v>2.65</v>
    <v>2.74</v>
    <v>2.58</v>
    <v>2.69</v>
    <v>3.07</v>
    <v>2.78</v>
    <v>2.82</v>
    <v>3.13</v>
    <v>3.03</v>
    <v>2.86</v>
    <v>3.02</v>
    <v>2.87</v>
    <v>3.06</v>
    <v>2.7749999999999999</v>
    <v>2.78</v>
    <v>2.64</v>
    <v>2.72</v>
    <v>3.05</v>
    <v>3.11</v>
    <v>3.15</v>
    <v>3.1</v>
    <v>2.99</v>
    <v>3.03</v>
    <v>2.99</v>
    <v>2.89</v>
    <v>2.9</v>
    <v>3.11</v>
    <v>3.41</v>
    <v>3.48</v>
    <v>3.54</v>
    <v>3.37</v>
    <v>3.3</v>
    <v>3.16</v>
    <v>3.04</v>
    <v>3.01</v>
    <v>2.95</v>
    <v>2.92</v>
    <v>2.9750000000000001</v>
    <v>2.9</v>
    <v>2.9</v>
    <v>2.75</v>
    <v>2.56</v>
    <v>2.5</v>
    <v>2.4</v>
    <v>2.37</v>
    <v>2.2400000000000002</v>
    <v>2.2200000000000002</v>
    <v>2.0299999999999998</v>
    <v>1.9950000000000001</v>
    <v>1.9750000000000001</v>
    <v>2.0299999999999998</v>
    <v>1.95</v>
    <v>1.93</v>
  </a>
  <a r="1" c="252">
    <v>5.12</v>
    <v>6.03</v>
    <v>5.9</v>
    <v>5.57</v>
    <v>5.55</v>
    <v>5.3</v>
    <v>5.2</v>
    <v>5.38</v>
    <v>4.93</v>
    <v>5.08</v>
    <v>4.7699999999999996</v>
    <v>4.7</v>
    <v>4.7300000000000004</v>
    <v>4.62</v>
    <v>4.0999999999999996</v>
    <v>3.66</v>
    <v>3.31</v>
    <v>3.56</v>
    <v>3.48</v>
    <v>3.08</v>
    <v>2.92</v>
    <v>2.89</v>
    <v>3.21</v>
    <v>3.17</v>
    <v>3.2</v>
    <v>3.36</v>
    <v>3.15</v>
    <v>3.15</v>
    <v>3.28</v>
    <v>3.32</v>
    <v>3.12</v>
    <v>3.1</v>
    <v>3.21</v>
    <v>3.18</v>
    <v>3.26</v>
    <v>3.06</v>
    <v>2.78</v>
    <v>2.78</v>
    <v>2.66</v>
    <v>2.67</v>
    <v>2.83</v>
    <v>2.92</v>
    <v>2.83</v>
    <v>2.85</v>
    <v>2.72</v>
    <v>2.71</v>
    <v>2.57</v>
    <v>2.58</v>
    <v>2.73</v>
    <v>2.99</v>
    <v>3.05</v>
    <v>3.06</v>
    <v>3.15</v>
    <v>3.11</v>
    <v>3.25</v>
    <v>3.54</v>
    <v>3.43</v>
    <v>3.4</v>
    <v>3.47</v>
    <v>3.19</v>
    <v>3.23</v>
    <v>3.07</v>
    <v>3.22</v>
    <v>3.03</v>
    <v>3.04</v>
    <v>2.95</v>
    <v>2.75</v>
    <v>2.79</v>
    <v>2.46</v>
    <v>2.4649999999999999</v>
    <v>2.29</v>
    <v>2.0099999999999998</v>
    <v>2.33</v>
    <v>2.38</v>
    <v>2.2999999999999998</v>
    <v>2.23</v>
    <v>2.14</v>
    <v>2.21</v>
    <v>2.12</v>
    <v>2.12</v>
    <v>2.17</v>
    <v>2.12</v>
    <v>2.11</v>
    <v>2.2200000000000002</v>
    <v>2.29</v>
    <v>2.2799999999999998</v>
    <v>2.14</v>
    <v>2.2000000000000002</v>
    <v>2.1</v>
    <v>2.2999999999999998</v>
    <v>2.2000000000000002</v>
    <v>2.0499999999999998</v>
    <v>2.0699999999999998</v>
    <v>2.0699999999999998</v>
    <v>2.13</v>
    <v>2.08</v>
    <v>2.13</v>
    <v>2.2000000000000002</v>
    <v>2.21</v>
    <v>2.12</v>
    <v>2.09</v>
    <v>2.02</v>
    <v>2.1</v>
    <v>2.0499999999999998</v>
    <v>2.14</v>
    <v>1.93</v>
    <v>1.82</v>
    <v>1.75</v>
    <v>1.9</v>
    <v>1.89</v>
    <v>1.92</v>
    <v>1.97</v>
    <v>1.94</v>
    <v>2.0699999999999998</v>
    <v>2.0699999999999998</v>
    <v>2.08</v>
    <v>2.17</v>
    <v>2.42</v>
    <v>2.4700000000000002</v>
    <v>2.1850000000000001</v>
    <v>2.5099999999999998</v>
    <v>2.54</v>
    <v>2.48</v>
    <v>2.6</v>
    <v>2.54</v>
    <v>2.52</v>
    <v>2.4500000000000002</v>
    <v>2.2999999999999998</v>
    <v>2.2200000000000002</v>
    <v>2.41</v>
    <v>2.4300000000000002</v>
    <v>2.6</v>
    <v>2.84</v>
    <v>2.94</v>
    <v>2.87</v>
    <v>2.82</v>
    <v>3.01</v>
    <v>2.82</v>
    <v>2.76</v>
    <v>2.97</v>
    <v>2.69</v>
    <v>3.46</v>
    <v>3.35</v>
    <v>3.87</v>
    <v>3.85</v>
    <v>4.07</v>
    <v>4.0999999999999996</v>
    <v>4.46</v>
    <v>4.45</v>
    <v>4.5199999999999996</v>
    <v>4.76</v>
    <v>4.54</v>
    <v>4.38</v>
    <v>4.37</v>
    <v>3.77</v>
    <v>3.96</v>
    <v>3.74</v>
    <v>3.5</v>
    <v>3.79</v>
    <v>3.73</v>
    <v>3.96</v>
    <v>4.07</v>
    <v>3.97</v>
    <v>4.26</v>
    <v>4.9000000000000004</v>
    <v>4.63</v>
    <v>4.1399999999999997</v>
    <v>3.79</v>
    <v>4.03</v>
    <v>3.76</v>
    <v>3.64</v>
    <v>3.46</v>
    <v>3.24</v>
    <v>3.38</v>
    <v>3.18</v>
    <v>3.24</v>
    <v>3.36</v>
    <v>3.35</v>
    <v>3.19</v>
    <v>3.18</v>
    <v>3.2</v>
    <v>2.88</v>
    <v>2.85</v>
    <v>3.085</v>
    <v>3.23</v>
    <v>3.19</v>
    <v>3.18</v>
    <v>2.96</v>
    <v>2.95</v>
    <v>2.84</v>
    <v>2.5350000000000001</v>
    <v>3</v>
    <v>2.83</v>
    <v>2.89</v>
    <v>2.91</v>
    <v>2.84</v>
    <v>2.76</v>
    <v>2.84</v>
    <v>2.6</v>
    <v>2.65</v>
    <v>2.74</v>
    <v>2.58</v>
    <v>2.69</v>
    <v>3.07</v>
    <v>2.78</v>
    <v>2.82</v>
    <v>3.13</v>
    <v>3.03</v>
    <v>2.86</v>
    <v>3.02</v>
    <v>2.87</v>
    <v>3.06</v>
    <v>2.7749999999999999</v>
    <v>2.78</v>
    <v>2.64</v>
    <v>2.72</v>
    <v>3.05</v>
    <v>3.11</v>
    <v>3.15</v>
    <v>3.1</v>
    <v>2.99</v>
    <v>3.03</v>
    <v>2.99</v>
    <v>2.89</v>
    <v>2.9</v>
    <v>3.11</v>
    <v>3.41</v>
    <v>3.48</v>
    <v>3.54</v>
    <v>3.37</v>
    <v>3.3</v>
    <v>3.16</v>
    <v>3.04</v>
    <v>3.01</v>
    <v>2.95</v>
    <v>2.92</v>
    <v>2.9750000000000001</v>
    <v>2.9</v>
    <v>2.9</v>
    <v>2.75</v>
    <v>2.56</v>
    <v>2.5</v>
    <v>2.4</v>
    <v>2.37</v>
    <v>2.2400000000000002</v>
    <v>2.2200000000000002</v>
    <v>2.0299999999999998</v>
    <v>1.9950000000000001</v>
    <v>1.9750000000000001</v>
    <v>2.0299999999999998</v>
    <v>1.95</v>
    <v>1.93</v>
  </a>
  <a r="1" c="209">
    <v t="i">0</v>
    <v t="i">2</v>
    <v t="i">5</v>
    <v t="i">6</v>
    <v t="i">7</v>
    <v t="i">8</v>
    <v t="i">9</v>
    <v t="i">12</v>
    <v t="i">13</v>
    <v t="i">14</v>
    <v t="i">15</v>
    <v t="i">16</v>
    <v t="i">19</v>
    <v t="i">20</v>
    <v t="i">21</v>
    <v t="i">22</v>
    <v t="i">23</v>
    <v t="i">26</v>
    <v t="i">27</v>
    <v t="i">28</v>
    <v t="i">29</v>
    <v t="i">30</v>
    <v t="i">33</v>
    <v t="i">34</v>
    <v t="i">35</v>
    <v t="i">36</v>
    <v t="i">37</v>
    <v t="i">40</v>
    <v t="i">41</v>
    <v t="i">42</v>
    <v t="i">43</v>
    <v t="i">44</v>
    <v t="i">47</v>
    <v t="i">48</v>
    <v t="i">49</v>
    <v t="i">50</v>
    <v t="i">51</v>
    <v t="i">54</v>
    <v t="i">55</v>
    <v t="i">56</v>
    <v t="i">57</v>
    <v t="i">58</v>
    <v t="i">61</v>
    <v t="i">62</v>
    <v t="i">63</v>
    <v t="i">64</v>
    <v t="i">65</v>
    <v t="i">68</v>
    <v t="i">69</v>
    <v t="i">70</v>
    <v t="i">71</v>
    <v t="i">72</v>
    <v t="i">75</v>
    <v t="i">76</v>
    <v t="i">77</v>
    <v t="i">78</v>
    <v t="i">79</v>
    <v t="i">82</v>
    <v t="i">83</v>
    <v t="i">84</v>
    <v t="i">85</v>
    <v t="i">86</v>
    <v t="i">89</v>
    <v t="i">90</v>
    <v t="i">91</v>
    <v t="i">92</v>
    <v t="i">97</v>
    <v t="i">98</v>
    <v t="i">99</v>
    <v t="i">100</v>
    <v t="i">103</v>
    <v t="i">104</v>
    <v t="i">105</v>
    <v t="i">106</v>
    <v t="i">107</v>
    <v t="i">110</v>
    <v t="i">111</v>
    <v t="i">112</v>
    <v t="i">113</v>
    <v t="i">114</v>
    <v t="i">117</v>
    <v t="i">118</v>
    <v t="i">119</v>
    <v t="i">120</v>
    <v t="i">124</v>
    <v t="i">125</v>
    <v t="i">126</v>
    <v t="i">127</v>
    <v t="i">128</v>
    <v t="i">131</v>
    <v t="i">132</v>
    <v t="i">133</v>
    <v t="i">134</v>
    <v t="i">135</v>
    <v t="i">138</v>
    <v t="i">139</v>
    <v t="i">140</v>
    <v t="i">141</v>
    <v t="i">142</v>
    <v t="i">145</v>
    <v t="i">146</v>
    <v t="i">147</v>
    <v t="i">148</v>
    <v t="i">149</v>
    <v t="i">152</v>
    <v t="i">153</v>
    <v t="i">154</v>
    <v t="i">155</v>
    <v t="i">156</v>
    <v t="i">159</v>
    <v t="i">160</v>
    <v t="i">161</v>
    <v t="i">162</v>
    <v t="i">163</v>
    <v t="i">166</v>
    <v t="i">167</v>
    <v t="i">168</v>
    <v t="i">169</v>
    <v t="i">170</v>
    <v t="i">173</v>
    <v t="i">174</v>
    <v t="i">175</v>
    <v t="i">176</v>
    <v t="i">177</v>
    <v t="i">180</v>
    <v t="i">181</v>
    <v t="i">182</v>
    <v t="i">183</v>
    <v t="i">184</v>
    <v t="i">187</v>
    <v t="i">188</v>
    <v t="i">189</v>
    <v t="i">190</v>
    <v t="i">191</v>
    <v t="i">194</v>
    <v t="i">195</v>
    <v t="i">196</v>
    <v t="i">197</v>
    <v t="i">198</v>
    <v t="i">201</v>
    <v t="i">202</v>
    <v t="i">203</v>
    <v t="i">204</v>
    <v t="i">205</v>
    <v t="i">208</v>
    <v t="i">209</v>
    <v t="i">210</v>
    <v t="i">211</v>
    <v t="i">212</v>
    <v t="i">215</v>
    <v t="i">216</v>
    <v t="i">217</v>
    <v t="i">218</v>
    <v t="i">219</v>
    <v t="i">222</v>
    <v t="i">223</v>
    <v t="i">224</v>
    <v t="i">225</v>
    <v t="i">226</v>
    <v t="i">229</v>
    <v t="i">230</v>
    <v t="i">231</v>
    <v t="i">232</v>
    <v t="i">233</v>
    <v t="i">236</v>
    <v t="i">237</v>
    <v t="i">238</v>
    <v t="i">239</v>
    <v t="i">240</v>
    <v t="i">243</v>
    <v t="i">244</v>
    <v t="i">245</v>
    <v t="i">246</v>
    <v t="i">247</v>
    <v t="i">250</v>
    <v t="i">251</v>
    <v t="i">252</v>
    <v t="i">253</v>
    <v t="i">254</v>
    <v t="i">257</v>
    <v t="i">258</v>
    <v t="i">259</v>
    <v t="i">260</v>
    <v t="i">261</v>
    <v t="i">264</v>
    <v t="i">265</v>
    <v t="i">266</v>
    <v t="i">267</v>
    <v t="i">268</v>
    <v t="i">271</v>
    <v t="i">272</v>
    <v t="i">273</v>
    <v t="i">274</v>
    <v t="i">275</v>
    <v t="i">278</v>
    <v t="i">279</v>
    <v t="i">280</v>
    <v t="i">281</v>
    <v t="i">282</v>
    <v t="i">285</v>
    <v t="i">286</v>
    <v t="i">287</v>
    <v t="i">288</v>
    <v t="i">289</v>
    <v t="i">292</v>
    <v t="i">293</v>
    <v t="i">294</v>
    <v t="i">295</v>
    <v t="i">296</v>
  </a>
  <a r="1" c="209">
    <v>221.3</v>
    <v>223.5</v>
    <v>226.35</v>
    <v>226.5</v>
    <v>226.2</v>
    <v>225.4</v>
    <v>228.85</v>
    <v>229.6</v>
    <v>230</v>
    <v>229.25</v>
    <v>230.6</v>
    <v>229.75</v>
    <v>226.25</v>
    <v>225</v>
    <v>224.5</v>
    <v>227.45</v>
    <v>227</v>
    <v>227.55</v>
    <v>228.95</v>
    <v>226.6</v>
    <v>225</v>
    <v>226.8</v>
    <v>229.45</v>
    <v>229.05</v>
    <v>228</v>
    <v>226.35</v>
    <v>229.05</v>
    <v>231.25</v>
    <v>230.95</v>
    <v>230.55</v>
    <v>229.25</v>
    <v>228.8</v>
    <v>228.6</v>
    <v>230.15</v>
    <v>233.35</v>
    <v>231.5</v>
    <v>234.2</v>
    <v>233.85</v>
    <v>234.2</v>
    <v>236.05</v>
    <v>235.55</v>
    <v>234.75</v>
    <v>228.85</v>
    <v>220.7</v>
    <v>224.5</v>
    <v>221</v>
    <v>218.6</v>
    <v>217.25</v>
    <v>223.05</v>
    <v>221.45</v>
    <v>219.75</v>
    <v>218.55</v>
    <v>219.35</v>
    <v>220.5</v>
    <v>219.15</v>
    <v>214.5</v>
    <v>210.45</v>
    <v>212.95</v>
    <v>213.35</v>
    <v>216.05</v>
    <v>212.9</v>
    <v>210.75</v>
    <v>211.35</v>
    <v>213.15</v>
    <v>219.55</v>
    <v>217.65</v>
    <v>215.7</v>
    <v>226.75</v>
    <v>226.1</v>
    <v>227.4</v>
    <v>226.5</v>
    <v>229.4</v>
    <v>227.85</v>
    <v>227.5</v>
    <v>232.65</v>
    <v>229.85</v>
    <v>227.85</v>
    <v>227.15</v>
    <v>226.65</v>
    <v>226.15</v>
    <v>225.35</v>
    <v>224.3</v>
    <v>223.8</v>
    <v>226.5</v>
    <v>222.05</v>
    <v>226.45</v>
    <v>232.85</v>
    <v>230.65</v>
    <v>228.55</v>
    <v>228.25</v>
    <v>225.2</v>
    <v>226.55</v>
    <v>230</v>
    <v>225.75</v>
    <v>227.15</v>
    <v>227.2</v>
    <v>232.05</v>
    <v>231.25</v>
    <v>233.95</v>
    <v>238.2</v>
    <v>235.75</v>
    <v>236</v>
    <v>235.2</v>
    <v>235.1</v>
    <v>234.45</v>
    <v>237.25</v>
    <v>235.3</v>
    <v>237.25</v>
    <v>235.5</v>
    <v>235.65</v>
    <v>235.35</v>
    <v>233.75</v>
    <v>235.5</v>
    <v>240.4</v>
    <v>242.35</v>
    <v>243.2</v>
    <v>245</v>
    <v>246</v>
    <v>244.7</v>
    <v>245.6</v>
    <v>242.3</v>
    <v>241.75</v>
    <v>243.75</v>
    <v>241.85</v>
    <v>242.2</v>
    <v>245.95</v>
    <v>244.4</v>
    <v>247.45</v>
    <v>249.55</v>
    <v>249.1</v>
    <v>246.15</v>
    <v>241.65</v>
    <v>244.7</v>
    <v>244.15</v>
    <v>244.35</v>
    <v>244.8</v>
    <v>244.2</v>
    <v>244.8</v>
    <v>242.75</v>
    <v>243</v>
    <v>244.65</v>
    <v>246.25</v>
    <v>241.75</v>
    <v>244.65</v>
    <v>244.85</v>
    <v>245.15</v>
    <v>243.45</v>
    <v>247</v>
    <v>247.75</v>
    <v>250.6</v>
    <v>252.85</v>
    <v>252.6</v>
    <v>253.5</v>
    <v>254.4</v>
    <v>254.95</v>
    <v>255.55</v>
    <v>254.75</v>
    <v>255.35</v>
    <v>254.95</v>
    <v>254.85</v>
    <v>252.45</v>
    <v>251.4</v>
    <v>250.5</v>
    <v>252</v>
    <v>251.4</v>
    <v>251.95</v>
    <v>252.1</v>
    <v>250.5</v>
    <v>252.75</v>
    <v>250.25</v>
    <v>248.25</v>
    <v>248.15</v>
    <v>248.95</v>
    <v>249.15</v>
    <v>249.6</v>
    <v>249.85</v>
    <v>246.05</v>
    <v>244.5</v>
    <v>246.6</v>
    <v>244.05</v>
    <v>242.95</v>
    <v>244.25</v>
    <v>246.3</v>
    <v>243.1</v>
    <v>246.35</v>
    <v>246.3</v>
    <v>245.6</v>
    <v>244.55</v>
    <v>245.8</v>
    <v>245.75</v>
    <v>246.5</v>
    <v>244.6</v>
    <v>240.9</v>
    <v>243.6</v>
    <v>243.65</v>
    <v>244.85</v>
    <v>241.05</v>
    <v>239.2</v>
    <v>240.9</v>
    <v>242.05</v>
    <v>240.65</v>
    <v>241.65</v>
    <v>240.75</v>
    <v>242.25</v>
    <v>239.9</v>
    <v>238.85</v>
    <v>242.3</v>
    <v>237.65</v>
    <v>236.7</v>
  </a>
  <a r="1" c="256">
    <v t="i">0</v>
    <v t="i">1</v>
    <v t="i">4</v>
    <v t="i">5</v>
    <v t="i">6</v>
    <v t="i">7</v>
    <v t="i">8</v>
    <v t="i">11</v>
    <v t="i">12</v>
    <v t="i">13</v>
    <v t="i">14</v>
    <v t="i">15</v>
    <v t="i">18</v>
    <v t="i">19</v>
    <v t="i">20</v>
    <v t="i">21</v>
    <v t="i">22</v>
    <v t="i">25</v>
    <v t="i">26</v>
    <v t="i">27</v>
    <v t="i">28</v>
    <v t="i">29</v>
    <v t="i">32</v>
    <v t="i">33</v>
    <v t="i">34</v>
    <v t="i">35</v>
    <v t="i">36</v>
    <v t="i">39</v>
    <v t="i">40</v>
    <v t="i">41</v>
    <v t="i">42</v>
    <v t="i">43</v>
    <v t="i">46</v>
    <v t="i">47</v>
    <v t="i">48</v>
    <v t="i">49</v>
    <v t="i">50</v>
    <v t="i">53</v>
    <v t="i">54</v>
    <v t="i">55</v>
    <v t="i">56</v>
    <v t="i">57</v>
    <v t="i">60</v>
    <v t="i">61</v>
    <v t="i">62</v>
    <v t="i">67</v>
    <v t="i">68</v>
    <v t="i">69</v>
    <v t="i">71</v>
    <v t="i">74</v>
    <v t="i">75</v>
    <v t="i">76</v>
    <v t="i">77</v>
    <v t="i">78</v>
    <v t="i">81</v>
    <v t="i">82</v>
    <v t="i">83</v>
    <v t="i">84</v>
    <v t="i">85</v>
    <v t="i">88</v>
    <v t="i">89</v>
    <v t="i">90</v>
    <v t="i">91</v>
    <v t="i">92</v>
    <v t="i">95</v>
    <v t="i">96</v>
    <v t="i">97</v>
    <v t="i">98</v>
    <v t="i">99</v>
    <v t="i">102</v>
    <v t="i">103</v>
    <v t="i">104</v>
    <v t="i">105</v>
    <v t="i">106</v>
    <v t="i">109</v>
    <v t="i">110</v>
    <v t="i">111</v>
    <v t="i">112</v>
    <v t="i">113</v>
    <v t="i">116</v>
    <v t="i">117</v>
    <v t="i">118</v>
    <v t="i">119</v>
    <v t="i">120</v>
    <v t="i">123</v>
    <v t="i">124</v>
    <v t="i">125</v>
    <v t="i">126</v>
    <v t="i">127</v>
    <v t="i">130</v>
    <v t="i">131</v>
    <v t="i">132</v>
    <v t="i">133</v>
    <v t="i">134</v>
    <v t="i">137</v>
    <v t="i">138</v>
    <v t="i">139</v>
    <v t="i">140</v>
    <v t="i">141</v>
    <v t="i">144</v>
    <v t="i">145</v>
    <v t="i">146</v>
    <v t="i">147</v>
    <v t="i">148</v>
    <v t="i">151</v>
    <v t="i">152</v>
    <v t="i">153</v>
    <v t="i">154</v>
    <v t="i">155</v>
    <v t="i">158</v>
    <v t="i">159</v>
    <v t="i">160</v>
    <v t="i">161</v>
    <v t="i">166</v>
    <v t="i">167</v>
    <v t="i">168</v>
    <v t="i">169</v>
    <v t="i">172</v>
    <v t="i">173</v>
    <v t="i">174</v>
    <v t="i">175</v>
    <v t="i">176</v>
    <v t="i">179</v>
    <v t="i">180</v>
    <v t="i">181</v>
    <v t="i">182</v>
    <v t="i">183</v>
    <v t="i">186</v>
    <v t="i">187</v>
    <v t="i">188</v>
    <v t="i">189</v>
    <v t="i">193</v>
    <v t="i">194</v>
    <v t="i">195</v>
    <v t="i">196</v>
    <v t="i">197</v>
    <v t="i">200</v>
    <v t="i">201</v>
    <v t="i">202</v>
    <v t="i">203</v>
    <v t="i">204</v>
    <v t="i">207</v>
    <v t="i">208</v>
    <v t="i">209</v>
    <v t="i">210</v>
    <v t="i">211</v>
    <v t="i">214</v>
    <v t="i">215</v>
    <v t="i">216</v>
    <v t="i">217</v>
    <v t="i">218</v>
    <v t="i">221</v>
    <v t="i">222</v>
    <v t="i">223</v>
    <v t="i">224</v>
    <v t="i">225</v>
    <v t="i">228</v>
    <v t="i">229</v>
    <v t="i">230</v>
    <v t="i">231</v>
    <v t="i">232</v>
    <v t="i">235</v>
    <v t="i">236</v>
    <v t="i">237</v>
    <v t="i">238</v>
    <v t="i">239</v>
    <v t="i">242</v>
    <v t="i">243</v>
    <v t="i">244</v>
    <v t="i">245</v>
    <v t="i">246</v>
    <v t="i">249</v>
    <v t="i">250</v>
    <v t="i">251</v>
    <v t="i">252</v>
    <v t="i">253</v>
    <v t="i">256</v>
    <v t="i">257</v>
    <v t="i">258</v>
    <v t="i">259</v>
    <v t="i">260</v>
    <v t="i">263</v>
    <v t="i">264</v>
    <v t="i">265</v>
    <v t="i">266</v>
    <v t="i">267</v>
    <v t="i">270</v>
    <v t="i">271</v>
    <v t="i">272</v>
    <v t="i">273</v>
    <v t="i">274</v>
    <v t="i">277</v>
    <v t="i">278</v>
    <v t="i">279</v>
    <v t="i">280</v>
    <v t="i">281</v>
    <v t="i">284</v>
    <v t="i">285</v>
    <v t="i">286</v>
    <v t="i">287</v>
    <v t="i">288</v>
    <v t="i">291</v>
    <v t="i">292</v>
    <v t="i">293</v>
    <v t="i">294</v>
    <v t="i">295</v>
    <v t="i">298</v>
    <v t="i">299</v>
    <v t="i">300</v>
    <v t="i">301</v>
    <v t="i">302</v>
    <v t="i">305</v>
    <v t="i">306</v>
    <v t="i">307</v>
    <v t="i">308</v>
    <v t="i">309</v>
    <v t="i">312</v>
    <v t="i">313</v>
    <v t="i">314</v>
    <v t="i">315</v>
    <v t="i">316</v>
    <v t="i">319</v>
    <v t="i">320</v>
    <v t="i">321</v>
    <v t="i">322</v>
    <v t="i">323</v>
    <v t="i">326</v>
    <v t="i">327</v>
    <v t="i">328</v>
    <v t="i">329</v>
    <v t="i">330</v>
    <v t="i">333</v>
    <v t="i">334</v>
    <v t="i">335</v>
    <v t="i">336</v>
    <v t="i">337</v>
    <v t="i">340</v>
    <v t="i">341</v>
    <v t="i">342</v>
    <v t="i">343</v>
    <v t="i">344</v>
    <v t="i">347</v>
    <v t="i">348</v>
    <v t="i">349</v>
    <v t="i">350</v>
    <v t="i">351</v>
    <v t="i">354</v>
    <v t="i">355</v>
    <v t="i">356</v>
    <v t="i">357</v>
    <v t="i">358</v>
    <v t="i">361</v>
    <v t="i">362</v>
    <v t="i">363</v>
    <v t="i">364</v>
    <v t="i">365</v>
  </a>
  <a r="1" c="256">
    <v>215.7</v>
    <v>215.9</v>
    <v>217.35</v>
    <v>217.1</v>
    <v>217.1</v>
    <v>216.9</v>
    <v>215.65</v>
    <v>216.1</v>
    <v>215.65</v>
    <v>216.05</v>
    <v>213.8</v>
    <v>211.85</v>
    <v>215.7</v>
    <v>218.1</v>
    <v>220.6</v>
    <v>218.9</v>
    <v>216.95</v>
    <v>214.85</v>
    <v>210.95</v>
    <v>211.15</v>
    <v>212.15</v>
    <v>210</v>
    <v>211</v>
    <v>212.75</v>
    <v>215.7</v>
    <v>215.65</v>
    <v>216.2</v>
    <v>216.25</v>
    <v>217.05</v>
    <v>217.4</v>
    <v>218.35</v>
    <v>218.45</v>
    <v>218.5</v>
    <v>218.3</v>
    <v>217.6</v>
    <v>219.55</v>
    <v>218.35</v>
    <v>219.45</v>
    <v>218.35</v>
    <v>216.8</v>
    <v>219.2</v>
    <v>219.8</v>
    <v>219.05</v>
    <v>219.35</v>
    <v>219.85</v>
    <v>219.55</v>
    <v>221.9</v>
    <v>221.3</v>
    <v>223.5</v>
    <v>226.35</v>
    <v>226.5</v>
    <v>226.2</v>
    <v>225.4</v>
    <v>228.85</v>
    <v>229.6</v>
    <v>230</v>
    <v>229.25</v>
    <v>230.6</v>
    <v>229.75</v>
    <v>226.25</v>
    <v>225</v>
    <v>224.5</v>
    <v>227.45</v>
    <v>227</v>
    <v>227.55</v>
    <v>228.95</v>
    <v>226.6</v>
    <v>225</v>
    <v>226.8</v>
    <v>229.45</v>
    <v>229.05</v>
    <v>228</v>
    <v>226.35</v>
    <v>229.05</v>
    <v>231.25</v>
    <v>230.95</v>
    <v>230.55</v>
    <v>229.25</v>
    <v>228.8</v>
    <v>228.6</v>
    <v>230.15</v>
    <v>233.35</v>
    <v>231.5</v>
    <v>234.2</v>
    <v>233.85</v>
    <v>234.2</v>
    <v>236.05</v>
    <v>235.55</v>
    <v>234.75</v>
    <v>228.85</v>
    <v>220.7</v>
    <v>224.5</v>
    <v>221</v>
    <v>218.6</v>
    <v>217.25</v>
    <v>223.05</v>
    <v>221.45</v>
    <v>219.75</v>
    <v>218.55</v>
    <v>219.35</v>
    <v>220.5</v>
    <v>219.15</v>
    <v>214.5</v>
    <v>210.45</v>
    <v>212.95</v>
    <v>213.35</v>
    <v>216.05</v>
    <v>212.9</v>
    <v>210.75</v>
    <v>211.35</v>
    <v>213.15</v>
    <v>219.55</v>
    <v>217.65</v>
    <v>215.7</v>
    <v>226.75</v>
    <v>226.1</v>
    <v>227.4</v>
    <v>226.5</v>
    <v>229.4</v>
    <v>227.85</v>
    <v>227.5</v>
    <v>232.65</v>
    <v>229.85</v>
    <v>227.85</v>
    <v>227.15</v>
    <v>226.65</v>
    <v>226.15</v>
    <v>225.35</v>
    <v>224.3</v>
    <v>223.8</v>
    <v>226.5</v>
    <v>222.05</v>
    <v>226.45</v>
    <v>232.85</v>
    <v>230.65</v>
    <v>228.55</v>
    <v>228.25</v>
    <v>225.2</v>
    <v>226.55</v>
    <v>230</v>
    <v>225.75</v>
    <v>227.15</v>
    <v>227.2</v>
    <v>232.05</v>
    <v>231.25</v>
    <v>233.95</v>
    <v>238.2</v>
    <v>235.75</v>
    <v>236</v>
    <v>235.2</v>
    <v>235.1</v>
    <v>234.45</v>
    <v>237.25</v>
    <v>235.3</v>
    <v>237.25</v>
    <v>235.5</v>
    <v>235.65</v>
    <v>235.35</v>
    <v>233.75</v>
    <v>235.5</v>
    <v>240.4</v>
    <v>242.35</v>
    <v>243.2</v>
    <v>245</v>
    <v>246</v>
    <v>244.7</v>
    <v>245.6</v>
    <v>242.3</v>
    <v>241.75</v>
    <v>243.75</v>
    <v>241.85</v>
    <v>242.2</v>
    <v>245.95</v>
    <v>244.4</v>
    <v>247.45</v>
    <v>249.55</v>
    <v>249.1</v>
    <v>246.15</v>
    <v>241.65</v>
    <v>244.7</v>
    <v>244.15</v>
    <v>244.35</v>
    <v>244.8</v>
    <v>244.2</v>
    <v>244.8</v>
    <v>242.75</v>
    <v>243</v>
    <v>244.65</v>
    <v>246.25</v>
    <v>241.75</v>
    <v>244.65</v>
    <v>244.85</v>
    <v>245.15</v>
    <v>243.45</v>
    <v>247</v>
    <v>247.75</v>
    <v>250.6</v>
    <v>252.85</v>
    <v>252.6</v>
    <v>253.5</v>
    <v>254.4</v>
    <v>254.95</v>
    <v>255.55</v>
    <v>254.75</v>
    <v>255.35</v>
    <v>254.95</v>
    <v>254.85</v>
    <v>252.45</v>
    <v>251.4</v>
    <v>250.5</v>
    <v>252</v>
    <v>251.4</v>
    <v>251.95</v>
    <v>252.1</v>
    <v>250.5</v>
    <v>252.75</v>
    <v>250.25</v>
    <v>248.25</v>
    <v>248.15</v>
    <v>248.95</v>
    <v>249.15</v>
    <v>249.6</v>
    <v>249.85</v>
    <v>246.05</v>
    <v>244.5</v>
    <v>246.6</v>
    <v>244.05</v>
    <v>242.95</v>
    <v>244.25</v>
    <v>246.3</v>
    <v>243.1</v>
    <v>246.35</v>
    <v>246.3</v>
    <v>245.6</v>
    <v>244.55</v>
    <v>245.8</v>
    <v>245.75</v>
    <v>246.5</v>
    <v>244.6</v>
    <v>240.9</v>
    <v>243.6</v>
    <v>243.65</v>
    <v>244.85</v>
    <v>241.05</v>
    <v>239.2</v>
    <v>240.9</v>
    <v>242.05</v>
    <v>240.65</v>
    <v>241.65</v>
    <v>240.75</v>
    <v>242.25</v>
    <v>239.9</v>
    <v>238.85</v>
    <v>242.3</v>
    <v>237.65</v>
    <v>236.7</v>
  </a>
  <a r="1" c="767">
    <v t="i">0</v>
    <v t="i">1</v>
    <v t="i">2</v>
    <v t="i">3</v>
    <v t="i">4</v>
    <v t="i">7</v>
    <v t="i">8</v>
    <v t="i">9</v>
    <v t="i">10</v>
    <v t="i">11</v>
    <v t="i">14</v>
    <v t="i">15</v>
    <v t="i">16</v>
    <v t="i">17</v>
    <v t="i">18</v>
    <v t="i">21</v>
    <v t="i">22</v>
    <v t="i">23</v>
    <v t="i">24</v>
    <v t="i">25</v>
    <v t="i">28</v>
    <v t="i">29</v>
    <v t="i">30</v>
    <v t="i">31</v>
    <v t="i">32</v>
    <v t="i">35</v>
    <v t="i">36</v>
    <v t="i">37</v>
    <v t="i">38</v>
    <v t="i">39</v>
    <v t="i">42</v>
    <v t="i">43</v>
    <v t="i">44</v>
    <v t="i">45</v>
    <v t="i">46</v>
    <v t="i">49</v>
    <v t="i">50</v>
    <v t="i">51</v>
    <v t="i">52</v>
    <v t="i">53</v>
    <v t="i">56</v>
    <v t="i">57</v>
    <v t="i">58</v>
    <v t="i">59</v>
    <v t="i">60</v>
    <v t="i">65</v>
    <v t="i">66</v>
    <v t="i">67</v>
    <v t="i">71</v>
    <v t="i">72</v>
    <v t="i">73</v>
    <v t="i">74</v>
    <v t="i">77</v>
    <v t="i">78</v>
    <v t="i">79</v>
    <v t="i">80</v>
    <v t="i">81</v>
    <v t="i">84</v>
    <v t="i">85</v>
    <v t="i">86</v>
    <v t="i">87</v>
    <v t="i">88</v>
    <v t="i">91</v>
    <v t="i">92</v>
    <v t="i">93</v>
    <v t="i">94</v>
    <v t="i">95</v>
    <v t="i">98</v>
    <v t="i">99</v>
    <v t="i">100</v>
    <v t="i">101</v>
    <v t="i">102</v>
    <v t="i">105</v>
    <v t="i">106</v>
    <v t="i">107</v>
    <v t="i">108</v>
    <v t="i">109</v>
    <v t="i">112</v>
    <v t="i">113</v>
    <v t="i">114</v>
    <v t="i">115</v>
    <v t="i">116</v>
    <v t="i">119</v>
    <v t="i">120</v>
    <v t="i">121</v>
    <v t="i">122</v>
    <v t="i">123</v>
    <v t="i">126</v>
    <v t="i">127</v>
    <v t="i">128</v>
    <v t="i">129</v>
    <v t="i">130</v>
    <v t="i">133</v>
    <v t="i">134</v>
    <v t="i">135</v>
    <v t="i">136</v>
    <v t="i">137</v>
    <v t="i">140</v>
    <v t="i">141</v>
    <v t="i">142</v>
    <v t="i">143</v>
    <v t="i">144</v>
    <v t="i">147</v>
    <v t="i">148</v>
    <v t="i">149</v>
    <v t="i">150</v>
    <v t="i">151</v>
    <v t="i">154</v>
    <v t="i">155</v>
    <v t="i">156</v>
    <v t="i">157</v>
    <v t="i">162</v>
    <v t="i">163</v>
    <v t="i">164</v>
    <v t="i">165</v>
    <v t="i">168</v>
    <v t="i">169</v>
    <v t="i">170</v>
    <v t="i">171</v>
    <v t="i">172</v>
    <v t="i">175</v>
    <v t="i">176</v>
    <v t="i">177</v>
    <v t="i">178</v>
    <v t="i">179</v>
    <v t="i">182</v>
    <v t="i">183</v>
    <v t="i">184</v>
    <v t="i">185</v>
    <v t="i">186</v>
    <v t="i">189</v>
    <v t="i">190</v>
    <v t="i">192</v>
    <v t="i">193</v>
    <v t="i">196</v>
    <v t="i">197</v>
    <v t="i">198</v>
    <v t="i">199</v>
    <v t="i">200</v>
    <v t="i">203</v>
    <v t="i">204</v>
    <v t="i">205</v>
    <v t="i">206</v>
    <v t="i">207</v>
    <v t="i">210</v>
    <v t="i">211</v>
    <v t="i">212</v>
    <v t="i">213</v>
    <v t="i">214</v>
    <v t="i">217</v>
    <v t="i">218</v>
    <v t="i">219</v>
    <v t="i">220</v>
    <v t="i">221</v>
    <v t="i">224</v>
    <v t="i">225</v>
    <v t="i">226</v>
    <v t="i">227</v>
    <v t="i">228</v>
    <v t="i">231</v>
    <v t="i">232</v>
    <v t="i">233</v>
    <v t="i">234</v>
    <v t="i">235</v>
    <v t="i">238</v>
    <v t="i">239</v>
    <v t="i">240</v>
    <v t="i">241</v>
    <v t="i">242</v>
    <v t="i">245</v>
    <v t="i">246</v>
    <v t="i">247</v>
    <v t="i">248</v>
    <v t="i">249</v>
    <v t="i">252</v>
    <v t="i">253</v>
    <v t="i">254</v>
    <v t="i">255</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v t="i">365</v>
    <v t="i">366</v>
    <v t="i">367</v>
    <v t="i">368</v>
    <v t="i">371</v>
    <v t="i">372</v>
    <v t="i">373</v>
    <v t="i">374</v>
    <v t="i">375</v>
    <v t="i">378</v>
    <v t="i">379</v>
    <v t="i">380</v>
    <v t="i">381</v>
    <v t="i">382</v>
    <v t="i">385</v>
    <v t="i">386</v>
    <v t="i">387</v>
    <v t="i">388</v>
    <v t="i">389</v>
    <v t="i">392</v>
    <v t="i">393</v>
    <v t="i">394</v>
    <v t="i">395</v>
    <v t="i">396</v>
    <v t="i">399</v>
    <v t="i">400</v>
    <v t="i">401</v>
    <v t="i">402</v>
    <v t="i">403</v>
    <v t="i">406</v>
    <v t="i">407</v>
    <v t="i">408</v>
    <v t="i">409</v>
    <v t="i">410</v>
    <v t="i">413</v>
    <v t="i">414</v>
    <v t="i">415</v>
    <v t="i">416</v>
    <v t="i">417</v>
    <v t="i">420</v>
    <v t="i">421</v>
    <v t="i">422</v>
    <v t="i">423</v>
    <v t="i">424</v>
    <v t="i">427</v>
    <v t="i">428</v>
    <v t="i">431</v>
    <v t="i">434</v>
    <v t="i">435</v>
    <v t="i">437</v>
    <v t="i">438</v>
    <v t="i">441</v>
    <v t="i">442</v>
    <v t="i">443</v>
    <v t="i">444</v>
    <v t="i">445</v>
    <v t="i">448</v>
    <v t="i">449</v>
    <v t="i">450</v>
    <v t="i">451</v>
    <v t="i">452</v>
    <v t="i">455</v>
    <v t="i">456</v>
    <v t="i">457</v>
    <v t="i">458</v>
    <v t="i">459</v>
    <v t="i">462</v>
    <v t="i">463</v>
    <v t="i">464</v>
    <v t="i">465</v>
    <v t="i">466</v>
    <v t="i">469</v>
    <v t="i">470</v>
    <v t="i">471</v>
    <v t="i">472</v>
    <v t="i">473</v>
    <v t="i">476</v>
    <v t="i">477</v>
    <v t="i">478</v>
    <v t="i">479</v>
    <v t="i">480</v>
    <v t="i">483</v>
    <v t="i">484</v>
    <v t="i">485</v>
    <v t="i">486</v>
    <v t="i">487</v>
    <v t="i">490</v>
    <v t="i">491</v>
    <v t="i">492</v>
    <v t="i">493</v>
    <v t="i">494</v>
    <v t="i">497</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547</v>
    <v t="i">548</v>
    <v t="i">549</v>
    <v t="i">550</v>
    <v t="i">553</v>
    <v t="i">554</v>
    <v t="i">555</v>
    <v t="i">557</v>
    <v t="i">560</v>
    <v t="i">561</v>
    <v t="i">562</v>
    <v t="i">563</v>
    <v t="i">564</v>
    <v t="i">567</v>
    <v t="i">568</v>
    <v t="i">569</v>
    <v t="i">570</v>
    <v t="i">571</v>
    <v t="i">574</v>
    <v t="i">575</v>
    <v t="i">576</v>
    <v t="i">577</v>
    <v t="i">578</v>
    <v t="i">581</v>
    <v t="i">582</v>
    <v t="i">583</v>
    <v t="i">584</v>
    <v t="i">585</v>
    <v t="i">588</v>
    <v t="i">589</v>
    <v t="i">590</v>
    <v t="i">591</v>
    <v t="i">592</v>
    <v t="i">595</v>
    <v t="i">596</v>
    <v t="i">597</v>
    <v t="i">598</v>
    <v t="i">599</v>
    <v t="i">602</v>
    <v t="i">603</v>
    <v t="i">604</v>
    <v t="i">605</v>
    <v t="i">606</v>
    <v t="i">609</v>
    <v t="i">610</v>
    <v t="i">611</v>
    <v t="i">612</v>
    <v t="i">613</v>
    <v t="i">616</v>
    <v t="i">617</v>
    <v t="i">618</v>
    <v t="i">619</v>
    <v t="i">620</v>
    <v t="i">623</v>
    <v t="i">624</v>
    <v t="i">625</v>
    <v t="i">626</v>
    <v t="i">627</v>
    <v t="i">630</v>
    <v t="i">631</v>
    <v t="i">632</v>
    <v t="i">633</v>
    <v t="i">634</v>
    <v t="i">637</v>
    <v t="i">638</v>
    <v t="i">639</v>
    <v t="i">640</v>
    <v t="i">641</v>
    <v t="i">644</v>
    <v t="i">645</v>
    <v t="i">646</v>
    <v t="i">647</v>
    <v t="i">648</v>
    <v t="i">651</v>
    <v t="i">652</v>
    <v t="i">653</v>
    <v t="i">654</v>
    <v t="i">655</v>
    <v t="i">658</v>
    <v t="i">659</v>
    <v t="i">660</v>
    <v t="i">661</v>
    <v t="i">662</v>
    <v t="i">665</v>
    <v t="i">666</v>
    <v t="i">667</v>
    <v t="i">668</v>
    <v t="i">669</v>
    <v t="i">672</v>
    <v t="i">673</v>
    <v t="i">674</v>
    <v t="i">675</v>
    <v t="i">676</v>
    <v t="i">679</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750</v>
    <v t="i">751</v>
    <v t="i">752</v>
    <v t="i">753</v>
    <v t="i">756</v>
    <v t="i">757</v>
    <v t="i">758</v>
    <v t="i">759</v>
    <v t="i">760</v>
    <v t="i">763</v>
    <v t="i">764</v>
    <v t="i">765</v>
    <v t="i">766</v>
    <v t="i">767</v>
    <v t="i">770</v>
    <v t="i">771</v>
    <v t="i">772</v>
    <v t="i">773</v>
    <v t="i">774</v>
    <v t="i">777</v>
    <v t="i">778</v>
    <v t="i">779</v>
    <v t="i">780</v>
    <v t="i">781</v>
    <v t="i">784</v>
    <v t="i">785</v>
    <v t="i">786</v>
    <v t="i">787</v>
    <v t="i">788</v>
    <v t="i">791</v>
    <v t="i">792</v>
    <v t="i">793</v>
    <v t="i">798</v>
    <v t="i">799</v>
    <v t="i">800</v>
    <v t="i">802</v>
    <v t="i">805</v>
    <v t="i">806</v>
    <v t="i">807</v>
    <v t="i">808</v>
    <v t="i">809</v>
    <v t="i">812</v>
    <v t="i">813</v>
    <v t="i">814</v>
    <v t="i">815</v>
    <v t="i">816</v>
    <v t="i">819</v>
    <v t="i">820</v>
    <v t="i">821</v>
    <v t="i">822</v>
    <v t="i">823</v>
    <v t="i">826</v>
    <v t="i">827</v>
    <v t="i">828</v>
    <v t="i">829</v>
    <v t="i">830</v>
    <v t="i">833</v>
    <v t="i">834</v>
    <v t="i">835</v>
    <v t="i">836</v>
    <v t="i">837</v>
    <v t="i">840</v>
    <v t="i">841</v>
    <v t="i">842</v>
    <v t="i">843</v>
    <v t="i">844</v>
    <v t="i">847</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897</v>
    <v t="i">898</v>
    <v t="i">899</v>
    <v t="i">900</v>
    <v t="i">903</v>
    <v t="i">904</v>
    <v t="i">905</v>
    <v t="i">906</v>
    <v t="i">907</v>
    <v t="i">910</v>
    <v t="i">911</v>
    <v t="i">912</v>
    <v t="i">913</v>
    <v t="i">914</v>
    <v t="i">917</v>
    <v t="i">918</v>
    <v t="i">919</v>
    <v t="i">920</v>
    <v t="i">924</v>
    <v t="i">925</v>
    <v t="i">926</v>
    <v t="i">927</v>
    <v t="i">928</v>
    <v t="i">931</v>
    <v t="i">932</v>
    <v t="i">933</v>
    <v t="i">934</v>
    <v t="i">935</v>
    <v t="i">938</v>
    <v t="i">939</v>
    <v t="i">940</v>
    <v t="i">941</v>
    <v t="i">942</v>
    <v t="i">945</v>
    <v t="i">946</v>
    <v t="i">947</v>
    <v t="i">948</v>
    <v t="i">949</v>
    <v t="i">952</v>
    <v t="i">953</v>
    <v t="i">954</v>
    <v t="i">955</v>
    <v t="i">956</v>
    <v t="i">959</v>
    <v t="i">960</v>
    <v t="i">961</v>
    <v t="i">962</v>
    <v t="i">963</v>
    <v t="i">966</v>
    <v t="i">967</v>
    <v t="i">968</v>
    <v t="i">969</v>
    <v t="i">970</v>
    <v t="i">973</v>
    <v t="i">974</v>
    <v t="i">975</v>
    <v t="i">976</v>
    <v t="i">977</v>
    <v t="i">980</v>
    <v t="i">981</v>
    <v t="i">982</v>
    <v t="i">983</v>
    <v t="i">984</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1050</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767">
    <v>145.08000000000001</v>
    <v>145.84</v>
    <v>146.02000000000001</v>
    <v>145.30000000000001</v>
    <v>144.08000000000001</v>
    <v>144.52000000000001</v>
    <v>145.68</v>
    <v>146.86000000000001</v>
    <v>149.84</v>
    <v>150.1</v>
    <v>149.46</v>
    <v>149.46</v>
    <v>150.18</v>
    <v>152.02000000000001</v>
    <v>150.86000000000001</v>
    <v>152.08000000000001</v>
    <v>154.46</v>
    <v>155.16</v>
    <v>154.69999999999999</v>
    <v>156.04</v>
    <v>156.30000000000001</v>
    <v>155.88</v>
    <v>156.63999999999999</v>
    <v>156.94</v>
    <v>157.38</v>
    <v>156.78</v>
    <v>156.47999999999999</v>
    <v>157.22</v>
    <v>157.62</v>
    <v>158.88</v>
    <v>158.88</v>
    <v>160.24</v>
    <v>161.5</v>
    <v>160.96</v>
    <v>162.76</v>
    <v>163.5</v>
    <v>163.24</v>
    <v>162.97999999999999</v>
    <v>163.28</v>
    <v>163.84</v>
    <v>162.56</v>
    <v>163.26</v>
    <v>163.32</v>
    <v>162.86000000000001</v>
    <v>162.76</v>
    <v>162.84</v>
    <v>162.34</v>
    <v>162.44</v>
    <v>162.28</v>
    <v>159.96</v>
    <v>160.97999999999999</v>
    <v>160.58000000000001</v>
    <v>161.4</v>
    <v>160.78</v>
    <v>160.84</v>
    <v>159.88</v>
    <v>161.12</v>
    <v>160.41999999999999</v>
    <v>159.97999999999999</v>
    <v>158.41999999999999</v>
    <v>160.22</v>
    <v>160.08000000000001</v>
    <v>161.32</v>
    <v>160.86000000000001</v>
    <v>164.34</v>
    <v>165</v>
    <v>166.98</v>
    <v>167.08</v>
    <v>168.02</v>
    <v>167.42</v>
    <v>167.04</v>
    <v>167.76</v>
    <v>167.72</v>
    <v>169.02</v>
    <v>168.56</v>
    <v>169.64</v>
    <v>170.04</v>
    <v>171.12</v>
    <v>169.14</v>
    <v>169.9</v>
    <v>171.02</v>
    <v>171.86</v>
    <v>171.86</v>
    <v>171.9</v>
    <v>172.26</v>
    <v>175.24</v>
    <v>175.82</v>
    <v>175.46</v>
    <v>176.32</v>
    <v>176.14</v>
    <v>176.28</v>
    <v>176.66</v>
    <v>177.22</v>
    <v>176.54</v>
    <v>177.46</v>
    <v>179.56</v>
    <v>179.12</v>
    <v>177.98</v>
    <v>179.86</v>
    <v>180.58</v>
    <v>180.14</v>
    <v>179.84</v>
    <v>179.96</v>
    <v>180.78</v>
    <v>180.58</v>
    <v>182.46</v>
    <v>181.82</v>
    <v>182.34</v>
    <v>183.02</v>
    <v>183.72</v>
    <v>183.68</v>
    <v>182.36</v>
    <v>183.22</v>
    <v>183.32</v>
    <v>181.2</v>
    <v>182.52</v>
    <v>180.48</v>
    <v>180.72</v>
    <v>179.78</v>
    <v>179.22</v>
    <v>180.32</v>
    <v>177.96</v>
    <v>178.24</v>
    <v>178.84</v>
    <v>178.14</v>
    <v>179.04</v>
    <v>181.96</v>
    <v>181.18</v>
    <v>179.5</v>
    <v>182.2</v>
    <v>181.52</v>
    <v>179.78</v>
    <v>178.38</v>
    <v>179.66</v>
    <v>181.14</v>
    <v>183.18</v>
    <v>184.06</v>
    <v>185.12</v>
    <v>186.08</v>
    <v>186.16</v>
    <v>186.3</v>
    <v>187.02</v>
    <v>186.24</v>
    <v>185.84</v>
    <v>186.5</v>
    <v>185.68</v>
    <v>184.84</v>
    <v>185.28</v>
    <v>185.3</v>
    <v>186.1</v>
    <v>185.22</v>
    <v>182.8</v>
    <v>183.68</v>
    <v>183.46</v>
    <v>184.3</v>
    <v>182.4</v>
    <v>185.46</v>
    <v>186.58</v>
    <v>185.98</v>
    <v>184.68</v>
    <v>182.84</v>
    <v>185.5</v>
    <v>181.72</v>
    <v>178.16</v>
    <v>179.7</v>
    <v>180.96</v>
    <v>179.98</v>
    <v>182.18</v>
    <v>180.5</v>
    <v>182.34</v>
    <v>181.76</v>
    <v>181.14</v>
    <v>180.68</v>
    <v>180.36</v>
    <v>181.72</v>
    <v>180.86</v>
    <v>183.12</v>
    <v>184.04</v>
    <v>183.64</v>
    <v>183.36</v>
    <v>180.88</v>
    <v>182.9</v>
    <v>183.72</v>
    <v>186.26</v>
    <v>183.8</v>
    <v>182.5</v>
    <v>180.5</v>
    <v>179.74</v>
    <v>177.9</v>
    <v>180.8</v>
    <v>181.5</v>
    <v>179.42</v>
    <v>177.62</v>
    <v>179.42</v>
    <v>177.64</v>
    <v>178.72</v>
    <v>179.88</v>
    <v>175.8</v>
    <v>171.12</v>
    <v>168.6</v>
    <v>168.84</v>
    <v>172.4</v>
    <v>172.24</v>
    <v>172.4</v>
    <v>172.36</v>
    <v>173.36</v>
    <v>174.34</v>
    <v>177.7</v>
    <v>178.68</v>
    <v>179.86</v>
    <v>179.16</v>
    <v>180.26</v>
    <v>180.24</v>
    <v>181.1</v>
    <v>180.62</v>
    <v>180.88</v>
    <v>181.38</v>
    <v>183.14</v>
    <v>182.96</v>
    <v>183.48</v>
    <v>181.32</v>
    <v>178.94</v>
    <v>177.76</v>
    <v>174.86</v>
    <v>176.22</v>
    <v>175.06</v>
    <v>175.76</v>
    <v>177.64</v>
    <v>178.68</v>
    <v>177.98</v>
    <v>179.36</v>
    <v>178.4</v>
    <v>182.38</v>
    <v>179.76</v>
    <v>180.18</v>
    <v>182.32</v>
    <v>181.48</v>
    <v>185.76</v>
    <v>187.12</v>
    <v>184.8</v>
    <v>183</v>
    <v>183.28</v>
    <v>181.8</v>
    <v>183.04</v>
    <v>183.58</v>
    <v>182.9</v>
    <v>184.08</v>
    <v>183.66</v>
    <v>184.86</v>
    <v>186.12</v>
    <v>182.84</v>
    <v>181.32</v>
    <v>182.78</v>
    <v>184.18</v>
    <v>182.44</v>
    <v>182.5</v>
    <v>181.92</v>
    <v>182.36</v>
    <v>182.66</v>
    <v>183.66</v>
    <v>182.94</v>
    <v>180.62</v>
    <v>178.44</v>
    <v>180.46</v>
    <v>179.72</v>
    <v>180.14</v>
    <v>177.38</v>
    <v>179.5</v>
    <v>177.64</v>
    <v>179.6</v>
    <v>175.48</v>
    <v>175.22</v>
    <v>178.7</v>
    <v>177.42</v>
    <v>177.42</v>
    <v>175.94</v>
    <v>175.18</v>
    <v>175.96</v>
    <v>177.54</v>
    <v>177.68</v>
    <v>176.28</v>
    <v>175.26</v>
    <v>176.28</v>
    <v>178.06</v>
    <v>179.56</v>
    <v>180.76</v>
    <v>182.22</v>
    <v>183.36</v>
    <v>184.44</v>
    <v>184.68</v>
    <v>183.44</v>
    <v>183.8</v>
    <v>184.04</v>
    <v>184.02</v>
    <v>183.24</v>
    <v>183.2</v>
    <v>183.76</v>
    <v>180.88</v>
    <v>180.28</v>
    <v>179.78</v>
    <v>180.52</v>
    <v>181.58</v>
    <v>180.2</v>
    <v>181.68</v>
    <v>182.3</v>
    <v>180.6</v>
    <v>184.92</v>
    <v>185.78</v>
    <v>185.12</v>
    <v>186.02</v>
    <v>184.5</v>
    <v>183.66</v>
    <v>184.68</v>
    <v>186.66</v>
    <v>189.2</v>
    <v>190.92</v>
    <v>191.64</v>
    <v>191.6</v>
    <v>193.06</v>
    <v>193.56</v>
    <v>193.6</v>
    <v>192.48</v>
    <v>192.9</v>
    <v>194.08</v>
    <v>196.06</v>
    <v>196.08</v>
    <v>193.56</v>
    <v>195.36</v>
    <v>195.24</v>
    <v>198.74</v>
    <v>197.22</v>
    <v>198.94</v>
    <v>200.05</v>
    <v>200.7</v>
    <v>204.2</v>
    <v>204.1</v>
    <v>205.1</v>
    <v>205.85</v>
    <v>202.9</v>
    <v>202.9</v>
    <v>203.4</v>
    <v>202.65</v>
    <v>202.45</v>
    <v>205.5</v>
    <v>203.35</v>
    <v>202.95</v>
    <v>206</v>
    <v>200.4</v>
    <v>204</v>
    <v>205.2</v>
    <v>203.2</v>
    <v>200.3</v>
    <v>197.36</v>
    <v>199.18</v>
    <v>198.06</v>
    <v>200.95</v>
    <v>202.45</v>
    <v>203.95</v>
    <v>204.8</v>
    <v>202.5</v>
    <v>201.75</v>
    <v>201.45</v>
    <v>203.75</v>
    <v>201.4</v>
    <v>200.25</v>
    <v>198.44</v>
    <v>195.4</v>
    <v>197.94</v>
    <v>197.44</v>
    <v>190.3</v>
    <v>181.58</v>
    <v>173.38</v>
    <v>177.82</v>
    <v>172.06</v>
    <v>179.58</v>
    <v>178.36</v>
    <v>183.18</v>
    <v>185.4</v>
    <v>185.12</v>
    <v>184.1</v>
    <v>185.44</v>
    <v>190.72</v>
    <v>191.34</v>
    <v>192.96</v>
    <v>193.38</v>
    <v>193.34</v>
    <v>193.04</v>
    <v>198</v>
    <v>198.62</v>
    <v>197.88</v>
    <v>196.78</v>
    <v>199.12</v>
    <v>200.15</v>
    <v>203.5</v>
    <v>204.75</v>
    <v>204.15</v>
    <v>204.4</v>
    <v>205.2</v>
    <v>205.65</v>
    <v>206.7</v>
    <v>206.55</v>
    <v>205.45</v>
    <v>201.65</v>
    <v>204.5</v>
    <v>205.4</v>
    <v>203.8</v>
    <v>203.65</v>
    <v>203.3</v>
    <v>203</v>
    <v>203.7</v>
    <v>204.95</v>
    <v>205.1</v>
    <v>205.95</v>
    <v>205.75</v>
    <v>205.4</v>
    <v>204.55</v>
    <v>203.35</v>
    <v>200.7</v>
    <v>202.4</v>
    <v>200.55</v>
    <v>199.8</v>
    <v>197.12</v>
    <v>198.34</v>
    <v>198.18</v>
    <v>201.1</v>
    <v>199.4</v>
    <v>198.98</v>
    <v>202</v>
    <v>201.35</v>
    <v>200.45</v>
    <v>201.9</v>
    <v>202.8</v>
    <v>200.8</v>
    <v>202.7</v>
    <v>204.05</v>
    <v>206.75</v>
    <v>206.55</v>
    <v>204.45</v>
    <v>203.85</v>
    <v>203.2</v>
    <v>201.05</v>
    <v>204</v>
    <v>203.4</v>
    <v>202.85</v>
    <v>200.8</v>
    <v>202.95</v>
    <v>203.35</v>
    <v>203.45</v>
    <v>202.7</v>
    <v>204.3</v>
    <v>204.85</v>
    <v>202.15</v>
    <v>196.22</v>
    <v>199.3</v>
    <v>199.6</v>
    <v>200.05</v>
    <v>202.7</v>
    <v>203.5</v>
    <v>202.6</v>
    <v>202.85</v>
    <v>204.75</v>
    <v>206.35</v>
    <v>207.35</v>
    <v>206.45</v>
    <v>208.55</v>
    <v>208</v>
    <v>207.7</v>
    <v>208.75</v>
    <v>206.85</v>
    <v>204.65</v>
    <v>205.05</v>
    <v>205.15</v>
    <v>203.4</v>
    <v>204</v>
    <v>201.15</v>
    <v>202.55</v>
    <v>203.2</v>
    <v>202.1</v>
    <v>204</v>
    <v>204.2</v>
    <v>203.65</v>
    <v>204.8</v>
    <v>204.85</v>
    <v>206.8</v>
    <v>204.25</v>
    <v>204.15</v>
    <v>207.4</v>
    <v>207.45</v>
    <v>206.9</v>
    <v>208.3</v>
    <v>207.8</v>
    <v>206.95</v>
    <v>209.15</v>
    <v>209.6</v>
    <v>210.35</v>
    <v>212.55</v>
    <v>214.85</v>
    <v>215.1</v>
    <v>214.25</v>
    <v>213.75</v>
    <v>215.05</v>
    <v>214.1</v>
    <v>210.5</v>
    <v>211.9</v>
    <v>211.35</v>
    <v>213.35</v>
    <v>215.1</v>
    <v>213.45</v>
    <v>216.15</v>
    <v>216.45</v>
    <v>214.6</v>
    <v>215.7</v>
    <v>215.9</v>
    <v>217.35</v>
    <v>217.1</v>
    <v>217.1</v>
    <v>216.9</v>
    <v>215.65</v>
    <v>216.1</v>
    <v>215.65</v>
    <v>216.05</v>
    <v>213.8</v>
    <v>211.85</v>
    <v>215.7</v>
    <v>218.1</v>
    <v>220.6</v>
    <v>218.9</v>
    <v>216.95</v>
    <v>214.85</v>
    <v>210.95</v>
    <v>211.15</v>
    <v>212.15</v>
    <v>210</v>
    <v>211</v>
    <v>212.75</v>
    <v>215.7</v>
    <v>215.65</v>
    <v>216.2</v>
    <v>216.25</v>
    <v>217.05</v>
    <v>217.4</v>
    <v>218.35</v>
    <v>218.45</v>
    <v>218.5</v>
    <v>218.3</v>
    <v>217.6</v>
    <v>219.55</v>
    <v>218.35</v>
    <v>219.45</v>
    <v>218.35</v>
    <v>216.8</v>
    <v>219.2</v>
    <v>219.8</v>
    <v>219.05</v>
    <v>219.35</v>
    <v>219.85</v>
    <v>219.55</v>
    <v>221.9</v>
    <v>221.3</v>
    <v>223.5</v>
    <v>226.35</v>
    <v>226.5</v>
    <v>226.2</v>
    <v>225.4</v>
    <v>228.85</v>
    <v>229.6</v>
    <v>230</v>
    <v>229.25</v>
    <v>230.6</v>
    <v>229.75</v>
    <v>226.25</v>
    <v>225</v>
    <v>224.5</v>
    <v>227.45</v>
    <v>227</v>
    <v>227.55</v>
    <v>228.95</v>
    <v>226.6</v>
    <v>225</v>
    <v>226.8</v>
    <v>229.45</v>
    <v>229.05</v>
    <v>228</v>
    <v>226.35</v>
    <v>229.05</v>
    <v>231.25</v>
    <v>230.95</v>
    <v>230.55</v>
    <v>229.25</v>
    <v>228.8</v>
    <v>228.6</v>
    <v>230.15</v>
    <v>233.35</v>
    <v>231.5</v>
    <v>234.2</v>
    <v>233.85</v>
    <v>234.2</v>
    <v>236.05</v>
    <v>235.55</v>
    <v>234.75</v>
    <v>228.85</v>
    <v>220.7</v>
    <v>224.5</v>
    <v>221</v>
    <v>218.6</v>
    <v>217.25</v>
    <v>223.05</v>
    <v>221.45</v>
    <v>219.75</v>
    <v>218.55</v>
    <v>219.35</v>
    <v>220.5</v>
    <v>219.15</v>
    <v>214.5</v>
    <v>210.45</v>
    <v>212.95</v>
    <v>213.35</v>
    <v>216.05</v>
    <v>212.9</v>
    <v>210.75</v>
    <v>211.35</v>
    <v>213.15</v>
    <v>219.55</v>
    <v>217.65</v>
    <v>215.7</v>
    <v>226.75</v>
    <v>226.1</v>
    <v>227.4</v>
    <v>226.5</v>
    <v>229.4</v>
    <v>227.85</v>
    <v>227.5</v>
    <v>232.65</v>
    <v>229.85</v>
    <v>227.85</v>
    <v>227.15</v>
    <v>226.65</v>
    <v>226.15</v>
    <v>225.35</v>
    <v>224.3</v>
    <v>223.8</v>
    <v>226.5</v>
    <v>222.05</v>
    <v>226.45</v>
    <v>232.85</v>
    <v>230.65</v>
    <v>228.55</v>
    <v>228.25</v>
    <v>225.2</v>
    <v>226.55</v>
    <v>230</v>
    <v>225.75</v>
    <v>227.15</v>
    <v>227.2</v>
    <v>232.05</v>
    <v>231.25</v>
    <v>233.95</v>
    <v>238.2</v>
    <v>235.75</v>
    <v>236</v>
    <v>235.2</v>
    <v>235.1</v>
    <v>234.45</v>
    <v>237.25</v>
    <v>235.3</v>
    <v>237.25</v>
    <v>235.5</v>
    <v>235.65</v>
    <v>235.35</v>
    <v>233.75</v>
    <v>235.5</v>
    <v>240.4</v>
    <v>242.35</v>
    <v>243.2</v>
    <v>245</v>
    <v>246</v>
    <v>244.7</v>
    <v>245.6</v>
    <v>242.3</v>
    <v>241.75</v>
    <v>243.75</v>
    <v>241.85</v>
    <v>242.2</v>
    <v>245.95</v>
    <v>244.4</v>
    <v>247.45</v>
    <v>249.55</v>
    <v>249.1</v>
    <v>246.15</v>
    <v>241.65</v>
    <v>244.7</v>
    <v>244.15</v>
    <v>244.35</v>
    <v>244.8</v>
    <v>244.2</v>
    <v>244.8</v>
    <v>242.75</v>
    <v>243</v>
    <v>244.65</v>
    <v>246.25</v>
    <v>241.75</v>
    <v>244.65</v>
    <v>244.85</v>
    <v>245.15</v>
    <v>243.45</v>
    <v>247</v>
    <v>247.75</v>
    <v>250.6</v>
    <v>252.85</v>
    <v>252.6</v>
    <v>253.5</v>
    <v>254.4</v>
    <v>254.95</v>
    <v>255.55</v>
    <v>254.75</v>
    <v>255.35</v>
    <v>254.95</v>
    <v>254.85</v>
    <v>252.45</v>
    <v>251.4</v>
    <v>250.5</v>
    <v>252</v>
    <v>251.4</v>
    <v>251.95</v>
    <v>252.1</v>
    <v>250.5</v>
    <v>252.75</v>
    <v>250.25</v>
    <v>248.25</v>
    <v>248.15</v>
    <v>248.95</v>
    <v>249.15</v>
    <v>249.6</v>
    <v>249.85</v>
    <v>246.05</v>
    <v>244.5</v>
    <v>246.6</v>
    <v>244.05</v>
    <v>242.95</v>
    <v>244.25</v>
    <v>246.3</v>
    <v>243.1</v>
    <v>246.35</v>
    <v>246.3</v>
    <v>245.6</v>
    <v>244.55</v>
    <v>245.8</v>
    <v>245.75</v>
    <v>246.5</v>
    <v>244.6</v>
    <v>240.9</v>
    <v>243.6</v>
    <v>243.65</v>
    <v>244.85</v>
    <v>241.05</v>
    <v>239.2</v>
    <v>240.9</v>
    <v>242.05</v>
    <v>240.65</v>
    <v>241.65</v>
    <v>240.75</v>
    <v>242.25</v>
    <v>239.9</v>
    <v>238.85</v>
    <v>242.3</v>
    <v>237.65</v>
    <v>236.7</v>
  </a>
  <a r="1" c="568">
    <v t="i">277</v>
    <v t="i">280</v>
    <v t="i">281</v>
    <v t="i">282</v>
    <v t="i">283</v>
    <v t="i">284</v>
    <v t="i">287</v>
    <v t="i">288</v>
    <v t="i">289</v>
    <v t="i">290</v>
    <v t="i">291</v>
    <v t="i">294</v>
    <v t="i">295</v>
    <v t="i">296</v>
    <v t="i">298</v>
    <v t="i">301</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v t="i">365</v>
    <v t="i">366</v>
    <v t="i">367</v>
    <v t="i">368</v>
    <v t="i">371</v>
    <v t="i">372</v>
    <v t="i">373</v>
    <v t="i">374</v>
    <v t="i">375</v>
    <v t="i">378</v>
    <v t="i">379</v>
    <v t="i">380</v>
    <v t="i">381</v>
    <v t="i">382</v>
    <v t="i">385</v>
    <v t="i">386</v>
    <v t="i">387</v>
    <v t="i">388</v>
    <v t="i">389</v>
    <v t="i">392</v>
    <v t="i">393</v>
    <v t="i">394</v>
    <v t="i">395</v>
    <v t="i">396</v>
    <v t="i">399</v>
    <v t="i">400</v>
    <v t="i">401</v>
    <v t="i">402</v>
    <v t="i">403</v>
    <v t="i">406</v>
    <v t="i">407</v>
    <v t="i">408</v>
    <v t="i">409</v>
    <v t="i">410</v>
    <v t="i">413</v>
    <v t="i">414</v>
    <v t="i">415</v>
    <v t="i">416</v>
    <v t="i">417</v>
    <v t="i">420</v>
    <v t="i">421</v>
    <v t="i">422</v>
    <v t="i">423</v>
    <v t="i">424</v>
    <v t="i">427</v>
    <v t="i">431</v>
    <v t="i">434</v>
    <v t="i">437</v>
    <v t="i">438</v>
    <v t="i">441</v>
    <v t="i">442</v>
    <v t="i">443</v>
    <v t="i">444</v>
    <v t="i">445</v>
    <v t="i">448</v>
    <v t="i">449</v>
    <v t="i">450</v>
    <v t="i">451</v>
    <v t="i">452</v>
    <v t="i">455</v>
    <v t="i">456</v>
    <v t="i">457</v>
    <v t="i">458</v>
    <v t="i">459</v>
    <v t="i">462</v>
    <v t="i">463</v>
    <v t="i">464</v>
    <v t="i">465</v>
    <v t="i">466</v>
    <v t="i">469</v>
    <v t="i">470</v>
    <v t="i">471</v>
    <v t="i">472</v>
    <v t="i">473</v>
    <v t="i">476</v>
    <v t="i">477</v>
    <v t="i">478</v>
    <v t="i">479</v>
    <v t="i">480</v>
    <v t="i">483</v>
    <v t="i">484</v>
    <v t="i">485</v>
    <v t="i">486</v>
    <v t="i">487</v>
    <v t="i">490</v>
    <v t="i">491</v>
    <v t="i">492</v>
    <v t="i">493</v>
    <v t="i">494</v>
    <v t="i">497</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547</v>
    <v t="i">548</v>
    <v t="i">549</v>
    <v t="i">550</v>
    <v t="i">553</v>
    <v t="i">554</v>
    <v t="i">555</v>
    <v t="i">557</v>
    <v t="i">560</v>
    <v t="i">561</v>
    <v t="i">562</v>
    <v t="i">563</v>
    <v t="i">564</v>
    <v t="i">567</v>
    <v t="i">568</v>
    <v t="i">569</v>
    <v t="i">570</v>
    <v t="i">571</v>
    <v t="i">574</v>
    <v t="i">575</v>
    <v t="i">576</v>
    <v t="i">577</v>
    <v t="i">578</v>
    <v t="i">581</v>
    <v t="i">582</v>
    <v t="i">583</v>
    <v t="i">584</v>
    <v t="i">585</v>
    <v t="i">588</v>
    <v t="i">589</v>
    <v t="i">590</v>
    <v t="i">591</v>
    <v t="i">592</v>
    <v t="i">595</v>
    <v t="i">596</v>
    <v t="i">597</v>
    <v t="i">598</v>
    <v t="i">599</v>
    <v t="i">602</v>
    <v t="i">603</v>
    <v t="i">604</v>
    <v t="i">605</v>
    <v t="i">606</v>
    <v t="i">609</v>
    <v t="i">610</v>
    <v t="i">611</v>
    <v t="i">612</v>
    <v t="i">613</v>
    <v t="i">616</v>
    <v t="i">617</v>
    <v t="i">618</v>
    <v t="i">619</v>
    <v t="i">620</v>
    <v t="i">623</v>
    <v t="i">624</v>
    <v t="i">625</v>
    <v t="i">626</v>
    <v t="i">627</v>
    <v t="i">630</v>
    <v t="i">631</v>
    <v t="i">632</v>
    <v t="i">633</v>
    <v t="i">634</v>
    <v t="i">637</v>
    <v t="i">638</v>
    <v t="i">639</v>
    <v t="i">640</v>
    <v t="i">641</v>
    <v t="i">644</v>
    <v t="i">645</v>
    <v t="i">646</v>
    <v t="i">647</v>
    <v t="i">648</v>
    <v t="i">651</v>
    <v t="i">652</v>
    <v t="i">653</v>
    <v t="i">654</v>
    <v t="i">655</v>
    <v t="i">658</v>
    <v t="i">659</v>
    <v t="i">660</v>
    <v t="i">661</v>
    <v t="i">665</v>
    <v t="i">666</v>
    <v t="i">667</v>
    <v t="i">668</v>
    <v t="i">669</v>
    <v t="i">672</v>
    <v t="i">673</v>
    <v t="i">674</v>
    <v t="i">675</v>
    <v t="i">676</v>
    <v t="i">679</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750</v>
    <v t="i">751</v>
    <v t="i">752</v>
    <v t="i">753</v>
    <v t="i">756</v>
    <v t="i">757</v>
    <v t="i">758</v>
    <v t="i">759</v>
    <v t="i">760</v>
    <v t="i">763</v>
    <v t="i">764</v>
    <v t="i">765</v>
    <v t="i">766</v>
    <v t="i">767</v>
    <v t="i">770</v>
    <v t="i">771</v>
    <v t="i">772</v>
    <v t="i">773</v>
    <v t="i">774</v>
    <v t="i">777</v>
    <v t="i">778</v>
    <v t="i">779</v>
    <v t="i">780</v>
    <v t="i">781</v>
    <v t="i">784</v>
    <v t="i">785</v>
    <v t="i">786</v>
    <v t="i">787</v>
    <v t="i">788</v>
    <v t="i">791</v>
    <v t="i">792</v>
    <v t="i">798</v>
    <v t="i">799</v>
    <v t="i">802</v>
    <v t="i">805</v>
    <v t="i">806</v>
    <v t="i">807</v>
    <v t="i">808</v>
    <v t="i">809</v>
    <v t="i">812</v>
    <v t="i">813</v>
    <v t="i">814</v>
    <v t="i">815</v>
    <v t="i">816</v>
    <v t="i">819</v>
    <v t="i">820</v>
    <v t="i">821</v>
    <v t="i">822</v>
    <v t="i">823</v>
    <v t="i">826</v>
    <v t="i">827</v>
    <v t="i">828</v>
    <v t="i">829</v>
    <v t="i">830</v>
    <v t="i">833</v>
    <v t="i">834</v>
    <v t="i">835</v>
    <v t="i">836</v>
    <v t="i">837</v>
    <v t="i">840</v>
    <v t="i">841</v>
    <v t="i">842</v>
    <v t="i">843</v>
    <v t="i">844</v>
    <v t="i">847</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897</v>
    <v t="i">898</v>
    <v t="i">899</v>
    <v t="i">900</v>
    <v t="i">903</v>
    <v t="i">904</v>
    <v t="i">905</v>
    <v t="i">906</v>
    <v t="i">907</v>
    <v t="i">910</v>
    <v t="i">911</v>
    <v t="i">912</v>
    <v t="i">913</v>
    <v t="i">914</v>
    <v t="i">917</v>
    <v t="i">918</v>
    <v t="i">919</v>
    <v t="i">920</v>
    <v t="i">924</v>
    <v t="i">925</v>
    <v t="i">926</v>
    <v t="i">927</v>
    <v t="i">928</v>
    <v t="i">931</v>
    <v t="i">932</v>
    <v t="i">933</v>
    <v t="i">934</v>
    <v t="i">935</v>
    <v t="i">938</v>
    <v t="i">939</v>
    <v t="i">940</v>
    <v t="i">941</v>
    <v t="i">942</v>
    <v t="i">945</v>
    <v t="i">946</v>
    <v t="i">947</v>
    <v t="i">948</v>
    <v t="i">949</v>
    <v t="i">952</v>
    <v t="i">953</v>
    <v t="i">954</v>
    <v t="i">955</v>
    <v t="i">956</v>
    <v t="i">959</v>
    <v t="i">960</v>
    <v t="i">961</v>
    <v t="i">962</v>
    <v t="i">963</v>
    <v t="i">966</v>
    <v t="i">967</v>
    <v t="i">968</v>
    <v t="i">969</v>
    <v t="i">970</v>
    <v t="i">973</v>
    <v t="i">974</v>
    <v t="i">975</v>
    <v t="i">976</v>
    <v t="i">977</v>
    <v t="i">980</v>
    <v t="i">981</v>
    <v t="i">982</v>
    <v t="i">983</v>
    <v t="i">984</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1050</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568">
    <v>5.2729999999999997</v>
    <v>5.2839999999999998</v>
    <v>5.35</v>
    <v>5.4139999999999997</v>
    <v>5.3390000000000004</v>
    <v>5.1660000000000004</v>
    <v>5.0810000000000004</v>
    <v>5.1619999999999999</v>
    <v>5.2409999999999997</v>
    <v>5.242</v>
    <v>5.26</v>
    <v>5.2649999999999997</v>
    <v>5.282</v>
    <v>5.3159999999999998</v>
    <v>5.391</v>
    <v>5.3840000000000003</v>
    <v>5.3209999999999997</v>
    <v>5.3280000000000003</v>
    <v>5.3449999999999998</v>
    <v>5.3579999999999997</v>
    <v>5.3380000000000001</v>
    <v>5.3419999999999996</v>
    <v>5.407</v>
    <v>5.468</v>
    <v>5.4539999999999997</v>
    <v>5.4329999999999998</v>
    <v>5.3520000000000003</v>
    <v>5.3520000000000003</v>
    <v>5.2939999999999996</v>
    <v>5.22</v>
    <v>5.3109999999999999</v>
    <v>5.3179999999999996</v>
    <v>5.2619999999999996</v>
    <v>5.3529999999999998</v>
    <v>5.3780000000000001</v>
    <v>5.3289999999999997</v>
    <v>5.3129999999999997</v>
    <v>5.31</v>
    <v>5.359</v>
    <v>5.3689999999999998</v>
    <v>5.4219999999999997</v>
    <v>5.4160000000000004</v>
    <v>5.4189999999999996</v>
    <v>5.4009999999999998</v>
    <v>5.391</v>
    <v>5.3840000000000003</v>
    <v>5.4909999999999997</v>
    <v>5.5170000000000003</v>
    <v>5.49</v>
    <v>5.5010000000000003</v>
    <v>5.5369999999999999</v>
    <v>5.5170000000000003</v>
    <v>5.5359999999999996</v>
    <v>5.5019999999999998</v>
    <v>5.5519999999999996</v>
    <v>5.6120000000000001</v>
    <v>5.625</v>
    <v>5.657</v>
    <v>5.75</v>
    <v>5.72</v>
    <v>5.7279999999999998</v>
    <v>5.6509999999999998</v>
    <v>5.6479999999999997</v>
    <v>5.6289999999999996</v>
    <v>5.5990000000000002</v>
    <v>5.5789999999999997</v>
    <v>5.5439999999999996</v>
    <v>5.5190000000000001</v>
    <v>5.42</v>
    <v>5.4550000000000001</v>
    <v>5.4249999999999998</v>
    <v>5.4550000000000001</v>
    <v>5.6609999999999996</v>
    <v>5.6630000000000003</v>
    <v>5.7619999999999996</v>
    <v>5.9039999999999999</v>
    <v>5.83</v>
    <v>5.86</v>
    <v>5.7309999999999999</v>
    <v>5.6470000000000002</v>
    <v>5.6509999999999998</v>
    <v>5.6619999999999999</v>
    <v>5.6710000000000003</v>
    <v>5.77</v>
    <v>5.8259999999999996</v>
    <v>5.734</v>
    <v>5.7830000000000004</v>
    <v>5.7370000000000001</v>
    <v>5.7750000000000004</v>
    <v>5.7949999999999999</v>
    <v>5.8220000000000001</v>
    <v>5.8159999999999998</v>
    <v>5.86</v>
    <v>5.77</v>
    <v>5.7320000000000002</v>
    <v>5.665</v>
    <v>5.694</v>
    <v>5.7210000000000001</v>
    <v>5.69</v>
    <v>5.6840000000000002</v>
    <v>5.7110000000000003</v>
    <v>5.6760000000000002</v>
    <v>5.6840000000000002</v>
    <v>5.6559999999999997</v>
    <v>5.67</v>
    <v>5.6529999999999996</v>
    <v>5.702</v>
    <v>5.6609999999999996</v>
    <v>5.742</v>
    <v>5.7489999999999997</v>
    <v>5.6580000000000004</v>
    <v>5.68</v>
    <v>5.7290000000000001</v>
    <v>5.7610000000000001</v>
    <v>5.7290000000000001</v>
    <v>5.7759999999999998</v>
    <v>5.782</v>
    <v>5.8209999999999997</v>
    <v>5.8879999999999999</v>
    <v>5.9489999999999998</v>
    <v>5.9340000000000002</v>
    <v>6.0339999999999998</v>
    <v>6.0350000000000001</v>
    <v>6.1340000000000003</v>
    <v>6.056</v>
    <v>5.9829999999999997</v>
    <v>6.0339999999999998</v>
    <v>5.992</v>
    <v>6.0540000000000003</v>
    <v>6.14</v>
    <v>6.1529999999999996</v>
    <v>6.077</v>
    <v>6.0739999999999998</v>
    <v>6.0830000000000002</v>
    <v>6.1120000000000001</v>
    <v>6.117</v>
    <v>6.1360000000000001</v>
    <v>6.1260000000000003</v>
    <v>6.0810000000000004</v>
    <v>6.0060000000000002</v>
    <v>6.1349999999999998</v>
    <v>6.1970000000000001</v>
    <v>6.1950000000000003</v>
    <v>6.0510000000000002</v>
    <v>6.0339999999999998</v>
    <v>6.03</v>
    <v>6.0259999999999998</v>
    <v>6.1280000000000001</v>
    <v>6.2430000000000003</v>
    <v>6.2370000000000001</v>
    <v>6.4039999999999999</v>
    <v>6.2</v>
    <v>6.2380000000000004</v>
    <v>6.19</v>
    <v>6.0620000000000003</v>
    <v>6.0410000000000004</v>
    <v>5.9749999999999996</v>
    <v>6.085</v>
    <v>6.1</v>
    <v>6.2149999999999999</v>
    <v>6.2569999999999997</v>
    <v>6.2759999999999998</v>
    <v>6.3710000000000004</v>
    <v>6.3209999999999997</v>
    <v>6.2720000000000002</v>
    <v>6.3689999999999998</v>
    <v>6.4119999999999999</v>
    <v>6.4260000000000002</v>
    <v>6.3819999999999997</v>
    <v>6.2370000000000001</v>
    <v>6.1859999999999999</v>
    <v>6.2880000000000003</v>
    <v>6.2290000000000001</v>
    <v>6.0010000000000003</v>
    <v>5.6109999999999998</v>
    <v>5.3579999999999997</v>
    <v>5.6749999999999998</v>
    <v>5.5</v>
    <v>5.774</v>
    <v>5.681</v>
    <v>5.8470000000000004</v>
    <v>5.9429999999999996</v>
    <v>5.9139999999999997</v>
    <v>5.8550000000000004</v>
    <v>5.69</v>
    <v>5.8570000000000002</v>
    <v>5.899</v>
    <v>5.976</v>
    <v>6.008</v>
    <v>6.0730000000000004</v>
    <v>6.1150000000000002</v>
    <v>6.298</v>
    <v>6.3760000000000003</v>
    <v>6.3209999999999997</v>
    <v>6.2939999999999996</v>
    <v>6.47</v>
    <v>6.4180000000000001</v>
    <v>6.4889999999999999</v>
    <v>6.5590000000000002</v>
    <v>6.5179999999999998</v>
    <v>6.6269999999999998</v>
    <v>6.6989999999999998</v>
    <v>6.734</v>
    <v>6.7720000000000002</v>
    <v>6.74</v>
    <v>6.6890000000000001</v>
    <v>6.665</v>
    <v>6.7460000000000004</v>
    <v>6.8289999999999997</v>
    <v>6.883</v>
    <v>6.8719999999999999</v>
    <v>6.8730000000000002</v>
    <v>6.8719999999999999</v>
    <v>6.96</v>
    <v>7.0060000000000002</v>
    <v>7.0049999999999999</v>
    <v>7.0030000000000001</v>
    <v>6.9960000000000004</v>
    <v>6.8689999999999998</v>
    <v>6.8540000000000001</v>
    <v>6.8159999999999998</v>
    <v>6.8540000000000001</v>
    <v>6.8579999999999997</v>
    <v>6.8609999999999998</v>
    <v>6.8739999999999997</v>
    <v>6.819</v>
    <v>6.9050000000000002</v>
    <v>6.9160000000000004</v>
    <v>6.8360000000000003</v>
    <v>6.875</v>
    <v>6.9859999999999998</v>
    <v>7.0279999999999996</v>
    <v>7.069</v>
    <v>6.9029999999999996</v>
    <v>6.8879999999999999</v>
    <v>6.976</v>
    <v>6.9580000000000002</v>
    <v>7.0570000000000004</v>
    <v>7.0279999999999996</v>
    <v>7.1260000000000003</v>
    <v>7.1020000000000003</v>
    <v>7.1529999999999996</v>
    <v>7.2469999999999999</v>
    <v>7.2679999999999998</v>
    <v>7.202</v>
    <v>7.3609999999999998</v>
    <v>7.3739999999999997</v>
    <v>7.3330000000000002</v>
    <v>7.15</v>
    <v>7.234</v>
    <v>7.27</v>
    <v>7.2670000000000003</v>
    <v>7.2779999999999996</v>
    <v>7.3730000000000002</v>
    <v>7.3879999999999999</v>
    <v>7.431</v>
    <v>7.2809999999999997</v>
    <v>7.3860000000000001</v>
    <v>7.3630000000000004</v>
    <v>7.4109999999999996</v>
    <v>7.2939999999999996</v>
    <v>7.306</v>
    <v>7.28</v>
    <v>7.3159999999999998</v>
    <v>7.2110000000000003</v>
    <v>7.3419999999999996</v>
    <v>7.3259999999999996</v>
    <v>7.2229999999999999</v>
    <v>7.181</v>
    <v>7.2779999999999996</v>
    <v>7.2750000000000004</v>
    <v>7.2830000000000004</v>
    <v>7.3449999999999998</v>
    <v>7.3890000000000002</v>
    <v>7.3659999999999997</v>
    <v>7.3339999999999996</v>
    <v>7.3879999999999999</v>
    <v>7.3280000000000003</v>
    <v>7.34</v>
    <v>7.3650000000000002</v>
    <v>7.2569999999999997</v>
    <v>7.36</v>
    <v>7.2729999999999997</v>
    <v>7.3739999999999997</v>
    <v>7.5140000000000002</v>
    <v>7.5060000000000002</v>
    <v>7.55</v>
    <v>7.5140000000000002</v>
    <v>7.4560000000000004</v>
    <v>7.516</v>
    <v>7.5620000000000003</v>
    <v>7.5970000000000004</v>
    <v>7.6319999999999997</v>
    <v>7.7089999999999996</v>
    <v>7.6639999999999997</v>
    <v>7.742</v>
    <v>7.766</v>
    <v>7.8010000000000002</v>
    <v>7.8479999999999999</v>
    <v>7.8730000000000002</v>
    <v>7.8949999999999996</v>
    <v>7.8959999999999999</v>
    <v>7.9189999999999996</v>
    <v>8.032</v>
    <v>7.9969999999999999</v>
    <v>7.8</v>
    <v>7.8019999999999996</v>
    <v>7.8070000000000004</v>
    <v>7.7240000000000002</v>
    <v>7.7210000000000001</v>
    <v>7.5469999999999997</v>
    <v>7.7290000000000001</v>
    <v>7.8780000000000001</v>
    <v>7.7779999999999996</v>
    <v>7.9189999999999996</v>
    <v>7.9390000000000001</v>
    <v>7.97</v>
    <v>8.0009999999999994</v>
    <v>7.9560000000000004</v>
    <v>7.96</v>
    <v>7.9269999999999996</v>
    <v>7.9589999999999996</v>
    <v>7.9009999999999998</v>
    <v>7.8259999999999996</v>
    <v>7.7329999999999997</v>
    <v>7.6189999999999998</v>
    <v>7.78</v>
    <v>7.7430000000000003</v>
    <v>7.7720000000000002</v>
    <v>7.665</v>
    <v>7.6379999999999999</v>
    <v>7.6289999999999996</v>
    <v>7.5529999999999999</v>
    <v>7.4950000000000001</v>
    <v>7.52</v>
    <v>7.3209999999999997</v>
    <v>7.3159999999999998</v>
    <v>7.3440000000000003</v>
    <v>7.4249999999999998</v>
    <v>7.431</v>
    <v>7.45</v>
    <v>7.2880000000000003</v>
    <v>7.3090000000000002</v>
    <v>7.3380000000000001</v>
    <v>7.4450000000000003</v>
    <v>7.3879999999999999</v>
    <v>7.476</v>
    <v>7.5369999999999999</v>
    <v>7.4489999999999998</v>
    <v>7.4619999999999997</v>
    <v>7.5439999999999996</v>
    <v>7.5869999999999997</v>
    <v>7.4660000000000002</v>
    <v>7.4539999999999997</v>
    <v>7.5730000000000004</v>
    <v>7.6980000000000004</v>
    <v>7.7809999999999997</v>
    <v>7.806</v>
    <v>7.7670000000000003</v>
    <v>7.8079999999999998</v>
    <v>7.91</v>
    <v>8.202</v>
    <v>8.3230000000000004</v>
    <v>8.48</v>
    <v>8.5020000000000007</v>
    <v>8.625</v>
    <v>8.6850000000000005</v>
    <v>8.8179999999999996</v>
    <v>8.7609999999999992</v>
    <v>8.8659999999999997</v>
    <v>8.9740000000000002</v>
    <v>8.9380000000000006</v>
    <v>8.8070000000000004</v>
    <v>8.7690000000000001</v>
    <v>8.6489999999999991</v>
    <v>8.6690000000000005</v>
    <v>8.5069999999999997</v>
    <v>8.5449999999999999</v>
    <v>8.4849999999999994</v>
    <v>8.4139999999999997</v>
    <v>8.3780000000000001</v>
    <v>8.3919999999999995</v>
    <v>8.4570000000000007</v>
    <v>8.2650000000000006</v>
    <v>8.2129999999999992</v>
    <v>8.3960000000000008</v>
    <v>8.4870000000000001</v>
    <v>8.3930000000000007</v>
    <v>8.36</v>
    <v>8.3870000000000005</v>
    <v>8.4990000000000006</v>
    <v>8.5530000000000008</v>
    <v>8.6159999999999997</v>
    <v>8.766</v>
    <v>8.8339999999999996</v>
    <v>8.8670000000000009</v>
    <v>8.7530000000000001</v>
    <v>8.7490000000000006</v>
    <v>8.7210000000000001</v>
    <v>8.7520000000000007</v>
    <v>8.7200000000000006</v>
    <v>8.9610000000000003</v>
    <v>8.8780000000000001</v>
    <v>8.93</v>
    <v>8.7200000000000006</v>
    <v>8.7829999999999995</v>
    <v>8.8059999999999992</v>
    <v>8.8369999999999997</v>
    <v>8.7569999999999997</v>
    <v>8.6679999999999993</v>
    <v>8.6069999999999993</v>
    <v>8.6379999999999999</v>
    <v>8.6319999999999997</v>
    <v>8.66</v>
    <v>8.4</v>
    <v>8.2270000000000003</v>
    <v>8.2590000000000003</v>
    <v>8.1259999999999994</v>
    <v>8.2940000000000005</v>
    <v>8.1349999999999998</v>
    <v>7.9649999999999999</v>
    <v>7.9480000000000004</v>
    <v>7.9859999999999998</v>
    <v>8.3320000000000007</v>
    <v>8.327</v>
    <v>8.2430000000000003</v>
    <v>8.5329999999999995</v>
    <v>8.5250000000000004</v>
    <v>8.4169999999999998</v>
    <v>8.4450000000000003</v>
    <v>8.5579999999999998</v>
    <v>8.4870000000000001</v>
    <v>8.375</v>
    <v>8.5269999999999992</v>
    <v>8.4169999999999998</v>
    <v>8.1199999999999992</v>
    <v>7.9960000000000004</v>
    <v>8.06</v>
    <v>7.835</v>
    <v>7.835</v>
    <v>7.8090000000000002</v>
    <v>7.77</v>
    <v>7.9130000000000003</v>
    <v>7.9210000000000003</v>
    <v>7.9640000000000004</v>
    <v>8.2029999999999994</v>
    <v>8.1419999999999995</v>
    <v>8.0310000000000006</v>
    <v>8.0619999999999994</v>
    <v>7.9420000000000002</v>
    <v>8.0250000000000004</v>
    <v>8.0150000000000006</v>
    <v>7.8369999999999997</v>
    <v>7.8380000000000001</v>
    <v>7.8810000000000002</v>
    <v>8.0640000000000001</v>
    <v>8.0109999999999992</v>
    <v>8.1340000000000003</v>
    <v>8.2430000000000003</v>
    <v>8.2560000000000002</v>
    <v>8.2650000000000006</v>
    <v>8.4629999999999992</v>
    <v>8.4459999999999997</v>
    <v>8.2100000000000009</v>
    <v>8.17</v>
    <v>8.1029999999999998</v>
    <v>8.1679999999999993</v>
    <v>8.2629999999999999</v>
    <v>8.1649999999999991</v>
    <v>8.109</v>
    <v>8.109</v>
    <v>8.2720000000000002</v>
    <v>8.359</v>
    <v>8.4260000000000002</v>
    <v>8.4789999999999992</v>
    <v>8.6069999999999993</v>
    <v>8.5489999999999995</v>
    <v>8.5470000000000006</v>
    <v>8.4600000000000009</v>
    <v>8.49</v>
    <v>8.4960000000000004</v>
    <v>8.4909999999999997</v>
    <v>8.4429999999999996</v>
    <v>8.4220000000000006</v>
    <v>8.5749999999999993</v>
    <v>8.75</v>
    <v>8.8789999999999996</v>
    <v>8.9109999999999996</v>
    <v>9.0229999999999997</v>
    <v>8.8309999999999995</v>
    <v>8.6199999999999992</v>
    <v>8.6120000000000001</v>
    <v>8.5470000000000006</v>
    <v>8.4860000000000007</v>
    <v>8.4849999999999994</v>
    <v>8.4450000000000003</v>
    <v>8.36</v>
    <v>8.3879999999999999</v>
    <v>8.32</v>
    <v>8.3520000000000003</v>
    <v>8.452</v>
    <v>8.5980000000000008</v>
    <v>8.7140000000000004</v>
    <v>8.7729999999999997</v>
    <v>8.83</v>
    <v>8.6850000000000005</v>
    <v>8.5429999999999993</v>
    <v>8.6359999999999992</v>
    <v>8.8230000000000004</v>
    <v>9.0299999999999994</v>
    <v>9.1029999999999998</v>
    <v>9.1039999999999992</v>
    <v>9.0609999999999999</v>
    <v>9.1880000000000006</v>
    <v>9.1289999999999996</v>
    <v>9.1609999999999996</v>
    <v>9.1</v>
    <v>9.1760000000000002</v>
    <v>9.1669999999999998</v>
    <v>9.11</v>
    <v>8.9450000000000003</v>
    <v>8.7509999999999994</v>
    <v>8.6349999999999998</v>
    <v>8.5150000000000006</v>
    <v>8.5540000000000003</v>
    <v>8.6080000000000005</v>
    <v>8.5779999999999994</v>
    <v>8.5540000000000003</v>
    <v>8.3699999999999992</v>
    <v>8.2810000000000006</v>
    <v>8.2349999999999994</v>
    <v>8.218</v>
    <v>8.23</v>
    <v>8.1999999999999993</v>
    <v>8.2319999999999993</v>
    <v>8.0579999999999998</v>
    <v>8.032</v>
    <v>8.0540000000000003</v>
    <v>8.0289999999999999</v>
    <v>7.9630000000000001</v>
    <v>8.1020000000000003</v>
    <v>8.0510000000000002</v>
    <v>7.99</v>
    <v>8.1359999999999992</v>
    <v>8.0540000000000003</v>
    <v>8.1379999999999999</v>
    <v>8.0289999999999999</v>
    <v>8.0289999999999999</v>
    <v>7.9610000000000003</v>
    <v>7.9379999999999997</v>
    <v>7.9130000000000003</v>
    <v>7.9109999999999996</v>
    <v>7.9450000000000003</v>
    <v>7.9960000000000004</v>
    <v>7.92</v>
    <v>7.77</v>
    <v>7.7080000000000002</v>
    <v>7.8250000000000002</v>
    <v>7.8730000000000002</v>
    <v>7.7050000000000001</v>
    <v>7.8319999999999999</v>
    <v>7.8540000000000001</v>
    <v>7.9859999999999998</v>
    <v>7.9480000000000004</v>
    <v>7.8579999999999997</v>
    <v>7.8979999999999997</v>
    <v>7.7789999999999999</v>
    <v>7.6529999999999996</v>
  </a>
  <a r="1" c="208">
    <v>7.91</v>
    <v>8.202</v>
    <v>8.3230000000000004</v>
    <v>8.48</v>
    <v>8.5020000000000007</v>
    <v>8.625</v>
    <v>8.6850000000000005</v>
    <v>8.8179999999999996</v>
    <v>8.7609999999999992</v>
    <v>8.8659999999999997</v>
    <v>8.9740000000000002</v>
    <v>8.9380000000000006</v>
    <v>8.8070000000000004</v>
    <v>8.7690000000000001</v>
    <v>8.6489999999999991</v>
    <v>8.6690000000000005</v>
    <v>8.5069999999999997</v>
    <v>8.5449999999999999</v>
    <v>8.4849999999999994</v>
    <v>8.4139999999999997</v>
    <v>8.3780000000000001</v>
    <v>8.3919999999999995</v>
    <v>8.4570000000000007</v>
    <v>8.2650000000000006</v>
    <v>8.2129999999999992</v>
    <v>8.3960000000000008</v>
    <v>8.4870000000000001</v>
    <v>8.3930000000000007</v>
    <v>8.36</v>
    <v>8.3870000000000005</v>
    <v>8.4990000000000006</v>
    <v>8.5530000000000008</v>
    <v>8.6159999999999997</v>
    <v>8.766</v>
    <v>8.8339999999999996</v>
    <v>8.8670000000000009</v>
    <v>8.7530000000000001</v>
    <v>8.7490000000000006</v>
    <v>8.7210000000000001</v>
    <v>8.7520000000000007</v>
    <v>8.7200000000000006</v>
    <v>8.9610000000000003</v>
    <v>8.8780000000000001</v>
    <v>8.93</v>
    <v>8.7200000000000006</v>
    <v>8.7829999999999995</v>
    <v>8.8059999999999992</v>
    <v>8.8369999999999997</v>
    <v>8.7569999999999997</v>
    <v>8.6679999999999993</v>
    <v>8.6069999999999993</v>
    <v>8.6379999999999999</v>
    <v>8.6319999999999997</v>
    <v>8.66</v>
    <v>8.4</v>
    <v>8.2270000000000003</v>
    <v>8.2590000000000003</v>
    <v>8.1259999999999994</v>
    <v>8.2940000000000005</v>
    <v>8.1349999999999998</v>
    <v>7.9649999999999999</v>
    <v>7.9480000000000004</v>
    <v>7.9859999999999998</v>
    <v>8.3320000000000007</v>
    <v>8.327</v>
    <v>8.2430000000000003</v>
    <v>8.5329999999999995</v>
    <v>8.5250000000000004</v>
    <v>8.4169999999999998</v>
    <v>8.4450000000000003</v>
    <v>8.5579999999999998</v>
    <v>8.4870000000000001</v>
    <v>8.375</v>
    <v>8.5269999999999992</v>
    <v>8.4169999999999998</v>
    <v>8.1199999999999992</v>
    <v>7.9960000000000004</v>
    <v>8.06</v>
    <v>7.835</v>
    <v>7.835</v>
    <v>7.8090000000000002</v>
    <v>7.77</v>
    <v>7.9130000000000003</v>
    <v>7.9210000000000003</v>
    <v>7.9640000000000004</v>
    <v>8.2029999999999994</v>
    <v>8.1419999999999995</v>
    <v>8.0310000000000006</v>
    <v>8.0619999999999994</v>
    <v>7.9420000000000002</v>
    <v>8.0250000000000004</v>
    <v>8.0150000000000006</v>
    <v>7.8369999999999997</v>
    <v>7.8380000000000001</v>
    <v>7.8810000000000002</v>
    <v>8.0640000000000001</v>
    <v>8.0109999999999992</v>
    <v>8.1340000000000003</v>
    <v>8.2430000000000003</v>
    <v>8.2560000000000002</v>
    <v>8.2650000000000006</v>
    <v>8.4629999999999992</v>
    <v>8.4459999999999997</v>
    <v>8.2100000000000009</v>
    <v>8.17</v>
    <v>8.1029999999999998</v>
    <v>8.1679999999999993</v>
    <v>8.2629999999999999</v>
    <v>8.1649999999999991</v>
    <v>8.109</v>
    <v>8.109</v>
    <v>8.2720000000000002</v>
    <v>8.359</v>
    <v>8.4260000000000002</v>
    <v>8.4789999999999992</v>
    <v>8.6069999999999993</v>
    <v>8.5489999999999995</v>
    <v>8.5470000000000006</v>
    <v>8.4600000000000009</v>
    <v>8.49</v>
    <v>8.4960000000000004</v>
    <v>8.4909999999999997</v>
    <v>8.4429999999999996</v>
    <v>8.4220000000000006</v>
    <v>8.5749999999999993</v>
    <v>8.75</v>
    <v>8.8789999999999996</v>
    <v>8.9109999999999996</v>
    <v>9.0229999999999997</v>
    <v>8.8309999999999995</v>
    <v>8.6199999999999992</v>
    <v>8.6120000000000001</v>
    <v>8.5470000000000006</v>
    <v>8.4860000000000007</v>
    <v>8.4849999999999994</v>
    <v>8.4450000000000003</v>
    <v>8.36</v>
    <v>8.3879999999999999</v>
    <v>8.32</v>
    <v>8.3520000000000003</v>
    <v>8.452</v>
    <v>8.5980000000000008</v>
    <v>8.7140000000000004</v>
    <v>8.7729999999999997</v>
    <v>8.83</v>
    <v>8.6850000000000005</v>
    <v>8.5429999999999993</v>
    <v>8.6359999999999992</v>
    <v>8.8230000000000004</v>
    <v>9.0299999999999994</v>
    <v>9.1029999999999998</v>
    <v>9.1039999999999992</v>
    <v>9.0609999999999999</v>
    <v>9.1880000000000006</v>
    <v>9.1289999999999996</v>
    <v>9.1609999999999996</v>
    <v>9.1</v>
    <v>9.1760000000000002</v>
    <v>9.1669999999999998</v>
    <v>9.11</v>
    <v>8.9450000000000003</v>
    <v>8.7509999999999994</v>
    <v>8.6349999999999998</v>
    <v>8.5150000000000006</v>
    <v>8.5540000000000003</v>
    <v>8.6080000000000005</v>
    <v>8.5779999999999994</v>
    <v>8.5540000000000003</v>
    <v>8.3699999999999992</v>
    <v>8.2810000000000006</v>
    <v>8.2349999999999994</v>
    <v>8.218</v>
    <v>8.23</v>
    <v>8.1999999999999993</v>
    <v>8.2319999999999993</v>
    <v>8.0579999999999998</v>
    <v>8.032</v>
    <v>8.0540000000000003</v>
    <v>8.0289999999999999</v>
    <v>7.9630000000000001</v>
    <v>8.1020000000000003</v>
    <v>8.0510000000000002</v>
    <v>7.99</v>
    <v>8.1359999999999992</v>
    <v>8.0540000000000003</v>
    <v>8.1379999999999999</v>
    <v>8.0289999999999999</v>
    <v>8.0289999999999999</v>
    <v>7.9610000000000003</v>
    <v>7.9379999999999997</v>
    <v>7.9130000000000003</v>
    <v>7.9109999999999996</v>
    <v>7.9450000000000003</v>
    <v>7.9960000000000004</v>
    <v>7.92</v>
    <v>7.77</v>
    <v>7.7080000000000002</v>
    <v>7.8250000000000002</v>
    <v>7.8730000000000002</v>
    <v>7.7050000000000001</v>
    <v>7.8319999999999999</v>
    <v>7.8540000000000001</v>
    <v>7.9859999999999998</v>
    <v>7.9480000000000004</v>
    <v>7.8579999999999997</v>
    <v>7.8979999999999997</v>
    <v>7.7789999999999999</v>
    <v>7.6529999999999996</v>
  </a>
  <a r="1" c="254">
    <v>7.9189999999999996</v>
    <v>7.9390000000000001</v>
    <v>7.97</v>
    <v>8.0009999999999994</v>
    <v>7.9560000000000004</v>
    <v>7.96</v>
    <v>7.9269999999999996</v>
    <v>7.9589999999999996</v>
    <v>7.9009999999999998</v>
    <v>7.8259999999999996</v>
    <v>7.7329999999999997</v>
    <v>7.6189999999999998</v>
    <v>7.78</v>
    <v>7.7430000000000003</v>
    <v>7.7720000000000002</v>
    <v>7.665</v>
    <v>7.6379999999999999</v>
    <v>7.6289999999999996</v>
    <v>7.5529999999999999</v>
    <v>7.4950000000000001</v>
    <v>7.52</v>
    <v>7.3209999999999997</v>
    <v>7.3159999999999998</v>
    <v>7.3440000000000003</v>
    <v>7.4249999999999998</v>
    <v>7.431</v>
    <v>7.45</v>
    <v>7.2880000000000003</v>
    <v>7.3090000000000002</v>
    <v>7.3380000000000001</v>
    <v>7.4450000000000003</v>
    <v>7.3879999999999999</v>
    <v>7.476</v>
    <v>7.5369999999999999</v>
    <v>7.4489999999999998</v>
    <v>7.4619999999999997</v>
    <v>7.5439999999999996</v>
    <v>7.5869999999999997</v>
    <v>7.4660000000000002</v>
    <v>7.4539999999999997</v>
    <v>7.5730000000000004</v>
    <v>7.6980000000000004</v>
    <v>7.7809999999999997</v>
    <v>7.806</v>
    <v>7.7670000000000003</v>
    <v>7.8079999999999998</v>
    <v>7.91</v>
    <v>8.202</v>
    <v>8.3230000000000004</v>
    <v>8.48</v>
    <v>8.5020000000000007</v>
    <v>8.625</v>
    <v>8.6850000000000005</v>
    <v>8.8179999999999996</v>
    <v>8.7609999999999992</v>
    <v>8.8659999999999997</v>
    <v>8.9740000000000002</v>
    <v>8.9380000000000006</v>
    <v>8.8070000000000004</v>
    <v>8.7690000000000001</v>
    <v>8.6489999999999991</v>
    <v>8.6690000000000005</v>
    <v>8.5069999999999997</v>
    <v>8.5449999999999999</v>
    <v>8.4849999999999994</v>
    <v>8.4139999999999997</v>
    <v>8.3780000000000001</v>
    <v>8.3919999999999995</v>
    <v>8.4570000000000007</v>
    <v>8.2650000000000006</v>
    <v>8.2129999999999992</v>
    <v>8.3960000000000008</v>
    <v>8.4870000000000001</v>
    <v>8.3930000000000007</v>
    <v>8.36</v>
    <v>8.3870000000000005</v>
    <v>8.4990000000000006</v>
    <v>8.5530000000000008</v>
    <v>8.6159999999999997</v>
    <v>8.766</v>
    <v>8.8339999999999996</v>
    <v>8.8670000000000009</v>
    <v>8.7530000000000001</v>
    <v>8.7490000000000006</v>
    <v>8.7210000000000001</v>
    <v>8.7520000000000007</v>
    <v>8.7200000000000006</v>
    <v>8.9610000000000003</v>
    <v>8.8780000000000001</v>
    <v>8.93</v>
    <v>8.7200000000000006</v>
    <v>8.7829999999999995</v>
    <v>8.8059999999999992</v>
    <v>8.8369999999999997</v>
    <v>8.7569999999999997</v>
    <v>8.6679999999999993</v>
    <v>8.6069999999999993</v>
    <v>8.6379999999999999</v>
    <v>8.6319999999999997</v>
    <v>8.66</v>
    <v>8.4</v>
    <v>8.2270000000000003</v>
    <v>8.2590000000000003</v>
    <v>8.1259999999999994</v>
    <v>8.2940000000000005</v>
    <v>8.1349999999999998</v>
    <v>7.9649999999999999</v>
    <v>7.9480000000000004</v>
    <v>7.9859999999999998</v>
    <v>8.3320000000000007</v>
    <v>8.327</v>
    <v>8.2430000000000003</v>
    <v>8.5329999999999995</v>
    <v>8.5250000000000004</v>
    <v>8.4169999999999998</v>
    <v>8.4450000000000003</v>
    <v>8.5579999999999998</v>
    <v>8.4870000000000001</v>
    <v>8.375</v>
    <v>8.5269999999999992</v>
    <v>8.4169999999999998</v>
    <v>8.1199999999999992</v>
    <v>7.9960000000000004</v>
    <v>8.06</v>
    <v>7.835</v>
    <v>7.835</v>
    <v>7.8090000000000002</v>
    <v>7.77</v>
    <v>7.9130000000000003</v>
    <v>7.9210000000000003</v>
    <v>7.9640000000000004</v>
    <v>8.2029999999999994</v>
    <v>8.1419999999999995</v>
    <v>8.0310000000000006</v>
    <v>8.0619999999999994</v>
    <v>7.9420000000000002</v>
    <v>8.0250000000000004</v>
    <v>8.0150000000000006</v>
    <v>7.8369999999999997</v>
    <v>7.8380000000000001</v>
    <v>7.8810000000000002</v>
    <v>8.0640000000000001</v>
    <v>8.0109999999999992</v>
    <v>8.1340000000000003</v>
    <v>8.2430000000000003</v>
    <v>8.2560000000000002</v>
    <v>8.2650000000000006</v>
    <v>8.4629999999999992</v>
    <v>8.4459999999999997</v>
    <v>8.2100000000000009</v>
    <v>8.17</v>
    <v>8.1029999999999998</v>
    <v>8.1679999999999993</v>
    <v>8.2629999999999999</v>
    <v>8.1649999999999991</v>
    <v>8.109</v>
    <v>8.109</v>
    <v>8.2720000000000002</v>
    <v>8.359</v>
    <v>8.4260000000000002</v>
    <v>8.4789999999999992</v>
    <v>8.6069999999999993</v>
    <v>8.5489999999999995</v>
    <v>8.5470000000000006</v>
    <v>8.4600000000000009</v>
    <v>8.49</v>
    <v>8.4960000000000004</v>
    <v>8.4909999999999997</v>
    <v>8.4429999999999996</v>
    <v>8.4220000000000006</v>
    <v>8.5749999999999993</v>
    <v>8.75</v>
    <v>8.8789999999999996</v>
    <v>8.9109999999999996</v>
    <v>9.0229999999999997</v>
    <v>8.8309999999999995</v>
    <v>8.6199999999999992</v>
    <v>8.6120000000000001</v>
    <v>8.5470000000000006</v>
    <v>8.4860000000000007</v>
    <v>8.4849999999999994</v>
    <v>8.4450000000000003</v>
    <v>8.36</v>
    <v>8.3879999999999999</v>
    <v>8.32</v>
    <v>8.3520000000000003</v>
    <v>8.452</v>
    <v>8.5980000000000008</v>
    <v>8.7140000000000004</v>
    <v>8.7729999999999997</v>
    <v>8.83</v>
    <v>8.6850000000000005</v>
    <v>8.5429999999999993</v>
    <v>8.6359999999999992</v>
    <v>8.8230000000000004</v>
    <v>9.0299999999999994</v>
    <v>9.1029999999999998</v>
    <v>9.1039999999999992</v>
    <v>9.0609999999999999</v>
    <v>9.1880000000000006</v>
    <v>9.1289999999999996</v>
    <v>9.1609999999999996</v>
    <v>9.1</v>
    <v>9.1760000000000002</v>
    <v>9.1669999999999998</v>
    <v>9.11</v>
    <v>8.9450000000000003</v>
    <v>8.7509999999999994</v>
    <v>8.6349999999999998</v>
    <v>8.5150000000000006</v>
    <v>8.5540000000000003</v>
    <v>8.6080000000000005</v>
    <v>8.5779999999999994</v>
    <v>8.5540000000000003</v>
    <v>8.3699999999999992</v>
    <v>8.2810000000000006</v>
    <v>8.2349999999999994</v>
    <v>8.218</v>
    <v>8.23</v>
    <v>8.1999999999999993</v>
    <v>8.2319999999999993</v>
    <v>8.0579999999999998</v>
    <v>8.032</v>
    <v>8.0540000000000003</v>
    <v>8.0289999999999999</v>
    <v>7.9630000000000001</v>
    <v>8.1020000000000003</v>
    <v>8.0510000000000002</v>
    <v>7.99</v>
    <v>8.1359999999999992</v>
    <v>8.0540000000000003</v>
    <v>8.1379999999999999</v>
    <v>8.0289999999999999</v>
    <v>8.0289999999999999</v>
    <v>7.9610000000000003</v>
    <v>7.9379999999999997</v>
    <v>7.9130000000000003</v>
    <v>7.9109999999999996</v>
    <v>7.9450000000000003</v>
    <v>7.9960000000000004</v>
    <v>7.92</v>
    <v>7.77</v>
    <v>7.7080000000000002</v>
    <v>7.8250000000000002</v>
    <v>7.8730000000000002</v>
    <v>7.7050000000000001</v>
    <v>7.8319999999999999</v>
    <v>7.8540000000000001</v>
    <v>7.9859999999999998</v>
    <v>7.9480000000000004</v>
    <v>7.8579999999999997</v>
    <v>7.8979999999999997</v>
    <v>7.7789999999999999</v>
    <v>7.6529999999999996</v>
  </a>
  <a r="1" c="208">
    <v>62.14</v>
    <v>62.24</v>
    <v>62.3</v>
    <v>62.61</v>
    <v>62.97</v>
    <v>63.14</v>
    <v>63.06</v>
    <v>62.86</v>
    <v>63.02</v>
    <v>63.5</v>
    <v>63.23</v>
    <v>62.85</v>
    <v>62.3</v>
    <v>62.32</v>
    <v>62.45</v>
    <v>62.39</v>
    <v>62.33</v>
    <v>61.84</v>
    <v>62</v>
    <v>61.74</v>
    <v>61.95</v>
    <v>62.93</v>
    <v>62.82</v>
    <v>63.35</v>
    <v>63.7</v>
    <v>63.56</v>
    <v>63.43</v>
    <v>63.52</v>
    <v>63.72</v>
    <v>63.95</v>
    <v>63.92</v>
    <v>64.290000000000006</v>
    <v>64.040000000000006</v>
    <v>63.97</v>
    <v>64.27</v>
    <v>64.28</v>
    <v>64.38</v>
    <v>64.489999999999995</v>
    <v>64.45</v>
    <v>64.7</v>
    <v>65.13</v>
    <v>65.58</v>
    <v>65.19</v>
    <v>65.42</v>
    <v>65.180000000000007</v>
    <v>64.959999999999994</v>
    <v>65.010000000000005</v>
    <v>65</v>
    <v>64.58</v>
    <v>64.959999999999994</v>
    <v>65.28</v>
    <v>65.25</v>
    <v>65.25</v>
    <v>64.56</v>
    <v>63.84</v>
    <v>63.22</v>
    <v>63.1</v>
    <v>63.21</v>
    <v>63.29</v>
    <v>63.4</v>
    <v>63.02</v>
    <v>63.78</v>
    <v>63.45</v>
    <v>63.53</v>
    <v>64.010000000000005</v>
    <v>63.64</v>
    <v>63.69</v>
    <v>63.64</v>
    <v>62.92</v>
    <v>62.72</v>
    <v>62.7</v>
    <v>62.7</v>
    <v>63.11</v>
    <v>63.25</v>
    <v>63.43</v>
    <v>63.04</v>
    <v>62.88</v>
    <v>63.05</v>
    <v>62.64</v>
    <v>62.56</v>
    <v>62.69</v>
    <v>62.47</v>
    <v>62.79</v>
    <v>62.89</v>
    <v>62.74</v>
    <v>62.59</v>
    <v>62.4</v>
    <v>62.27</v>
    <v>62.06</v>
    <v>62.46</v>
    <v>62.34</v>
    <v>63.28</v>
    <v>63.37</v>
    <v>63.65</v>
    <v>64.52</v>
    <v>64.22</v>
    <v>64.180000000000007</v>
    <v>64.459999999999994</v>
    <v>64.680000000000007</v>
    <v>64.040000000000006</v>
    <v>63.91</v>
    <v>63.68</v>
    <v>63.51</v>
    <v>63.77</v>
    <v>63.61</v>
    <v>63.75</v>
    <v>63.7</v>
    <v>64.510000000000005</v>
    <v>63.99</v>
    <v>63.71</v>
    <v>64.180000000000007</v>
    <v>64.31</v>
    <v>64.290000000000006</v>
    <v>64.11</v>
    <v>63.98</v>
    <v>63.85</v>
    <v>63.44</v>
    <v>63.52</v>
    <v>63.57</v>
    <v>64.06</v>
    <v>64.7</v>
    <v>64.540000000000006</v>
    <v>64.849999999999994</v>
    <v>64.7</v>
    <v>64.73</v>
    <v>65.2</v>
    <v>65.569999999999993</v>
    <v>65.63</v>
    <v>65.63</v>
    <v>66.209999999999994</v>
    <v>65.930000000000007</v>
    <v>65.64</v>
    <v>65.67</v>
    <v>66.099999999999994</v>
    <v>65.7</v>
    <v>65.260000000000005</v>
    <v>65.55</v>
    <v>65.989999999999995</v>
    <v>65.709999999999994</v>
    <v>65.48</v>
    <v>65.62</v>
    <v>65.59</v>
    <v>66.209999999999994</v>
    <v>66.8</v>
    <v>67.72</v>
    <v>67.849999999999994</v>
    <v>66.22</v>
    <v>66.3</v>
    <v>66.540000000000006</v>
    <v>66.66</v>
    <v>66.739999999999995</v>
    <v>67.099999999999994</v>
    <v>67.53</v>
    <v>67.650000000000006</v>
    <v>67.63</v>
    <v>67.53</v>
    <v>67.650000000000006</v>
    <v>67.52</v>
    <v>67.16</v>
    <v>67.28</v>
    <v>67.28</v>
    <v>67.069999999999993</v>
    <v>67.23</v>
    <v>67.319999999999993</v>
    <v>67.41</v>
    <v>67.44</v>
    <v>67.45</v>
    <v>67.75</v>
    <v>67.44</v>
    <v>67.569999999999993</v>
    <v>67.55</v>
    <v>67.819999999999993</v>
    <v>67.430000000000007</v>
    <v>67.069999999999993</v>
    <v>66.8</v>
    <v>66.33</v>
    <v>66.25</v>
    <v>66.62</v>
    <v>67.37</v>
    <v>67.08</v>
    <v>67.11</v>
    <v>67.22</v>
    <v>66.84</v>
    <v>67.040000000000006</v>
    <v>67.069999999999993</v>
    <v>67.12</v>
    <v>66.98</v>
    <v>66.83</v>
    <v>66.73</v>
    <v>66.58</v>
    <v>66.73</v>
    <v>67.099999999999994</v>
    <v>67.209999999999994</v>
    <v>67.739999999999995</v>
    <v>67.92</v>
    <v>68.260000000000005</v>
    <v>68.03</v>
    <v>68.540000000000006</v>
    <v>69</v>
    <v>68.94</v>
    <v>69.459999999999994</v>
    <v>69.92</v>
    <v>69.89</v>
    <v>69.900000000000006</v>
    <v>70.33</v>
    <v>70.540000000000006</v>
    <v>71.31</v>
    <v>71.319999999999993</v>
  </a>
  <a r="1" c="761">
    <v>51.83</v>
    <v>52.13</v>
    <v>52.34</v>
    <v>52.31</v>
    <v>51.65</v>
    <v>51.62</v>
    <v>52.05</v>
    <v>52.52</v>
    <v>52.84</v>
    <v>52.94</v>
    <v>52.79</v>
    <v>52.9</v>
    <v>52.61</v>
    <v>52.68</v>
    <v>52.64</v>
    <v>52.83</v>
    <v>52.77</v>
    <v>52.63</v>
    <v>52.49</v>
    <v>52.53</v>
    <v>52.37</v>
    <v>52.58</v>
    <v>53.19</v>
    <v>53.05</v>
    <v>52.99</v>
    <v>52.97</v>
    <v>52.76</v>
    <v>52.72</v>
    <v>53.24</v>
    <v>53.77</v>
    <v>54.03</v>
    <v>54.21</v>
    <v>54.19</v>
    <v>54.45</v>
    <v>54.33</v>
    <v>54.69</v>
    <v>54.7</v>
    <v>54.89</v>
    <v>53.93</v>
    <v>53.89</v>
    <v>53.96</v>
    <v>53.78</v>
    <v>53.75</v>
    <v>53.48</v>
    <v>53.82</v>
    <v>53.48</v>
    <v>53.81</v>
    <v>53.92</v>
    <v>54.66</v>
    <v>54.97</v>
    <v>54.94</v>
    <v>54.71</v>
    <v>54.61</v>
    <v>54.98</v>
    <v>54.9</v>
    <v>54.8</v>
    <v>55.24</v>
    <v>55.42</v>
    <v>55.55</v>
    <v>55.58</v>
    <v>55.34</v>
    <v>55.53</v>
    <v>55.72</v>
    <v>55.9</v>
    <v>55.88</v>
    <v>55.94</v>
    <v>56.08</v>
    <v>56.35</v>
    <v>56.32</v>
    <v>56.54</v>
    <v>56.36</v>
    <v>56.59</v>
    <v>56.59</v>
    <v>56.55</v>
    <v>56.63</v>
    <v>56.2</v>
    <v>56.08</v>
    <v>56.32</v>
    <v>56.26</v>
    <v>56.27</v>
    <v>56.5</v>
    <v>56.67</v>
    <v>56.63</v>
    <v>56.64</v>
    <v>56.52</v>
    <v>56.83</v>
    <v>57.25</v>
    <v>57.01</v>
    <v>56.81</v>
    <v>56.89</v>
    <v>56.99</v>
    <v>56.85</v>
    <v>56.62</v>
    <v>56.74</v>
    <v>56.94</v>
    <v>56.96</v>
    <v>57.05</v>
    <v>56.98</v>
    <v>57.26</v>
    <v>57.24</v>
    <v>57.2</v>
    <v>57.14</v>
    <v>57.48</v>
    <v>57.57</v>
    <v>57.69</v>
    <v>57.9</v>
    <v>58.02</v>
    <v>57.74</v>
    <v>57.85</v>
    <v>58.09</v>
    <v>58.43</v>
    <v>58.04</v>
    <v>57.68</v>
    <v>57.57</v>
    <v>57.26</v>
    <v>57.19</v>
    <v>56.96</v>
    <v>57.2</v>
    <v>57</v>
    <v>57.36</v>
    <v>57.3</v>
    <v>56.77</v>
    <v>56.59</v>
    <v>56.75</v>
    <v>56.99</v>
    <v>57.44</v>
    <v>57.62</v>
    <v>57.45</v>
    <v>57</v>
    <v>57.17</v>
    <v>57.2</v>
    <v>56.96</v>
    <v>56.99</v>
    <v>56.87</v>
    <v>57.09</v>
    <v>57.4</v>
    <v>57.62</v>
    <v>57.59</v>
    <v>57.9</v>
    <v>57.94</v>
    <v>57.6</v>
    <v>57.72</v>
    <v>57.9</v>
    <v>57.85</v>
    <v>58.09</v>
    <v>57.88</v>
    <v>57.99</v>
    <v>57.68</v>
    <v>57.4</v>
    <v>57.41</v>
    <v>56.94</v>
    <v>56.6</v>
    <v>56.68</v>
    <v>56.93</v>
    <v>57.26</v>
    <v>57.32</v>
    <v>57.58</v>
    <v>57.68</v>
    <v>58.07</v>
    <v>58</v>
    <v>57.92</v>
    <v>57.47</v>
    <v>57.45</v>
    <v>57.77</v>
    <v>57.78</v>
    <v>58.03</v>
    <v>57.94</v>
    <v>58.33</v>
    <v>58.49</v>
    <v>58.89</v>
    <v>58.83</v>
    <v>58.53</v>
    <v>58.49</v>
    <v>58.57</v>
    <v>58.34</v>
    <v>58.21</v>
    <v>57.97</v>
    <v>58.09</v>
    <v>57.82</v>
    <v>57.99</v>
    <v>58.09</v>
    <v>58.29</v>
    <v>58.62</v>
    <v>58.87</v>
    <v>58.79</v>
    <v>59.15</v>
    <v>59.38</v>
    <v>59.71</v>
    <v>59.12</v>
    <v>59.3</v>
    <v>59.41</v>
    <v>59.14</v>
    <v>59.58</v>
    <v>59.83</v>
    <v>60.03</v>
    <v>60.28</v>
    <v>60.61</v>
    <v>60.41</v>
    <v>59.22</v>
    <v>58.47</v>
    <v>58.81</v>
    <v>59.53</v>
    <v>59.53</v>
    <v>59.53</v>
    <v>59.54</v>
    <v>59.78</v>
    <v>59.9</v>
    <v>60.53</v>
    <v>60.64</v>
    <v>60.54</v>
    <v>60.69</v>
    <v>60.89</v>
    <v>60.81</v>
    <v>61.08</v>
    <v>61.11</v>
    <v>61.56</v>
    <v>61.97</v>
    <v>61.9</v>
    <v>62.22</v>
    <v>62.38</v>
    <v>62.07</v>
    <v>61.65</v>
    <v>61.23</v>
    <v>61.9</v>
    <v>61.99</v>
    <v>61.35</v>
    <v>61.8</v>
    <v>62.14</v>
    <v>62.17</v>
    <v>62.15</v>
    <v>61.75</v>
    <v>61.6</v>
    <v>61.5</v>
    <v>61.96</v>
    <v>61.75</v>
    <v>61.58</v>
    <v>61.62</v>
    <v>61.89</v>
    <v>61.71</v>
    <v>62.17</v>
    <v>62.02</v>
    <v>61.91</v>
    <v>62.06</v>
    <v>61.92</v>
    <v>62.02</v>
    <v>62.48</v>
    <v>62.66</v>
    <v>62.75</v>
    <v>63.23</v>
    <v>63.57</v>
    <v>63.62</v>
    <v>64.02</v>
    <v>63.87</v>
    <v>63.59</v>
    <v>63.39</v>
    <v>63.29</v>
    <v>63.32</v>
    <v>63.06</v>
    <v>62.99</v>
    <v>63.01</v>
    <v>62.39</v>
    <v>62.06</v>
    <v>62.3</v>
    <v>61.78</v>
    <v>61.99</v>
    <v>63.54</v>
    <v>63.55</v>
    <v>64.33</v>
    <v>64.87</v>
    <v>64.540000000000006</v>
    <v>64.75</v>
    <v>64.56</v>
    <v>63.91</v>
    <v>64.08</v>
    <v>63.86</v>
    <v>64.099999999999994</v>
    <v>65.010000000000005</v>
    <v>65.98</v>
    <v>65.64</v>
    <v>65.84</v>
    <v>65.87</v>
    <v>65.97</v>
    <v>66.09</v>
    <v>66.3</v>
    <v>66.209999999999994</v>
    <v>66.010000000000005</v>
    <v>65.75</v>
    <v>65.63</v>
    <v>65.22</v>
    <v>65.27</v>
    <v>65.16</v>
    <v>65.09</v>
    <v>64.87</v>
    <v>64.650000000000006</v>
    <v>64.17</v>
    <v>64.2</v>
    <v>63.74</v>
    <v>63.85</v>
    <v>63.51</v>
    <v>63.94</v>
    <v>63.65</v>
    <v>64.63</v>
    <v>64.41</v>
    <v>63.77</v>
    <v>63.87</v>
    <v>64.040000000000006</v>
    <v>64.09</v>
    <v>63.83</v>
    <v>63.97</v>
    <v>63.81</v>
    <v>64.319999999999993</v>
    <v>64.510000000000005</v>
    <v>64.94</v>
    <v>64.319999999999993</v>
    <v>64.63</v>
    <v>64.5</v>
    <v>64.510000000000005</v>
    <v>64.19</v>
    <v>64.8</v>
    <v>65.36</v>
    <v>65.760000000000005</v>
    <v>66.13</v>
    <v>66.319999999999993</v>
    <v>66.75</v>
    <v>66.459999999999994</v>
    <v>66.489999999999995</v>
    <v>67</v>
    <v>66.959999999999994</v>
    <v>67.239999999999995</v>
    <v>67.12</v>
    <v>66.930000000000007</v>
    <v>67.010000000000005</v>
    <v>66.599999999999994</v>
    <v>66.7</v>
    <v>66.739999999999995</v>
    <v>67.040000000000006</v>
    <v>66.709999999999994</v>
    <v>67.040000000000006</v>
    <v>67.17</v>
    <v>67.37</v>
    <v>67.33</v>
    <v>67.900000000000006</v>
    <v>67.709999999999994</v>
    <v>68.23</v>
    <v>67.489999999999995</v>
    <v>65.73</v>
    <v>65.59</v>
    <v>65.599999999999994</v>
    <v>66.09</v>
    <v>64.41</v>
    <v>64.209999999999994</v>
    <v>64.37</v>
    <v>64.489999999999995</v>
    <v>65.06</v>
    <v>64.94</v>
    <v>65.27</v>
    <v>65.319999999999993</v>
    <v>65.36</v>
    <v>65.64</v>
    <v>65.53</v>
    <v>65.739999999999995</v>
    <v>66.09</v>
    <v>65.72</v>
    <v>65.92</v>
    <v>66.38</v>
    <v>66.010000000000005</v>
    <v>64.8</v>
    <v>63.09</v>
    <v>60.76</v>
    <v>62.05</v>
    <v>59.46</v>
    <v>61.16</v>
    <v>60.56</v>
    <v>62.12</v>
    <v>62.69</v>
    <v>62.58</v>
    <v>62.12</v>
    <v>61.65</v>
    <v>62.5</v>
    <v>62.45</v>
    <v>61.86</v>
    <v>62.4</v>
    <v>62.62</v>
    <v>63.3</v>
    <v>63.68</v>
    <v>63.93</v>
    <v>63.9</v>
    <v>63.98</v>
    <v>64.11</v>
    <v>63.9</v>
    <v>64.349999999999994</v>
    <v>63.9</v>
    <v>63.14</v>
    <v>64.069999999999993</v>
    <v>64.77</v>
    <v>64.680000000000007</v>
    <v>64.849999999999994</v>
    <v>64.290000000000006</v>
    <v>63.98</v>
    <v>63.69</v>
    <v>64.03</v>
    <v>64.25</v>
    <v>64.12</v>
    <v>63.6</v>
    <v>64.02</v>
    <v>63.71</v>
    <v>63.96</v>
    <v>63.9</v>
    <v>63.56</v>
    <v>63.88</v>
    <v>63.5</v>
    <v>63.45</v>
    <v>63.12</v>
    <v>62.83</v>
    <v>62.97</v>
    <v>62.68</v>
    <v>62.53</v>
    <v>62.45</v>
    <v>62.34</v>
    <v>62.41</v>
    <v>62.34</v>
    <v>62.38</v>
    <v>61.95</v>
    <v>61.64</v>
    <v>62.02</v>
    <v>62.06</v>
    <v>62.4</v>
    <v>61.81</v>
    <v>62.21</v>
    <v>62.02</v>
    <v>62.27</v>
    <v>62.13</v>
    <v>62.05</v>
    <v>62.28</v>
    <v>61.67</v>
    <v>61.92</v>
    <v>61.79</v>
    <v>61.48</v>
    <v>62.18</v>
    <v>62.01</v>
    <v>61.83</v>
    <v>61.83</v>
    <v>62.08</v>
    <v>62.15</v>
    <v>62.15</v>
    <v>62.37</v>
    <v>62.81</v>
    <v>62.96</v>
    <v>62.85</v>
    <v>62.14</v>
    <v>62.51</v>
    <v>62.5</v>
    <v>62.33</v>
    <v>62.05</v>
    <v>62.18</v>
    <v>62.49</v>
    <v>62.16</v>
    <v>62.32</v>
    <v>62.55</v>
    <v>62.75</v>
    <v>63.08</v>
    <v>63.53</v>
    <v>63.65</v>
    <v>63.33</v>
    <v>62.86</v>
    <v>62.67</v>
    <v>63.08</v>
    <v>62.65</v>
    <v>62.57</v>
    <v>62.9</v>
    <v>62.75</v>
    <v>62.6</v>
    <v>63.04</v>
    <v>62.54</v>
    <v>62.43</v>
    <v>62.6</v>
    <v>62.38</v>
    <v>62.93</v>
    <v>62.81</v>
    <v>62.36</v>
    <v>61.67</v>
    <v>61.89</v>
    <v>62.08</v>
    <v>62.06</v>
    <v>61.83</v>
    <v>61.81</v>
    <v>62.16</v>
    <v>62.12</v>
    <v>62.33</v>
    <v>62.33</v>
    <v>62.48</v>
    <v>62.75</v>
    <v>62.6</v>
    <v>62.85</v>
    <v>62.77</v>
    <v>63.02</v>
    <v>63.3</v>
    <v>63.43</v>
    <v>62.85</v>
    <v>62.9</v>
    <v>62.94</v>
    <v>63.22</v>
    <v>62.59</v>
    <v>62.53</v>
    <v>62.94</v>
    <v>63.3</v>
    <v>63.51</v>
    <v>63.07</v>
    <v>63.04</v>
    <v>62.91</v>
    <v>62.83</v>
    <v>61.99</v>
    <v>62.44</v>
    <v>62.22</v>
    <v>61.86</v>
    <v>62.12</v>
    <v>62.4</v>
    <v>61.91</v>
    <v>62.04</v>
    <v>62.19</v>
    <v>62.76</v>
    <v>63.12</v>
    <v>63.07</v>
    <v>62.99</v>
    <v>63.02</v>
    <v>62.71</v>
    <v>62.53</v>
    <v>62.66</v>
    <v>63.18</v>
    <v>63.13</v>
    <v>63.3</v>
    <v>63.48</v>
    <v>63.39</v>
    <v>63.54</v>
    <v>63.16</v>
    <v>62.79</v>
    <v>62.57</v>
    <v>62.6</v>
    <v>62.65</v>
    <v>62.36</v>
    <v>62.26</v>
    <v>62.06</v>
    <v>62.09</v>
    <v>62.12</v>
    <v>62.24</v>
    <v>61.96</v>
    <v>62.1</v>
    <v>62.44</v>
    <v>62.47</v>
    <v>62.27</v>
    <v>62.34</v>
    <v>62.65</v>
    <v>62.65</v>
    <v>62.14</v>
    <v>62.24</v>
    <v>62.3</v>
    <v>62.61</v>
    <v>62.97</v>
    <v>63.14</v>
    <v>63.06</v>
    <v>62.86</v>
    <v>63.02</v>
    <v>63.5</v>
    <v>63.23</v>
    <v>62.85</v>
    <v>62.3</v>
    <v>62.32</v>
    <v>62.45</v>
    <v>62.39</v>
    <v>62.33</v>
    <v>61.84</v>
    <v>62</v>
    <v>61.74</v>
    <v>61.95</v>
    <v>62.93</v>
    <v>62.82</v>
    <v>63.35</v>
    <v>63.7</v>
    <v>63.56</v>
    <v>63.43</v>
    <v>63.52</v>
    <v>63.72</v>
    <v>63.95</v>
    <v>63.92</v>
    <v>64.290000000000006</v>
    <v>64.040000000000006</v>
    <v>63.97</v>
    <v>64.27</v>
    <v>64.28</v>
    <v>64.38</v>
    <v>64.489999999999995</v>
    <v>64.45</v>
    <v>64.7</v>
    <v>65.13</v>
    <v>65.58</v>
    <v>65.19</v>
    <v>65.42</v>
    <v>65.180000000000007</v>
    <v>64.959999999999994</v>
    <v>65.010000000000005</v>
    <v>65</v>
    <v>64.58</v>
    <v>64.959999999999994</v>
    <v>65.28</v>
    <v>65.25</v>
    <v>65.25</v>
    <v>64.56</v>
    <v>63.84</v>
    <v>63.22</v>
    <v>63.1</v>
    <v>63.21</v>
    <v>63.29</v>
    <v>63.4</v>
    <v>63.02</v>
    <v>63.78</v>
    <v>63.45</v>
    <v>63.53</v>
    <v>64.010000000000005</v>
    <v>63.64</v>
    <v>63.69</v>
    <v>63.64</v>
    <v>62.92</v>
    <v>62.72</v>
    <v>62.7</v>
    <v>62.7</v>
    <v>63.11</v>
    <v>63.25</v>
    <v>63.43</v>
    <v>63.04</v>
    <v>62.88</v>
    <v>63.05</v>
    <v>62.64</v>
    <v>62.56</v>
    <v>62.69</v>
    <v>62.47</v>
    <v>62.79</v>
    <v>62.89</v>
    <v>62.74</v>
    <v>62.59</v>
    <v>62.4</v>
    <v>62.27</v>
    <v>62.06</v>
    <v>62.46</v>
    <v>62.34</v>
    <v>63.28</v>
    <v>63.37</v>
    <v>63.65</v>
    <v>64.52</v>
    <v>64.22</v>
    <v>64.180000000000007</v>
    <v>64.459999999999994</v>
    <v>64.680000000000007</v>
    <v>64.040000000000006</v>
    <v>63.91</v>
    <v>63.68</v>
    <v>63.51</v>
    <v>63.77</v>
    <v>63.61</v>
    <v>63.75</v>
    <v>63.7</v>
    <v>64.510000000000005</v>
    <v>63.99</v>
    <v>63.71</v>
    <v>64.180000000000007</v>
    <v>64.31</v>
    <v>64.290000000000006</v>
    <v>64.11</v>
    <v>63.98</v>
    <v>63.85</v>
    <v>63.44</v>
    <v>63.52</v>
    <v>63.57</v>
    <v>64.06</v>
    <v>64.7</v>
    <v>64.540000000000006</v>
    <v>64.849999999999994</v>
    <v>64.7</v>
    <v>64.73</v>
    <v>65.2</v>
    <v>65.569999999999993</v>
    <v>65.63</v>
    <v>65.63</v>
    <v>66.209999999999994</v>
    <v>65.930000000000007</v>
    <v>65.64</v>
    <v>65.67</v>
    <v>66.099999999999994</v>
    <v>65.7</v>
    <v>65.260000000000005</v>
    <v>65.55</v>
    <v>65.989999999999995</v>
    <v>65.709999999999994</v>
    <v>65.48</v>
    <v>65.62</v>
    <v>65.59</v>
    <v>66.209999999999994</v>
    <v>66.8</v>
    <v>67.72</v>
    <v>67.849999999999994</v>
    <v>66.22</v>
    <v>66.3</v>
    <v>66.540000000000006</v>
    <v>66.66</v>
    <v>66.739999999999995</v>
    <v>67.099999999999994</v>
    <v>67.53</v>
    <v>67.650000000000006</v>
    <v>67.63</v>
    <v>67.53</v>
    <v>67.650000000000006</v>
    <v>67.52</v>
    <v>67.16</v>
    <v>67.28</v>
    <v>67.28</v>
    <v>67.069999999999993</v>
    <v>67.23</v>
    <v>67.319999999999993</v>
    <v>67.41</v>
    <v>67.44</v>
    <v>67.45</v>
    <v>67.75</v>
    <v>67.44</v>
    <v>67.569999999999993</v>
    <v>67.55</v>
    <v>67.819999999999993</v>
    <v>67.430000000000007</v>
    <v>67.069999999999993</v>
    <v>66.8</v>
    <v>66.33</v>
    <v>66.25</v>
    <v>66.62</v>
    <v>67.37</v>
    <v>67.08</v>
    <v>67.11</v>
    <v>67.22</v>
    <v>66.84</v>
    <v>67.040000000000006</v>
    <v>67.069999999999993</v>
    <v>67.12</v>
    <v>66.98</v>
    <v>66.83</v>
    <v>66.73</v>
    <v>66.58</v>
    <v>66.73</v>
    <v>67.099999999999994</v>
    <v>67.209999999999994</v>
    <v>67.739999999999995</v>
    <v>67.92</v>
    <v>68.260000000000005</v>
    <v>68.03</v>
    <v>68.540000000000006</v>
    <v>69</v>
    <v>68.94</v>
    <v>69.459999999999994</v>
    <v>69.92</v>
    <v>69.89</v>
    <v>69.900000000000006</v>
    <v>70.33</v>
    <v>70.540000000000006</v>
    <v>71.31</v>
    <v>71.319999999999993</v>
  </a>
  <a r="1" c="254">
    <v>63.07</v>
    <v>63.04</v>
    <v>62.91</v>
    <v>62.83</v>
    <v>61.99</v>
    <v>62.44</v>
    <v>62.22</v>
    <v>61.86</v>
    <v>62.12</v>
    <v>62.4</v>
    <v>61.91</v>
    <v>62.04</v>
    <v>62.19</v>
    <v>62.76</v>
    <v>63.12</v>
    <v>63.07</v>
    <v>62.99</v>
    <v>63.02</v>
    <v>62.71</v>
    <v>62.53</v>
    <v>62.66</v>
    <v>63.18</v>
    <v>63.13</v>
    <v>63.3</v>
    <v>63.48</v>
    <v>63.39</v>
    <v>63.54</v>
    <v>63.16</v>
    <v>62.79</v>
    <v>62.57</v>
    <v>62.6</v>
    <v>62.65</v>
    <v>62.36</v>
    <v>62.26</v>
    <v>62.06</v>
    <v>62.09</v>
    <v>62.12</v>
    <v>62.24</v>
    <v>61.96</v>
    <v>62.1</v>
    <v>62.44</v>
    <v>62.47</v>
    <v>62.27</v>
    <v>62.34</v>
    <v>62.65</v>
    <v>62.65</v>
    <v>62.14</v>
    <v>62.24</v>
    <v>62.3</v>
    <v>62.61</v>
    <v>62.97</v>
    <v>63.14</v>
    <v>63.06</v>
    <v>62.86</v>
    <v>63.02</v>
    <v>63.5</v>
    <v>63.23</v>
    <v>62.85</v>
    <v>62.3</v>
    <v>62.32</v>
    <v>62.45</v>
    <v>62.39</v>
    <v>62.33</v>
    <v>61.84</v>
    <v>62</v>
    <v>61.74</v>
    <v>61.95</v>
    <v>62.93</v>
    <v>62.82</v>
    <v>63.35</v>
    <v>63.7</v>
    <v>63.56</v>
    <v>63.43</v>
    <v>63.52</v>
    <v>63.72</v>
    <v>63.95</v>
    <v>63.92</v>
    <v>64.290000000000006</v>
    <v>64.040000000000006</v>
    <v>63.97</v>
    <v>64.27</v>
    <v>64.28</v>
    <v>64.38</v>
    <v>64.489999999999995</v>
    <v>64.45</v>
    <v>64.7</v>
    <v>65.13</v>
    <v>65.58</v>
    <v>65.19</v>
    <v>65.42</v>
    <v>65.180000000000007</v>
    <v>64.959999999999994</v>
    <v>65.010000000000005</v>
    <v>65</v>
    <v>64.58</v>
    <v>64.959999999999994</v>
    <v>65.28</v>
    <v>65.25</v>
    <v>65.25</v>
    <v>64.56</v>
    <v>63.84</v>
    <v>63.22</v>
    <v>63.1</v>
    <v>63.21</v>
    <v>63.29</v>
    <v>63.4</v>
    <v>63.02</v>
    <v>63.78</v>
    <v>63.45</v>
    <v>63.53</v>
    <v>64.010000000000005</v>
    <v>63.64</v>
    <v>63.69</v>
    <v>63.64</v>
    <v>62.92</v>
    <v>62.72</v>
    <v>62.7</v>
    <v>62.7</v>
    <v>63.11</v>
    <v>63.25</v>
    <v>63.43</v>
    <v>63.04</v>
    <v>62.88</v>
    <v>63.05</v>
    <v>62.64</v>
    <v>62.56</v>
    <v>62.69</v>
    <v>62.47</v>
    <v>62.79</v>
    <v>62.89</v>
    <v>62.74</v>
    <v>62.59</v>
    <v>62.4</v>
    <v>62.27</v>
    <v>62.06</v>
    <v>62.46</v>
    <v>62.34</v>
    <v>63.28</v>
    <v>63.37</v>
    <v>63.65</v>
    <v>64.52</v>
    <v>64.22</v>
    <v>64.180000000000007</v>
    <v>64.459999999999994</v>
    <v>64.680000000000007</v>
    <v>64.040000000000006</v>
    <v>63.91</v>
    <v>63.68</v>
    <v>63.51</v>
    <v>63.77</v>
    <v>63.61</v>
    <v>63.75</v>
    <v>63.7</v>
    <v>64.510000000000005</v>
    <v>63.99</v>
    <v>63.71</v>
    <v>64.180000000000007</v>
    <v>64.31</v>
    <v>64.290000000000006</v>
    <v>64.11</v>
    <v>63.98</v>
    <v>63.85</v>
    <v>63.44</v>
    <v>63.52</v>
    <v>63.57</v>
    <v>64.06</v>
    <v>64.7</v>
    <v>64.540000000000006</v>
    <v>64.849999999999994</v>
    <v>64.7</v>
    <v>64.73</v>
    <v>65.2</v>
    <v>65.569999999999993</v>
    <v>65.63</v>
    <v>65.63</v>
    <v>66.209999999999994</v>
    <v>65.930000000000007</v>
    <v>65.64</v>
    <v>65.67</v>
    <v>66.099999999999994</v>
    <v>65.7</v>
    <v>65.260000000000005</v>
    <v>65.55</v>
    <v>65.989999999999995</v>
    <v>65.709999999999994</v>
    <v>65.48</v>
    <v>65.62</v>
    <v>65.59</v>
    <v>66.209999999999994</v>
    <v>66.8</v>
    <v>67.72</v>
    <v>67.849999999999994</v>
    <v>66.22</v>
    <v>66.3</v>
    <v>66.540000000000006</v>
    <v>66.66</v>
    <v>66.739999999999995</v>
    <v>67.099999999999994</v>
    <v>67.53</v>
    <v>67.650000000000006</v>
    <v>67.63</v>
    <v>67.53</v>
    <v>67.650000000000006</v>
    <v>67.52</v>
    <v>67.16</v>
    <v>67.28</v>
    <v>67.28</v>
    <v>67.069999999999993</v>
    <v>67.23</v>
    <v>67.319999999999993</v>
    <v>67.41</v>
    <v>67.44</v>
    <v>67.45</v>
    <v>67.75</v>
    <v>67.44</v>
    <v>67.569999999999993</v>
    <v>67.55</v>
    <v>67.819999999999993</v>
    <v>67.430000000000007</v>
    <v>67.069999999999993</v>
    <v>66.8</v>
    <v>66.33</v>
    <v>66.25</v>
    <v>66.62</v>
    <v>67.37</v>
    <v>67.08</v>
    <v>67.11</v>
    <v>67.22</v>
    <v>66.84</v>
    <v>67.040000000000006</v>
    <v>67.069999999999993</v>
    <v>67.12</v>
    <v>66.98</v>
    <v>66.83</v>
    <v>66.73</v>
    <v>66.58</v>
    <v>66.73</v>
    <v>67.099999999999994</v>
    <v>67.209999999999994</v>
    <v>67.739999999999995</v>
    <v>67.92</v>
    <v>68.260000000000005</v>
    <v>68.03</v>
    <v>68.540000000000006</v>
    <v>69</v>
    <v>68.94</v>
    <v>69.459999999999994</v>
    <v>69.92</v>
    <v>69.89</v>
    <v>69.900000000000006</v>
    <v>70.33</v>
    <v>70.540000000000006</v>
    <v>71.31</v>
    <v>71.319999999999993</v>
  </a>
  <a r="1" c="209">
    <v>82.72</v>
    <v>82.32</v>
    <v>81.19</v>
    <v>82.29</v>
    <v>82.75</v>
    <v>82.89</v>
    <v>84.44</v>
    <v>82.41</v>
    <v>80.5</v>
    <v>82.55</v>
    <v>81.63</v>
    <v>80.78</v>
    <v>78.989999999999995</v>
    <v>78.03</v>
    <v>78.400000000000006</v>
    <v>79.760000000000005</v>
    <v>79.31</v>
    <v>79.88</v>
    <v>79.75</v>
    <v>77.540000000000006</v>
    <v>77.08</v>
    <v>79.2</v>
    <v>80.45</v>
    <v>81.08</v>
    <v>81.84</v>
    <v>81.09</v>
    <v>80.36</v>
    <v>80.290000000000006</v>
    <v>82.2</v>
    <v>82.56</v>
    <v>79.099999999999994</v>
    <v>77.62</v>
    <v>77.37</v>
    <v>78.13</v>
    <v>77.72</v>
    <v>79</v>
    <v>79.58</v>
    <v>80.760000000000005</v>
    <v>80.61</v>
    <v>80.790000000000006</v>
    <v>80.88</v>
    <v>82.2</v>
    <v>81.45</v>
    <v>79.86</v>
    <v>79.23</v>
    <v>77.73</v>
    <v>76.39</v>
    <v>75.81</v>
    <v>76.31</v>
    <v>76.25</v>
    <v>76.52</v>
    <v>76.39</v>
    <v>76.510000000000005</v>
    <v>76.89</v>
    <v>76.12</v>
    <v>78.150000000000006</v>
    <v>77.790000000000006</v>
    <v>76.83</v>
    <v>77.77</v>
    <v>80.06</v>
    <v>81.150000000000006</v>
    <v>81.99</v>
    <v>81.900000000000006</v>
    <v>82.72</v>
    <v>82.87</v>
    <v>82.58</v>
    <v>80.510000000000005</v>
    <v>80.87</v>
    <v>80.92</v>
    <v>80.19</v>
    <v>79.41</v>
    <v>81.02</v>
    <v>81.11</v>
    <v>80.849999999999994</v>
    <v>82.02</v>
    <v>82.03</v>
    <v>81.02</v>
    <v>80.78</v>
    <v>81.760000000000005</v>
    <v>80.08</v>
    <v>78.900000000000006</v>
    <v>78.89</v>
    <v>78.319999999999993</v>
    <v>79.819999999999993</v>
    <v>77.81</v>
    <v>74.16</v>
    <v>74.64</v>
    <v>73.739999999999995</v>
    <v>73.099999999999994</v>
    <v>73.22</v>
    <v>73.36</v>
    <v>72.72</v>
    <v>73.239999999999995</v>
    <v>73.959999999999994</v>
    <v>74.34</v>
    <v>75.2</v>
    <v>76.67</v>
    <v>77.540000000000006</v>
    <v>76.88</v>
    <v>77.459999999999994</v>
    <v>76.319999999999993</v>
    <v>77.14</v>
    <v>76.36</v>
    <v>75.290000000000006</v>
    <v>74.16</v>
    <v>73.42</v>
    <v>73.52</v>
    <v>76.44</v>
    <v>77.95</v>
    <v>76.67</v>
    <v>77.040000000000006</v>
    <v>76.010000000000005</v>
    <v>76.3</v>
    <v>76.59</v>
    <v>75.540000000000006</v>
    <v>75.66</v>
    <v>74.88</v>
    <v>73.34</v>
    <v>74.14</v>
    <v>72.489999999999995</v>
    <v>73.47</v>
    <v>73.55</v>
    <v>73.760000000000005</v>
    <v>75.069999999999993</v>
    <v>75.5</v>
    <v>75.08</v>
    <v>73.05</v>
    <v>75.25</v>
    <v>75.81</v>
    <v>74.510000000000005</v>
    <v>75.78</v>
    <v>75.37</v>
    <v>76.48</v>
    <v>76.23</v>
    <v>77.099999999999994</v>
    <v>75.5</v>
    <v>76.260000000000005</v>
    <v>76.94</v>
    <v>77.34</v>
    <v>76.91</v>
    <v>76.75</v>
    <v>76.84</v>
    <v>76.36</v>
    <v>76.03</v>
    <v>77.790000000000006</v>
    <v>79.38</v>
    <v>79.92</v>
    <v>72.77</v>
    <v>74.47</v>
    <v>74.5</v>
    <v>74.39</v>
    <v>74.5</v>
    <v>74.31</v>
    <v>75.31</v>
    <v>75.53</v>
    <v>75.400000000000006</v>
    <v>75.42</v>
    <v>76.430000000000007</v>
    <v>75.52</v>
    <v>76.66</v>
    <v>77.67</v>
    <v>78.56</v>
    <v>77.790000000000006</v>
    <v>78.94</v>
    <v>78.28</v>
    <v>78.739999999999995</v>
    <v>78.290000000000006</v>
    <v>77.28</v>
    <v>77.25</v>
    <v>76.81</v>
    <v>76.86</v>
    <v>77.16</v>
    <v>76.27</v>
    <v>76.260000000000005</v>
    <v>75.69</v>
    <v>74.7</v>
    <v>74.239999999999995</v>
    <v>73.569999999999993</v>
    <v>73.260000000000005</v>
    <v>75.430000000000007</v>
    <v>74.209999999999994</v>
    <v>74.349999999999994</v>
    <v>75.260000000000005</v>
    <v>74.05</v>
    <v>74.59</v>
    <v>74.39</v>
    <v>73.11</v>
    <v>72.099999999999994</v>
    <v>71.790000000000006</v>
    <v>72</v>
    <v>71.47</v>
    <v>72.64</v>
    <v>73.099999999999994</v>
    <v>70.81</v>
    <v>69.989999999999995</v>
    <v>70.61</v>
    <v>71.81</v>
    <v>70.930000000000007</v>
    <v>71.52</v>
    <v>71.599999999999994</v>
    <v>70.739999999999995</v>
    <v>71.819999999999993</v>
    <v>72.16</v>
    <v>71.94</v>
    <v>71.010000000000005</v>
    <v>73.58</v>
    <v>73.569999999999993</v>
    <v>74.95</v>
    <v>74.12</v>
  </a>
  <a r="1" c="767">
    <v>98.31</v>
    <v>98.94</v>
    <v>101.02</v>
    <v>100.46</v>
    <v>81.44</v>
    <v>84.14</v>
    <v>85.7</v>
    <v>86.85</v>
    <v>87.2</v>
    <v>85.35</v>
    <v>84.94</v>
    <v>84.42</v>
    <v>86.13</v>
    <v>86.08</v>
    <v>85.14</v>
    <v>85.29</v>
    <v>84.59</v>
    <v>83.65</v>
    <v>84.82</v>
    <v>85.89</v>
    <v>85.42</v>
    <v>85.34</v>
    <v>84.92</v>
    <v>86.24</v>
    <v>86.38</v>
    <v>86.63</v>
    <v>85.76</v>
    <v>84.87</v>
    <v>85.46</v>
    <v>85.78</v>
    <v>86.59</v>
    <v>86.4</v>
    <v>86.13</v>
    <v>85.1</v>
    <v>86.13</v>
    <v>87.8</v>
    <v>87.87</v>
    <v>88.54</v>
    <v>88.02</v>
    <v>87.7</v>
    <v>88.61</v>
    <v>88.93</v>
    <v>89.17</v>
    <v>88.96</v>
    <v>89.34</v>
    <v>89.17</v>
    <v>89.26</v>
    <v>89.76</v>
    <v>90.89</v>
    <v>91.98</v>
    <v>92.83</v>
    <v>93.48</v>
    <v>94.13</v>
    <v>95.19</v>
    <v>94.85</v>
    <v>95.1</v>
    <v>95.65</v>
    <v>94.36</v>
    <v>95.21</v>
    <v>95.38</v>
    <v>94.69</v>
    <v>94.04</v>
    <v>94.2</v>
    <v>92.56</v>
    <v>92.55</v>
    <v>91.68</v>
    <v>92.08</v>
    <v>92.67</v>
    <v>92.45</v>
    <v>93.36</v>
    <v>89.53</v>
    <v>87.57</v>
    <v>87.4</v>
    <v>87.23</v>
    <v>87.39</v>
    <v>85.79</v>
    <v>86.5</v>
    <v>86.07</v>
    <v>85.69</v>
    <v>85.73</v>
    <v>86.51</v>
    <v>86.46</v>
    <v>86.22</v>
    <v>87.13</v>
    <v>87.37</v>
    <v>88.74</v>
    <v>89.71</v>
    <v>89.28</v>
    <v>88.83</v>
    <v>88.84</v>
    <v>87.89</v>
    <v>87.31</v>
    <v>86.82</v>
    <v>87.6</v>
    <v>87.12</v>
    <v>88</v>
    <v>87.69</v>
    <v>88.32</v>
    <v>88.34</v>
    <v>88.49</v>
    <v>88.21</v>
    <v>88.2</v>
    <v>88</v>
    <v>87.2</v>
    <v>87.64</v>
    <v>87.71</v>
    <v>88.65</v>
    <v>89.65</v>
    <v>91.3</v>
    <v>91.76</v>
    <v>90.96</v>
    <v>88.53</v>
    <v>88.98</v>
    <v>88.72</v>
    <v>87.34</v>
    <v>87</v>
    <v>87.22</v>
    <v>88.12</v>
    <v>86.67</v>
    <v>86.47</v>
    <v>87.45</v>
    <v>86.79</v>
    <v>86.18</v>
    <v>85.23</v>
    <v>86.89</v>
    <v>88.17</v>
    <v>88.85</v>
    <v>87.7</v>
    <v>91.62</v>
    <v>91.23</v>
    <v>91.84</v>
    <v>93.08</v>
    <v>91.9</v>
    <v>91.3</v>
    <v>91.02</v>
    <v>91.88</v>
    <v>93.08</v>
    <v>93.18</v>
    <v>94.33</v>
    <v>92.71</v>
    <v>91.69</v>
    <v>90.56</v>
    <v>90.24</v>
    <v>89.17</v>
    <v>89.16</v>
    <v>90</v>
    <v>90.8</v>
    <v>90.16</v>
    <v>89.52</v>
    <v>89.86</v>
    <v>88.58</v>
    <v>87.71</v>
    <v>88.57</v>
    <v>89.76</v>
    <v>90.11</v>
    <v>90.27</v>
    <v>90.69</v>
    <v>91.01</v>
    <v>91.13</v>
    <v>90.27</v>
    <v>89.89</v>
    <v>89.3</v>
    <v>87.93</v>
    <v>86.43</v>
    <v>87.67</v>
    <v>88.51</v>
    <v>86.82</v>
    <v>88.11</v>
    <v>87.62</v>
    <v>90.36</v>
    <v>90.87</v>
    <v>90.79</v>
    <v>89.86</v>
    <v>89.94</v>
    <v>91.85</v>
    <v>90.44</v>
    <v>90.23</v>
    <v>91</v>
    <v>90.94</v>
    <v>92.1</v>
    <v>92.03</v>
    <v>93.55</v>
    <v>93.81</v>
    <v>94.4</v>
    <v>92.43</v>
    <v>91.92</v>
    <v>92.02</v>
    <v>92.26</v>
    <v>92.36</v>
    <v>93.5</v>
    <v>92.79</v>
    <v>93.57</v>
    <v>97.49</v>
    <v>96.82</v>
    <v>95.78</v>
    <v>95.39</v>
    <v>95.33</v>
    <v>95.03</v>
    <v>96.15</v>
    <v>94.25</v>
    <v>93.37</v>
    <v>95.25</v>
    <v>95.63</v>
    <v>96.25</v>
    <v>95.67</v>
    <v>97.1</v>
    <v>97.59</v>
    <v>97.95</v>
    <v>98.57</v>
    <v>98.34</v>
    <v>98.51</v>
    <v>98.92</v>
    <v>99.01</v>
    <v>100.34</v>
    <v>100.82</v>
    <v>100.72</v>
    <v>100.98</v>
    <v>101.44</v>
    <v>101.2</v>
    <v>104.86</v>
    <v>104.02</v>
    <v>105.56</v>
    <v>104.92</v>
    <v>104.54</v>
    <v>105.76</v>
    <v>105.58</v>
    <v>104.56</v>
    <v>102.8</v>
    <v>103.4</v>
    <v>103.32</v>
    <v>102.9</v>
    <v>102.96</v>
    <v>104.12</v>
    <v>103.54</v>
    <v>103.14</v>
    <v>103.68</v>
    <v>102.44</v>
    <v>102.32</v>
    <v>102.98</v>
    <v>102.9</v>
    <v>103.92</v>
    <v>102.18</v>
    <v>100.22</v>
    <v>101.72</v>
    <v>100.86</v>
    <v>100.32</v>
    <v>101.16</v>
    <v>100.6</v>
    <v>100.14</v>
    <v>101.58</v>
    <v>100.66</v>
    <v>100.38</v>
    <v>101.02</v>
    <v>100.82</v>
    <v>99.83</v>
    <v>98.34</v>
    <v>98.61</v>
    <v>97.6</v>
    <v>100.08</v>
    <v>100.78</v>
    <v>100.04</v>
    <v>98.71</v>
    <v>97.11</v>
    <v>98.7</v>
    <v>97.7</v>
    <v>96.52</v>
    <v>95.63</v>
    <v>95.73</v>
    <v>95.74</v>
    <v>95.71</v>
    <v>94.73</v>
    <v>94.04</v>
    <v>94.4</v>
    <v>91.31</v>
    <v>91.47</v>
    <v>91.21</v>
    <v>90.8</v>
    <v>90.87</v>
    <v>93.17</v>
    <v>92.79</v>
    <v>91.72</v>
    <v>92.31</v>
    <v>92.1</v>
    <v>92.09</v>
    <v>91.82</v>
    <v>91.67</v>
    <v>91.35</v>
    <v>91.8</v>
    <v>92.18</v>
    <v>91.82</v>
    <v>91.75</v>
    <v>91.29</v>
    <v>90.69</v>
    <v>89.17</v>
    <v>88.82</v>
    <v>91.74</v>
    <v>91.8</v>
    <v>91.5</v>
    <v>91.28</v>
    <v>91.78</v>
    <v>91.75</v>
    <v>93.28</v>
    <v>93.14</v>
    <v>93.74</v>
    <v>94.32</v>
    <v>92.87</v>
    <v>94.66</v>
    <v>95.85</v>
    <v>95.67</v>
    <v>96.3</v>
    <v>95.61</v>
    <v>94.97</v>
    <v>93.24</v>
    <v>95.82</v>
    <v>97.88</v>
    <v>98.19</v>
    <v>98.85</v>
    <v>99.02</v>
    <v>98.85</v>
    <v>99.89</v>
    <v>100.16</v>
    <v>101.34</v>
    <v>101.72</v>
    <v>101.86</v>
    <v>103.62</v>
    <v>104.4</v>
    <v>104.46</v>
    <v>102.68</v>
    <v>103.6</v>
    <v>103.72</v>
    <v>103.36</v>
    <v>103.8</v>
    <v>103.64</v>
    <v>104.5</v>
    <v>105.36</v>
    <v>103.7</v>
    <v>104.04</v>
    <v>103.68</v>
    <v>103.08</v>
    <v>103.58</v>
    <v>104.12</v>
    <v>103.38</v>
    <v>104.1</v>
    <v>104.7</v>
    <v>104.84</v>
    <v>104.36</v>
    <v>107.68</v>
    <v>109.3</v>
    <v>108.8</v>
    <v>109.62</v>
    <v>109.62</v>
    <v>109.48</v>
    <v>107.44</v>
    <v>105.94</v>
    <v>106.22</v>
    <v>106.22</v>
    <v>107.52</v>
    <v>107.64</v>
    <v>107.98</v>
    <v>106.2</v>
    <v>105.84</v>
    <v>103.88</v>
    <v>103.72</v>
    <v>101.46</v>
    <v>101.86</v>
    <v>103.4</v>
    <v>101.92</v>
    <v>102.02</v>
    <v>100.4</v>
    <v>99.72</v>
    <v>96</v>
    <v>91.41</v>
    <v>93.18</v>
    <v>86.76</v>
    <v>89.05</v>
    <v>89.62</v>
    <v>91.88</v>
    <v>91.62</v>
    <v>90.39</v>
    <v>90.71</v>
    <v>91.16</v>
    <v>93.24</v>
    <v>93.35</v>
    <v>92.36</v>
    <v>93.1</v>
    <v>94.23</v>
    <v>95.9</v>
    <v>97.92</v>
    <v>96</v>
    <v>95.8</v>
    <v>91.67</v>
    <v>91.76</v>
    <v>92.92</v>
    <v>91.14</v>
    <v>89.71</v>
    <v>88.84</v>
    <v>89.87</v>
    <v>91.79</v>
    <v>92.26</v>
    <v>93.52</v>
    <v>93.75</v>
    <v>93.41</v>
    <v>92.14</v>
    <v>92.79</v>
    <v>92.8</v>
    <v>92.62</v>
    <v>91.97</v>
    <v>87.52</v>
    <v>85.91</v>
    <v>86.77</v>
    <v>87.12</v>
    <v>87.49</v>
    <v>88.41</v>
    <v>87.47</v>
    <v>87.59</v>
    <v>86.71</v>
    <v>87.68</v>
    <v>86.8</v>
    <v>85.88</v>
    <v>84.85</v>
    <v>82.81</v>
    <v>83.12</v>
    <v>83.22</v>
    <v>83.07</v>
    <v>83.66</v>
    <v>82.26</v>
    <v>82.3</v>
    <v>82.49</v>
    <v>82.21</v>
    <v>83.07</v>
    <v>83.61</v>
    <v>82.47</v>
    <v>83.29</v>
    <v>82.44</v>
    <v>83.33</v>
    <v>83.32</v>
    <v>84.16</v>
    <v>83.03</v>
    <v>83.54</v>
    <v>82.7</v>
    <v>83.2</v>
    <v>83.54</v>
    <v>83.12</v>
    <v>82.3</v>
    <v>82.55</v>
    <v>84.65</v>
    <v>85.22</v>
    <v>85.11</v>
    <v>85.5</v>
    <v>85.85</v>
    <v>85.52</v>
    <v>78.84</v>
    <v>80.34</v>
    <v>82</v>
    <v>82.03</v>
    <v>79.67</v>
    <v>80.84</v>
    <v>80.930000000000007</v>
    <v>81.34</v>
    <v>81.650000000000006</v>
    <v>83.18</v>
    <v>83.54</v>
    <v>84.95</v>
    <v>85.58</v>
    <v>86.49</v>
    <v>87.03</v>
    <v>87.47</v>
    <v>87.34</v>
    <v>86.26</v>
    <v>86.28</v>
    <v>86.54</v>
    <v>85.36</v>
    <v>84.49</v>
    <v>84.69</v>
    <v>84.51</v>
    <v>86.12</v>
    <v>78.959999999999994</v>
    <v>79.5</v>
    <v>79.13</v>
    <v>80.77</v>
    <v>80.28</v>
    <v>80.739999999999995</v>
    <v>80.7</v>
    <v>79.510000000000005</v>
    <v>78.84</v>
    <v>79.44</v>
    <v>80.150000000000006</v>
    <v>80.459999999999994</v>
    <v>80.23</v>
    <v>79.260000000000005</v>
    <v>79.5</v>
    <v>77.52</v>
    <v>78.319999999999993</v>
    <v>78.28</v>
    <v>78.55</v>
    <v>85.18</v>
    <v>85.04</v>
    <v>86.8</v>
    <v>85.78</v>
    <v>84.84</v>
    <v>84.59</v>
    <v>84.82</v>
    <v>83.34</v>
    <v>84.16</v>
    <v>83.94</v>
    <v>84.28</v>
    <v>86.33</v>
    <v>86.43</v>
    <v>86.58</v>
    <v>86.29</v>
    <v>86.72</v>
    <v>86.61</v>
    <v>88.79</v>
    <v>88.13</v>
    <v>87.25</v>
    <v>87.92</v>
    <v>88.07</v>
    <v>87.6</v>
    <v>86.94</v>
    <v>86.31</v>
    <v>85.23</v>
    <v>85.61</v>
    <v>85.44</v>
    <v>86.81</v>
    <v>89.05</v>
    <v>90.13</v>
    <v>90.44</v>
    <v>89.59</v>
    <v>89.89</v>
    <v>87.58</v>
    <v>85.94</v>
    <v>85.32</v>
    <v>86.32</v>
    <v>85.95</v>
    <v>86.39</v>
    <v>86.23</v>
    <v>85.89</v>
    <v>85.76</v>
    <v>86.59</v>
    <v>86.15</v>
    <v>85.64</v>
    <v>84.57</v>
    <v>85</v>
    <v>83.6</v>
    <v>83.23</v>
    <v>82.68</v>
    <v>83.64</v>
    <v>83.32</v>
    <v>80.599999999999994</v>
    <v>80.94</v>
    <v>82.12</v>
    <v>82.1</v>
    <v>82.38</v>
    <v>81.58</v>
    <v>82.22</v>
    <v>81.61</v>
    <v>82.24</v>
    <v>83</v>
    <v>82.72</v>
    <v>82.32</v>
    <v>81.19</v>
    <v>82.29</v>
    <v>82.75</v>
    <v>82.89</v>
    <v>84.44</v>
    <v>82.41</v>
    <v>80.5</v>
    <v>82.55</v>
    <v>81.63</v>
    <v>80.78</v>
    <v>78.989999999999995</v>
    <v>78.03</v>
    <v>78.400000000000006</v>
    <v>79.760000000000005</v>
    <v>79.31</v>
    <v>79.88</v>
    <v>79.75</v>
    <v>77.540000000000006</v>
    <v>77.08</v>
    <v>79.2</v>
    <v>80.45</v>
    <v>81.08</v>
    <v>81.84</v>
    <v>81.09</v>
    <v>80.36</v>
    <v>80.290000000000006</v>
    <v>82.2</v>
    <v>82.56</v>
    <v>79.099999999999994</v>
    <v>77.62</v>
    <v>77.37</v>
    <v>78.13</v>
    <v>77.72</v>
    <v>79</v>
    <v>79.58</v>
    <v>80.760000000000005</v>
    <v>80.61</v>
    <v>80.790000000000006</v>
    <v>80.88</v>
    <v>82.2</v>
    <v>81.45</v>
    <v>79.86</v>
    <v>79.23</v>
    <v>77.73</v>
    <v>76.39</v>
    <v>75.81</v>
    <v>76.31</v>
    <v>76.25</v>
    <v>76.52</v>
    <v>76.39</v>
    <v>76.510000000000005</v>
    <v>76.89</v>
    <v>76.12</v>
    <v>78.150000000000006</v>
    <v>77.790000000000006</v>
    <v>76.83</v>
    <v>77.77</v>
    <v>80.06</v>
    <v>81.150000000000006</v>
    <v>81.99</v>
    <v>81.900000000000006</v>
    <v>82.72</v>
    <v>82.87</v>
    <v>82.58</v>
    <v>80.510000000000005</v>
    <v>80.87</v>
    <v>80.92</v>
    <v>80.19</v>
    <v>79.41</v>
    <v>81.02</v>
    <v>81.11</v>
    <v>80.849999999999994</v>
    <v>82.02</v>
    <v>82.03</v>
    <v>81.02</v>
    <v>80.78</v>
    <v>81.760000000000005</v>
    <v>80.08</v>
    <v>78.900000000000006</v>
    <v>78.89</v>
    <v>78.319999999999993</v>
    <v>79.819999999999993</v>
    <v>77.81</v>
    <v>74.16</v>
    <v>74.64</v>
    <v>73.739999999999995</v>
    <v>73.099999999999994</v>
    <v>73.22</v>
    <v>73.36</v>
    <v>72.72</v>
    <v>73.239999999999995</v>
    <v>73.959999999999994</v>
    <v>74.34</v>
    <v>75.2</v>
    <v>76.67</v>
    <v>77.540000000000006</v>
    <v>76.88</v>
    <v>77.459999999999994</v>
    <v>76.319999999999993</v>
    <v>77.14</v>
    <v>76.36</v>
    <v>75.290000000000006</v>
    <v>74.16</v>
    <v>73.42</v>
    <v>73.52</v>
    <v>76.44</v>
    <v>77.95</v>
    <v>76.67</v>
    <v>77.040000000000006</v>
    <v>76.010000000000005</v>
    <v>76.3</v>
    <v>76.59</v>
    <v>75.540000000000006</v>
    <v>75.66</v>
    <v>74.88</v>
    <v>73.34</v>
    <v>74.14</v>
    <v>72.489999999999995</v>
    <v>73.47</v>
    <v>73.55</v>
    <v>73.760000000000005</v>
    <v>75.069999999999993</v>
    <v>75.5</v>
    <v>75.08</v>
    <v>73.05</v>
    <v>75.25</v>
    <v>75.81</v>
    <v>74.510000000000005</v>
    <v>75.78</v>
    <v>75.37</v>
    <v>76.48</v>
    <v>76.23</v>
    <v>77.099999999999994</v>
    <v>75.5</v>
    <v>76.260000000000005</v>
    <v>76.94</v>
    <v>77.34</v>
    <v>76.91</v>
    <v>76.75</v>
    <v>76.84</v>
    <v>76.36</v>
    <v>76.03</v>
    <v>77.790000000000006</v>
    <v>79.38</v>
    <v>79.92</v>
    <v>72.77</v>
    <v>74.47</v>
    <v>74.5</v>
    <v>74.39</v>
    <v>74.5</v>
    <v>74.31</v>
    <v>75.31</v>
    <v>75.53</v>
    <v>75.400000000000006</v>
    <v>75.42</v>
    <v>76.430000000000007</v>
    <v>75.52</v>
    <v>76.66</v>
    <v>77.67</v>
    <v>78.56</v>
    <v>77.790000000000006</v>
    <v>78.94</v>
    <v>78.28</v>
    <v>78.739999999999995</v>
    <v>78.290000000000006</v>
    <v>77.28</v>
    <v>77.25</v>
    <v>76.81</v>
    <v>76.86</v>
    <v>77.16</v>
    <v>76.27</v>
    <v>76.260000000000005</v>
    <v>75.69</v>
    <v>74.7</v>
    <v>74.239999999999995</v>
    <v>73.569999999999993</v>
    <v>73.260000000000005</v>
    <v>75.430000000000007</v>
    <v>74.209999999999994</v>
    <v>74.349999999999994</v>
    <v>75.260000000000005</v>
    <v>74.05</v>
    <v>74.59</v>
    <v>74.39</v>
    <v>73.11</v>
    <v>72.099999999999994</v>
    <v>71.790000000000006</v>
    <v>72</v>
    <v>71.47</v>
    <v>72.64</v>
    <v>73.099999999999994</v>
    <v>70.81</v>
    <v>69.989999999999995</v>
    <v>70.61</v>
    <v>71.81</v>
    <v>70.930000000000007</v>
    <v>71.52</v>
    <v>71.599999999999994</v>
    <v>70.739999999999995</v>
    <v>71.819999999999993</v>
    <v>72.16</v>
    <v>71.94</v>
    <v>71.010000000000005</v>
    <v>73.58</v>
    <v>73.569999999999993</v>
    <v>74.95</v>
    <v>74.12</v>
  </a>
  <a r="1" c="256">
    <v>86.61</v>
    <v>88.79</v>
    <v>88.13</v>
    <v>87.25</v>
    <v>87.92</v>
    <v>88.07</v>
    <v>87.6</v>
    <v>86.94</v>
    <v>86.31</v>
    <v>85.23</v>
    <v>85.61</v>
    <v>85.44</v>
    <v>86.81</v>
    <v>89.05</v>
    <v>90.13</v>
    <v>90.44</v>
    <v>89.59</v>
    <v>89.89</v>
    <v>87.58</v>
    <v>85.94</v>
    <v>85.32</v>
    <v>86.32</v>
    <v>85.95</v>
    <v>86.39</v>
    <v>86.23</v>
    <v>85.89</v>
    <v>85.76</v>
    <v>86.59</v>
    <v>86.15</v>
    <v>85.64</v>
    <v>84.57</v>
    <v>85</v>
    <v>83.6</v>
    <v>83.23</v>
    <v>82.68</v>
    <v>83.64</v>
    <v>83.32</v>
    <v>80.599999999999994</v>
    <v>80.94</v>
    <v>82.12</v>
    <v>82.1</v>
    <v>82.38</v>
    <v>81.58</v>
    <v>82.22</v>
    <v>81.61</v>
    <v>82.24</v>
    <v>83</v>
    <v>82.72</v>
    <v>82.32</v>
    <v>81.19</v>
    <v>82.29</v>
    <v>82.75</v>
    <v>82.89</v>
    <v>84.44</v>
    <v>82.41</v>
    <v>80.5</v>
    <v>82.55</v>
    <v>81.63</v>
    <v>80.78</v>
    <v>78.989999999999995</v>
    <v>78.03</v>
    <v>78.400000000000006</v>
    <v>79.760000000000005</v>
    <v>79.31</v>
    <v>79.88</v>
    <v>79.75</v>
    <v>77.540000000000006</v>
    <v>77.08</v>
    <v>79.2</v>
    <v>80.45</v>
    <v>81.08</v>
    <v>81.84</v>
    <v>81.09</v>
    <v>80.36</v>
    <v>80.290000000000006</v>
    <v>82.2</v>
    <v>82.56</v>
    <v>79.099999999999994</v>
    <v>77.62</v>
    <v>77.37</v>
    <v>78.13</v>
    <v>77.72</v>
    <v>79</v>
    <v>79.58</v>
    <v>80.760000000000005</v>
    <v>80.61</v>
    <v>80.790000000000006</v>
    <v>80.88</v>
    <v>82.2</v>
    <v>81.45</v>
    <v>79.86</v>
    <v>79.23</v>
    <v>77.73</v>
    <v>76.39</v>
    <v>75.81</v>
    <v>76.31</v>
    <v>76.25</v>
    <v>76.52</v>
    <v>76.39</v>
    <v>76.510000000000005</v>
    <v>76.89</v>
    <v>76.12</v>
    <v>78.150000000000006</v>
    <v>77.790000000000006</v>
    <v>76.83</v>
    <v>77.77</v>
    <v>80.06</v>
    <v>81.150000000000006</v>
    <v>81.99</v>
    <v>81.900000000000006</v>
    <v>82.72</v>
    <v>82.87</v>
    <v>82.58</v>
    <v>80.510000000000005</v>
    <v>80.87</v>
    <v>80.92</v>
    <v>80.19</v>
    <v>79.41</v>
    <v>81.02</v>
    <v>81.11</v>
    <v>80.849999999999994</v>
    <v>82.02</v>
    <v>82.03</v>
    <v>81.02</v>
    <v>80.78</v>
    <v>81.760000000000005</v>
    <v>80.08</v>
    <v>78.900000000000006</v>
    <v>78.89</v>
    <v>78.319999999999993</v>
    <v>79.819999999999993</v>
    <v>77.81</v>
    <v>74.16</v>
    <v>74.64</v>
    <v>73.739999999999995</v>
    <v>73.099999999999994</v>
    <v>73.22</v>
    <v>73.36</v>
    <v>72.72</v>
    <v>73.239999999999995</v>
    <v>73.959999999999994</v>
    <v>74.34</v>
    <v>75.2</v>
    <v>76.67</v>
    <v>77.540000000000006</v>
    <v>76.88</v>
    <v>77.459999999999994</v>
    <v>76.319999999999993</v>
    <v>77.14</v>
    <v>76.36</v>
    <v>75.290000000000006</v>
    <v>74.16</v>
    <v>73.42</v>
    <v>73.52</v>
    <v>76.44</v>
    <v>77.95</v>
    <v>76.67</v>
    <v>77.040000000000006</v>
    <v>76.010000000000005</v>
    <v>76.3</v>
    <v>76.59</v>
    <v>75.540000000000006</v>
    <v>75.66</v>
    <v>74.88</v>
    <v>73.34</v>
    <v>74.14</v>
    <v>72.489999999999995</v>
    <v>73.47</v>
    <v>73.55</v>
    <v>73.760000000000005</v>
    <v>75.069999999999993</v>
    <v>75.5</v>
    <v>75.08</v>
    <v>73.05</v>
    <v>75.25</v>
    <v>75.81</v>
    <v>74.510000000000005</v>
    <v>75.78</v>
    <v>75.37</v>
    <v>76.48</v>
    <v>76.23</v>
    <v>77.099999999999994</v>
    <v>75.5</v>
    <v>76.260000000000005</v>
    <v>76.94</v>
    <v>77.34</v>
    <v>76.91</v>
    <v>76.75</v>
    <v>76.84</v>
    <v>76.36</v>
    <v>76.03</v>
    <v>77.790000000000006</v>
    <v>79.38</v>
    <v>79.92</v>
    <v>72.77</v>
    <v>74.47</v>
    <v>74.5</v>
    <v>74.39</v>
    <v>74.5</v>
    <v>74.31</v>
    <v>75.31</v>
    <v>75.53</v>
    <v>75.400000000000006</v>
    <v>75.42</v>
    <v>76.430000000000007</v>
    <v>75.52</v>
    <v>76.66</v>
    <v>77.67</v>
    <v>78.56</v>
    <v>77.790000000000006</v>
    <v>78.94</v>
    <v>78.28</v>
    <v>78.739999999999995</v>
    <v>78.290000000000006</v>
    <v>77.28</v>
    <v>77.25</v>
    <v>76.81</v>
    <v>76.86</v>
    <v>77.16</v>
    <v>76.27</v>
    <v>76.260000000000005</v>
    <v>75.69</v>
    <v>74.7</v>
    <v>74.239999999999995</v>
    <v>73.569999999999993</v>
    <v>73.260000000000005</v>
    <v>75.430000000000007</v>
    <v>74.209999999999994</v>
    <v>74.349999999999994</v>
    <v>75.260000000000005</v>
    <v>74.05</v>
    <v>74.59</v>
    <v>74.39</v>
    <v>73.11</v>
    <v>72.099999999999994</v>
    <v>71.790000000000006</v>
    <v>72</v>
    <v>71.47</v>
    <v>72.64</v>
    <v>73.099999999999994</v>
    <v>70.81</v>
    <v>69.989999999999995</v>
    <v>70.61</v>
    <v>71.81</v>
    <v>70.930000000000007</v>
    <v>71.52</v>
    <v>71.599999999999994</v>
    <v>70.739999999999995</v>
    <v>71.819999999999993</v>
    <v>72.16</v>
    <v>71.94</v>
    <v>71.010000000000005</v>
    <v>73.58</v>
    <v>73.569999999999993</v>
    <v>74.95</v>
    <v>74.12</v>
  </a>
  <a r="1" c="208">
    <v>40.645000000000003</v>
    <v>40.79</v>
    <v>40.945</v>
    <v>40.96</v>
    <v>40.945</v>
    <v>41.06</v>
    <v>40.994999999999997</v>
    <v>41.07</v>
    <v>41.104999999999997</v>
    <v>40.1</v>
    <v>40.01</v>
    <v>39.880000000000003</v>
    <v>39.65</v>
    <v>39.83</v>
    <v>39.835000000000001</v>
    <v>39.924999999999997</v>
    <v>39.744999999999997</v>
    <v>39.594999999999999</v>
    <v>39.78</v>
    <v>39.765000000000001</v>
    <v>39.825000000000003</v>
    <v>40</v>
    <v>40.17</v>
    <v>40.15</v>
    <v>40.064999999999998</v>
    <v>40.14</v>
    <v>40.075000000000003</v>
    <v>40.064999999999998</v>
    <v>40.174999999999997</v>
    <v>40.225000000000001</v>
    <v>40.255000000000003</v>
    <v>40.335000000000001</v>
    <v>40.305</v>
    <v>40.39</v>
    <v>40.369999999999997</v>
    <v>40.475000000000001</v>
    <v>40.515000000000001</v>
    <v>40.520000000000003</v>
    <v>40.594999999999999</v>
    <v>40.575000000000003</v>
    <v>40.564999999999998</v>
    <v>40.49</v>
    <v>40.115000000000002</v>
    <v>40.265000000000001</v>
    <v>40.22</v>
    <v>40.015000000000001</v>
    <v>39.89</v>
    <v>40.46</v>
    <v>40.234999999999999</v>
    <v>39.884999999999998</v>
    <v>39.784999999999997</v>
    <v>39.854999999999997</v>
    <v>39.924999999999997</v>
    <v>39.700000000000003</v>
    <v>39.405000000000001</v>
    <v>39.36</v>
    <v>39.314999999999998</v>
    <v>39.155000000000001</v>
    <v>39.484999999999999</v>
    <v>39.229999999999997</v>
    <v>39.08</v>
    <v>39.305</v>
    <v>39.17</v>
    <v>39.36</v>
    <v>39.634999999999998</v>
    <v>39.405000000000001</v>
    <v>39.905000000000001</v>
    <v>39.924999999999997</v>
    <v>39.905000000000001</v>
    <v>39.814999999999998</v>
    <v>40.04</v>
    <v>39.97</v>
    <v>39.47</v>
    <v>39.725000000000001</v>
    <v>39.65</v>
    <v>39.64</v>
    <v>39.58</v>
    <v>39.6</v>
    <v>39.409999999999997</v>
    <v>39.39</v>
    <v>39.270000000000003</v>
    <v>39.115000000000002</v>
    <v>39.075000000000003</v>
    <v>38.905000000000001</v>
    <v>39.085000000000001</v>
    <v>39.42</v>
    <v>39.424999999999997</v>
    <v>39.340000000000003</v>
    <v>39.255000000000003</v>
    <v>39.159999999999997</v>
    <v>39.340000000000003</v>
    <v>39.4</v>
    <v>39.24</v>
    <v>39.020000000000003</v>
    <v>38.96</v>
    <v>39.22</v>
    <v>39.200000000000003</v>
    <v>39.36</v>
    <v>39.645000000000003</v>
    <v>39.5</v>
    <v>39.475000000000001</v>
    <v>39.564999999999998</v>
    <v>39.74</v>
    <v>39.744999999999997</v>
    <v>39.880000000000003</v>
    <v>39.765000000000001</v>
    <v>39.625</v>
    <v>39.625</v>
    <v>39.424999999999997</v>
    <v>39.44</v>
    <v>39.505000000000003</v>
    <v>39.655000000000001</v>
    <v>39.924999999999997</v>
    <v>40.145000000000003</v>
    <v>40.115000000000002</v>
    <v>40.265000000000001</v>
    <v>40.274999999999999</v>
    <v>40.299999999999997</v>
    <v>40.354999999999997</v>
    <v>40.335000000000001</v>
    <v>40.44</v>
    <v>40.450000000000003</v>
    <v>40.54</v>
    <v>40.524999999999999</v>
    <v>40.51</v>
    <v>40.475000000000001</v>
    <v>40.564999999999998</v>
    <v>40.515000000000001</v>
    <v>40.69</v>
    <v>40.615000000000002</v>
    <v>40.284999999999997</v>
    <v>40.405000000000001</v>
    <v>40.555</v>
    <v>40.64</v>
    <v>40.5</v>
    <v>40.54</v>
    <v>39.86</v>
    <v>39.854999999999997</v>
    <v>39.875</v>
    <v>39.9</v>
    <v>39.85</v>
    <v>39.72</v>
    <v>39.85</v>
    <v>39.875</v>
    <v>39.924999999999997</v>
    <v>39.81</v>
    <v>39.69</v>
    <v>39.81</v>
    <v>39.784999999999997</v>
    <v>39.99</v>
    <v>40</v>
    <v>39.96</v>
    <v>39.99</v>
    <v>40</v>
    <v>39.905000000000001</v>
    <v>40.090000000000003</v>
    <v>40.125</v>
    <v>39.9</v>
    <v>39.954999999999998</v>
    <v>39.909999999999997</v>
    <v>39.9</v>
    <v>39.72</v>
    <v>39.875</v>
    <v>39.94</v>
    <v>39.984999999999999</v>
    <v>40.034999999999997</v>
    <v>39.935000000000002</v>
    <v>39.844999999999999</v>
    <v>39.74</v>
    <v>39.825000000000003</v>
    <v>39.795000000000002</v>
    <v>39.81</v>
    <v>40.1</v>
    <v>39.914999999999999</v>
    <v>39.96</v>
    <v>39.835000000000001</v>
    <v>39.645000000000003</v>
    <v>39.75</v>
    <v>39.674999999999997</v>
    <v>39.634999999999998</v>
    <v>39.700000000000003</v>
    <v>39.89</v>
    <v>39.765000000000001</v>
    <v>39.994999999999997</v>
    <v>40.04</v>
    <v>39.9</v>
    <v>39.704999999999998</v>
    <v>39.695</v>
    <v>39.454999999999998</v>
    <v>39.524999999999999</v>
    <v>39.715000000000003</v>
    <v>39.86</v>
    <v>39.83</v>
    <v>40.11</v>
    <v>40.270000000000003</v>
    <v>40.375</v>
    <v>40.25</v>
    <v>40.450000000000003</v>
    <v>40.630000000000003</v>
    <v>40.74</v>
    <v>40.56</v>
    <v>39.984999999999999</v>
    <v>39.795000000000002</v>
    <v>39.93</v>
    <v>40.064999999999998</v>
    <v>39.924999999999997</v>
    <v>39.909999999999997</v>
    <v>39.909999999999997</v>
  </a>
  <a r="1" c="761">
    <v>39.51</v>
    <v>39.805</v>
    <v>39.744999999999997</v>
    <v>40.015000000000001</v>
    <v>40.085000000000001</v>
    <v>40.01</v>
    <v>40.255000000000003</v>
    <v>40.435000000000002</v>
    <v>40.835000000000001</v>
    <v>41.075000000000003</v>
    <v>40.840000000000003</v>
    <v>41.05</v>
    <v>40.98</v>
    <v>40.909999999999997</v>
    <v>40.805</v>
    <v>40.85</v>
    <v>40.81</v>
    <v>40.950000000000003</v>
    <v>41.015000000000001</v>
    <v>41.034999999999997</v>
    <v>40.99</v>
    <v>41.02</v>
    <v>40.97</v>
    <v>40.875</v>
    <v>40.909999999999997</v>
    <v>40.875</v>
    <v>40.98</v>
    <v>41.14</v>
    <v>41.094999999999999</v>
    <v>41.564999999999998</v>
    <v>41.5</v>
    <v>41.534999999999997</v>
    <v>41.75</v>
    <v>41.7</v>
    <v>41.63</v>
    <v>41.54</v>
    <v>41.46</v>
    <v>41.435000000000002</v>
    <v>41.515000000000001</v>
    <v>41.86</v>
    <v>41.74</v>
    <v>41.905000000000001</v>
    <v>41.89</v>
    <v>41.91</v>
    <v>41.76</v>
    <v>41.865000000000002</v>
    <v>41.795000000000002</v>
    <v>41.905000000000001</v>
    <v>41.875</v>
    <v>41.92</v>
    <v>41.755000000000003</v>
    <v>41.99</v>
    <v>41.954999999999998</v>
    <v>41.914999999999999</v>
    <v>41.774999999999999</v>
    <v>40.805</v>
    <v>41</v>
    <v>40.835000000000001</v>
    <v>40.69</v>
    <v>40.634999999999998</v>
    <v>40.664999999999999</v>
    <v>40.564999999999998</v>
    <v>40.6</v>
    <v>40.484999999999999</v>
    <v>40.534999999999997</v>
    <v>40.770000000000003</v>
    <v>40.755000000000003</v>
    <v>40.924999999999997</v>
    <v>40.85</v>
    <v>40.945</v>
    <v>41</v>
    <v>40.994999999999997</v>
    <v>40.884999999999998</v>
    <v>41.045000000000002</v>
    <v>40.905000000000001</v>
    <v>40.905000000000001</v>
    <v>40.835000000000001</v>
    <v>40.984999999999999</v>
    <v>40.81</v>
    <v>40.81</v>
    <v>40.914999999999999</v>
    <v>40.835000000000001</v>
    <v>40.79</v>
    <v>40.774999999999999</v>
    <v>40.825000000000003</v>
    <v>40.755000000000003</v>
    <v>40.64</v>
    <v>40.524999999999999</v>
    <v>40.74</v>
    <v>40.61</v>
    <v>40.865000000000002</v>
    <v>40.869999999999997</v>
    <v>40.805</v>
    <v>40.79</v>
    <v>40.9</v>
    <v>40.700000000000003</v>
    <v>40.854999999999997</v>
    <v>40.86</v>
    <v>40.880000000000003</v>
    <v>40.81</v>
    <v>40.805</v>
    <v>40.875</v>
    <v>40.685000000000002</v>
    <v>40.64</v>
    <v>40.725000000000001</v>
    <v>40.765000000000001</v>
    <v>40.770000000000003</v>
    <v>40.765000000000001</v>
    <v>40.65</v>
    <v>40.784999999999997</v>
    <v>40.840000000000003</v>
    <v>40.81</v>
    <v>40.765000000000001</v>
    <v>40.82</v>
    <v>40.805</v>
    <v>40.75</v>
    <v>40.86</v>
    <v>40.795000000000002</v>
    <v>40.76</v>
    <v>40.835000000000001</v>
    <v>40.585000000000001</v>
    <v>40.18</v>
    <v>40.299999999999997</v>
    <v>40.335000000000001</v>
    <v>40.314999999999998</v>
    <v>40.36</v>
    <v>40.42</v>
    <v>40.29</v>
    <v>40.055</v>
    <v>40.380000000000003</v>
    <v>40.369999999999997</v>
    <v>40.340000000000003</v>
    <v>40.64</v>
    <v>40.835000000000001</v>
    <v>40.840000000000003</v>
    <v>40.884999999999998</v>
    <v>40.85</v>
    <v>40.704999999999998</v>
    <v>40.784999999999997</v>
    <v>40.704999999999998</v>
    <v>40.715000000000003</v>
    <v>40.92</v>
    <v>40.93</v>
    <v>41.03</v>
    <v>41.064999999999998</v>
    <v>41.06</v>
    <v>40.89</v>
    <v>40.840000000000003</v>
    <v>40.729999999999997</v>
    <v>40.69</v>
    <v>40.725000000000001</v>
    <v>40.6</v>
    <v>40.494999999999997</v>
    <v>40.395000000000003</v>
    <v>40.33</v>
    <v>40.26</v>
    <v>40.18</v>
    <v>40.354999999999997</v>
    <v>40.244999999999997</v>
    <v>40.26</v>
    <v>40.344999999999999</v>
    <v>39.93</v>
    <v>40.119999999999997</v>
    <v>40.200000000000003</v>
    <v>40.1</v>
    <v>40.409999999999997</v>
    <v>40.340000000000003</v>
    <v>40.375</v>
    <v>40.604999999999997</v>
    <v>40.615000000000002</v>
    <v>40.564999999999998</v>
    <v>40.625</v>
    <v>40.35</v>
    <v>40.479999999999997</v>
    <v>40.365000000000002</v>
    <v>40.130000000000003</v>
    <v>40.344999999999999</v>
    <v>40.450000000000003</v>
    <v>40.53</v>
    <v>40.619999999999997</v>
    <v>40.674999999999997</v>
    <v>40.795000000000002</v>
    <v>40.83</v>
    <v>40.805</v>
    <v>40.725000000000001</v>
    <v>40.895000000000003</v>
    <v>40.74</v>
    <v>39.65</v>
    <v>39.454999999999998</v>
    <v>39.49</v>
    <v>39.594999999999999</v>
    <v>39.505000000000003</v>
    <v>39.494999999999997</v>
    <v>39.555</v>
    <v>39.58</v>
    <v>39.615000000000002</v>
    <v>39.854999999999997</v>
    <v>40.104999999999997</v>
    <v>39.799999999999997</v>
    <v>39.575000000000003</v>
    <v>39.625</v>
    <v>39.655000000000001</v>
    <v>39.884999999999998</v>
    <v>40.08</v>
    <v>40.125</v>
    <v>40.185000000000002</v>
    <v>40.26</v>
    <v>40.265000000000001</v>
    <v>40.354999999999997</v>
    <v>40.200000000000003</v>
    <v>40.085000000000001</v>
    <v>39.895000000000003</v>
    <v>39.93</v>
    <v>40.1</v>
    <v>40.01</v>
    <v>40.11</v>
    <v>40.134999999999998</v>
    <v>40.134999999999998</v>
    <v>40.03</v>
    <v>40.020000000000003</v>
    <v>40.090000000000003</v>
    <v>40.229999999999997</v>
    <v>40.229999999999997</v>
    <v>40.299999999999997</v>
    <v>40.29</v>
    <v>40.475000000000001</v>
    <v>40.450000000000003</v>
    <v>40.704999999999998</v>
    <v>40.68</v>
    <v>40.734999999999999</v>
    <v>40.93</v>
    <v>40.950000000000003</v>
    <v>40.9</v>
    <v>40.950000000000003</v>
    <v>41.125</v>
    <v>41</v>
    <v>41.18</v>
    <v>41.15</v>
    <v>41.1</v>
    <v>41.145000000000003</v>
    <v>41.19</v>
    <v>40.93</v>
    <v>40.97</v>
    <v>40.72</v>
    <v>40.664999999999999</v>
    <v>40.85</v>
    <v>40.784999999999997</v>
    <v>40.880000000000003</v>
    <v>40.94</v>
    <v>40.909999999999997</v>
    <v>40.880000000000003</v>
    <v>40.950000000000003</v>
    <v>40.945</v>
    <v>40.729999999999997</v>
    <v>40.774999999999999</v>
    <v>40.604999999999997</v>
    <v>40.75</v>
    <v>40.655000000000001</v>
    <v>40.445</v>
    <v>40.47</v>
    <v>40.31</v>
    <v>40.164999999999999</v>
    <v>40.270000000000003</v>
    <v>40.24</v>
    <v>40.134999999999998</v>
    <v>40.484999999999999</v>
    <v>40.880000000000003</v>
    <v>40.909999999999997</v>
    <v>40.774999999999999</v>
    <v>40.715000000000003</v>
    <v>40.655000000000001</v>
    <v>40.78</v>
    <v>40.950000000000003</v>
    <v>40.9</v>
    <v>40.92</v>
    <v>41.115000000000002</v>
    <v>41.215000000000003</v>
    <v>41.454999999999998</v>
    <v>41.295000000000002</v>
    <v>41.12</v>
    <v>40.950000000000003</v>
    <v>41.05</v>
    <v>41.075000000000003</v>
    <v>41.2</v>
    <v>41.17</v>
    <v>41.174999999999997</v>
    <v>41.155000000000001</v>
    <v>41.204999999999998</v>
    <v>41.23</v>
    <v>41.4</v>
    <v>41.46</v>
    <v>41.48</v>
    <v>41.34</v>
    <v>41.164999999999999</v>
    <v>41.12</v>
    <v>41.05</v>
    <v>41.13</v>
    <v>41.134999999999998</v>
    <v>41.055</v>
    <v>41.064999999999998</v>
    <v>41.06</v>
    <v>41.47</v>
    <v>41.3</v>
    <v>41.19</v>
    <v>41.29</v>
    <v>41.41</v>
    <v>41.395000000000003</v>
    <v>41.354999999999997</v>
    <v>41.24</v>
    <v>41.14</v>
    <v>41.47</v>
    <v>40</v>
    <v>40.125</v>
    <v>39.945</v>
    <v>40</v>
    <v>40.35</v>
    <v>40.405000000000001</v>
    <v>40.44</v>
    <v>40.075000000000003</v>
    <v>40.42</v>
    <v>40.450000000000003</v>
    <v>40.585000000000001</v>
    <v>40.57</v>
    <v>40.69</v>
    <v>40.75</v>
    <v>40.734999999999999</v>
    <v>40.75</v>
    <v>40.825000000000003</v>
    <v>41.03</v>
    <v>40.82</v>
    <v>40.700000000000003</v>
    <v>40.590000000000003</v>
    <v>40.619999999999997</v>
    <v>40.76</v>
    <v>40.695</v>
    <v>40.784999999999997</v>
    <v>40.799999999999997</v>
    <v>40.865000000000002</v>
    <v>40.814999999999998</v>
    <v>40.619999999999997</v>
    <v>40.72</v>
    <v>40.844999999999999</v>
    <v>40.840000000000003</v>
    <v>40.56</v>
    <v>40.33</v>
    <v>39.945</v>
    <v>39.85</v>
    <v>39.725000000000001</v>
    <v>39.78</v>
    <v>39.414999999999999</v>
    <v>39.479999999999997</v>
    <v>39.71</v>
    <v>39.865000000000002</v>
    <v>39.76</v>
    <v>39.685000000000002</v>
    <v>39.784999999999997</v>
    <v>39.825000000000003</v>
    <v>39.840000000000003</v>
    <v>39.869999999999997</v>
    <v>39.935000000000002</v>
    <v>39.92</v>
    <v>39.884999999999998</v>
    <v>39.674999999999997</v>
    <v>39.805</v>
    <v>39.875</v>
    <v>39.67</v>
    <v>39.36</v>
    <v>39.045000000000002</v>
    <v>38.314999999999998</v>
    <v>38.814999999999998</v>
    <v>38.15</v>
    <v>38.484999999999999</v>
    <v>38.034999999999997</v>
    <v>38.204999999999998</v>
    <v>38.42</v>
    <v>38.365000000000002</v>
    <v>38.375</v>
    <v>38.32</v>
    <v>38.664999999999999</v>
    <v>38.78</v>
    <v>38.869999999999997</v>
    <v>38.865000000000002</v>
    <v>38.924999999999997</v>
    <v>39.200000000000003</v>
    <v>39.314999999999998</v>
    <v>39.46</v>
    <v>39.314999999999998</v>
    <v>39.244999999999997</v>
    <v>39.479999999999997</v>
    <v>39.524999999999999</v>
    <v>39.835000000000001</v>
    <v>39.72</v>
    <v>39.659999999999997</v>
    <v>39.78</v>
    <v>39.9</v>
    <v>39.774999999999999</v>
    <v>39.765000000000001</v>
    <v>39.590000000000003</v>
    <v>39.685000000000002</v>
    <v>39.75</v>
    <v>39.71</v>
    <v>39.825000000000003</v>
    <v>39.875</v>
    <v>39.844999999999999</v>
    <v>39.75</v>
    <v>39.61</v>
    <v>39.695</v>
    <v>39.765000000000001</v>
    <v>39.755000000000003</v>
    <v>39.83</v>
    <v>39.865000000000002</v>
    <v>39.880000000000003</v>
    <v>39.659999999999997</v>
    <v>39.409999999999997</v>
    <v>39.445</v>
    <v>39.450000000000003</v>
    <v>39.575000000000003</v>
    <v>39.64</v>
    <v>39.65</v>
    <v>39.58</v>
    <v>39.375</v>
    <v>39.49</v>
    <v>39.484999999999999</v>
    <v>39.465000000000003</v>
    <v>39.409999999999997</v>
    <v>39.36</v>
    <v>39.384999999999998</v>
    <v>39.5</v>
    <v>39.604999999999997</v>
    <v>39.6</v>
    <v>39.534999999999997</v>
    <v>39.575000000000003</v>
    <v>39.615000000000002</v>
    <v>39.659999999999997</v>
    <v>39.549999999999997</v>
    <v>39.56</v>
    <v>39.78</v>
    <v>39.64</v>
    <v>38.835000000000001</v>
    <v>38.729999999999997</v>
    <v>38.664999999999999</v>
    <v>38.634999999999998</v>
    <v>38.68</v>
    <v>38.53</v>
    <v>38.590000000000003</v>
    <v>38.71</v>
    <v>38.914999999999999</v>
    <v>38.954999999999998</v>
    <v>39.090000000000003</v>
    <v>38.975000000000001</v>
    <v>38.954999999999998</v>
    <v>38.950000000000003</v>
    <v>38.96</v>
    <v>39.015000000000001</v>
    <v>39.045000000000002</v>
    <v>39.14</v>
    <v>39.03</v>
    <v>39.049999999999997</v>
    <v>39.085000000000001</v>
    <v>38.979999999999997</v>
    <v>39.024999999999999</v>
    <v>39.03</v>
    <v>39.094999999999999</v>
    <v>39.134999999999998</v>
    <v>39.200000000000003</v>
    <v>39.200000000000003</v>
    <v>39.19</v>
    <v>39.164999999999999</v>
    <v>39.055</v>
    <v>39.015000000000001</v>
    <v>39.075000000000003</v>
    <v>39.094999999999999</v>
    <v>39.17</v>
    <v>39.130000000000003</v>
    <v>39.155000000000001</v>
    <v>39.24</v>
    <v>39.204999999999998</v>
    <v>39.384999999999998</v>
    <v>39.49</v>
    <v>39.43</v>
    <v>39.185000000000002</v>
    <v>39.25</v>
    <v>39.335000000000001</v>
    <v>39.49</v>
    <v>39.42</v>
    <v>39.414999999999999</v>
    <v>39.39</v>
    <v>39.380000000000003</v>
    <v>39.445</v>
    <v>39.35</v>
    <v>39.42</v>
    <v>39.454999999999998</v>
    <v>39.445</v>
    <v>39.435000000000002</v>
    <v>39.56</v>
    <v>39.655000000000001</v>
    <v>39.78</v>
    <v>39.97</v>
    <v>39.715000000000003</v>
    <v>39.914999999999999</v>
    <v>39.68</v>
    <v>39.734999999999999</v>
    <v>39.805</v>
    <v>39.69</v>
    <v>39.914999999999999</v>
    <v>39.954999999999998</v>
    <v>39.965000000000003</v>
    <v>39.994999999999997</v>
    <v>39.97</v>
    <v>40</v>
    <v>40.094999999999999</v>
    <v>40.08</v>
    <v>40.130000000000003</v>
    <v>40.200000000000003</v>
    <v>40.265000000000001</v>
    <v>40.255000000000003</v>
    <v>40.380000000000003</v>
    <v>40.31</v>
    <v>40.244999999999997</v>
    <v>40.384999999999998</v>
    <v>40.409999999999997</v>
    <v>40.44</v>
    <v>40.369999999999997</v>
    <v>40.395000000000003</v>
    <v>40.450000000000003</v>
    <v>40.42</v>
    <v>40.564999999999998</v>
    <v>40.5</v>
    <v>40.405000000000001</v>
    <v>40.465000000000003</v>
    <v>40.549999999999997</v>
    <v>40.445</v>
    <v>40.524999999999999</v>
    <v>40.545000000000002</v>
    <v>40.445</v>
    <v>40.479999999999997</v>
    <v>40.5</v>
    <v>40.555</v>
    <v>40.545000000000002</v>
    <v>40.484999999999999</v>
    <v>40.44</v>
    <v>40.29</v>
    <v>40.204999999999998</v>
    <v>40.22</v>
    <v>40.21</v>
    <v>40.200000000000003</v>
    <v>40.17</v>
    <v>40.340000000000003</v>
    <v>40.405000000000001</v>
    <v>40.314999999999998</v>
    <v>40.295000000000002</v>
    <v>40.369999999999997</v>
    <v>40.445</v>
    <v>40.645000000000003</v>
    <v>40.79</v>
    <v>40.945</v>
    <v>40.96</v>
    <v>40.945</v>
    <v>41.06</v>
    <v>40.994999999999997</v>
    <v>41.07</v>
    <v>41.104999999999997</v>
    <v>40.1</v>
    <v>40.01</v>
    <v>39.880000000000003</v>
    <v>39.65</v>
    <v>39.83</v>
    <v>39.835000000000001</v>
    <v>39.924999999999997</v>
    <v>39.744999999999997</v>
    <v>39.594999999999999</v>
    <v>39.78</v>
    <v>39.765000000000001</v>
    <v>39.825000000000003</v>
    <v>40</v>
    <v>40.17</v>
    <v>40.15</v>
    <v>40.064999999999998</v>
    <v>40.14</v>
    <v>40.075000000000003</v>
    <v>40.064999999999998</v>
    <v>40.174999999999997</v>
    <v>40.225000000000001</v>
    <v>40.255000000000003</v>
    <v>40.335000000000001</v>
    <v>40.305</v>
    <v>40.39</v>
    <v>40.369999999999997</v>
    <v>40.475000000000001</v>
    <v>40.515000000000001</v>
    <v>40.520000000000003</v>
    <v>40.594999999999999</v>
    <v>40.575000000000003</v>
    <v>40.564999999999998</v>
    <v>40.49</v>
    <v>40.115000000000002</v>
    <v>40.265000000000001</v>
    <v>40.22</v>
    <v>40.015000000000001</v>
    <v>39.89</v>
    <v>40.46</v>
    <v>40.234999999999999</v>
    <v>39.884999999999998</v>
    <v>39.784999999999997</v>
    <v>39.854999999999997</v>
    <v>39.924999999999997</v>
    <v>39.700000000000003</v>
    <v>39.405000000000001</v>
    <v>39.36</v>
    <v>39.314999999999998</v>
    <v>39.155000000000001</v>
    <v>39.484999999999999</v>
    <v>39.229999999999997</v>
    <v>39.08</v>
    <v>39.305</v>
    <v>39.17</v>
    <v>39.36</v>
    <v>39.634999999999998</v>
    <v>39.405000000000001</v>
    <v>39.905000000000001</v>
    <v>39.924999999999997</v>
    <v>39.905000000000001</v>
    <v>39.814999999999998</v>
    <v>40.04</v>
    <v>39.97</v>
    <v>39.47</v>
    <v>39.725000000000001</v>
    <v>39.65</v>
    <v>39.64</v>
    <v>39.58</v>
    <v>39.6</v>
    <v>39.409999999999997</v>
    <v>39.39</v>
    <v>39.270000000000003</v>
    <v>39.115000000000002</v>
    <v>39.075000000000003</v>
    <v>38.905000000000001</v>
    <v>39.085000000000001</v>
    <v>39.42</v>
    <v>39.424999999999997</v>
    <v>39.340000000000003</v>
    <v>39.255000000000003</v>
    <v>39.159999999999997</v>
    <v>39.340000000000003</v>
    <v>39.4</v>
    <v>39.24</v>
    <v>39.020000000000003</v>
    <v>38.96</v>
    <v>39.22</v>
    <v>39.200000000000003</v>
    <v>39.36</v>
    <v>39.645000000000003</v>
    <v>39.5</v>
    <v>39.475000000000001</v>
    <v>39.564999999999998</v>
    <v>39.74</v>
    <v>39.744999999999997</v>
    <v>39.880000000000003</v>
    <v>39.765000000000001</v>
    <v>39.625</v>
    <v>39.625</v>
    <v>39.424999999999997</v>
    <v>39.44</v>
    <v>39.505000000000003</v>
    <v>39.655000000000001</v>
    <v>39.924999999999997</v>
    <v>40.145000000000003</v>
    <v>40.115000000000002</v>
    <v>40.265000000000001</v>
    <v>40.274999999999999</v>
    <v>40.299999999999997</v>
    <v>40.354999999999997</v>
    <v>40.335000000000001</v>
    <v>40.44</v>
    <v>40.450000000000003</v>
    <v>40.54</v>
    <v>40.524999999999999</v>
    <v>40.51</v>
    <v>40.475000000000001</v>
    <v>40.564999999999998</v>
    <v>40.515000000000001</v>
    <v>40.69</v>
    <v>40.615000000000002</v>
    <v>40.284999999999997</v>
    <v>40.405000000000001</v>
    <v>40.555</v>
    <v>40.64</v>
    <v>40.5</v>
    <v>40.54</v>
    <v>39.86</v>
    <v>39.854999999999997</v>
    <v>39.875</v>
    <v>39.9</v>
    <v>39.85</v>
    <v>39.72</v>
    <v>39.85</v>
    <v>39.875</v>
    <v>39.924999999999997</v>
    <v>39.81</v>
    <v>39.69</v>
    <v>39.81</v>
    <v>39.784999999999997</v>
    <v>39.99</v>
    <v>40</v>
    <v>39.96</v>
    <v>39.99</v>
    <v>40</v>
    <v>39.905000000000001</v>
    <v>40.090000000000003</v>
    <v>40.125</v>
    <v>39.9</v>
    <v>39.954999999999998</v>
    <v>39.909999999999997</v>
    <v>39.9</v>
    <v>39.72</v>
    <v>39.875</v>
    <v>39.94</v>
    <v>39.984999999999999</v>
    <v>40.034999999999997</v>
    <v>39.935000000000002</v>
    <v>39.844999999999999</v>
    <v>39.74</v>
    <v>39.825000000000003</v>
    <v>39.795000000000002</v>
    <v>39.81</v>
    <v>40.1</v>
    <v>39.914999999999999</v>
    <v>39.96</v>
    <v>39.835000000000001</v>
    <v>39.645000000000003</v>
    <v>39.75</v>
    <v>39.674999999999997</v>
    <v>39.634999999999998</v>
    <v>39.700000000000003</v>
    <v>39.89</v>
    <v>39.765000000000001</v>
    <v>39.994999999999997</v>
    <v>40.04</v>
    <v>39.9</v>
    <v>39.704999999999998</v>
    <v>39.695</v>
    <v>39.454999999999998</v>
    <v>39.524999999999999</v>
    <v>39.715000000000003</v>
    <v>39.86</v>
    <v>39.83</v>
    <v>40.11</v>
    <v>40.270000000000003</v>
    <v>40.375</v>
    <v>40.25</v>
    <v>40.450000000000003</v>
    <v>40.630000000000003</v>
    <v>40.74</v>
    <v>40.56</v>
    <v>39.984999999999999</v>
    <v>39.795000000000002</v>
    <v>39.93</v>
    <v>40.064999999999998</v>
    <v>39.924999999999997</v>
    <v>39.909999999999997</v>
    <v>39.909999999999997</v>
  </a>
  <a r="1" c="254">
    <v>39.994999999999997</v>
    <v>39.97</v>
    <v>40</v>
    <v>40.094999999999999</v>
    <v>40.08</v>
    <v>40.130000000000003</v>
    <v>40.200000000000003</v>
    <v>40.265000000000001</v>
    <v>40.255000000000003</v>
    <v>40.380000000000003</v>
    <v>40.31</v>
    <v>40.244999999999997</v>
    <v>40.384999999999998</v>
    <v>40.409999999999997</v>
    <v>40.44</v>
    <v>40.369999999999997</v>
    <v>40.395000000000003</v>
    <v>40.450000000000003</v>
    <v>40.42</v>
    <v>40.564999999999998</v>
    <v>40.5</v>
    <v>40.405000000000001</v>
    <v>40.465000000000003</v>
    <v>40.549999999999997</v>
    <v>40.445</v>
    <v>40.524999999999999</v>
    <v>40.545000000000002</v>
    <v>40.445</v>
    <v>40.479999999999997</v>
    <v>40.5</v>
    <v>40.555</v>
    <v>40.545000000000002</v>
    <v>40.484999999999999</v>
    <v>40.44</v>
    <v>40.29</v>
    <v>40.204999999999998</v>
    <v>40.22</v>
    <v>40.21</v>
    <v>40.200000000000003</v>
    <v>40.17</v>
    <v>40.340000000000003</v>
    <v>40.405000000000001</v>
    <v>40.314999999999998</v>
    <v>40.295000000000002</v>
    <v>40.369999999999997</v>
    <v>40.445</v>
    <v>40.645000000000003</v>
    <v>40.79</v>
    <v>40.945</v>
    <v>40.96</v>
    <v>40.945</v>
    <v>41.06</v>
    <v>40.994999999999997</v>
    <v>41.07</v>
    <v>41.104999999999997</v>
    <v>40.1</v>
    <v>40.01</v>
    <v>39.880000000000003</v>
    <v>39.65</v>
    <v>39.83</v>
    <v>39.835000000000001</v>
    <v>39.924999999999997</v>
    <v>39.744999999999997</v>
    <v>39.594999999999999</v>
    <v>39.78</v>
    <v>39.765000000000001</v>
    <v>39.825000000000003</v>
    <v>40</v>
    <v>40.17</v>
    <v>40.15</v>
    <v>40.064999999999998</v>
    <v>40.14</v>
    <v>40.075000000000003</v>
    <v>40.064999999999998</v>
    <v>40.174999999999997</v>
    <v>40.225000000000001</v>
    <v>40.255000000000003</v>
    <v>40.335000000000001</v>
    <v>40.305</v>
    <v>40.39</v>
    <v>40.369999999999997</v>
    <v>40.475000000000001</v>
    <v>40.515000000000001</v>
    <v>40.520000000000003</v>
    <v>40.594999999999999</v>
    <v>40.575000000000003</v>
    <v>40.564999999999998</v>
    <v>40.49</v>
    <v>40.115000000000002</v>
    <v>40.265000000000001</v>
    <v>40.22</v>
    <v>40.015000000000001</v>
    <v>39.89</v>
    <v>40.46</v>
    <v>40.234999999999999</v>
    <v>39.884999999999998</v>
    <v>39.784999999999997</v>
    <v>39.854999999999997</v>
    <v>39.924999999999997</v>
    <v>39.700000000000003</v>
    <v>39.405000000000001</v>
    <v>39.36</v>
    <v>39.314999999999998</v>
    <v>39.155000000000001</v>
    <v>39.484999999999999</v>
    <v>39.229999999999997</v>
    <v>39.08</v>
    <v>39.305</v>
    <v>39.17</v>
    <v>39.36</v>
    <v>39.634999999999998</v>
    <v>39.405000000000001</v>
    <v>39.905000000000001</v>
    <v>39.924999999999997</v>
    <v>39.905000000000001</v>
    <v>39.814999999999998</v>
    <v>40.04</v>
    <v>39.97</v>
    <v>39.47</v>
    <v>39.725000000000001</v>
    <v>39.65</v>
    <v>39.64</v>
    <v>39.58</v>
    <v>39.6</v>
    <v>39.409999999999997</v>
    <v>39.39</v>
    <v>39.270000000000003</v>
    <v>39.115000000000002</v>
    <v>39.075000000000003</v>
    <v>38.905000000000001</v>
    <v>39.085000000000001</v>
    <v>39.42</v>
    <v>39.424999999999997</v>
    <v>39.340000000000003</v>
    <v>39.255000000000003</v>
    <v>39.159999999999997</v>
    <v>39.340000000000003</v>
    <v>39.4</v>
    <v>39.24</v>
    <v>39.020000000000003</v>
    <v>38.96</v>
    <v>39.22</v>
    <v>39.200000000000003</v>
    <v>39.36</v>
    <v>39.645000000000003</v>
    <v>39.5</v>
    <v>39.475000000000001</v>
    <v>39.564999999999998</v>
    <v>39.74</v>
    <v>39.744999999999997</v>
    <v>39.880000000000003</v>
    <v>39.765000000000001</v>
    <v>39.625</v>
    <v>39.625</v>
    <v>39.424999999999997</v>
    <v>39.44</v>
    <v>39.505000000000003</v>
    <v>39.655000000000001</v>
    <v>39.924999999999997</v>
    <v>40.145000000000003</v>
    <v>40.115000000000002</v>
    <v>40.265000000000001</v>
    <v>40.274999999999999</v>
    <v>40.299999999999997</v>
    <v>40.354999999999997</v>
    <v>40.335000000000001</v>
    <v>40.44</v>
    <v>40.450000000000003</v>
    <v>40.54</v>
    <v>40.524999999999999</v>
    <v>40.51</v>
    <v>40.475000000000001</v>
    <v>40.564999999999998</v>
    <v>40.515000000000001</v>
    <v>40.69</v>
    <v>40.615000000000002</v>
    <v>40.284999999999997</v>
    <v>40.405000000000001</v>
    <v>40.555</v>
    <v>40.64</v>
    <v>40.5</v>
    <v>40.54</v>
    <v>39.86</v>
    <v>39.854999999999997</v>
    <v>39.875</v>
    <v>39.9</v>
    <v>39.85</v>
    <v>39.72</v>
    <v>39.85</v>
    <v>39.875</v>
    <v>39.924999999999997</v>
    <v>39.81</v>
    <v>39.69</v>
    <v>39.81</v>
    <v>39.784999999999997</v>
    <v>39.99</v>
    <v>40</v>
    <v>39.96</v>
    <v>39.99</v>
    <v>40</v>
    <v>39.905000000000001</v>
    <v>40.090000000000003</v>
    <v>40.125</v>
    <v>39.9</v>
    <v>39.954999999999998</v>
    <v>39.909999999999997</v>
    <v>39.9</v>
    <v>39.72</v>
    <v>39.875</v>
    <v>39.94</v>
    <v>39.984999999999999</v>
    <v>40.034999999999997</v>
    <v>39.935000000000002</v>
    <v>39.844999999999999</v>
    <v>39.74</v>
    <v>39.825000000000003</v>
    <v>39.795000000000002</v>
    <v>39.81</v>
    <v>40.1</v>
    <v>39.914999999999999</v>
    <v>39.96</v>
    <v>39.835000000000001</v>
    <v>39.645000000000003</v>
    <v>39.75</v>
    <v>39.674999999999997</v>
    <v>39.634999999999998</v>
    <v>39.700000000000003</v>
    <v>39.89</v>
    <v>39.765000000000001</v>
    <v>39.994999999999997</v>
    <v>40.04</v>
    <v>39.9</v>
    <v>39.704999999999998</v>
    <v>39.695</v>
    <v>39.454999999999998</v>
    <v>39.524999999999999</v>
    <v>39.715000000000003</v>
    <v>39.86</v>
    <v>39.83</v>
    <v>40.11</v>
    <v>40.270000000000003</v>
    <v>40.375</v>
    <v>40.25</v>
    <v>40.450000000000003</v>
    <v>40.630000000000003</v>
    <v>40.74</v>
    <v>40.56</v>
    <v>39.984999999999999</v>
    <v>39.795000000000002</v>
    <v>39.93</v>
    <v>40.064999999999998</v>
    <v>39.924999999999997</v>
    <v>39.909999999999997</v>
    <v>39.909999999999997</v>
  </a>
  <a r="1" c="205">
    <v>37.770000000000003</v>
    <v>42.7</v>
    <v>48.24</v>
    <v>45.91</v>
    <v>43.625</v>
    <v>45.68</v>
    <v>46.03</v>
    <v>50.33</v>
    <v>52.99</v>
    <v>52.88</v>
    <v>51.89</v>
    <v>57.82</v>
    <v>54.26</v>
    <v>53.48</v>
    <v>52.26</v>
    <v>56.68</v>
    <v>52.36</v>
    <v>59.99</v>
    <v>62.94</v>
    <v>59.84</v>
    <v>53.74</v>
    <v>53.08</v>
    <v>54.39</v>
    <v>44.94</v>
    <v>39.79</v>
    <v>41.83</v>
    <v>46.15</v>
    <v>42.93</v>
    <v>42.67</v>
    <v>40.03</v>
    <v>42.22</v>
    <v>40.97</v>
    <v>42.08</v>
    <v>43.29</v>
    <v>39.979999999999997</v>
    <v>42.36</v>
    <v>45.45</v>
    <v>44.03</v>
    <v>44.24</v>
    <v>40.950000000000003</v>
    <v>41.39</v>
    <v>38.85</v>
    <v>43.84</v>
    <v>40.125</v>
    <v>36.700000000000003</v>
    <v>38.840000000000003</v>
    <v>38.119999999999997</v>
    <v>41.98</v>
    <v>41.37</v>
    <v>41.58</v>
    <v>44.94</v>
    <v>42.96</v>
    <v>42.21</v>
    <v>41.66</v>
    <v>41.29</v>
    <v>42.16</v>
    <v>41.12</v>
    <v>41.43</v>
    <v>37.450000000000003</v>
    <v>35.090000000000003</v>
    <v>31.62</v>
    <v>34.28</v>
    <v>34.090000000000003</v>
    <v>34.770000000000003</v>
    <v>35.130000000000003</v>
    <v>35.74</v>
    <v>36.83</v>
    <v>37.06</v>
    <v>39.32</v>
    <v>43.07</v>
    <v>47.37</v>
    <v>48.82</v>
    <v>47.7</v>
    <v>48.12</v>
    <v>48.72</v>
    <v>45.17</v>
    <v>48.39</v>
    <v>52.02</v>
    <v>50.64</v>
    <v>48.36</v>
    <v>44.44</v>
    <v>42.86</v>
    <v>45.51</v>
    <v>45.66</v>
    <v>49.48</v>
    <v>54.74</v>
    <v>60.98</v>
    <v>56.85</v>
    <v>61.2</v>
    <v>55.15</v>
    <v>56.56</v>
    <v>55.17</v>
    <v>58.4</v>
    <v>52.94</v>
    <v>50.46</v>
    <v>47.74</v>
    <v>52.71</v>
    <v>58.06</v>
    <v>56.83</v>
    <v>59.78</v>
    <v>67.84</v>
    <v>64.05</v>
    <v>63.54</v>
    <v>65.33</v>
    <v>66.599999999999994</v>
    <v>65.48</v>
    <v>61.86</v>
    <v>54.35</v>
    <v>59.19</v>
    <v>54.02</v>
    <v>51.52</v>
    <v>56.71</v>
    <v>59.77</v>
    <v>60.85</v>
    <v>59.18</v>
    <v>58.11</v>
    <v>59.96</v>
    <v>56.87</v>
    <v>54.72</v>
    <v>50.3</v>
    <v>47.74</v>
    <v>47.21</v>
    <v>45.91</v>
    <v>45.73</v>
    <v>43.32</v>
    <v>38.82</v>
    <v>43.91</v>
    <v>39.814999999999998</v>
    <v>43.005000000000003</v>
    <v>41.72</v>
    <v>41.14</v>
    <v>38.979999999999997</v>
    <v>38.590000000000003</v>
    <v>38.28</v>
    <v>34.83</v>
    <v>33.619999999999997</v>
    <v>40.200000000000003</v>
    <v>41.29</v>
    <v>41.28</v>
    <v>40.58</v>
    <v>37.07</v>
    <v>36.29</v>
    <v>33.93</v>
    <v>29.31</v>
    <v>38.26</v>
    <v>36.799999999999997</v>
    <v>39.75</v>
    <v>40.85</v>
    <v>38.89</v>
    <v>37.93</v>
    <v>41.23</v>
    <v>38.74</v>
    <v>39.75</v>
    <v>43.67</v>
    <v>44.76</v>
    <v>44.06</v>
    <v>44.9</v>
    <v>42</v>
    <v>42.84</v>
    <v>42.6</v>
    <v>41.88</v>
    <v>39.81</v>
    <v>42.21</v>
    <v>39.58</v>
    <v>40.53</v>
    <v>35.450000000000003</v>
    <v>37.115000000000002</v>
    <v>36.82</v>
    <v>39.6</v>
    <v>41.65</v>
    <v>44.68</v>
    <v>46.93</v>
    <v>45.37</v>
    <v>43.64</v>
    <v>43.83</v>
    <v>43.17</v>
    <v>41.58</v>
    <v>42.62</v>
    <v>43.48</v>
    <v>46.68</v>
    <v>47.23</v>
    <v>48.55</v>
    <v>47.05</v>
    <v>46.15</v>
    <v>44.125</v>
    <v>41.72</v>
    <v>41.38</v>
    <v>40.880000000000003</v>
    <v>40.65</v>
    <v>41.76</v>
    <v>40.479999999999997</v>
    <v>41.28</v>
    <v>38.69</v>
    <v>35.71</v>
    <v>35.19</v>
    <v>34.799999999999997</v>
    <v>34.799999999999997</v>
    <v>30.56</v>
    <v>30.39</v>
    <v>26.99</v>
    <v>27.73</v>
    <v>26.62</v>
    <v>27.84</v>
    <v>25.51</v>
    <v>24.905000000000001</v>
  </a>
  <a r="1" c="754">
    <v>3.2</v>
    <v>3.5</v>
    <v>3.37</v>
    <v>3.06</v>
    <v>3.2</v>
    <v>3.01</v>
    <v>3.08</v>
    <v>3.04</v>
    <v>3.48</v>
    <v>3.49</v>
    <v>3.34</v>
    <v>3.33</v>
    <v>3.08</v>
    <v>2.97</v>
    <v>2.96</v>
    <v>2.99</v>
    <v>2.91</v>
    <v>3.11</v>
    <v>2.85</v>
    <v>2.83</v>
    <v>2.94</v>
    <v>2.87</v>
    <v>3.16</v>
    <v>3.54</v>
    <v>3.8</v>
    <v>4.37</v>
    <v>4.84</v>
    <v>4.9349999999999996</v>
    <v>5.57</v>
    <v>5.38</v>
    <v>5.56</v>
    <v>5.4</v>
    <v>5.81</v>
    <v>5.82</v>
    <v>5.01</v>
    <v>5.15</v>
    <v>5.79</v>
    <v>5.87</v>
    <v>6.01</v>
    <v>6</v>
    <v>5.72</v>
    <v>5.53</v>
    <v>7.68</v>
    <v>8.3699999999999992</v>
    <v>8.7899999999999991</v>
    <v>9.56</v>
    <v>8.5399999999999991</v>
    <v>7.15</v>
    <v>6.8</v>
    <v>6.54</v>
    <v>6.74</v>
    <v>6.19</v>
    <v>6.42</v>
    <v>6.08</v>
    <v>6.45</v>
    <v>6.04</v>
    <v>5.15</v>
    <v>4.8099999999999996</v>
    <v>4.71</v>
    <v>4.33</v>
    <v>4.32</v>
    <v>4.3</v>
    <v>4.1500000000000004</v>
    <v>4</v>
    <v>4.0599999999999996</v>
    <v>4.2699999999999996</v>
    <v>4.4800000000000004</v>
    <v>4.33</v>
    <v>3.92</v>
    <v>3.75</v>
    <v>3.79</v>
    <v>3.65</v>
    <v>3.84</v>
    <v>4.12</v>
    <v>5.0999999999999996</v>
    <v>5.94</v>
    <v>6.93</v>
    <v>6.92</v>
    <v>8.3000000000000007</v>
    <v>7.74</v>
    <v>6.81</v>
    <v>6.87</v>
    <v>6.64</v>
    <v>6.63</v>
    <v>6.18</v>
    <v>6.91</v>
    <v>6.77</v>
    <v>6.05</v>
    <v>5.9</v>
    <v>5.99</v>
    <v>5.7</v>
    <v>5.09</v>
    <v>5.4</v>
    <v>5.36</v>
    <v>5.35</v>
    <v>5.08</v>
    <v>4.93</v>
    <v>4.9000000000000004</v>
    <v>4.5599999999999996</v>
    <v>4.5999999999999996</v>
    <v>4.6100000000000003</v>
    <v>4.49</v>
    <v>5.67</v>
    <v>5.65</v>
    <v>5.05</v>
    <v>5.58</v>
    <v>5.69</v>
    <v>5.37</v>
    <v>5.4</v>
    <v>6.47</v>
    <v>5.89</v>
    <v>5.56</v>
    <v>5.76</v>
    <v>5.6</v>
    <v>5.41</v>
    <v>5.01</v>
    <v>4.9000000000000004</v>
    <v>4.97</v>
    <v>4.6500000000000004</v>
    <v>4.33</v>
    <v>4.3499999999999996</v>
    <v>4.5</v>
    <v>4.68</v>
    <v>4.95</v>
    <v>5.51</v>
    <v>5.58</v>
    <v>5.25</v>
    <v>5.17</v>
    <v>5.08</v>
    <v>4.6900000000000004</v>
    <v>4.34</v>
    <v>4.33</v>
    <v>4.57</v>
    <v>4.7300000000000004</v>
    <v>5.3</v>
    <v>5.07</v>
    <v>5.13</v>
    <v>5.1100000000000003</v>
    <v>4.79</v>
    <v>4.8499999999999996</v>
    <v>4.87</v>
    <v>5.2</v>
    <v>5.83</v>
    <v>6.02</v>
    <v>6.36</v>
    <v>7.4</v>
    <v>7.76</v>
    <v>7.07</v>
    <v>7.83</v>
    <v>7.89</v>
    <v>7.74</v>
    <v>7.41</v>
    <v>7.79</v>
    <v>8</v>
    <v>8.89</v>
    <v>9.06</v>
    <v>10.27</v>
    <v>10.53</v>
    <v>10.31</v>
    <v>12.35</v>
    <v>13.55</v>
    <v>13.7</v>
    <v>13.22</v>
    <v>14.45</v>
    <v>13.95</v>
    <v>13.9</v>
    <v>13.28</v>
    <v>12.63</v>
    <v>12.99</v>
    <v>12.27</v>
    <v>11.79</v>
    <v>11.29</v>
    <v>12.62</v>
    <v>14.39</v>
    <v>14.35</v>
    <v>15.03</v>
    <v>14.63</v>
    <v>12.82</v>
    <v>12.9</v>
    <v>11.2</v>
    <v>12.31</v>
    <v>11.994999999999999</v>
    <v>12.34</v>
    <v>11.26</v>
    <v>10.23</v>
    <v>11.3</v>
    <v>11.58</v>
    <v>10.89</v>
    <v>10.205</v>
    <v>9.43</v>
    <v>9.5399999999999991</v>
    <v>9.7200000000000006</v>
    <v>9.3800000000000008</v>
    <v>10.07</v>
    <v>9.2899999999999991</v>
    <v>8.6199999999999992</v>
    <v>8.3800000000000008</v>
    <v>7.92</v>
    <v>6.76</v>
    <v>7.6</v>
    <v>7.51</v>
    <v>7.58</v>
    <v>7.35</v>
    <v>7.25</v>
    <v>7.47</v>
    <v>7.97</v>
    <v>8.1199999999999992</v>
    <v>8.1300000000000008</v>
    <v>8.68</v>
    <v>8.1</v>
    <v>8.6199999999999992</v>
    <v>8.1300000000000008</v>
    <v>7.86</v>
    <v>7.42</v>
    <v>8.52</v>
    <v>7.91</v>
    <v>6.9</v>
    <v>6.72</v>
    <v>6.77</v>
    <v>6.44</v>
    <v>7.13</v>
    <v>7.53</v>
    <v>7.53</v>
    <v>7.39</v>
    <v>7.56</v>
    <v>7.73</v>
    <v>8.0299999999999994</v>
    <v>7.72</v>
    <v>7.79</v>
    <v>7.51</v>
    <v>7.93</v>
    <v>8.98</v>
    <v>8.73</v>
    <v>9.1300000000000008</v>
    <v>8.85</v>
    <v>8.44</v>
    <v>7.73</v>
    <v>7.8</v>
    <v>7.84</v>
    <v>8.68</v>
    <v>8.35</v>
    <v>8.0500000000000007</v>
    <v>7.51</v>
    <v>7.33</v>
    <v>7.74</v>
    <v>8.5299999999999994</v>
    <v>8.73</v>
    <v>9.35</v>
    <v>8.9499999999999993</v>
    <v>9.49</v>
    <v>9.6199999999999992</v>
    <v>9.2799999999999994</v>
    <v>8.68</v>
    <v>9.24</v>
    <v>9.25</v>
    <v>10.9</v>
    <v>10.55</v>
    <v>10.32</v>
    <v>9.1199999999999992</v>
    <v>9.0500000000000007</v>
    <v>8.51</v>
    <v>8.94</v>
    <v>11.04</v>
    <v>11.21</v>
    <v>10.99</v>
    <v>12.75</v>
    <v>12.4</v>
    <v>10.88</v>
    <v>10.33</v>
    <v>10.67</v>
    <v>10.25</v>
    <v>10.41</v>
    <v>10.1</v>
    <v>9.7200000000000006</v>
    <v>10.78</v>
    <v>10.41</v>
    <v>9.56</v>
    <v>12.4</v>
    <v>13.51</v>
    <v>12.62</v>
    <v>12.93</v>
    <v>14.27</v>
    <v>14.15</v>
    <v>15.39</v>
    <v>14.51</v>
    <v>13.36</v>
    <v>13.61</v>
    <v>13.43</v>
    <v>13.11</v>
    <v>13.91</v>
    <v>13.73</v>
    <v>12.13</v>
    <v>11.414999999999999</v>
    <v>11.81</v>
    <v>11.25</v>
    <v>11.81</v>
    <v>11.34</v>
    <v>10.71</v>
    <v>9.94</v>
    <v>9.82</v>
    <v>10.46</v>
    <v>11.34</v>
    <v>11.77</v>
    <v>11.38</v>
    <v>10.51</v>
    <v>11</v>
    <v>10.46</v>
    <v>10.97</v>
    <v>11.55</v>
    <v>11.45</v>
    <v>11.99</v>
    <v>10.81</v>
    <v>11.66</v>
    <v>12.28</v>
    <v>13.32</v>
    <v>10.09</v>
    <v>10.08</v>
    <v>9.98</v>
    <v>10.3</v>
    <v>10.220000000000001</v>
    <v>10.68</v>
    <v>10.68</v>
    <v>11.07</v>
    <v>11.59</v>
    <v>12.47</v>
    <v>12.86</v>
    <v>12.42</v>
    <v>13.01</v>
    <v>13.08</v>
    <v>13.01</v>
    <v>12.97</v>
    <v>13</v>
    <v>12.36</v>
    <v>10.88</v>
    <v>10.16</v>
    <v>8.7799999999999994</v>
    <v>8.49</v>
    <v>7.86</v>
    <v>8.24</v>
    <v>7.57</v>
    <v>7.54</v>
    <v>8.06</v>
    <v>7.62</v>
    <v>7.7</v>
    <v>6.62</v>
    <v>7.05</v>
    <v>7.04</v>
    <v>6.75</v>
    <v>7.21</v>
    <v>7.35</v>
    <v>6.59</v>
    <v>7.2</v>
    <v>7.21</v>
    <v>7.15</v>
    <v>7.69</v>
    <v>7.4</v>
    <v>6.71</v>
    <v>6.46</v>
    <v>6.07</v>
    <v>6.09</v>
    <v>6.64</v>
    <v>6.76</v>
    <v>6.04</v>
    <v>5.94</v>
    <v>5.88</v>
    <v>5.3</v>
    <v>5.9</v>
    <v>5.49</v>
    <v>5.63</v>
    <v>5.75</v>
    <v>5.45</v>
    <v>5.47</v>
    <v>5.59</v>
    <v>5.51</v>
    <v>6.06</v>
    <v>6.1</v>
    <v>6.3</v>
    <v>6.54</v>
    <v>6.39</v>
    <v>6.27</v>
    <v>6.11</v>
    <v>6.37</v>
    <v>6.53</v>
    <v>6.19</v>
    <v>6.5</v>
    <v>6.57</v>
    <v>6.89</v>
    <v>7.04</v>
    <v>7.51</v>
    <v>8.1199999999999992</v>
    <v>7.97</v>
    <v>7.75</v>
    <v>8.41</v>
    <v>8.5399999999999991</v>
    <v>8.61</v>
    <v>8.89</v>
    <v>9.2799999999999994</v>
    <v>9.1199999999999992</v>
    <v>9.24</v>
    <v>8.86</v>
    <v>8.6</v>
    <v>8.39</v>
    <v>8.73</v>
    <v>8.89</v>
    <v>9.43</v>
    <v>8.9499999999999993</v>
    <v>9.75</v>
    <v>10.34</v>
    <v>10.49</v>
    <v>10.3</v>
    <v>10.17</v>
    <v>9.83</v>
    <v>10.4</v>
    <v>9.77</v>
    <v>9.8000000000000007</v>
    <v>10.47</v>
    <v>10.66</v>
    <v>11.54</v>
    <v>11.87</v>
    <v>13.11</v>
    <v>14</v>
    <v>14.57</v>
    <v>15.23</v>
    <v>15.66</v>
    <v>16.82</v>
    <v>16.95</v>
    <v>16.89</v>
    <v>16.96</v>
    <v>17.03</v>
    <v>16.23</v>
    <v>17.28</v>
    <v>16.88</v>
    <v>17.309999999999999</v>
    <v>18.05</v>
    <v>17.940000000000001</v>
    <v>18.149999999999999</v>
    <v>18.59</v>
    <v>18.989999999999998</v>
    <v>18.14</v>
    <v>17.72</v>
    <v>16.579999999999998</v>
    <v>15.79</v>
    <v>16.14</v>
    <v>16.11</v>
    <v>15.4</v>
    <v>16.48</v>
    <v>16.45</v>
    <v>18.32</v>
    <v>18.57</v>
    <v>18.45</v>
    <v>17.97</v>
    <v>17.829999999999998</v>
    <v>17.73</v>
    <v>19.079999999999998</v>
    <v>19.690000000000001</v>
    <v>20.704999999999998</v>
    <v>18.73</v>
    <v>19.760000000000002</v>
    <v>19.59</v>
    <v>21.43</v>
    <v>23.12</v>
    <v>22.99</v>
    <v>22.355</v>
    <v>23.04</v>
    <v>26.48</v>
    <v>29.11</v>
    <v>28.21</v>
    <v>26.13</v>
    <v>26.15</v>
    <v>26.19</v>
    <v>30.19</v>
    <v>33.630000000000003</v>
    <v>32.85</v>
    <v>33.96</v>
    <v>37.14</v>
    <v>36.450000000000003</v>
    <v>37.9</v>
    <v>36.32</v>
    <v>38.64</v>
    <v>41.9</v>
    <v>41.77</v>
    <v>47.14</v>
    <v>46.29</v>
    <v>41.86</v>
    <v>45.93</v>
    <v>46.93</v>
    <v>47.08</v>
    <v>47.02</v>
    <v>50.46</v>
    <v>57.75</v>
    <v>61.68</v>
    <v>60.09</v>
    <v>63.85</v>
    <v>59.77</v>
    <v>64.14</v>
    <v>69.56</v>
    <v>67.98</v>
    <v>61.83</v>
    <v>60.72</v>
    <v>59.22</v>
    <v>55.195</v>
    <v>51.83</v>
    <v>55.86</v>
    <v>62.9</v>
    <v>64.989999999999995</v>
    <v>62.42</v>
    <v>60.42</v>
    <v>58.22</v>
    <v>60.75</v>
    <v>67.75</v>
    <v>66.63</v>
    <v>76.41</v>
    <v>66.959999999999994</v>
    <v>62.38</v>
    <v>60.17</v>
    <v>57.38</v>
    <v>55.7</v>
    <v>48.65</v>
    <v>46.37</v>
    <v>47.41</v>
    <v>48.85</v>
    <v>45.83</v>
    <v>43.47</v>
    <v>42.26</v>
    <v>48.49</v>
    <v>47.47</v>
    <v>48.45</v>
    <v>47.81</v>
    <v>48.49</v>
    <v>41.12</v>
    <v>43.96</v>
    <v>46.45</v>
    <v>44.71</v>
    <v>46.34</v>
    <v>46.84</v>
    <v>43.92</v>
    <v>43.94</v>
    <v>40.130000000000003</v>
    <v>35.479999999999997</v>
    <v>36.590000000000003</v>
    <v>33.78</v>
    <v>35.799999999999997</v>
    <v>39.92</v>
    <v>42.04</v>
    <v>42.07</v>
    <v>41.98</v>
    <v>40.299999999999997</v>
    <v>39.409999999999997</v>
    <v>38.299999999999997</v>
    <v>37.770000000000003</v>
    <v>42.7</v>
    <v>48.24</v>
    <v>45.91</v>
    <v>43.625</v>
    <v>45.68</v>
    <v>46.03</v>
    <v>50.33</v>
    <v>52.99</v>
    <v>52.88</v>
    <v>51.89</v>
    <v>57.82</v>
    <v>54.26</v>
    <v>53.48</v>
    <v>52.26</v>
    <v>56.68</v>
    <v>52.36</v>
    <v>59.99</v>
    <v>62.94</v>
    <v>59.84</v>
    <v>53.74</v>
    <v>53.08</v>
    <v>54.39</v>
    <v>44.94</v>
    <v>39.79</v>
    <v>41.83</v>
    <v>46.15</v>
    <v>42.93</v>
    <v>42.67</v>
    <v>40.03</v>
    <v>42.22</v>
    <v>40.97</v>
    <v>42.08</v>
    <v>43.29</v>
    <v>39.979999999999997</v>
    <v>42.36</v>
    <v>45.45</v>
    <v>44.03</v>
    <v>44.24</v>
    <v>40.950000000000003</v>
    <v>41.39</v>
    <v>38.85</v>
    <v>43.84</v>
    <v>40.125</v>
    <v>36.700000000000003</v>
    <v>38.840000000000003</v>
    <v>38.119999999999997</v>
    <v>41.98</v>
    <v>41.37</v>
    <v>41.58</v>
    <v>44.94</v>
    <v>42.96</v>
    <v>42.21</v>
    <v>41.66</v>
    <v>41.29</v>
    <v>42.16</v>
    <v>41.12</v>
    <v>41.43</v>
    <v>37.450000000000003</v>
    <v>35.090000000000003</v>
    <v>31.62</v>
    <v>34.28</v>
    <v>34.090000000000003</v>
    <v>34.770000000000003</v>
    <v>35.130000000000003</v>
    <v>35.74</v>
    <v>36.83</v>
    <v>37.06</v>
    <v>39.32</v>
    <v>43.07</v>
    <v>47.37</v>
    <v>48.82</v>
    <v>47.7</v>
    <v>48.12</v>
    <v>48.72</v>
    <v>45.17</v>
    <v>48.39</v>
    <v>52.02</v>
    <v>50.64</v>
    <v>48.36</v>
    <v>44.44</v>
    <v>42.86</v>
    <v>45.51</v>
    <v>45.66</v>
    <v>49.48</v>
    <v>54.74</v>
    <v>60.98</v>
    <v>56.85</v>
    <v>61.2</v>
    <v>55.15</v>
    <v>56.56</v>
    <v>55.17</v>
    <v>58.4</v>
    <v>52.94</v>
    <v>50.46</v>
    <v>47.74</v>
    <v>52.71</v>
    <v>58.06</v>
    <v>56.83</v>
    <v>59.78</v>
    <v>67.84</v>
    <v>64.05</v>
    <v>63.54</v>
    <v>65.33</v>
    <v>66.599999999999994</v>
    <v>65.48</v>
    <v>61.86</v>
    <v>54.35</v>
    <v>59.19</v>
    <v>54.02</v>
    <v>51.52</v>
    <v>56.71</v>
    <v>59.77</v>
    <v>60.85</v>
    <v>59.18</v>
    <v>58.11</v>
    <v>59.96</v>
    <v>56.87</v>
    <v>54.72</v>
    <v>50.3</v>
    <v>47.74</v>
    <v>47.21</v>
    <v>45.91</v>
    <v>45.73</v>
    <v>43.32</v>
    <v>38.82</v>
    <v>43.91</v>
    <v>39.814999999999998</v>
    <v>43.005000000000003</v>
    <v>41.72</v>
    <v>41.14</v>
    <v>38.979999999999997</v>
    <v>38.590000000000003</v>
    <v>38.28</v>
    <v>34.83</v>
    <v>33.619999999999997</v>
    <v>40.200000000000003</v>
    <v>41.29</v>
    <v>41.28</v>
    <v>40.58</v>
    <v>37.07</v>
    <v>36.29</v>
    <v>33.93</v>
    <v>29.31</v>
    <v>38.26</v>
    <v>36.799999999999997</v>
    <v>39.75</v>
    <v>40.85</v>
    <v>38.89</v>
    <v>37.93</v>
    <v>41.23</v>
    <v>38.74</v>
    <v>39.75</v>
    <v>43.67</v>
    <v>44.76</v>
    <v>44.06</v>
    <v>44.9</v>
    <v>42</v>
    <v>42.84</v>
    <v>42.6</v>
    <v>41.88</v>
    <v>39.81</v>
    <v>42.21</v>
    <v>39.58</v>
    <v>40.53</v>
    <v>35.450000000000003</v>
    <v>37.115000000000002</v>
    <v>36.82</v>
    <v>39.6</v>
    <v>41.65</v>
    <v>44.68</v>
    <v>46.93</v>
    <v>45.37</v>
    <v>43.64</v>
    <v>43.83</v>
    <v>43.17</v>
    <v>41.58</v>
    <v>42.62</v>
    <v>43.48</v>
    <v>46.68</v>
    <v>47.23</v>
    <v>48.55</v>
    <v>47.05</v>
    <v>46.15</v>
    <v>44.125</v>
    <v>41.72</v>
    <v>41.38</v>
    <v>40.880000000000003</v>
    <v>40.65</v>
    <v>41.76</v>
    <v>40.479999999999997</v>
    <v>41.28</v>
    <v>38.69</v>
    <v>35.71</v>
    <v>35.19</v>
    <v>34.799999999999997</v>
    <v>34.799999999999997</v>
    <v>30.56</v>
    <v>30.39</v>
    <v>26.99</v>
    <v>27.73</v>
    <v>26.62</v>
    <v>27.84</v>
    <v>25.51</v>
    <v>24.905000000000001</v>
  </a>
  <a r="1" c="252">
    <v>55.86</v>
    <v>62.9</v>
    <v>64.989999999999995</v>
    <v>62.42</v>
    <v>60.42</v>
    <v>58.22</v>
    <v>60.75</v>
    <v>67.75</v>
    <v>66.63</v>
    <v>76.41</v>
    <v>66.959999999999994</v>
    <v>62.38</v>
    <v>60.17</v>
    <v>57.38</v>
    <v>55.7</v>
    <v>48.65</v>
    <v>46.37</v>
    <v>47.41</v>
    <v>48.85</v>
    <v>45.83</v>
    <v>43.47</v>
    <v>42.26</v>
    <v>48.49</v>
    <v>47.47</v>
    <v>48.45</v>
    <v>47.81</v>
    <v>48.49</v>
    <v>41.12</v>
    <v>43.96</v>
    <v>46.45</v>
    <v>44.71</v>
    <v>46.34</v>
    <v>46.84</v>
    <v>43.92</v>
    <v>43.94</v>
    <v>40.130000000000003</v>
    <v>35.479999999999997</v>
    <v>36.590000000000003</v>
    <v>33.78</v>
    <v>35.799999999999997</v>
    <v>39.92</v>
    <v>42.04</v>
    <v>42.07</v>
    <v>41.98</v>
    <v>40.299999999999997</v>
    <v>39.409999999999997</v>
    <v>38.299999999999997</v>
    <v>37.770000000000003</v>
    <v>42.7</v>
    <v>48.24</v>
    <v>45.91</v>
    <v>43.625</v>
    <v>45.68</v>
    <v>46.03</v>
    <v>50.33</v>
    <v>52.99</v>
    <v>52.88</v>
    <v>51.89</v>
    <v>57.82</v>
    <v>54.26</v>
    <v>53.48</v>
    <v>52.26</v>
    <v>56.68</v>
    <v>52.36</v>
    <v>59.99</v>
    <v>62.94</v>
    <v>59.84</v>
    <v>53.74</v>
    <v>53.08</v>
    <v>54.39</v>
    <v>44.94</v>
    <v>39.79</v>
    <v>41.83</v>
    <v>46.15</v>
    <v>42.93</v>
    <v>42.67</v>
    <v>40.03</v>
    <v>42.22</v>
    <v>40.97</v>
    <v>42.08</v>
    <v>43.29</v>
    <v>39.979999999999997</v>
    <v>42.36</v>
    <v>45.45</v>
    <v>44.03</v>
    <v>44.24</v>
    <v>40.950000000000003</v>
    <v>41.39</v>
    <v>38.85</v>
    <v>43.84</v>
    <v>40.125</v>
    <v>36.700000000000003</v>
    <v>38.840000000000003</v>
    <v>38.119999999999997</v>
    <v>41.98</v>
    <v>41.37</v>
    <v>41.58</v>
    <v>44.94</v>
    <v>42.96</v>
    <v>42.21</v>
    <v>41.66</v>
    <v>41.29</v>
    <v>42.16</v>
    <v>41.12</v>
    <v>41.43</v>
    <v>37.450000000000003</v>
    <v>35.090000000000003</v>
    <v>31.62</v>
    <v>34.28</v>
    <v>34.090000000000003</v>
    <v>34.770000000000003</v>
    <v>35.130000000000003</v>
    <v>35.74</v>
    <v>36.83</v>
    <v>37.06</v>
    <v>39.32</v>
    <v>43.07</v>
    <v>47.37</v>
    <v>48.82</v>
    <v>47.7</v>
    <v>48.12</v>
    <v>48.72</v>
    <v>45.17</v>
    <v>48.39</v>
    <v>52.02</v>
    <v>50.64</v>
    <v>48.36</v>
    <v>44.44</v>
    <v>42.86</v>
    <v>45.51</v>
    <v>45.66</v>
    <v>49.48</v>
    <v>54.74</v>
    <v>60.98</v>
    <v>56.85</v>
    <v>61.2</v>
    <v>55.15</v>
    <v>56.56</v>
    <v>55.17</v>
    <v>58.4</v>
    <v>52.94</v>
    <v>50.46</v>
    <v>47.74</v>
    <v>52.71</v>
    <v>58.06</v>
    <v>56.83</v>
    <v>59.78</v>
    <v>67.84</v>
    <v>64.05</v>
    <v>63.54</v>
    <v>65.33</v>
    <v>66.599999999999994</v>
    <v>65.48</v>
    <v>61.86</v>
    <v>54.35</v>
    <v>59.19</v>
    <v>54.02</v>
    <v>51.52</v>
    <v>56.71</v>
    <v>59.77</v>
    <v>60.85</v>
    <v>59.18</v>
    <v>58.11</v>
    <v>59.96</v>
    <v>56.87</v>
    <v>54.72</v>
    <v>50.3</v>
    <v>47.74</v>
    <v>47.21</v>
    <v>45.91</v>
    <v>45.73</v>
    <v>43.32</v>
    <v>38.82</v>
    <v>43.91</v>
    <v>39.814999999999998</v>
    <v>43.005000000000003</v>
    <v>41.72</v>
    <v>41.14</v>
    <v>38.979999999999997</v>
    <v>38.590000000000003</v>
    <v>38.28</v>
    <v>34.83</v>
    <v>33.619999999999997</v>
    <v>40.200000000000003</v>
    <v>41.29</v>
    <v>41.28</v>
    <v>40.58</v>
    <v>37.07</v>
    <v>36.29</v>
    <v>33.93</v>
    <v>29.31</v>
    <v>38.26</v>
    <v>36.799999999999997</v>
    <v>39.75</v>
    <v>40.85</v>
    <v>38.89</v>
    <v>37.93</v>
    <v>41.23</v>
    <v>38.74</v>
    <v>39.75</v>
    <v>43.67</v>
    <v>44.76</v>
    <v>44.06</v>
    <v>44.9</v>
    <v>42</v>
    <v>42.84</v>
    <v>42.6</v>
    <v>41.88</v>
    <v>39.81</v>
    <v>42.21</v>
    <v>39.58</v>
    <v>40.53</v>
    <v>35.450000000000003</v>
    <v>37.115000000000002</v>
    <v>36.82</v>
    <v>39.6</v>
    <v>41.65</v>
    <v>44.68</v>
    <v>46.93</v>
    <v>45.37</v>
    <v>43.64</v>
    <v>43.83</v>
    <v>43.17</v>
    <v>41.58</v>
    <v>42.62</v>
    <v>43.48</v>
    <v>46.68</v>
    <v>47.23</v>
    <v>48.55</v>
    <v>47.05</v>
    <v>46.15</v>
    <v>44.125</v>
    <v>41.72</v>
    <v>41.38</v>
    <v>40.880000000000003</v>
    <v>40.65</v>
    <v>41.76</v>
    <v>40.479999999999997</v>
    <v>41.28</v>
    <v>38.69</v>
    <v>35.71</v>
    <v>35.19</v>
    <v>34.799999999999997</v>
    <v>34.799999999999997</v>
    <v>30.56</v>
    <v>30.39</v>
    <v>26.99</v>
    <v>27.73</v>
    <v>26.62</v>
    <v>27.84</v>
    <v>25.51</v>
    <v>24.905000000000001</v>
  </a>
  <a r="1" c="205">
    <v>237.38</v>
    <v>275.24</v>
    <v>274.08</v>
    <v>349.63</v>
    <v>353.56</v>
    <v>334.54</v>
    <v>377.41</v>
    <v>389.27</v>
    <v>389.81</v>
    <v>387.81</v>
    <v>409.24</v>
    <v>413.62</v>
    <v>453.12</v>
    <v>501.29</v>
    <v>503.44</v>
    <v>473.83</v>
    <v>470.8</v>
    <v>481.43</v>
    <v>527.63</v>
    <v>539.29999999999995</v>
    <v>576.25</v>
    <v>665.24</v>
    <v>695.51</v>
    <v>584.54999999999995</v>
    <v>576.20000000000005</v>
    <v>597.95000000000005</v>
    <v>583.4</v>
    <v>541.64</v>
    <v>599.34</v>
    <v>630.29</v>
    <v>626.55999999999995</v>
    <v>590.59</v>
    <v>600.4</v>
    <v>621.09</v>
    <v>649.97</v>
    <v>666.49</v>
    <v>638.52</v>
    <v>632.38</v>
    <v>651.9</v>
    <v>635.36</v>
    <v>619.08000000000004</v>
    <v>565.41</v>
    <v>599.05999999999995</v>
    <v>565.59</v>
    <v>527.33000000000004</v>
    <v>588.73</v>
    <v>618.89</v>
    <v>655.43</v>
    <v>618.82000000000005</v>
    <v>661.62</v>
    <v>703.63</v>
    <v>720.17</v>
    <v>753.69</v>
    <v>772.09</v>
    <v>709.71</v>
    <v>702.49</v>
    <v>702.48</v>
    <v>677.86</v>
    <v>603.16999999999996</v>
    <v>615.83000000000004</v>
    <v>572.5</v>
    <v>635.34</v>
    <v>692.73</v>
    <v>701.59</v>
    <v>724.63</v>
    <v>710.8</v>
    <v>780.9</v>
    <v>851.57</v>
    <v>851.77</v>
    <v>952.5</v>
    <v>944.46</v>
    <v>891.72</v>
    <v>919.47</v>
    <v>920.99</v>
    <v>913.02</v>
    <v>903.49</v>
    <v>979.07</v>
    <v>932.43</v>
    <v>989.9</v>
    <v>1070.2</v>
    <v>1002.35</v>
    <v>1064.21</v>
    <v>1096.51</v>
    <v>1187</v>
    <v>1255.8599999999999</v>
    <v>1406.32</v>
    <v>1409.98</v>
    <v>1339.96</v>
    <v>1562.34</v>
    <v>1547.56</v>
    <v>1452.02</v>
    <v>1447.23</v>
    <v>1382.72</v>
    <v>1407.61</v>
    <v>1333.01</v>
    <v>1383.29</v>
    <v>1392.56</v>
    <v>1542.24</v>
    <v>1478.69</v>
    <v>1589.55</v>
    <v>1589.94</v>
    <v>1641.64</v>
    <v>1694.98</v>
    <v>1761.43</v>
    <v>1716.36</v>
    <v>1831.5</v>
    <v>1759.68</v>
    <v>1559.32</v>
    <v>1642</v>
    <v>1646.54</v>
    <v>1643.23</v>
    <v>1881.51</v>
    <v>1980.1</v>
    <v>2107.86</v>
    <v>1991.55</v>
    <v>1958.8</v>
    <v>2184.75</v>
    <v>2273.73</v>
    <v>1963.6</v>
    <v>1914.46</v>
    <v>2335</v>
    <v>2090.71</v>
    <v>2050.39</v>
    <v>2273.73</v>
    <v>2032.22</v>
    <v>1745</v>
    <v>1744.43</v>
    <v>1617.7</v>
    <v>1727.18</v>
    <v>1858.27</v>
    <v>1915.92</v>
    <v>1673.97</v>
    <v>1757.82</v>
    <v>1615</v>
    <v>1411.08</v>
    <v>1354.82</v>
    <v>1390.95</v>
    <v>1589.4</v>
    <v>1599.27</v>
    <v>1610.33</v>
    <v>1436.56</v>
    <v>1278.23</v>
    <v>1096.0999999999999</v>
    <v>1015.89</v>
    <v>1279.96</v>
    <v>1214.83</v>
    <v>1288.03</v>
    <v>1427.62</v>
    <v>1350.5</v>
    <v>1258.58</v>
    <v>1212.21</v>
    <v>1237.92</v>
    <v>1271.05</v>
    <v>1344.29</v>
    <v>1528.11</v>
    <v>1641.11</v>
    <v>1786.85</v>
    <v>1625.78</v>
    <v>1568.87</v>
    <v>1600.62</v>
    <v>1596.08</v>
    <v>1493.12</v>
    <v>1480.77</v>
    <v>1499.37</v>
    <v>1484.95</v>
    <v>1484.98</v>
    <v>1566.7</v>
    <v>1536.87</v>
    <v>1553.4</v>
    <v>1554.99</v>
    <v>1740</v>
    <v>1737.99</v>
    <v>1764.17</v>
    <v>1692.59</v>
    <v>1633.35</v>
    <v>1551.99</v>
    <v>1530.895</v>
    <v>1519.97</v>
    <v>1614.39</v>
    <v>1791.82</v>
    <v>1766.64</v>
    <v>1887.04</v>
    <v>1816.57</v>
    <v>1753.62</v>
    <v>1777.8</v>
    <v>1712.89</v>
    <v>1729.76</v>
    <v>1739.89</v>
    <v>1787.69</v>
    <v>1719.99</v>
    <v>1704.16</v>
    <v>1660.46</v>
    <v>1692.42</v>
    <v>1609.46</v>
    <v>1581.82</v>
    <v>1487.33</v>
    <v>1482.33</v>
    <v>1403.34</v>
    <v>1394.83</v>
    <v>1299.3</v>
    <v>1371.12</v>
    <v>1365.38</v>
    <v>1378.22</v>
    <v>1260.93</v>
    <v>1238.03</v>
  </a>
  <a r="1" c="427">
    <v t="i">478</v>
    <v t="i">479</v>
    <v t="i">480</v>
    <v t="i">484</v>
    <v t="i">485</v>
    <v t="i">486</v>
    <v t="i">487</v>
    <v t="i">490</v>
    <v t="i">491</v>
    <v t="i">492</v>
    <v t="i">493</v>
    <v t="i">494</v>
    <v t="i">497</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546</v>
    <v t="i">547</v>
    <v t="i">548</v>
    <v t="i">549</v>
    <v t="i">550</v>
    <v t="i">553</v>
    <v t="i">554</v>
    <v t="i">555</v>
    <v t="i">556</v>
    <v t="i">557</v>
    <v t="i">560</v>
    <v t="i">561</v>
    <v t="i">562</v>
    <v t="i">563</v>
    <v t="i">564</v>
    <v t="i">567</v>
    <v t="i">568</v>
    <v t="i">569</v>
    <v t="i">570</v>
    <v t="i">571</v>
    <v t="i">574</v>
    <v t="i">575</v>
    <v t="i">576</v>
    <v t="i">577</v>
    <v t="i">578</v>
    <v t="i">582</v>
    <v t="i">583</v>
    <v t="i">584</v>
    <v t="i">585</v>
    <v t="i">588</v>
    <v t="i">589</v>
    <v t="i">590</v>
    <v t="i">591</v>
    <v t="i">592</v>
    <v t="i">595</v>
    <v t="i">596</v>
    <v t="i">597</v>
    <v t="i">598</v>
    <v t="i">599</v>
    <v t="i">602</v>
    <v t="i">603</v>
    <v t="i">604</v>
    <v t="i">606</v>
    <v t="i">609</v>
    <v t="i">610</v>
    <v t="i">611</v>
    <v t="i">612</v>
    <v t="i">613</v>
    <v t="i">616</v>
    <v t="i">617</v>
    <v t="i">618</v>
    <v t="i">619</v>
    <v t="i">623</v>
    <v t="i">624</v>
    <v t="i">625</v>
    <v t="i">626</v>
    <v t="i">627</v>
    <v t="i">630</v>
    <v t="i">631</v>
    <v t="i">632</v>
    <v t="i">633</v>
    <v t="i">634</v>
    <v t="i">637</v>
    <v t="i">638</v>
    <v t="i">639</v>
    <v t="i">640</v>
    <v t="i">641</v>
    <v t="i">644</v>
    <v t="i">645</v>
    <v t="i">646</v>
    <v t="i">647</v>
    <v t="i">648</v>
    <v t="i">651</v>
    <v t="i">652</v>
    <v t="i">653</v>
    <v t="i">654</v>
    <v t="i">655</v>
    <v t="i">658</v>
    <v t="i">659</v>
    <v t="i">660</v>
    <v t="i">661</v>
    <v t="i">662</v>
    <v t="i">665</v>
    <v t="i">666</v>
    <v t="i">667</v>
    <v t="i">668</v>
    <v t="i">669</v>
    <v t="i">672</v>
    <v t="i">673</v>
    <v t="i">674</v>
    <v t="i">675</v>
    <v t="i">676</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750</v>
    <v t="i">751</v>
    <v t="i">752</v>
    <v t="i">753</v>
    <v t="i">756</v>
    <v t="i">757</v>
    <v t="i">758</v>
    <v t="i">759</v>
    <v t="i">760</v>
    <v t="i">763</v>
    <v t="i">764</v>
    <v t="i">765</v>
    <v t="i">767</v>
    <v t="i">770</v>
    <v t="i">771</v>
    <v t="i">772</v>
    <v t="i">773</v>
    <v t="i">774</v>
    <v t="i">777</v>
    <v t="i">778</v>
    <v t="i">779</v>
    <v t="i">780</v>
    <v t="i">781</v>
    <v t="i">784</v>
    <v t="i">785</v>
    <v t="i">786</v>
    <v t="i">787</v>
    <v t="i">788</v>
    <v t="i">791</v>
    <v t="i">792</v>
    <v t="i">793</v>
    <v t="i">795</v>
    <v t="i">798</v>
    <v t="i">799</v>
    <v t="i">800</v>
    <v t="i">802</v>
    <v t="i">805</v>
    <v t="i">806</v>
    <v t="i">807</v>
    <v t="i">808</v>
    <v t="i">809</v>
    <v t="i">812</v>
    <v t="i">813</v>
    <v t="i">814</v>
    <v t="i">815</v>
    <v t="i">816</v>
    <v t="i">820</v>
    <v t="i">821</v>
    <v t="i">822</v>
    <v t="i">823</v>
    <v t="i">826</v>
    <v t="i">827</v>
    <v t="i">828</v>
    <v t="i">829</v>
    <v t="i">830</v>
    <v t="i">833</v>
    <v t="i">834</v>
    <v t="i">835</v>
    <v t="i">836</v>
    <v t="i">837</v>
    <v t="i">840</v>
    <v t="i">841</v>
    <v t="i">842</v>
    <v t="i">843</v>
    <v t="i">844</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896</v>
    <v t="i">897</v>
    <v t="i">898</v>
    <v t="i">899</v>
    <v t="i">900</v>
    <v t="i">903</v>
    <v t="i">904</v>
    <v t="i">905</v>
    <v t="i">906</v>
    <v t="i">907</v>
    <v t="i">910</v>
    <v t="i">911</v>
    <v t="i">912</v>
    <v t="i">913</v>
    <v t="i">914</v>
    <v t="i">917</v>
    <v t="i">918</v>
    <v t="i">919</v>
    <v t="i">920</v>
    <v t="i">921</v>
    <v t="i">924</v>
    <v t="i">925</v>
    <v t="i">926</v>
    <v t="i">927</v>
    <v t="i">928</v>
    <v t="i">931</v>
    <v t="i">932</v>
    <v t="i">933</v>
    <v t="i">934</v>
    <v t="i">935</v>
    <v t="i">938</v>
    <v t="i">939</v>
    <v t="i">940</v>
    <v t="i">941</v>
    <v t="i">942</v>
    <v t="i">946</v>
    <v t="i">947</v>
    <v t="i">948</v>
    <v t="i">949</v>
    <v t="i">952</v>
    <v t="i">953</v>
    <v t="i">954</v>
    <v t="i">955</v>
    <v t="i">956</v>
    <v t="i">959</v>
    <v t="i">960</v>
    <v t="i">961</v>
    <v t="i">962</v>
    <v t="i">963</v>
    <v t="i">966</v>
    <v t="i">967</v>
    <v t="i">968</v>
    <v t="i">969</v>
    <v t="i">973</v>
    <v t="i">974</v>
    <v t="i">975</v>
    <v t="i">976</v>
    <v t="i">977</v>
    <v t="i">980</v>
    <v t="i">981</v>
    <v t="i">982</v>
    <v t="i">983</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427">
    <v>-99999901</v>
    <v>36</v>
    <v>36.65</v>
    <v>47.15</v>
    <v>46</v>
    <v>48.26</v>
    <v>50.37</v>
    <v>48.6</v>
    <v>48.16</v>
    <v>46.58</v>
    <v>45.16</v>
    <v>46.85</v>
    <v>50.31</v>
    <v>48.69</v>
    <v>48.47</v>
    <v>46.5</v>
    <v>51</v>
    <v>53</v>
    <v>52.16</v>
    <v>50.44</v>
    <v>48.44</v>
    <v>54.82</v>
    <v>55.65</v>
    <v>56.42</v>
    <v>56.33</v>
    <v>56.21</v>
    <v>53.96</v>
    <v>52.99</v>
    <v>52.2</v>
    <v>52.62</v>
    <v>52.88</v>
    <v>48.97</v>
    <v>47.61</v>
    <v>48.11</v>
    <v>47.67</v>
    <v>38.26</v>
    <v>30.11</v>
    <v>31.48</v>
    <v>32.35</v>
    <v>36.58</v>
    <v>31.074999999999999</v>
    <v>31.97</v>
    <v>33.549999999999997</v>
    <v>33.229999999999997</v>
    <v>32.03</v>
    <v>31.29</v>
    <v>29.81</v>
    <v>29.62</v>
    <v>30.36</v>
    <v>32.29</v>
    <v>32.85</v>
    <v>32.270000000000003</v>
    <v>32.94</v>
    <v>32.11</v>
    <v>32.590000000000003</v>
    <v>34.4</v>
    <v>34.61</v>
    <v>33.83</v>
    <v>34.97</v>
    <v>36.659999999999997</v>
    <v>37.74</v>
    <v>41.27</v>
    <v>42</v>
    <v>41.93</v>
    <v>40.54</v>
    <v>40.44</v>
    <v>38.78</v>
    <v>40.18</v>
    <v>38.6</v>
    <v>37.840000000000003</v>
    <v>37.28</v>
    <v>38.18</v>
    <v>38.58</v>
    <v>38.6</v>
    <v>37.69</v>
    <v>37.33</v>
    <v>38.64</v>
    <v>39.82</v>
    <v>39.119999999999997</v>
    <v>39.15</v>
    <v>41.82</v>
    <v>41.59</v>
    <v>40.229999999999997</v>
    <v>41.3</v>
    <v>42.5</v>
    <v>44.21</v>
    <v>44.09</v>
    <v>46.62</v>
    <v>46.58</v>
    <v>46.95</v>
    <v>47.34</v>
    <v>47.25</v>
    <v>47.44</v>
    <v>47.15</v>
    <v>45.35</v>
    <v>44.96</v>
    <v>46.21</v>
    <v>46.41</v>
    <v>45.22</v>
    <v>46.17</v>
    <v>46.2</v>
    <v>46.95</v>
    <v>46.09</v>
    <v>42.48</v>
    <v>42.72</v>
    <v>41.36</v>
    <v>41.52</v>
    <v>42.19</v>
    <v>41.61</v>
    <v>41.36</v>
    <v>43</v>
    <v>42.06</v>
    <v>42.48</v>
    <v>41.89</v>
    <v>42.93</v>
    <v>43.39</v>
    <v>42.92</v>
    <v>41.33</v>
    <v>42.51</v>
    <v>41.93</v>
    <v>42.1</v>
    <v>40.69</v>
    <v>44.34</v>
    <v>43.37</v>
    <v>46.83</v>
    <v>47.01</v>
    <v>46.68</v>
    <v>44.54</v>
    <v>45.52</v>
    <v>44.58</v>
    <v>44.4</v>
    <v>45.5</v>
    <v>46.37</v>
    <v>46.78</v>
    <v>47.35</v>
    <v>48.44</v>
    <v>50.87</v>
    <v>52.47</v>
    <v>51.07</v>
    <v>53.01</v>
    <v>62.5</v>
    <v>68.55</v>
    <v>70.495000000000005</v>
    <v>70.510000000000005</v>
    <v>73.92</v>
    <v>84.3</v>
    <v>86.13</v>
    <v>90.09</v>
    <v>91.55</v>
    <v>93.97</v>
    <v>98.87</v>
    <v>102.21</v>
    <v>102.92</v>
    <v>106.4</v>
    <v>99.83</v>
    <v>94.29</v>
    <v>97.12</v>
    <v>113.5</v>
    <v>112.2</v>
    <v>121.12</v>
    <v>124.14</v>
    <v>128.41</v>
    <v>121.17</v>
    <v>120.95</v>
    <v>131.88</v>
    <v>129.68</v>
    <v>116.91</v>
    <v>134.61000000000001</v>
    <v>127.29</v>
    <v>144.30000000000001</v>
    <v>144.27000000000001</v>
    <v>140.16</v>
    <v>148.04</v>
    <v>149.29</v>
    <v>146.94999999999999</v>
    <v>167.05</v>
    <v>186.16</v>
    <v>176.49</v>
    <v>175.53</v>
    <v>204.36</v>
    <v>195.82</v>
    <v>199.33</v>
    <v>207.01</v>
    <v>194.57</v>
    <v>216.5</v>
    <v>207.69</v>
    <v>239.48</v>
    <v>267.95</v>
    <v>271.58</v>
    <v>283.10000000000002</v>
    <v>243.57</v>
    <v>254.16</v>
    <v>265.88</v>
    <v>244.93</v>
    <v>245.96</v>
    <v>195.96</v>
    <v>200.27</v>
    <v>226.96</v>
    <v>220.5</v>
    <v>215.04</v>
    <v>223.28</v>
    <v>210.17</v>
    <v>205.35</v>
    <v>194.38</v>
    <v>213.31</v>
    <v>228.47</v>
    <v>225.47</v>
    <v>219.46</v>
    <v>232.86</v>
    <v>241.61</v>
    <v>206.18</v>
    <v>201.87</v>
    <v>209.31</v>
    <v>206.83</v>
    <v>219.46</v>
    <v>237.61</v>
    <v>241.05</v>
    <v>244.9</v>
    <v>250.08</v>
    <v>250.05</v>
    <v>244.25</v>
    <v>240.22</v>
    <v>237.38</v>
    <v>275.24</v>
    <v>274.08</v>
    <v>349.63</v>
    <v>353.56</v>
    <v>334.54</v>
    <v>377.41</v>
    <v>389.27</v>
    <v>389.81</v>
    <v>387.81</v>
    <v>409.24</v>
    <v>413.62</v>
    <v>453.12</v>
    <v>501.29</v>
    <v>503.44</v>
    <v>473.83</v>
    <v>470.8</v>
    <v>481.43</v>
    <v>527.63</v>
    <v>539.29999999999995</v>
    <v>576.25</v>
    <v>665.24</v>
    <v>695.51</v>
    <v>584.54999999999995</v>
    <v>576.20000000000005</v>
    <v>597.95000000000005</v>
    <v>583.4</v>
    <v>541.64</v>
    <v>599.34</v>
    <v>630.29</v>
    <v>626.55999999999995</v>
    <v>590.59</v>
    <v>600.4</v>
    <v>621.09</v>
    <v>649.97</v>
    <v>666.49</v>
    <v>638.52</v>
    <v>632.38</v>
    <v>651.9</v>
    <v>635.36</v>
    <v>619.08000000000004</v>
    <v>565.41</v>
    <v>599.05999999999995</v>
    <v>565.59</v>
    <v>527.33000000000004</v>
    <v>588.73</v>
    <v>618.89</v>
    <v>655.43</v>
    <v>618.82000000000005</v>
    <v>661.62</v>
    <v>703.63</v>
    <v>720.17</v>
    <v>753.69</v>
    <v>772.09</v>
    <v>709.71</v>
    <v>702.49</v>
    <v>702.48</v>
    <v>677.86</v>
    <v>603.16999999999996</v>
    <v>615.83000000000004</v>
    <v>572.5</v>
    <v>635.34</v>
    <v>692.73</v>
    <v>701.59</v>
    <v>724.63</v>
    <v>710.8</v>
    <v>780.9</v>
    <v>851.57</v>
    <v>851.77</v>
    <v>952.5</v>
    <v>944.46</v>
    <v>891.72</v>
    <v>919.47</v>
    <v>920.99</v>
    <v>913.02</v>
    <v>903.49</v>
    <v>979.07</v>
    <v>932.43</v>
    <v>989.9</v>
    <v>1070.2</v>
    <v>1002.35</v>
    <v>1064.21</v>
    <v>1096.51</v>
    <v>1187</v>
    <v>1255.8599999999999</v>
    <v>1406.32</v>
    <v>1409.98</v>
    <v>1339.96</v>
    <v>1562.34</v>
    <v>1547.56</v>
    <v>1452.02</v>
    <v>1447.23</v>
    <v>1382.72</v>
    <v>1407.61</v>
    <v>1333.01</v>
    <v>1383.29</v>
    <v>1392.56</v>
    <v>1542.24</v>
    <v>1478.69</v>
    <v>1589.55</v>
    <v>1589.94</v>
    <v>1641.64</v>
    <v>1694.98</v>
    <v>1761.43</v>
    <v>1716.36</v>
    <v>1831.5</v>
    <v>1759.68</v>
    <v>1559.32</v>
    <v>1642</v>
    <v>1646.54</v>
    <v>1643.23</v>
    <v>1881.51</v>
    <v>1980.1</v>
    <v>2107.86</v>
    <v>1991.55</v>
    <v>1958.8</v>
    <v>2184.75</v>
    <v>2273.73</v>
    <v>1963.6</v>
    <v>1914.46</v>
    <v>2335</v>
    <v>2090.71</v>
    <v>2050.39</v>
    <v>2273.73</v>
    <v>2032.22</v>
    <v>1745</v>
    <v>1744.43</v>
    <v>1617.7</v>
    <v>1727.18</v>
    <v>1858.27</v>
    <v>1915.92</v>
    <v>1673.97</v>
    <v>1757.82</v>
    <v>1615</v>
    <v>1411.08</v>
    <v>1354.82</v>
    <v>1390.95</v>
    <v>1589.4</v>
    <v>1599.27</v>
    <v>1610.33</v>
    <v>1436.56</v>
    <v>1278.23</v>
    <v>1096.0999999999999</v>
    <v>1015.89</v>
    <v>1279.96</v>
    <v>1214.83</v>
    <v>1288.03</v>
    <v>1427.62</v>
    <v>1350.5</v>
    <v>1258.58</v>
    <v>1212.21</v>
    <v>1237.92</v>
    <v>1271.05</v>
    <v>1344.29</v>
    <v>1528.11</v>
    <v>1641.11</v>
    <v>1786.85</v>
    <v>1625.78</v>
    <v>1568.87</v>
    <v>1600.62</v>
    <v>1596.08</v>
    <v>1493.12</v>
    <v>1480.77</v>
    <v>1499.37</v>
    <v>1484.95</v>
    <v>1484.98</v>
    <v>1566.7</v>
    <v>1536.87</v>
    <v>1553.4</v>
    <v>1554.99</v>
    <v>1740</v>
    <v>1737.99</v>
    <v>1764.17</v>
    <v>1692.59</v>
    <v>1633.35</v>
    <v>1551.99</v>
    <v>1530.895</v>
    <v>1519.97</v>
    <v>1614.39</v>
    <v>1791.82</v>
    <v>1766.64</v>
    <v>1887.04</v>
    <v>1816.57</v>
    <v>1753.62</v>
    <v>1777.8</v>
    <v>1712.89</v>
    <v>1729.76</v>
    <v>1739.89</v>
    <v>1787.69</v>
    <v>1719.99</v>
    <v>1704.16</v>
    <v>1660.46</v>
    <v>1692.42</v>
    <v>1609.46</v>
    <v>1581.82</v>
    <v>1487.33</v>
    <v>1482.33</v>
    <v>1403.34</v>
    <v>1394.83</v>
    <v>1299.3</v>
    <v>1371.12</v>
    <v>1365.38</v>
    <v>1378.22</v>
    <v>1260.93</v>
    <v>1238.03</v>
  </a>
  <a r="1" c="252">
    <v>167.05</v>
    <v>186.16</v>
    <v>176.49</v>
    <v>175.53</v>
    <v>204.36</v>
    <v>195.82</v>
    <v>199.33</v>
    <v>207.01</v>
    <v>194.57</v>
    <v>216.5</v>
    <v>207.69</v>
    <v>239.48</v>
    <v>267.95</v>
    <v>271.58</v>
    <v>283.10000000000002</v>
    <v>243.57</v>
    <v>254.16</v>
    <v>265.88</v>
    <v>244.93</v>
    <v>245.96</v>
    <v>195.96</v>
    <v>200.27</v>
    <v>226.96</v>
    <v>220.5</v>
    <v>215.04</v>
    <v>223.28</v>
    <v>210.17</v>
    <v>205.35</v>
    <v>194.38</v>
    <v>213.31</v>
    <v>228.47</v>
    <v>225.47</v>
    <v>219.46</v>
    <v>232.86</v>
    <v>241.61</v>
    <v>206.18</v>
    <v>201.87</v>
    <v>209.31</v>
    <v>206.83</v>
    <v>219.46</v>
    <v>237.61</v>
    <v>241.05</v>
    <v>244.9</v>
    <v>250.08</v>
    <v>250.05</v>
    <v>244.25</v>
    <v>240.22</v>
    <v>237.38</v>
    <v>275.24</v>
    <v>274.08</v>
    <v>349.63</v>
    <v>353.56</v>
    <v>334.54</v>
    <v>377.41</v>
    <v>389.27</v>
    <v>389.81</v>
    <v>387.81</v>
    <v>409.24</v>
    <v>413.62</v>
    <v>453.12</v>
    <v>501.29</v>
    <v>503.44</v>
    <v>473.83</v>
    <v>470.8</v>
    <v>481.43</v>
    <v>527.63</v>
    <v>539.29999999999995</v>
    <v>576.25</v>
    <v>665.24</v>
    <v>695.51</v>
    <v>584.54999999999995</v>
    <v>576.20000000000005</v>
    <v>597.95000000000005</v>
    <v>583.4</v>
    <v>541.64</v>
    <v>599.34</v>
    <v>630.29</v>
    <v>626.55999999999995</v>
    <v>590.59</v>
    <v>600.4</v>
    <v>621.09</v>
    <v>649.97</v>
    <v>666.49</v>
    <v>638.52</v>
    <v>632.38</v>
    <v>651.9</v>
    <v>635.36</v>
    <v>619.08000000000004</v>
    <v>565.41</v>
    <v>599.05999999999995</v>
    <v>565.59</v>
    <v>527.33000000000004</v>
    <v>588.73</v>
    <v>618.89</v>
    <v>655.43</v>
    <v>618.82000000000005</v>
    <v>661.62</v>
    <v>703.63</v>
    <v>720.17</v>
    <v>753.69</v>
    <v>772.09</v>
    <v>709.71</v>
    <v>702.49</v>
    <v>702.48</v>
    <v>677.86</v>
    <v>603.16999999999996</v>
    <v>615.83000000000004</v>
    <v>572.5</v>
    <v>635.34</v>
    <v>692.73</v>
    <v>701.59</v>
    <v>724.63</v>
    <v>710.8</v>
    <v>780.9</v>
    <v>851.57</v>
    <v>851.77</v>
    <v>952.5</v>
    <v>944.46</v>
    <v>891.72</v>
    <v>919.47</v>
    <v>920.99</v>
    <v>913.02</v>
    <v>903.49</v>
    <v>979.07</v>
    <v>932.43</v>
    <v>989.9</v>
    <v>1070.2</v>
    <v>1002.35</v>
    <v>1064.21</v>
    <v>1096.51</v>
    <v>1187</v>
    <v>1255.8599999999999</v>
    <v>1406.32</v>
    <v>1409.98</v>
    <v>1339.96</v>
    <v>1562.34</v>
    <v>1547.56</v>
    <v>1452.02</v>
    <v>1447.23</v>
    <v>1382.72</v>
    <v>1407.61</v>
    <v>1333.01</v>
    <v>1383.29</v>
    <v>1392.56</v>
    <v>1542.24</v>
    <v>1478.69</v>
    <v>1589.55</v>
    <v>1589.94</v>
    <v>1641.64</v>
    <v>1694.98</v>
    <v>1761.43</v>
    <v>1716.36</v>
    <v>1831.5</v>
    <v>1759.68</v>
    <v>1559.32</v>
    <v>1642</v>
    <v>1646.54</v>
    <v>1643.23</v>
    <v>1881.51</v>
    <v>1980.1</v>
    <v>2107.86</v>
    <v>1991.55</v>
    <v>1958.8</v>
    <v>2184.75</v>
    <v>2273.73</v>
    <v>1963.6</v>
    <v>1914.46</v>
    <v>2335</v>
    <v>2090.71</v>
    <v>2050.39</v>
    <v>2273.73</v>
    <v>2032.22</v>
    <v>1745</v>
    <v>1744.43</v>
    <v>1617.7</v>
    <v>1727.18</v>
    <v>1858.27</v>
    <v>1915.92</v>
    <v>1673.97</v>
    <v>1757.82</v>
    <v>1615</v>
    <v>1411.08</v>
    <v>1354.82</v>
    <v>1390.95</v>
    <v>1589.4</v>
    <v>1599.27</v>
    <v>1610.33</v>
    <v>1436.56</v>
    <v>1278.23</v>
    <v>1096.0999999999999</v>
    <v>1015.89</v>
    <v>1279.96</v>
    <v>1214.83</v>
    <v>1288.03</v>
    <v>1427.62</v>
    <v>1350.5</v>
    <v>1258.58</v>
    <v>1212.21</v>
    <v>1237.92</v>
    <v>1271.05</v>
    <v>1344.29</v>
    <v>1528.11</v>
    <v>1641.11</v>
    <v>1786.85</v>
    <v>1625.78</v>
    <v>1568.87</v>
    <v>1600.62</v>
    <v>1596.08</v>
    <v>1493.12</v>
    <v>1480.77</v>
    <v>1499.37</v>
    <v>1484.95</v>
    <v>1484.98</v>
    <v>1566.7</v>
    <v>1536.87</v>
    <v>1553.4</v>
    <v>1554.99</v>
    <v>1740</v>
    <v>1737.99</v>
    <v>1764.17</v>
    <v>1692.59</v>
    <v>1633.35</v>
    <v>1551.99</v>
    <v>1530.895</v>
    <v>1519.97</v>
    <v>1614.39</v>
    <v>1791.82</v>
    <v>1766.64</v>
    <v>1887.04</v>
    <v>1816.57</v>
    <v>1753.62</v>
    <v>1777.8</v>
    <v>1712.89</v>
    <v>1729.76</v>
    <v>1739.89</v>
    <v>1787.69</v>
    <v>1719.99</v>
    <v>1704.16</v>
    <v>1660.46</v>
    <v>1692.42</v>
    <v>1609.46</v>
    <v>1581.82</v>
    <v>1487.33</v>
    <v>1482.33</v>
    <v>1403.34</v>
    <v>1394.83</v>
    <v>1299.3</v>
    <v>1371.12</v>
    <v>1365.38</v>
    <v>1378.22</v>
    <v>1260.93</v>
    <v>1238.03</v>
  </a>
  <a r="1" c="205">
    <v>24.01</v>
    <v>27.61</v>
    <v>30.95</v>
    <v>31.92</v>
    <v>31.36</v>
    <v>33.049999999999997</v>
    <v>32.01</v>
    <v>33.46</v>
    <v>32.42</v>
    <v>34.369999999999997</v>
    <v>33.380000000000003</v>
    <v>35.67</v>
    <v>33.86</v>
    <v>34.76</v>
    <v>36.090000000000003</v>
    <v>34.729999999999997</v>
    <v>32.79</v>
    <v>35.08</v>
    <v>34.549999999999997</v>
    <v>32.11</v>
    <v>29.395</v>
    <v>27.71</v>
    <v>29.89</v>
    <v>27.81</v>
    <v>26.125</v>
    <v>29.2</v>
    <v>28.52</v>
    <v>26.48</v>
    <v>26.16</v>
    <v>24.78</v>
    <v>24.79</v>
    <v>25.23</v>
    <v>25.07</v>
    <v>25.66</v>
    <v>24.6</v>
    <v>24.44</v>
    <v>25.42</v>
    <v>27.2</v>
    <v>27.72</v>
    <v>26.59</v>
    <v>27.57</v>
    <v>26.02</v>
    <v>26.36</v>
    <v>25.57</v>
    <v>23.54</v>
    <v>23.68</v>
    <v>23.9</v>
    <v>24.73</v>
    <v>23.73</v>
    <v>22.82</v>
    <v>21.96</v>
    <v>21.68</v>
    <v>21.24</v>
    <v>21.01</v>
    <v>21.1</v>
    <v>22.02</v>
    <v>21.61</v>
    <v>21.94</v>
    <v>21.15</v>
    <v>20.29</v>
    <v>19</v>
    <v>20.48</v>
    <v>20.399999999999999</v>
    <v>21.38</v>
    <v>21.51</v>
    <v>20.11</v>
    <v>22.49</v>
    <v>21.11</v>
    <v>20.76</v>
    <v>21.87</v>
    <v>23.52</v>
    <v>24.29</v>
    <v>24.55</v>
    <v>25.85</v>
    <v>25.53</v>
    <v>23.78</v>
    <v>27.39</v>
    <v>25.33</v>
    <v>24.495000000000001</v>
    <v>25.76</v>
    <v>23.71</v>
    <v>22.42</v>
    <v>23.38</v>
    <v>23.41</v>
    <v>23.32</v>
    <v>22.77</v>
    <v>29.07</v>
    <v>26.7</v>
    <v>27.45</v>
    <v>28.35</v>
    <v>27.09</v>
    <v>27.05</v>
    <v>27.54</v>
    <v>24.92</v>
    <v>24.15</v>
    <v>22.295000000000002</v>
    <v>24.31</v>
    <v>25.08</v>
    <v>26.73</v>
    <v>29.07</v>
    <v>27.36</v>
    <v>28.65</v>
    <v>28.88</v>
    <v>29.7</v>
    <v>30.57</v>
    <v>26.37</v>
    <v>26.16</v>
    <v>23.56</v>
    <v>25.85</v>
    <v>23.94</v>
    <v>22.114999999999998</v>
    <v>23.55</v>
    <v>23.18</v>
    <v>25.08</v>
    <v>24.01</v>
    <v>25.31</v>
    <v>28.21</v>
    <v>25.64</v>
    <v>23.9</v>
    <v>23.15</v>
    <v>20.65</v>
    <v>19.87</v>
    <v>21.32</v>
    <v>21.14</v>
    <v>20.75</v>
    <v>20.03</v>
    <v>20.190000000000001</v>
    <v>18.875</v>
    <v>18.96</v>
    <v>19.29</v>
    <v>18.86</v>
    <v>18.02</v>
    <v>18.14</v>
    <v>17.87</v>
    <v>16.2</v>
    <v>16.03</v>
    <v>16.41</v>
    <v>17.3</v>
    <v>17.32</v>
    <v>16.88</v>
    <v>15.59</v>
    <v>16.79</v>
    <v>16.059999999999999</v>
    <v>14.88</v>
    <v>16.68</v>
    <v>15.91</v>
    <v>17.579999999999998</v>
    <v>18.170000000000002</v>
    <v>17.88</v>
    <v>17.61</v>
    <v>18.850000000000001</v>
    <v>18.57</v>
    <v>19.38</v>
    <v>19.010000000000002</v>
    <v>20.52</v>
    <v>19.66</v>
    <v>19.59</v>
    <v>18.25</v>
    <v>19.149999999999999</v>
    <v>18.23</v>
    <v>18.850000000000001</v>
    <v>18.27</v>
    <v>19.239999999999998</v>
    <v>18.5</v>
    <v>19.239999999999998</v>
    <v>17.97</v>
    <v>18.29</v>
    <v>17.47</v>
    <v>17.59</v>
    <v>17.649999999999999</v>
    <v>17.72</v>
    <v>19.350000000000001</v>
    <v>18.170000000000002</v>
    <v>17.36</v>
    <v>16.41</v>
    <v>15.89</v>
    <v>15.78</v>
    <v>15.64</v>
    <v>16.97</v>
    <v>15.73</v>
    <v>17.100000000000001</v>
    <v>17.32</v>
    <v>17.010000000000002</v>
    <v>17.02</v>
    <v>16.989999999999998</v>
    <v>16.16</v>
    <v>15.79</v>
    <v>15.85</v>
    <v>15.73</v>
    <v>15.62</v>
    <v>15.51</v>
    <v>16.489999999999998</v>
    <v>16.010000000000002</v>
    <v>15.26</v>
    <v>15.34</v>
    <v>14.29</v>
    <v>14.35</v>
    <v>13.01</v>
    <v>13.59</v>
    <v>12.88</v>
    <v>13.01</v>
    <v>12.96</v>
    <v>13.33</v>
    <v>12.53</v>
    <v>12.16</v>
  </a>
  <a r="1" c="618">
    <v t="i">198</v>
    <v t="i">199</v>
    <v t="i">200</v>
    <v t="i">203</v>
    <v t="i">204</v>
    <v t="i">205</v>
    <v t="i">206</v>
    <v t="i">207</v>
    <v t="i">210</v>
    <v t="i">211</v>
    <v t="i">212</v>
    <v t="i">213</v>
    <v t="i">214</v>
    <v t="i">218</v>
    <v t="i">219</v>
    <v t="i">220</v>
    <v t="i">221</v>
    <v t="i">224</v>
    <v t="i">225</v>
    <v t="i">226</v>
    <v t="i">227</v>
    <v t="i">228</v>
    <v t="i">231</v>
    <v t="i">232</v>
    <v t="i">233</v>
    <v t="i">234</v>
    <v t="i">235</v>
    <v t="i">238</v>
    <v t="i">239</v>
    <v t="i">241</v>
    <v t="i">242</v>
    <v t="i">245</v>
    <v t="i">246</v>
    <v t="i">247</v>
    <v t="i">248</v>
    <v t="i">249</v>
    <v t="i">252</v>
    <v t="i">253</v>
    <v t="i">254</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v t="i">365</v>
    <v t="i">366</v>
    <v t="i">367</v>
    <v t="i">368</v>
    <v t="i">371</v>
    <v t="i">372</v>
    <v t="i">373</v>
    <v t="i">374</v>
    <v t="i">375</v>
    <v t="i">378</v>
    <v t="i">379</v>
    <v t="i">380</v>
    <v t="i">381</v>
    <v t="i">382</v>
    <v t="i">385</v>
    <v t="i">386</v>
    <v t="i">387</v>
    <v t="i">388</v>
    <v t="i">389</v>
    <v t="i">392</v>
    <v t="i">393</v>
    <v t="i">394</v>
    <v t="i">395</v>
    <v t="i">396</v>
    <v t="i">399</v>
    <v t="i">400</v>
    <v t="i">401</v>
    <v t="i">403</v>
    <v t="i">406</v>
    <v t="i">407</v>
    <v t="i">408</v>
    <v t="i">409</v>
    <v t="i">410</v>
    <v t="i">413</v>
    <v t="i">414</v>
    <v t="i">415</v>
    <v t="i">416</v>
    <v t="i">417</v>
    <v t="i">420</v>
    <v t="i">421</v>
    <v t="i">422</v>
    <v t="i">423</v>
    <v t="i">424</v>
    <v t="i">427</v>
    <v t="i">428</v>
    <v t="i">430</v>
    <v t="i">431</v>
    <v t="i">434</v>
    <v t="i">435</v>
    <v t="i">437</v>
    <v t="i">438</v>
    <v t="i">441</v>
    <v t="i">442</v>
    <v t="i">443</v>
    <v t="i">445</v>
    <v t="i">448</v>
    <v t="i">449</v>
    <v t="i">450</v>
    <v t="i">451</v>
    <v t="i">452</v>
    <v t="i">456</v>
    <v t="i">457</v>
    <v t="i">458</v>
    <v t="i">459</v>
    <v t="i">462</v>
    <v t="i">463</v>
    <v t="i">464</v>
    <v t="i">465</v>
    <v t="i">466</v>
    <v t="i">469</v>
    <v t="i">470</v>
    <v t="i">471</v>
    <v t="i">472</v>
    <v t="i">473</v>
    <v t="i">476</v>
    <v t="i">477</v>
    <v t="i">478</v>
    <v t="i">479</v>
    <v t="i">480</v>
    <v t="i">484</v>
    <v t="i">485</v>
    <v t="i">486</v>
    <v t="i">487</v>
    <v t="i">490</v>
    <v t="i">491</v>
    <v t="i">492</v>
    <v t="i">493</v>
    <v t="i">494</v>
    <v t="i">497</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546</v>
    <v t="i">547</v>
    <v t="i">548</v>
    <v t="i">549</v>
    <v t="i">550</v>
    <v t="i">553</v>
    <v t="i">554</v>
    <v t="i">555</v>
    <v t="i">556</v>
    <v t="i">557</v>
    <v t="i">560</v>
    <v t="i">561</v>
    <v t="i">562</v>
    <v t="i">563</v>
    <v t="i">564</v>
    <v t="i">567</v>
    <v t="i">568</v>
    <v t="i">569</v>
    <v t="i">570</v>
    <v t="i">571</v>
    <v t="i">574</v>
    <v t="i">575</v>
    <v t="i">576</v>
    <v t="i">577</v>
    <v t="i">578</v>
    <v t="i">582</v>
    <v t="i">583</v>
    <v t="i">584</v>
    <v t="i">585</v>
    <v t="i">588</v>
    <v t="i">589</v>
    <v t="i">590</v>
    <v t="i">591</v>
    <v t="i">592</v>
    <v t="i">595</v>
    <v t="i">596</v>
    <v t="i">597</v>
    <v t="i">598</v>
    <v t="i">599</v>
    <v t="i">602</v>
    <v t="i">603</v>
    <v t="i">604</v>
    <v t="i">606</v>
    <v t="i">609</v>
    <v t="i">610</v>
    <v t="i">611</v>
    <v t="i">612</v>
    <v t="i">613</v>
    <v t="i">616</v>
    <v t="i">617</v>
    <v t="i">618</v>
    <v t="i">619</v>
    <v t="i">623</v>
    <v t="i">624</v>
    <v t="i">625</v>
    <v t="i">626</v>
    <v t="i">627</v>
    <v t="i">630</v>
    <v t="i">631</v>
    <v t="i">632</v>
    <v t="i">633</v>
    <v t="i">634</v>
    <v t="i">637</v>
    <v t="i">638</v>
    <v t="i">639</v>
    <v t="i">640</v>
    <v t="i">641</v>
    <v t="i">644</v>
    <v t="i">645</v>
    <v t="i">646</v>
    <v t="i">647</v>
    <v t="i">648</v>
    <v t="i">651</v>
    <v t="i">652</v>
    <v t="i">653</v>
    <v t="i">654</v>
    <v t="i">655</v>
    <v t="i">658</v>
    <v t="i">659</v>
    <v t="i">660</v>
    <v t="i">661</v>
    <v t="i">662</v>
    <v t="i">665</v>
    <v t="i">666</v>
    <v t="i">667</v>
    <v t="i">668</v>
    <v t="i">669</v>
    <v t="i">672</v>
    <v t="i">673</v>
    <v t="i">674</v>
    <v t="i">675</v>
    <v t="i">676</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750</v>
    <v t="i">751</v>
    <v t="i">752</v>
    <v t="i">753</v>
    <v t="i">756</v>
    <v t="i">757</v>
    <v t="i">758</v>
    <v t="i">759</v>
    <v t="i">760</v>
    <v t="i">763</v>
    <v t="i">764</v>
    <v t="i">765</v>
    <v t="i">767</v>
    <v t="i">770</v>
    <v t="i">771</v>
    <v t="i">772</v>
    <v t="i">773</v>
    <v t="i">774</v>
    <v t="i">777</v>
    <v t="i">778</v>
    <v t="i">779</v>
    <v t="i">780</v>
    <v t="i">781</v>
    <v t="i">784</v>
    <v t="i">785</v>
    <v t="i">786</v>
    <v t="i">787</v>
    <v t="i">788</v>
    <v t="i">791</v>
    <v t="i">792</v>
    <v t="i">793</v>
    <v t="i">795</v>
    <v t="i">798</v>
    <v t="i">799</v>
    <v t="i">800</v>
    <v t="i">802</v>
    <v t="i">805</v>
    <v t="i">806</v>
    <v t="i">807</v>
    <v t="i">808</v>
    <v t="i">809</v>
    <v t="i">812</v>
    <v t="i">813</v>
    <v t="i">814</v>
    <v t="i">815</v>
    <v t="i">816</v>
    <v t="i">820</v>
    <v t="i">821</v>
    <v t="i">822</v>
    <v t="i">823</v>
    <v t="i">826</v>
    <v t="i">827</v>
    <v t="i">828</v>
    <v t="i">829</v>
    <v t="i">830</v>
    <v t="i">833</v>
    <v t="i">834</v>
    <v t="i">835</v>
    <v t="i">836</v>
    <v t="i">837</v>
    <v t="i">840</v>
    <v t="i">841</v>
    <v t="i">842</v>
    <v t="i">843</v>
    <v t="i">844</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896</v>
    <v t="i">897</v>
    <v t="i">898</v>
    <v t="i">899</v>
    <v t="i">900</v>
    <v t="i">903</v>
    <v t="i">904</v>
    <v t="i">905</v>
    <v t="i">906</v>
    <v t="i">907</v>
    <v t="i">910</v>
    <v t="i">911</v>
    <v t="i">912</v>
    <v t="i">913</v>
    <v t="i">914</v>
    <v t="i">917</v>
    <v t="i">918</v>
    <v t="i">919</v>
    <v t="i">920</v>
    <v t="i">921</v>
    <v t="i">924</v>
    <v t="i">925</v>
    <v t="i">926</v>
    <v t="i">927</v>
    <v t="i">928</v>
    <v t="i">931</v>
    <v t="i">932</v>
    <v t="i">933</v>
    <v t="i">934</v>
    <v t="i">935</v>
    <v t="i">938</v>
    <v t="i">939</v>
    <v t="i">940</v>
    <v t="i">941</v>
    <v t="i">942</v>
    <v t="i">946</v>
    <v t="i">947</v>
    <v t="i">948</v>
    <v t="i">949</v>
    <v t="i">952</v>
    <v t="i">953</v>
    <v t="i">954</v>
    <v t="i">955</v>
    <v t="i">956</v>
    <v t="i">959</v>
    <v t="i">960</v>
    <v t="i">961</v>
    <v t="i">962</v>
    <v t="i">963</v>
    <v t="i">966</v>
    <v t="i">967</v>
    <v t="i">968</v>
    <v t="i">969</v>
    <v t="i">973</v>
    <v t="i">974</v>
    <v t="i">975</v>
    <v t="i">976</v>
    <v t="i">977</v>
    <v t="i">980</v>
    <v t="i">981</v>
    <v t="i">982</v>
    <v t="i">983</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618">
    <v>5.19</v>
    <v>5.05</v>
    <v>4.51</v>
    <v>4.13</v>
    <v>3.26</v>
    <v>4.12</v>
    <v>4.08</v>
    <v>3.92</v>
    <v>3.83</v>
    <v>3.86</v>
    <v>3.93</v>
    <v>3.98</v>
    <v>4.4000000000000004</v>
    <v>5.49</v>
    <v>6.91</v>
    <v>8.75</v>
    <v>7.47</v>
    <v>6.4</v>
    <v>6.7</v>
    <v>7.77</v>
    <v>7.65</v>
    <v>6.75</v>
    <v>7.39</v>
    <v>7.49</v>
    <v>7.1</v>
    <v>7.07</v>
    <v>9.3699999999999992</v>
    <v>9.41</v>
    <v>11.6</v>
    <v>15.22</v>
    <v>15.73</v>
    <v>20.87</v>
    <v>29.1</v>
    <v>24.02</v>
    <v>16.22</v>
    <v>23.44</v>
    <v>28.1</v>
    <v>25.93</v>
    <v>23.65</v>
    <v>28.4</v>
    <v>29.8</v>
    <v>26.5</v>
    <v>25.3</v>
    <v>26.24</v>
    <v>25</v>
    <v>24.01</v>
    <v>22.56</v>
    <v>22.68</v>
    <v>19.100000000000001</v>
    <v>19.3</v>
    <v>15.97</v>
    <v>15.49</v>
    <v>14.37</v>
    <v>13.72</v>
    <v>16.07</v>
    <v>13.77</v>
    <v>12.75</v>
    <v>11.81</v>
    <v>9.86</v>
    <v>9.6199999999999992</v>
    <v>7.88</v>
    <v>9.11</v>
    <v>7.83</v>
    <v>8.11</v>
    <v>8.84</v>
    <v>8.06</v>
    <v>6.65</v>
    <v>7.95</v>
    <v>8.39</v>
    <v>8.6999999999999993</v>
    <v>11.07</v>
    <v>10.91</v>
    <v>11.2</v>
    <v>10.44</v>
    <v>10.199999999999999</v>
    <v>11.23</v>
    <v>10.72</v>
    <v>10.1</v>
    <v>10.74</v>
    <v>10.119999999999999</v>
    <v>8.58</v>
    <v>8.39</v>
    <v>7.3</v>
    <v>7</v>
    <v>7.4</v>
    <v>8.7899999999999991</v>
    <v>10.85</v>
    <v>11.7</v>
    <v>15.23</v>
    <v>14.15</v>
    <v>12.39</v>
    <v>10.96</v>
    <v>10.59</v>
    <v>13.02</v>
    <v>14.17</v>
    <v>13.78</v>
    <v>12.64</v>
    <v>15.08</v>
    <v>14.99</v>
    <v>14.41</v>
    <v>16.54</v>
    <v>17.579999999999998</v>
    <v>16.89</v>
    <v>19.39</v>
    <v>18.64</v>
    <v>16.68</v>
    <v>16.62</v>
    <v>17.690000000000001</v>
    <v>17.940000000000001</v>
    <v>17.59</v>
    <v>15.56</v>
    <v>21.45</v>
    <v>18.73</v>
    <v>20.38</v>
    <v>27.36</v>
    <v>23.55</v>
    <v>19.87</v>
    <v>18.39</v>
    <v>19.18</v>
    <v>21.77</v>
    <v>20.9</v>
    <v>20.34</v>
    <v>19.559999999999999</v>
    <v>19.260000000000002</v>
    <v>16.8</v>
    <v>17.89</v>
    <v>19.05</v>
    <v>21.7</v>
    <v>22.82</v>
    <v>21.6</v>
    <v>23.22</v>
    <v>23.09</v>
    <v>22.64</v>
    <v>21.7</v>
    <v>22.69</v>
    <v>25.26</v>
    <v>23.145</v>
    <v>29.25</v>
    <v>33.6</v>
    <v>25.91</v>
    <v>26.02</v>
    <v>26.77</v>
    <v>27.61</v>
    <v>28</v>
    <v>26.62</v>
    <v>26.5</v>
    <v>25.46</v>
    <v>26.585000000000001</v>
    <v>25.25</v>
    <v>23.35</v>
    <v>24.1</v>
    <v>23.1</v>
    <v>24.94</v>
    <v>26.32</v>
    <v>25.75</v>
    <v>23.73</v>
    <v>24.41</v>
    <v>25.19</v>
    <v>27.24</v>
    <v>28.58</v>
    <v>28.47</v>
    <v>26.92</v>
    <v>24.83</v>
    <v>24.895</v>
    <v>23.93</v>
    <v>27.01</v>
    <v>32.56</v>
    <v>30.24</v>
    <v>26.84</v>
    <v>25.66</v>
    <v>20.39</v>
    <v>21.38</v>
    <v>22.85</v>
    <v>23.41</v>
    <v>24.71</v>
    <v>32.18</v>
    <v>36.450000000000003</v>
    <v>42.74</v>
    <v>44.51</v>
    <v>33.26</v>
    <v>34.79</v>
    <v>36.54</v>
    <v>40.01</v>
    <v>38.619999999999997</v>
    <v>38.1</v>
    <v>37.07</v>
    <v>35.36</v>
    <v>33.56</v>
    <v>35.284999999999997</v>
    <v>35.11</v>
    <v>32.200000000000003</v>
    <v>34.619999999999997</v>
    <v>33.729999999999997</v>
    <v>32.49</v>
    <v>31.5</v>
    <v>31.48</v>
    <v>30.63</v>
    <v>28.94</v>
    <v>26.66</v>
    <v>25.5</v>
    <v>29.64</v>
    <v>27.55</v>
    <v>28.79</v>
    <v>27.2</v>
    <v>28.62</v>
    <v>28.77</v>
    <v>26.97</v>
    <v>26.98</v>
    <v>25.23</v>
    <v>27.53</v>
    <v>27.78</v>
    <v>28.32</v>
    <v>30.26</v>
    <v>30.61</v>
    <v>30.12</v>
    <v>31.26</v>
    <v>30.92</v>
    <v>30.19</v>
    <v>32.93</v>
    <v>31.63</v>
    <v>29.33</v>
    <v>28.25</v>
    <v>26.77</v>
    <v>26.46</v>
    <v>25.96</v>
    <v>24.5</v>
    <v>23.47</v>
    <v>21.45</v>
    <v>23.07</v>
    <v>22.62</v>
    <v>24.74</v>
    <v>22.75</v>
    <v>23.27</v>
    <v>23.44</v>
    <v>22.15</v>
    <v>20.52</v>
    <v>19.86</v>
    <v>18.52</v>
    <v>19.190000000000001</v>
    <v>20.52</v>
    <v>23.05</v>
    <v>22.92</v>
    <v>23.86</v>
    <v>23.27</v>
    <v>22.75</v>
    <v>23.46</v>
    <v>24.19</v>
    <v>23.36</v>
    <v>25.12</v>
    <v>23.52</v>
    <v>23.47</v>
    <v>24.06</v>
    <v>25.17</v>
    <v>27.32</v>
    <v>26.48</v>
    <v>26.07</v>
    <v>27.25</v>
    <v>26.84</v>
    <v>25.91</v>
    <v>25.7</v>
    <v>27.57</v>
    <v>35.86</v>
    <v>34.89</v>
    <v>31.94</v>
    <v>31.14</v>
    <v>30.13</v>
    <v>30.93</v>
    <v>29.18</v>
    <v>29.63</v>
    <v>28.43</v>
    <v>31.19</v>
    <v>31.15</v>
    <v>30.53</v>
    <v>34.25</v>
    <v>32.29</v>
    <v>30.5</v>
    <v>34.615000000000002</v>
    <v>33.49</v>
    <v>37.97</v>
    <v>37.31</v>
    <v>35.590000000000003</v>
    <v>39.5</v>
    <v>35.67</v>
    <v>35.659999999999997</v>
    <v>34.56</v>
    <v>34.49</v>
    <v>32.479999999999997</v>
    <v>32.950000000000003</v>
    <v>33.61</v>
    <v>34.14</v>
    <v>33.72</v>
    <v>34.630000000000003</v>
    <v>35.020000000000003</v>
    <v>34.22</v>
    <v>36</v>
    <v>35.08</v>
    <v>37.020000000000003</v>
    <v>37.68</v>
    <v>37.619999999999997</v>
    <v>34.1</v>
    <v>34.25</v>
    <v>36.92</v>
    <v>38.950000000000003</v>
    <v>41.85</v>
    <v>37.880000000000003</v>
    <v>35.450000000000003</v>
    <v>36.07</v>
    <v>35.43</v>
    <v>33.99</v>
    <v>35.58</v>
    <v>37.950000000000003</v>
    <v>38.29</v>
    <v>36.9</v>
    <v>35.46</v>
    <v>35.130000000000003</v>
    <v>36.82</v>
    <v>36.090000000000003</v>
    <v>35.200000000000003</v>
    <v>35.89</v>
    <v>32.055</v>
    <v>29.324999999999999</v>
    <v>29.045000000000002</v>
    <v>29.12</v>
    <v>31.32</v>
    <v>30.98</v>
    <v>32.33</v>
    <v>32.89</v>
    <v>34.5</v>
    <v>32.54</v>
    <v>32.61</v>
    <v>32</v>
    <v>31.17</v>
    <v>31.68</v>
    <v>31.88</v>
    <v>32.57</v>
    <v>31.44</v>
    <v>32.96</v>
    <v>33.06</v>
    <v>37.35</v>
    <v>36.29</v>
    <v>35.81</v>
    <v>38.21</v>
    <v>46.31</v>
    <v>45.37</v>
    <v>46.35</v>
    <v>42.58</v>
    <v>41.4</v>
    <v>39.29</v>
    <v>39.14</v>
    <v>38.56</v>
    <v>39.11</v>
    <v>41.69</v>
    <v>44.49</v>
    <v>53.63</v>
    <v>56.63</v>
    <v>47.04</v>
    <v>47.41</v>
    <v>45.83</v>
    <v>54.44</v>
    <v>54.38</v>
    <v>52.72</v>
    <v>48.41</v>
    <v>47.84</v>
    <v>46.07</v>
    <v>42.09</v>
    <v>38.85</v>
    <v>42.49</v>
    <v>44.34</v>
    <v>43.54</v>
    <v>44.14</v>
    <v>47.83</v>
    <v>47.01</v>
    <v>47.54</v>
    <v>45.24</v>
    <v>41.58</v>
    <v>43.47</v>
    <v>38.43</v>
    <v>39.18</v>
    <v>37.9</v>
    <v>36.130000000000003</v>
    <v>36.57</v>
    <v>33.700000000000003</v>
    <v>32.76</v>
    <v>30.98</v>
    <v>31.81</v>
    <v>32.46</v>
    <v>29.33</v>
    <v>29.79</v>
    <v>30.29</v>
    <v>30.26</v>
    <v>30.84</v>
    <v>32.700000000000003</v>
    <v>31.53</v>
    <v>32.9</v>
    <v>33.89</v>
    <v>36.57</v>
    <v>35.76</v>
    <v>35.770000000000003</v>
    <v>36.19</v>
    <v>36.46</v>
    <v>38.86</v>
    <v>35.409999999999997</v>
    <v>31.35</v>
    <v>32.31</v>
    <v>29.99</v>
    <v>30.23</v>
    <v>33.03</v>
    <v>32.979999999999997</v>
    <v>31.75</v>
    <v>30.3</v>
    <v>28.49</v>
    <v>26.42</v>
    <v>24.89</v>
    <v>24.01</v>
    <v>27.61</v>
    <v>30.95</v>
    <v>31.92</v>
    <v>31.36</v>
    <v>33.049999999999997</v>
    <v>32.01</v>
    <v>33.46</v>
    <v>32.42</v>
    <v>34.369999999999997</v>
    <v>33.380000000000003</v>
    <v>35.67</v>
    <v>33.86</v>
    <v>34.76</v>
    <v>36.090000000000003</v>
    <v>34.729999999999997</v>
    <v>32.79</v>
    <v>35.08</v>
    <v>34.549999999999997</v>
    <v>32.11</v>
    <v>29.395</v>
    <v>27.71</v>
    <v>29.89</v>
    <v>27.81</v>
    <v>26.125</v>
    <v>29.2</v>
    <v>28.52</v>
    <v>26.48</v>
    <v>26.16</v>
    <v>24.78</v>
    <v>24.79</v>
    <v>25.23</v>
    <v>25.07</v>
    <v>25.66</v>
    <v>24.6</v>
    <v>24.44</v>
    <v>25.42</v>
    <v>27.2</v>
    <v>27.72</v>
    <v>26.59</v>
    <v>27.57</v>
    <v>26.02</v>
    <v>26.36</v>
    <v>25.57</v>
    <v>23.54</v>
    <v>23.68</v>
    <v>23.9</v>
    <v>24.73</v>
    <v>23.73</v>
    <v>22.82</v>
    <v>21.96</v>
    <v>21.68</v>
    <v>21.24</v>
    <v>21.01</v>
    <v>21.1</v>
    <v>22.02</v>
    <v>21.61</v>
    <v>21.94</v>
    <v>21.15</v>
    <v>20.29</v>
    <v>19</v>
    <v>20.48</v>
    <v>20.399999999999999</v>
    <v>21.38</v>
    <v>21.51</v>
    <v>20.11</v>
    <v>22.49</v>
    <v>21.11</v>
    <v>20.76</v>
    <v>21.87</v>
    <v>23.52</v>
    <v>24.29</v>
    <v>24.55</v>
    <v>25.85</v>
    <v>25.53</v>
    <v>23.78</v>
    <v>27.39</v>
    <v>25.33</v>
    <v>24.495000000000001</v>
    <v>25.76</v>
    <v>23.71</v>
    <v>22.42</v>
    <v>23.38</v>
    <v>23.41</v>
    <v>23.32</v>
    <v>22.77</v>
    <v>29.07</v>
    <v>26.7</v>
    <v>27.45</v>
    <v>28.35</v>
    <v>27.09</v>
    <v>27.05</v>
    <v>27.54</v>
    <v>24.92</v>
    <v>24.15</v>
    <v>22.295000000000002</v>
    <v>24.31</v>
    <v>25.08</v>
    <v>26.73</v>
    <v>29.07</v>
    <v>27.36</v>
    <v>28.65</v>
    <v>28.88</v>
    <v>29.7</v>
    <v>30.57</v>
    <v>26.37</v>
    <v>26.16</v>
    <v>23.56</v>
    <v>25.85</v>
    <v>23.94</v>
    <v>22.114999999999998</v>
    <v>23.55</v>
    <v>23.18</v>
    <v>25.08</v>
    <v>24.01</v>
    <v>25.31</v>
    <v>28.21</v>
    <v>25.64</v>
    <v>23.9</v>
    <v>23.15</v>
    <v>20.65</v>
    <v>19.87</v>
    <v>21.32</v>
    <v>21.14</v>
    <v>20.75</v>
    <v>20.03</v>
    <v>20.190000000000001</v>
    <v>18.875</v>
    <v>18.96</v>
    <v>19.29</v>
    <v>18.86</v>
    <v>18.02</v>
    <v>18.14</v>
    <v>17.87</v>
    <v>16.2</v>
    <v>16.03</v>
    <v>16.41</v>
    <v>17.3</v>
    <v>17.32</v>
    <v>16.88</v>
    <v>15.59</v>
    <v>16.79</v>
    <v>16.059999999999999</v>
    <v>14.88</v>
    <v>16.68</v>
    <v>15.91</v>
    <v>17.579999999999998</v>
    <v>18.170000000000002</v>
    <v>17.88</v>
    <v>17.61</v>
    <v>18.850000000000001</v>
    <v>18.57</v>
    <v>19.38</v>
    <v>19.010000000000002</v>
    <v>20.52</v>
    <v>19.66</v>
    <v>19.59</v>
    <v>18.25</v>
    <v>19.149999999999999</v>
    <v>18.23</v>
    <v>18.850000000000001</v>
    <v>18.27</v>
    <v>19.239999999999998</v>
    <v>18.5</v>
    <v>19.239999999999998</v>
    <v>17.97</v>
    <v>18.29</v>
    <v>17.47</v>
    <v>17.59</v>
    <v>17.649999999999999</v>
    <v>17.72</v>
    <v>19.350000000000001</v>
    <v>18.170000000000002</v>
    <v>17.36</v>
    <v>16.41</v>
    <v>15.89</v>
    <v>15.78</v>
    <v>15.64</v>
    <v>16.97</v>
    <v>15.73</v>
    <v>17.100000000000001</v>
    <v>17.32</v>
    <v>17.010000000000002</v>
    <v>17.02</v>
    <v>16.989999999999998</v>
    <v>16.16</v>
    <v>15.79</v>
    <v>15.85</v>
    <v>15.73</v>
    <v>15.62</v>
    <v>15.51</v>
    <v>16.489999999999998</v>
    <v>16.010000000000002</v>
    <v>15.26</v>
    <v>15.34</v>
    <v>14.29</v>
    <v>14.35</v>
    <v>13.01</v>
    <v>13.59</v>
    <v>12.88</v>
    <v>13.01</v>
    <v>12.96</v>
    <v>13.33</v>
    <v>12.53</v>
    <v>12.16</v>
  </a>
  <a r="1" c="252">
    <v>42.49</v>
    <v>44.34</v>
    <v>43.54</v>
    <v>44.14</v>
    <v>47.83</v>
    <v>47.01</v>
    <v>47.54</v>
    <v>45.24</v>
    <v>41.58</v>
    <v>43.47</v>
    <v>38.43</v>
    <v>39.18</v>
    <v>37.9</v>
    <v>36.130000000000003</v>
    <v>36.57</v>
    <v>33.700000000000003</v>
    <v>32.76</v>
    <v>30.98</v>
    <v>31.81</v>
    <v>32.46</v>
    <v>29.33</v>
    <v>29.79</v>
    <v>30.29</v>
    <v>30.26</v>
    <v>30.84</v>
    <v>32.700000000000003</v>
    <v>31.53</v>
    <v>32.9</v>
    <v>33.89</v>
    <v>36.57</v>
    <v>35.76</v>
    <v>35.770000000000003</v>
    <v>36.19</v>
    <v>36.46</v>
    <v>38.86</v>
    <v>35.409999999999997</v>
    <v>31.35</v>
    <v>32.31</v>
    <v>29.99</v>
    <v>30.23</v>
    <v>33.03</v>
    <v>32.979999999999997</v>
    <v>31.75</v>
    <v>30.3</v>
    <v>28.49</v>
    <v>26.42</v>
    <v>24.89</v>
    <v>24.01</v>
    <v>27.61</v>
    <v>30.95</v>
    <v>31.92</v>
    <v>31.36</v>
    <v>33.049999999999997</v>
    <v>32.01</v>
    <v>33.46</v>
    <v>32.42</v>
    <v>34.369999999999997</v>
    <v>33.380000000000003</v>
    <v>35.67</v>
    <v>33.86</v>
    <v>34.76</v>
    <v>36.090000000000003</v>
    <v>34.729999999999997</v>
    <v>32.79</v>
    <v>35.08</v>
    <v>34.549999999999997</v>
    <v>32.11</v>
    <v>29.395</v>
    <v>27.71</v>
    <v>29.89</v>
    <v>27.81</v>
    <v>26.125</v>
    <v>29.2</v>
    <v>28.52</v>
    <v>26.48</v>
    <v>26.16</v>
    <v>24.78</v>
    <v>24.79</v>
    <v>25.23</v>
    <v>25.07</v>
    <v>25.66</v>
    <v>24.6</v>
    <v>24.44</v>
    <v>25.42</v>
    <v>27.2</v>
    <v>27.72</v>
    <v>26.59</v>
    <v>27.57</v>
    <v>26.02</v>
    <v>26.36</v>
    <v>25.57</v>
    <v>23.54</v>
    <v>23.68</v>
    <v>23.9</v>
    <v>24.73</v>
    <v>23.73</v>
    <v>22.82</v>
    <v>21.96</v>
    <v>21.68</v>
    <v>21.24</v>
    <v>21.01</v>
    <v>21.1</v>
    <v>22.02</v>
    <v>21.61</v>
    <v>21.94</v>
    <v>21.15</v>
    <v>20.29</v>
    <v>19</v>
    <v>20.48</v>
    <v>20.399999999999999</v>
    <v>21.38</v>
    <v>21.51</v>
    <v>20.11</v>
    <v>22.49</v>
    <v>21.11</v>
    <v>20.76</v>
    <v>21.87</v>
    <v>23.52</v>
    <v>24.29</v>
    <v>24.55</v>
    <v>25.85</v>
    <v>25.53</v>
    <v>23.78</v>
    <v>27.39</v>
    <v>25.33</v>
    <v>24.495000000000001</v>
    <v>25.76</v>
    <v>23.71</v>
    <v>22.42</v>
    <v>23.38</v>
    <v>23.41</v>
    <v>23.32</v>
    <v>22.77</v>
    <v>29.07</v>
    <v>26.7</v>
    <v>27.45</v>
    <v>28.35</v>
    <v>27.09</v>
    <v>27.05</v>
    <v>27.54</v>
    <v>24.92</v>
    <v>24.15</v>
    <v>22.295000000000002</v>
    <v>24.31</v>
    <v>25.08</v>
    <v>26.73</v>
    <v>29.07</v>
    <v>27.36</v>
    <v>28.65</v>
    <v>28.88</v>
    <v>29.7</v>
    <v>30.57</v>
    <v>26.37</v>
    <v>26.16</v>
    <v>23.56</v>
    <v>25.85</v>
    <v>23.94</v>
    <v>22.114999999999998</v>
    <v>23.55</v>
    <v>23.18</v>
    <v>25.08</v>
    <v>24.01</v>
    <v>25.31</v>
    <v>28.21</v>
    <v>25.64</v>
    <v>23.9</v>
    <v>23.15</v>
    <v>20.65</v>
    <v>19.87</v>
    <v>21.32</v>
    <v>21.14</v>
    <v>20.75</v>
    <v>20.03</v>
    <v>20.190000000000001</v>
    <v>18.875</v>
    <v>18.96</v>
    <v>19.29</v>
    <v>18.86</v>
    <v>18.02</v>
    <v>18.14</v>
    <v>17.87</v>
    <v>16.2</v>
    <v>16.03</v>
    <v>16.41</v>
    <v>17.3</v>
    <v>17.32</v>
    <v>16.88</v>
    <v>15.59</v>
    <v>16.79</v>
    <v>16.059999999999999</v>
    <v>14.88</v>
    <v>16.68</v>
    <v>15.91</v>
    <v>17.579999999999998</v>
    <v>18.170000000000002</v>
    <v>17.88</v>
    <v>17.61</v>
    <v>18.850000000000001</v>
    <v>18.57</v>
    <v>19.38</v>
    <v>19.010000000000002</v>
    <v>20.52</v>
    <v>19.66</v>
    <v>19.59</v>
    <v>18.25</v>
    <v>19.149999999999999</v>
    <v>18.23</v>
    <v>18.850000000000001</v>
    <v>18.27</v>
    <v>19.239999999999998</v>
    <v>18.5</v>
    <v>19.239999999999998</v>
    <v>17.97</v>
    <v>18.29</v>
    <v>17.47</v>
    <v>17.59</v>
    <v>17.649999999999999</v>
    <v>17.72</v>
    <v>19.350000000000001</v>
    <v>18.170000000000002</v>
    <v>17.36</v>
    <v>16.41</v>
    <v>15.89</v>
    <v>15.78</v>
    <v>15.64</v>
    <v>16.97</v>
    <v>15.73</v>
    <v>17.100000000000001</v>
    <v>17.32</v>
    <v>17.010000000000002</v>
    <v>17.02</v>
    <v>16.989999999999998</v>
    <v>16.16</v>
    <v>15.79</v>
    <v>15.85</v>
    <v>15.73</v>
    <v>15.62</v>
    <v>15.51</v>
    <v>16.489999999999998</v>
    <v>16.010000000000002</v>
    <v>15.26</v>
    <v>15.34</v>
    <v>14.29</v>
    <v>14.35</v>
    <v>13.01</v>
    <v>13.59</v>
    <v>12.88</v>
    <v>13.01</v>
    <v>12.96</v>
    <v>13.33</v>
    <v>12.53</v>
    <v>12.16</v>
  </a>
  <a r="1" c="205">
    <v>313</v>
    <v>315.14999999999998</v>
    <v>316.54000000000002</v>
    <v>314.33999999999997</v>
    <v>321.98</v>
    <v>325.44</v>
    <v>328.57</v>
    <v>331.86</v>
    <v>335.97</v>
    <v>335.84</v>
    <v>332.78</v>
    <v>330</v>
    <v>322</v>
    <v>328.38</v>
    <v>330.54</v>
    <v>327.93</v>
    <v>333.26</v>
    <v>334.55</v>
    <v>336.01</v>
    <v>338.25</v>
    <v>338</v>
    <v>343.69</v>
    <v>339.71</v>
    <v>333.04</v>
    <v>331.25</v>
    <v>322.86</v>
    <v>324.32</v>
    <v>318.58</v>
    <v>310.95999999999998</v>
    <v>309</v>
    <v>305.72000000000003</v>
    <v>302.02</v>
    <v>303.33</v>
    <v>302.85000000000002</v>
    <v>314.98</v>
    <v>311.49</v>
    <v>310.89999999999998</v>
    <v>312.89999999999998</v>
    <v>307.38</v>
    <v>311.76</v>
    <v>306.52</v>
    <v>303.58</v>
    <v>303.13</v>
    <v>300.88</v>
    <v>298.52</v>
    <v>306.36</v>
    <v>307.04000000000002</v>
    <v>308.7</v>
    <v>303.55</v>
    <v>302.27999999999997</v>
    <v>305.56</v>
    <v>310.92</v>
    <v>307.69</v>
    <v>307.13</v>
    <v>301</v>
    <v>302.06</v>
    <v>290.44</v>
    <v>290.93</v>
    <v>280.92</v>
    <v>274.33999999999997</v>
    <v>273.5</v>
    <v>287.56</v>
    <v>297.39</v>
    <v>295.77</v>
    <v>299.99</v>
    <v>305.45999999999998</v>
    <v>317.32</v>
    <v>318.49</v>
    <v>317.24</v>
    <v>321.31</v>
    <v>332.91</v>
    <v>337.12</v>
    <v>336.02</v>
    <v>341.68</v>
    <v>337.42</v>
    <v>332.29</v>
    <v>339.32</v>
    <v>338.89</v>
    <v>344.4</v>
    <v>350.34</v>
    <v>349.78</v>
    <v>349.94</v>
    <v>384.8</v>
    <v>385.69</v>
    <v>383.25</v>
    <v>388.43</v>
    <v>398.04</v>
    <v>397.99</v>
    <v>400.8</v>
    <v>388.64</v>
    <v>387.35</v>
    <v>402.62</v>
    <v>401.07</v>
    <v>396.78</v>
    <v>396.94</v>
    <v>387.66</v>
    <v>388.91</v>
    <v>387.66</v>
    <v>382.97</v>
    <v>388.88</v>
    <v>388.83</v>
    <v>390.13</v>
    <v>380.34</v>
    <v>376.37</v>
    <v>361.85</v>
    <v>358.99</v>
    <v>372.19</v>
    <v>368.53</v>
    <v>363.31</v>
    <v>364.26</v>
    <v>356.38</v>
    <v>357.77</v>
    <v>359.68</v>
    <v>369.35</v>
    <v>373.25</v>
    <v>363.79</v>
    <v>368.03</v>
    <v>349.68</v>
    <v>346.13</v>
    <v>345.29</v>
    <v>343.71</v>
    <v>337.39</v>
    <v>353.65</v>
    <v>357.37</v>
    <v>361.21</v>
    <v>359.91</v>
    <v>366.46</v>
    <v>367.03</v>
    <v>361.92</v>
    <v>358.89</v>
    <v>357.18</v>
    <v>352.51</v>
    <v>359.51</v>
    <v>370.92</v>
    <v>354.46</v>
    <v>346.77</v>
    <v>351.99</v>
    <v>347.15</v>
    <v>342.09</v>
    <v>317.69</v>
    <v>319.74</v>
    <v>326.56</v>
    <v>333.71</v>
    <v>336.71</v>
    <v>333.66</v>
    <v>356.13</v>
    <v>373.51</v>
    <v>377.65</v>
    <v>362.43</v>
    <v>357.75</v>
    <v>354.3</v>
    <v>357.52</v>
    <v>343.8</v>
    <v>343.54</v>
    <v>346.36</v>
    <v>345.9</v>
    <v>344</v>
    <v>344.2</v>
    <v>344.72</v>
    <v>340.67</v>
    <v>344.82</v>
    <v>348.06</v>
    <v>346.96</v>
    <v>342</v>
    <v>340.65</v>
    <v>346.59</v>
    <v>339.35</v>
    <v>335.02</v>
    <v>337.12</v>
    <v>342.48</v>
    <v>338.46</v>
    <v>338.36</v>
    <v>330.65</v>
    <v>332.6</v>
    <v>338.5</v>
    <v>349.39</v>
    <v>344.98</v>
    <v>342.87</v>
    <v>347.33</v>
    <v>349.54</v>
    <v>354.97</v>
    <v>351.16</v>
    <v>337.83</v>
    <v>342.36</v>
    <v>343.92</v>
    <v>342.75</v>
    <v>340.92</v>
    <v>344.08</v>
    <v>338.24</v>
    <v>343.5</v>
    <v>346.47</v>
    <v>347.68</v>
    <v>350.5</v>
    <v>348.29</v>
    <v>351.66</v>
    <v>352.72</v>
    <v>353.78</v>
    <v>347.64</v>
    <v>349.22</v>
    <v>340.59</v>
    <v>344.18</v>
    <v>340.27499999999998</v>
    <v>334.76</v>
    <v>324.22000000000003</v>
    <v>320.20999999999998</v>
  </a>
  <a r="1" c="252">
    <v>253.08</v>
    <v>259.92</v>
    <v>269.27</v>
    <v>267.47000000000003</v>
    <v>274.57</v>
    <v>281.48</v>
    <v>281.19</v>
    <v>283.72000000000003</v>
    <v>277.54000000000002</v>
    <v>284.31</v>
    <v>284.75</v>
    <v>278.83</v>
    <v>290.10000000000002</v>
    <v>291.31</v>
    <v>286.70999999999998</v>
    <v>278.57</v>
    <v>276.41000000000003</v>
    <v>285.02</v>
    <v>284.27999999999997</v>
    <v>292.81</v>
    <v>289.45</v>
    <v>299.66000000000003</v>
    <v>318.58</v>
    <v>323.44</v>
    <v>319.95</v>
    <v>320.18</v>
    <v>314.89</v>
    <v>315.81</v>
    <v>319.63</v>
    <v>317.62</v>
    <v>321.27</v>
    <v>313.72000000000003</v>
    <v>317.08</v>
    <v>320.20999999999998</v>
    <v>312.43</v>
    <v>309.29000000000002</v>
    <v>308.22000000000003</v>
    <v>306.57</v>
    <v>296.72000000000003</v>
    <v>302.45999999999998</v>
    <v>307.16000000000003</v>
    <v>309.77999999999997</v>
    <v>314.35000000000002</v>
    <v>314.08999999999997</v>
    <v>313.51</v>
    <v>313.56</v>
    <v>313.85000000000002</v>
    <v>313</v>
    <v>315.14999999999998</v>
    <v>316.54000000000002</v>
    <v>314.33999999999997</v>
    <v>321.98</v>
    <v>325.44</v>
    <v>328.57</v>
    <v>331.86</v>
    <v>335.97</v>
    <v>335.84</v>
    <v>332.78</v>
    <v>330</v>
    <v>322</v>
    <v>328.38</v>
    <v>330.54</v>
    <v>327.93</v>
    <v>333.26</v>
    <v>334.55</v>
    <v>336.01</v>
    <v>338.25</v>
    <v>338</v>
    <v>343.69</v>
    <v>339.71</v>
    <v>333.04</v>
    <v>331.25</v>
    <v>322.86</v>
    <v>324.32</v>
    <v>318.58</v>
    <v>310.95999999999998</v>
    <v>309</v>
    <v>305.72000000000003</v>
    <v>302.02</v>
    <v>303.33</v>
    <v>302.85000000000002</v>
    <v>314.98</v>
    <v>311.49</v>
    <v>310.89999999999998</v>
    <v>312.89999999999998</v>
    <v>307.38</v>
    <v>311.76</v>
    <v>306.52</v>
    <v>303.58</v>
    <v>303.13</v>
    <v>300.88</v>
    <v>298.52</v>
    <v>306.36</v>
    <v>307.04000000000002</v>
    <v>308.7</v>
    <v>303.55</v>
    <v>302.27999999999997</v>
    <v>305.56</v>
    <v>310.92</v>
    <v>307.69</v>
    <v>307.13</v>
    <v>301</v>
    <v>302.06</v>
    <v>290.44</v>
    <v>290.93</v>
    <v>280.92</v>
    <v>274.33999999999997</v>
    <v>273.5</v>
    <v>287.56</v>
    <v>297.39</v>
    <v>295.77</v>
    <v>299.99</v>
    <v>305.45999999999998</v>
    <v>317.32</v>
    <v>318.49</v>
    <v>317.24</v>
    <v>321.31</v>
    <v>332.91</v>
    <v>337.12</v>
    <v>336.02</v>
    <v>341.68</v>
    <v>337.42</v>
    <v>332.29</v>
    <v>339.32</v>
    <v>338.89</v>
    <v>344.4</v>
    <v>350.34</v>
    <v>349.78</v>
    <v>349.94</v>
    <v>384.8</v>
    <v>385.69</v>
    <v>383.25</v>
    <v>388.43</v>
    <v>398.04</v>
    <v>397.99</v>
    <v>400.8</v>
    <v>388.64</v>
    <v>387.35</v>
    <v>402.62</v>
    <v>401.07</v>
    <v>396.78</v>
    <v>396.94</v>
    <v>387.66</v>
    <v>388.91</v>
    <v>387.66</v>
    <v>382.97</v>
    <v>388.88</v>
    <v>388.83</v>
    <v>390.13</v>
    <v>380.34</v>
    <v>376.37</v>
    <v>361.85</v>
    <v>358.99</v>
    <v>372.19</v>
    <v>368.53</v>
    <v>363.31</v>
    <v>364.26</v>
    <v>356.38</v>
    <v>357.77</v>
    <v>359.68</v>
    <v>369.35</v>
    <v>373.25</v>
    <v>363.79</v>
    <v>368.03</v>
    <v>349.68</v>
    <v>346.13</v>
    <v>345.29</v>
    <v>343.71</v>
    <v>337.39</v>
    <v>353.65</v>
    <v>357.37</v>
    <v>361.21</v>
    <v>359.91</v>
    <v>366.46</v>
    <v>367.03</v>
    <v>361.92</v>
    <v>358.89</v>
    <v>357.18</v>
    <v>352.51</v>
    <v>359.51</v>
    <v>370.92</v>
    <v>354.46</v>
    <v>346.77</v>
    <v>351.99</v>
    <v>347.15</v>
    <v>342.09</v>
    <v>317.69</v>
    <v>319.74</v>
    <v>326.56</v>
    <v>333.71</v>
    <v>336.71</v>
    <v>333.66</v>
    <v>356.13</v>
    <v>373.51</v>
    <v>377.65</v>
    <v>362.43</v>
    <v>357.75</v>
    <v>354.3</v>
    <v>357.52</v>
    <v>343.8</v>
    <v>343.54</v>
    <v>346.36</v>
    <v>345.9</v>
    <v>344</v>
    <v>344.2</v>
    <v>344.72</v>
    <v>340.67</v>
    <v>344.82</v>
    <v>348.06</v>
    <v>346.96</v>
    <v>342</v>
    <v>340.65</v>
    <v>346.59</v>
    <v>339.35</v>
    <v>335.02</v>
    <v>337.12</v>
    <v>342.48</v>
    <v>338.46</v>
    <v>338.36</v>
    <v>330.65</v>
    <v>332.6</v>
    <v>338.5</v>
    <v>349.39</v>
    <v>344.98</v>
    <v>342.87</v>
    <v>347.33</v>
    <v>349.54</v>
    <v>354.97</v>
    <v>351.16</v>
    <v>337.83</v>
    <v>342.36</v>
    <v>343.92</v>
    <v>342.75</v>
    <v>340.92</v>
    <v>344.08</v>
    <v>338.24</v>
    <v>343.5</v>
    <v>346.47</v>
    <v>347.68</v>
    <v>350.5</v>
    <v>348.29</v>
    <v>351.66</v>
    <v>352.72</v>
    <v>353.78</v>
    <v>347.64</v>
    <v>349.22</v>
    <v>340.59</v>
    <v>344.18</v>
    <v>340.27499999999998</v>
    <v>334.76</v>
    <v>324.22000000000003</v>
    <v>320.20999999999998</v>
  </a>
  <a r="1" c="754">
    <v>136.5</v>
    <v>138.81</v>
    <v>125.61</v>
    <v>122.28</v>
    <v>122.17</v>
    <v>124.46</v>
    <v>124.08</v>
    <v>126.45</v>
    <v>127.49</v>
    <v>129.1</v>
    <v>130.25</v>
    <v>130.97</v>
    <v>131.84</v>
    <v>130.24</v>
    <v>132.59</v>
    <v>132.09</v>
    <v>133.62</v>
    <v>134.62</v>
    <v>136.93</v>
    <v>135.31</v>
    <v>136.25</v>
    <v>136.97</v>
    <v>138.49</v>
    <v>136.69</v>
    <v>136.41</v>
    <v>137.19999999999999</v>
    <v>134.99</v>
    <v>132.53</v>
    <v>131.86000000000001</v>
    <v>129.27000000000001</v>
    <v>130.99</v>
    <v>130.02000000000001</v>
    <v>136.93</v>
    <v>134.99</v>
    <v>133.29</v>
    <v>132.52000000000001</v>
    <v>132.57</v>
    <v>131.94</v>
    <v>132.6</v>
    <v>135.80000000000001</v>
    <v>136.65</v>
    <v>138.34</v>
    <v>140.41999999999999</v>
    <v>141.49</v>
    <v>141.52000000000001</v>
    <v>140.37</v>
    <v>140.22999999999999</v>
    <v>139.69</v>
    <v>138.16999999999999</v>
    <v>138.91999999999999</v>
    <v>136.38999999999999</v>
    <v>135.72999999999999</v>
    <v>138.84</v>
    <v>140.94999999999999</v>
    <v>142.28</v>
    <v>142.08000000000001</v>
    <v>142.65</v>
    <v>142.49</v>
    <v>141.47</v>
    <v>143.47999999999999</v>
    <v>146.38</v>
    <v>145.99</v>
    <v>147.04</v>
    <v>148.69999999999999</v>
    <v>151.87</v>
    <v>152.185</v>
    <v>153.51</v>
    <v>151.46</v>
    <v>140.1</v>
    <v>141.16</v>
    <v>142.38</v>
    <v>143.68</v>
    <v>144.1</v>
    <v>145.54</v>
    <v>145.91</v>
    <v>149</v>
    <v>147.53</v>
    <v>145.13999999999999</v>
    <v>145.94</v>
    <v>142.77000000000001</v>
    <v>140.52000000000001</v>
    <v>141.12</v>
    <v>142.55000000000001</v>
    <v>144.09</v>
    <v>143.96</v>
    <v>137.57</v>
    <v>138.88</v>
    <v>136.38</v>
    <v>138.46</v>
    <v>137.13999999999999</v>
    <v>133.35</v>
    <v>132.66999999999999</v>
    <v>131.4</v>
    <v>134.38</v>
    <v>135.41</v>
    <v>137.66999999999999</v>
    <v>138.5</v>
    <v>139.79</v>
    <v>143.1</v>
    <v>141.18</v>
    <v>147.68</v>
    <v>147.03</v>
    <v>148.74</v>
    <v>147.6</v>
    <v>150.77000000000001</v>
    <v>150.07</v>
    <v>150.66999999999999</v>
    <v>150.87</v>
    <v>150.93</v>
    <v>155.49</v>
    <v>154.56</v>
    <v>154.91999999999999</v>
    <v>150.53</v>
    <v>152.5</v>
    <v>154.85</v>
    <v>156.6</v>
    <v>156.13999999999999</v>
    <v>159.41</v>
    <v>157.72999999999999</v>
    <v>154.86000000000001</v>
    <v>154.4</v>
    <v>155.47</v>
    <v>156.01</v>
    <v>154.09</v>
    <v>156.28</v>
    <v>158.26</v>
    <v>159.13</v>
    <v>156</v>
    <v>171.95</v>
    <v>166.15</v>
    <v>162.78</v>
    <v>163.86</v>
    <v>166.62</v>
    <v>167.24</v>
    <v>168.1</v>
    <v>171.25</v>
    <v>169.38</v>
    <v>169.96</v>
    <v>168.65</v>
    <v>169.14</v>
    <v>170.34</v>
    <v>172.51</v>
    <v>174.18</v>
    <v>176.06</v>
    <v>176.92</v>
    <v>177.85</v>
    <v>176.38</v>
    <v>173.55</v>
    <v>174.99</v>
    <v>176.4</v>
    <v>175.9</v>
    <v>172.11</v>
    <v>172.5</v>
    <v>173.17</v>
    <v>173.79</v>
    <v>175.41</v>
    <v>176.73</v>
    <v>174.46</v>
    <v>175.01</v>
    <v>176.62</v>
    <v>177.79</v>
    <v>175.16</v>
    <v>176.79</v>
    <v>177.24</v>
    <v>175.09</v>
    <v>176.3</v>
    <v>179.63</v>
    <v>179.22</v>
    <v>184.03</v>
    <v>183.88</v>
    <v>185.41</v>
    <v>182.15</v>
    <v>182.99</v>
    <v>185.24</v>
    <v>185.82</v>
    <v>190.6</v>
    <v>189.03</v>
    <v>188.98</v>
    <v>191.18</v>
    <v>185.57</v>
    <v>185.07</v>
    <v>186.53</v>
    <v>183.92</v>
    <v>181.02</v>
    <v>177.69</v>
    <v>177.66</v>
    <v>181.67</v>
    <v>181.79</v>
    <v>172.63</v>
    <v>167.28</v>
    <v>167</v>
    <v>169.53</v>
    <v>170.29</v>
    <v>171.54</v>
    <v>170.76</v>
    <v>166.66</v>
    <v>159.25</v>
    <v>158.29</v>
    <v>158.94</v>
    <v>162.03</v>
    <v>163.66999999999999</v>
    <v>162.29</v>
    <v>164.16</v>
    <v>160.37</v>
    <v>161.30000000000001</v>
    <v>162.96</v>
    <v>166.67</v>
    <v>167.18</v>
    <v>165.85</v>
    <v>163.80000000000001</v>
    <v>165.62</v>
    <v>166.16</v>
    <v>164.68</v>
    <v>162.85</v>
    <v>161.78</v>
    <v>163.38</v>
    <v>157.36000000000001</v>
    <v>156.44999999999999</v>
    <v>157.24</v>
    <v>150.91999999999999</v>
    <v>148.71</v>
    <v>148.66</v>
    <v>151.16</v>
    <v>154.69</v>
    <v>157.46</v>
    <v>158.06</v>
    <v>159.32</v>
    <v>159.81</v>
    <v>162.13999999999999</v>
    <v>163.59</v>
    <v>161.85</v>
    <v>162.29</v>
    <v>161.49</v>
    <v>162.72999999999999</v>
    <v>163.95</v>
    <v>165.85</v>
    <v>166.99</v>
    <v>165.86</v>
    <v>165.86</v>
    <v>167.06</v>
    <v>162.97999999999999</v>
    <v>164.38</v>
    <v>161.86000000000001</v>
    <v>162.08000000000001</v>
    <v>163.24</v>
    <v>164.96</v>
    <v>165.46</v>
    <v>165.16</v>
    <v>162.93</v>
    <v>163.41999999999999</v>
    <v>164.07</v>
    <v>165.14</v>
    <v>162.78</v>
    <v>162.72</v>
    <v>165.27</v>
    <v>166.72</v>
    <v>169.68</v>
    <v>174.46</v>
    <v>171.11</v>
    <v>171.29</v>
    <v>169.24</v>
    <v>169.74</v>
    <v>176.51</v>
    <v>180.75</v>
    <v>178.35</v>
    <v>180.35</v>
    <v>181.62</v>
    <v>178.88</v>
    <v>175.58</v>
    <v>172.49</v>
    <v>175.3</v>
    <v>178.12</v>
    <v>175.98</v>
    <v>167.63</v>
    <v>164.76</v>
    <v>167.65</v>
    <v>169.12</v>
    <v>169.23</v>
    <v>168.95</v>
    <v>171.49</v>
    <v>171.34</v>
    <v>174.37</v>
    <v>172.64</v>
    <v>174.71</v>
    <v>175.37</v>
    <v>185.17</v>
    <v>195.4</v>
    <v>191.96</v>
    <v>189.82</v>
    <v>196.66</v>
    <v>195.42</v>
    <v>188.4</v>
    <v>188.51</v>
    <v>191.41</v>
    <v>194.63</v>
    <v>196.11</v>
    <v>195.6</v>
    <v>192.76</v>
    <v>191.24</v>
    <v>189.3</v>
    <v>189.43</v>
    <v>191.79</v>
    <v>196.87</v>
    <v>195.49</v>
    <v>193.95</v>
    <v>192.04</v>
    <v>191.01</v>
    <v>189.66</v>
    <v>195.55</v>
    <v>192.91</v>
    <v>196</v>
    <v>198.05</v>
    <v>198.37</v>
    <v>197.98</v>
    <v>200.21</v>
    <v>191.81</v>
    <v>195.3</v>
    <v>195.41</v>
    <v>200.87</v>
    <v>204.02</v>
    <v>201.23</v>
    <v>206.38</v>
    <v>191.33</v>
    <v>191.6</v>
    <v>185.34</v>
    <v>186.47</v>
    <v>185.32</v>
    <v>183.61</v>
    <v>186.14</v>
    <v>185.23</v>
    <v>183.77</v>
    <v>185.27</v>
    <v>184.56</v>
    <v>179.66</v>
    <v>179.25</v>
    <v>175.42</v>
    <v>172.73</v>
    <v>168.5</v>
    <v>170.28</v>
    <v>167.01</v>
    <v>170.92</v>
    <v>173.02</v>
    <v>172.35</v>
    <v>173.86</v>
    <v>165.87</v>
    <v>164.04</v>
    <v>167.11</v>
    <v>162.76</v>
    <v>165.49</v>
    <v>164.29</v>
    <v>160.66999999999999</v>
    <v>163.89</v>
    <v>162.80000000000001</v>
    <v>163.99</v>
    <v>167.68</v>
    <v>170.56</v>
    <v>165.06</v>
    <v>162.24</v>
    <v>154.33000000000001</v>
    <v>154.63999999999999</v>
    <v>157.07</v>
    <v>157.04</v>
    <v>150.72</v>
    <v>145.6</v>
    <v>146.75</v>
    <v>144.69999999999999</v>
    <v>158.71</v>
    <v>152.82</v>
    <v>157.13999999999999</v>
    <v>159.07</v>
    <v>156.31</v>
    <v>153.33000000000001</v>
    <v>151.16</v>
    <v>147.66999999999999</v>
    <v>151.47</v>
    <v>155.35</v>
    <v>159.28</v>
    <v>161.96</v>
    <v>160.61000000000001</v>
    <v>160.16</v>
    <v>158.80000000000001</v>
    <v>161.30000000000001</v>
    <v>164.03</v>
    <v>164.21</v>
    <v>163.22999999999999</v>
    <v>151.38</v>
    <v>154.28</v>
    <v>152.75</v>
    <v>158.46</v>
    <v>159.53</v>
    <v>165.37</v>
    <v>163.96</v>
    <v>166.19</v>
    <v>166.54</v>
    <v>163.98</v>
    <v>168.56</v>
    <v>170.87</v>
    <v>168.47</v>
    <v>172.9</v>
    <v>172.36</v>
    <v>171.86</v>
    <v>171.74</v>
    <v>169.03</v>
    <v>166.18</v>
    <v>168.05</v>
    <v>168.21</v>
    <v>173.68</v>
    <v>176.09</v>
    <v>178.6</v>
    <v>177.35</v>
    <v>175.7</v>
    <v>174.67</v>
    <v>176.77</v>
    <v>175.95</v>
    <v>173.32</v>
    <v>166.64</v>
    <v>165.19</v>
    <v>166.77</v>
    <v>170.68</v>
    <v>173.54</v>
    <v>178.53</v>
    <v>176.23</v>
    <v>175.84</v>
    <v>178.64</v>
    <v>179.53</v>
    <v>176.79</v>
    <v>174.36</v>
    <v>176.62</v>
    <v>177.62</v>
    <v>180.19</v>
    <v>181.56</v>
    <v>182</v>
    <v>182.97</v>
    <v>183.58</v>
    <v>185.06</v>
    <v>190.1</v>
    <v>191.34</v>
    <v>190.23</v>
    <v>192.17</v>
    <v>193.18</v>
    <v>192.58</v>
    <v>195.75</v>
    <v>196.53</v>
    <v>191.9</v>
    <v>189.13</v>
    <v>195.04</v>
    <v>194.67</v>
    <v>196.09</v>
    <v>196.52</v>
    <v>201.42</v>
    <v>201</v>
    <v>203.34</v>
    <v>201.96</v>
    <v>202.94</v>
    <v>203.9</v>
    <v>203.5</v>
    <v>201.57</v>
    <v>199.32</v>
    <v>199.75</v>
    <v>206.09</v>
    <v>208.49</v>
    <v>207.14</v>
    <v>207.48</v>
    <v>211.64</v>
    <v>212.91</v>
    <v>211.35</v>
    <v>230.66</v>
    <v>232.3</v>
    <v>235</v>
    <v>234.04</v>
    <v>239.63</v>
    <v>239.17</v>
    <v>240.37</v>
    <v>240.8</v>
    <v>251.61</v>
    <v>251.16</v>
    <v>249.53</v>
    <v>252.03</v>
    <v>254.72</v>
    <v>252.53</v>
    <v>251.66</v>
    <v>247.14</v>
    <v>245.79</v>
    <v>246.54</v>
    <v>244.05</v>
    <v>243.1</v>
    <v>244.9</v>
    <v>245.69</v>
    <v>245.35</v>
    <v>250.43</v>
    <v>245.76</v>
    <v>244.62</v>
    <v>241.53</v>
    <v>236.57</v>
    <v>244.15</v>
    <v>245.45</v>
    <v>251.03</v>
    <v>251.46</v>
    <v>253.3</v>
    <v>256.55</v>
    <v>250.46</v>
    <v>251.69</v>
    <v>253.08</v>
    <v>259.92</v>
    <v>269.27</v>
    <v>267.47000000000003</v>
    <v>274.57</v>
    <v>281.48</v>
    <v>281.19</v>
    <v>283.72000000000003</v>
    <v>277.54000000000002</v>
    <v>284.31</v>
    <v>284.75</v>
    <v>278.83</v>
    <v>290.10000000000002</v>
    <v>291.31</v>
    <v>286.70999999999998</v>
    <v>278.57</v>
    <v>276.41000000000003</v>
    <v>285.02</v>
    <v>284.27999999999997</v>
    <v>292.81</v>
    <v>289.45</v>
    <v>299.66000000000003</v>
    <v>318.58</v>
    <v>323.44</v>
    <v>319.95</v>
    <v>320.18</v>
    <v>314.89</v>
    <v>315.81</v>
    <v>319.63</v>
    <v>317.62</v>
    <v>321.27</v>
    <v>313.72000000000003</v>
    <v>317.08</v>
    <v>320.20999999999998</v>
    <v>312.43</v>
    <v>309.29000000000002</v>
    <v>308.22000000000003</v>
    <v>306.57</v>
    <v>296.72000000000003</v>
    <v>302.45999999999998</v>
    <v>307.16000000000003</v>
    <v>309.77999999999997</v>
    <v>314.35000000000002</v>
    <v>314.08999999999997</v>
    <v>313.51</v>
    <v>313.56</v>
    <v>313.85000000000002</v>
    <v>313</v>
    <v>315.14999999999998</v>
    <v>316.54000000000002</v>
    <v>314.33999999999997</v>
    <v>321.98</v>
    <v>325.44</v>
    <v>328.57</v>
    <v>331.86</v>
    <v>335.97</v>
    <v>335.84</v>
    <v>332.78</v>
    <v>330</v>
    <v>322</v>
    <v>328.38</v>
    <v>330.54</v>
    <v>327.93</v>
    <v>333.26</v>
    <v>334.55</v>
    <v>336.01</v>
    <v>338.25</v>
    <v>338</v>
    <v>343.69</v>
    <v>339.71</v>
    <v>333.04</v>
    <v>331.25</v>
    <v>322.86</v>
    <v>324.32</v>
    <v>318.58</v>
    <v>310.95999999999998</v>
    <v>309</v>
    <v>305.72000000000003</v>
    <v>302.02</v>
    <v>303.33</v>
    <v>302.85000000000002</v>
    <v>314.98</v>
    <v>311.49</v>
    <v>310.89999999999998</v>
    <v>312.89999999999998</v>
    <v>307.38</v>
    <v>311.76</v>
    <v>306.52</v>
    <v>303.58</v>
    <v>303.13</v>
    <v>300.88</v>
    <v>298.52</v>
    <v>306.36</v>
    <v>307.04000000000002</v>
    <v>308.7</v>
    <v>303.55</v>
    <v>302.27999999999997</v>
    <v>305.56</v>
    <v>310.92</v>
    <v>307.69</v>
    <v>307.13</v>
    <v>301</v>
    <v>302.06</v>
    <v>290.44</v>
    <v>290.93</v>
    <v>280.92</v>
    <v>274.33999999999997</v>
    <v>273.5</v>
    <v>287.56</v>
    <v>297.39</v>
    <v>295.77</v>
    <v>299.99</v>
    <v>305.45999999999998</v>
    <v>317.32</v>
    <v>318.49</v>
    <v>317.24</v>
    <v>321.31</v>
    <v>332.91</v>
    <v>337.12</v>
    <v>336.02</v>
    <v>341.68</v>
    <v>337.42</v>
    <v>332.29</v>
    <v>339.32</v>
    <v>338.89</v>
    <v>344.4</v>
    <v>350.34</v>
    <v>349.78</v>
    <v>349.94</v>
    <v>384.8</v>
    <v>385.69</v>
    <v>383.25</v>
    <v>388.43</v>
    <v>398.04</v>
    <v>397.99</v>
    <v>400.8</v>
    <v>388.64</v>
    <v>387.35</v>
    <v>402.62</v>
    <v>401.07</v>
    <v>396.78</v>
    <v>396.94</v>
    <v>387.66</v>
    <v>388.91</v>
    <v>387.66</v>
    <v>382.97</v>
    <v>388.88</v>
    <v>388.83</v>
    <v>390.13</v>
    <v>380.34</v>
    <v>376.37</v>
    <v>361.85</v>
    <v>358.99</v>
    <v>372.19</v>
    <v>368.53</v>
    <v>363.31</v>
    <v>364.26</v>
    <v>356.38</v>
    <v>357.77</v>
    <v>359.68</v>
    <v>369.35</v>
    <v>373.25</v>
    <v>363.79</v>
    <v>368.03</v>
    <v>349.68</v>
    <v>346.13</v>
    <v>345.29</v>
    <v>343.71</v>
    <v>337.39</v>
    <v>353.65</v>
    <v>357.37</v>
    <v>361.21</v>
    <v>359.91</v>
    <v>366.46</v>
    <v>367.03</v>
    <v>361.92</v>
    <v>358.89</v>
    <v>357.18</v>
    <v>352.51</v>
    <v>359.51</v>
    <v>370.92</v>
    <v>354.46</v>
    <v>346.77</v>
    <v>351.99</v>
    <v>347.15</v>
    <v>342.09</v>
    <v>317.69</v>
    <v>319.74</v>
    <v>326.56</v>
    <v>333.71</v>
    <v>336.71</v>
    <v>333.66</v>
    <v>356.13</v>
    <v>373.51</v>
    <v>377.65</v>
    <v>362.43</v>
    <v>357.75</v>
    <v>354.3</v>
    <v>357.52</v>
    <v>343.8</v>
    <v>343.54</v>
    <v>346.36</v>
    <v>345.9</v>
    <v>344</v>
    <v>344.2</v>
    <v>344.72</v>
    <v>340.67</v>
    <v>344.82</v>
    <v>348.06</v>
    <v>346.96</v>
    <v>342</v>
    <v>340.65</v>
    <v>346.59</v>
    <v>339.35</v>
    <v>335.02</v>
    <v>337.12</v>
    <v>342.48</v>
    <v>338.46</v>
    <v>338.36</v>
    <v>330.65</v>
    <v>332.6</v>
    <v>338.5</v>
    <v>349.39</v>
    <v>344.98</v>
    <v>342.87</v>
    <v>347.33</v>
    <v>349.54</v>
    <v>354.97</v>
    <v>351.16</v>
    <v>337.83</v>
    <v>342.36</v>
    <v>343.92</v>
    <v>342.75</v>
    <v>340.92</v>
    <v>344.08</v>
    <v>338.24</v>
    <v>343.5</v>
    <v>346.47</v>
    <v>347.68</v>
    <v>350.5</v>
    <v>348.29</v>
    <v>351.66</v>
    <v>352.72</v>
    <v>353.78</v>
    <v>347.64</v>
    <v>349.22</v>
    <v>340.59</v>
    <v>344.18</v>
    <v>340.27499999999998</v>
    <v>334.76</v>
    <v>324.22000000000003</v>
    <v>320.20999999999998</v>
  </a>
  <a r="1" c="254">
    <v>215.47</v>
    <v>213.86</v>
    <v>205.84</v>
    <v>205.42</v>
    <v>207.78</v>
    <v>210.49</v>
    <v>210.07</v>
    <v>210.09</v>
    <v>208.1</v>
    <v>209.99</v>
    <v>207.93</v>
    <v>208.92</v>
    <v>213.32</v>
    <v>215.34</v>
    <v>219.44</v>
    <v>219.91</v>
    <v>214.5</v>
    <v>212.77</v>
    <v>212.97</v>
    <v>214.2</v>
    <v>213.35</v>
    <v>212.98</v>
    <v>214.57</v>
    <v>215.72</v>
    <v>218.04</v>
    <v>218.71</v>
    <v>223.58</v>
    <v>226.97</v>
    <v>224.57</v>
    <v>225.83</v>
    <v>223.79</v>
    <v>225.7</v>
    <v>224.97</v>
    <v>228.18</v>
    <v>227.08</v>
    <v>230.21</v>
    <v>230.74</v>
    <v>233.34</v>
    <v>236.8</v>
    <v>238.61</v>
    <v>241.41</v>
    <v>242.73</v>
    <v>246.71</v>
    <v>252.56</v>
    <v>248.52</v>
    <v>253.57</v>
    <v>246.77</v>
    <v>258.01</v>
    <v>265.29000000000002</v>
    <v>260.55</v>
    <v>259.48</v>
    <v>266.41000000000003</v>
    <v>275.88</v>
    <v>279.83</v>
    <v>282.99</v>
    <v>282.19</v>
    <v>277.37</v>
    <v>284.69</v>
    <v>285.91000000000003</v>
    <v>290.14999999999998</v>
    <v>292.55</v>
    <v>304.26</v>
    <v>318.60000000000002</v>
    <v>305.77</v>
    <v>319.73</v>
    <v>320</v>
    <v>287.8</v>
    <v>264.33999999999997</v>
    <v>283.83999999999997</v>
    <v>279.88</v>
    <v>265.51</v>
    <v>267.92</v>
    <v>279.16000000000003</v>
    <v>272.38</v>
    <v>278.22000000000003</v>
    <v>264.57</v>
    <v>271.32</v>
    <v>269.45</v>
    <v>263.89</v>
    <v>272.17</v>
    <v>272.74</v>
    <v>279.62</v>
    <v>289.94</v>
    <v>286.83999999999997</v>
    <v>293.77</v>
    <v>288.63</v>
    <v>296.31</v>
    <v>295.95</v>
    <v>284.97000000000003</v>
    <v>286.17</v>
    <v>282.39</v>
    <v>287.01</v>
    <v>286.87</v>
    <v>294.56</v>
    <v>289.36</v>
    <v>289.52</v>
    <v>281.70999999999998</v>
    <v>279.02999999999997</v>
    <v>278.75</v>
    <v>271.66000000000003</v>
    <v>253.43</v>
    <v>251.97</v>
    <v>242.33</v>
    <v>245.55</v>
    <v>253.02</v>
    <v>241.73</v>
    <v>250.28</v>
    <v>253.38</v>
    <v>257.22000000000003</v>
    <v>263.82</v>
    <v>258.42</v>
    <v>254.48</v>
    <v>262.58999999999997</v>
    <v>262.86</v>
    <v>262.56</v>
    <v>258.56</v>
    <v>265.12</v>
    <v>265.06</v>
    <v>265.14999999999998</v>
    <v>270.64999999999998</v>
    <v>266.02999999999997</v>
    <v>261.67</v>
    <v>262.41000000000003</v>
    <v>260.57</v>
    <v>259.47000000000003</v>
    <v>256.2</v>
    <v>251.31</v>
    <v>248.87</v>
    <v>253.2</v>
    <v>250.67</v>
    <v>252.94</v>
    <v>260.5</v>
    <v>264.49</v>
    <v>261.89</v>
    <v>268.27</v>
    <v>264.23</v>
    <v>271.54000000000002</v>
    <v>267.54000000000002</v>
    <v>254.99</v>
    <v>253.92</v>
    <v>250.76</v>
    <v>252.78</v>
    <v>252.36</v>
    <v>252.45</v>
    <v>256.33</v>
    <v>252.45</v>
    <v>248.39</v>
    <v>248.91</v>
    <v>253.1</v>
    <v>250.48</v>
    <v>251.89</v>
    <v>246.95</v>
    <v>247.74</v>
    <v>238.74</v>
    <v>237.35</v>
    <v>232.48</v>
    <v>227.07</v>
    <v>225.32</v>
    <v>233.06</v>
    <v>241.49</v>
    <v>239.59</v>
    <v>241.37</v>
    <v>233.93</v>
    <v>229.05</v>
    <v>232.13</v>
    <v>227.72</v>
    <v>219.58</v>
    <v>219.05</v>
    <v>222.1</v>
    <v>218.19</v>
    <v>219.81</v>
    <v>222.95</v>
    <v>225.27</v>
    <v>228.13</v>
    <v>227.38</v>
    <v>226</v>
    <v>218.17</v>
    <v>224.83</v>
    <v>223.59</v>
    <v>219.72</v>
    <v>223.14</v>
    <v>220.33</v>
    <v>217.5</v>
    <v>216.16</v>
    <v>218.31</v>
    <v>222.69</v>
    <v>226.91</v>
    <v>220.47</v>
    <v>222.23</v>
    <v>223.03</v>
    <v>219.38</v>
    <v>218.16</v>
    <v>220.69</v>
    <v>218.21</v>
    <v>217.23</v>
    <v>222.64</v>
    <v>231.39</v>
    <v>230.81</v>
    <v>235.02</v>
    <v>236.3</v>
    <v>237.7</v>
    <v>240.18</v>
    <v>235.82</v>
    <v>236.21</v>
    <v>239.23</v>
    <v>233.51</v>
    <v>238.67</v>
    <v>243.22</v>
    <v>246.54</v>
    <v>249.52</v>
    <v>246.76</v>
    <v>245.13</v>
    <v>245.74</v>
    <v>248.65</v>
    <v>239.3</v>
    <v>235.58</v>
    <v>235.88</v>
    <v>243.78</v>
    <v>239.98</v>
    <v>239.07</v>
    <v>238.56</v>
    <v>239.27</v>
    <v>234.2</v>
    <v>234.96</v>
    <v>232.33</v>
    <v>231.83</v>
    <v>235.47</v>
    <v>237.89</v>
    <v>239.03</v>
    <v>238.7</v>
    <v>238.47</v>
    <v>235.61</v>
    <v>233.3</v>
    <v>235.07</v>
    <v>226.39</v>
    <v>227.27</v>
    <v>226.56</v>
    <v>228.83</v>
    <v>227.26</v>
    <v>229.67</v>
    <v>229.12</v>
    <v>225.78</v>
    <v>225.36</v>
    <v>230.46</v>
    <v>229.48</v>
    <v>227.51</v>
    <v>222.73</v>
    <v>224.61</v>
    <v>224.67</v>
    <v>224.35</v>
    <v>223.75</v>
    <v>223.74</v>
    <v>217.93</v>
    <v>215.1</v>
  </a>
  <a r="1" c="208">
    <v>246.77</v>
    <v>258.01</v>
    <v>265.29000000000002</v>
    <v>260.55</v>
    <v>259.48</v>
    <v>266.41000000000003</v>
    <v>275.88</v>
    <v>279.83</v>
    <v>282.99</v>
    <v>282.19</v>
    <v>277.37</v>
    <v>284.69</v>
    <v>285.91000000000003</v>
    <v>290.14999999999998</v>
    <v>292.55</v>
    <v>304.26</v>
    <v>318.60000000000002</v>
    <v>305.77</v>
    <v>319.73</v>
    <v>320</v>
    <v>287.8</v>
    <v>264.33999999999997</v>
    <v>283.83999999999997</v>
    <v>279.88</v>
    <v>265.51</v>
    <v>267.92</v>
    <v>279.16000000000003</v>
    <v>272.38</v>
    <v>278.22000000000003</v>
    <v>264.57</v>
    <v>271.32</v>
    <v>269.45</v>
    <v>263.89</v>
    <v>272.17</v>
    <v>272.74</v>
    <v>279.62</v>
    <v>289.94</v>
    <v>286.83999999999997</v>
    <v>293.77</v>
    <v>288.63</v>
    <v>296.31</v>
    <v>295.95</v>
    <v>284.97000000000003</v>
    <v>286.17</v>
    <v>282.39</v>
    <v>287.01</v>
    <v>286.87</v>
    <v>294.56</v>
    <v>289.36</v>
    <v>289.52</v>
    <v>281.70999999999998</v>
    <v>279.02999999999997</v>
    <v>278.75</v>
    <v>271.66000000000003</v>
    <v>253.43</v>
    <v>251.97</v>
    <v>242.33</v>
    <v>245.55</v>
    <v>253.02</v>
    <v>241.73</v>
    <v>250.28</v>
    <v>253.38</v>
    <v>257.22000000000003</v>
    <v>263.82</v>
    <v>258.42</v>
    <v>254.48</v>
    <v>262.58999999999997</v>
    <v>262.86</v>
    <v>262.56</v>
    <v>258.56</v>
    <v>265.12</v>
    <v>265.06</v>
    <v>265.14999999999998</v>
    <v>270.64999999999998</v>
    <v>266.02999999999997</v>
    <v>261.67</v>
    <v>262.41000000000003</v>
    <v>260.57</v>
    <v>259.47000000000003</v>
    <v>256.2</v>
    <v>251.31</v>
    <v>248.87</v>
    <v>253.2</v>
    <v>250.67</v>
    <v>252.94</v>
    <v>260.5</v>
    <v>264.49</v>
    <v>261.89</v>
    <v>268.27</v>
    <v>264.23</v>
    <v>271.54000000000002</v>
    <v>267.54000000000002</v>
    <v>254.99</v>
    <v>253.92</v>
    <v>250.76</v>
    <v>252.78</v>
    <v>252.36</v>
    <v>252.45</v>
    <v>256.33</v>
    <v>252.45</v>
    <v>248.39</v>
    <v>248.91</v>
    <v>253.1</v>
    <v>250.48</v>
    <v>251.89</v>
    <v>246.95</v>
    <v>247.74</v>
    <v>238.74</v>
    <v>237.35</v>
    <v>232.48</v>
    <v>227.07</v>
    <v>225.32</v>
    <v>233.06</v>
    <v>241.49</v>
    <v>239.59</v>
    <v>241.37</v>
    <v>233.93</v>
    <v>229.05</v>
    <v>232.13</v>
    <v>227.72</v>
    <v>219.58</v>
    <v>219.05</v>
    <v>222.1</v>
    <v>218.19</v>
    <v>219.81</v>
    <v>222.95</v>
    <v>225.27</v>
    <v>228.13</v>
    <v>227.38</v>
    <v>226</v>
    <v>218.17</v>
    <v>224.83</v>
    <v>223.59</v>
    <v>219.72</v>
    <v>223.14</v>
    <v>220.33</v>
    <v>217.5</v>
    <v>216.16</v>
    <v>218.31</v>
    <v>222.69</v>
    <v>226.91</v>
    <v>220.47</v>
    <v>222.23</v>
    <v>223.03</v>
    <v>219.38</v>
    <v>218.16</v>
    <v>220.69</v>
    <v>218.21</v>
    <v>217.23</v>
    <v>222.64</v>
    <v>231.39</v>
    <v>230.81</v>
    <v>235.02</v>
    <v>236.3</v>
    <v>237.7</v>
    <v>240.18</v>
    <v>235.82</v>
    <v>236.21</v>
    <v>239.23</v>
    <v>233.51</v>
    <v>238.67</v>
    <v>243.22</v>
    <v>246.54</v>
    <v>249.52</v>
    <v>246.76</v>
    <v>245.13</v>
    <v>245.74</v>
    <v>248.65</v>
    <v>239.3</v>
    <v>235.58</v>
    <v>235.88</v>
    <v>243.78</v>
    <v>239.98</v>
    <v>239.07</v>
    <v>238.56</v>
    <v>239.27</v>
    <v>234.2</v>
    <v>234.96</v>
    <v>232.33</v>
    <v>231.83</v>
    <v>235.47</v>
    <v>237.89</v>
    <v>239.03</v>
    <v>238.7</v>
    <v>238.47</v>
    <v>235.61</v>
    <v>233.3</v>
    <v>235.07</v>
    <v>226.39</v>
    <v>227.27</v>
    <v>226.56</v>
    <v>228.83</v>
    <v>227.26</v>
    <v>229.67</v>
    <v>229.12</v>
    <v>225.78</v>
    <v>225.36</v>
    <v>230.46</v>
    <v>229.48</v>
    <v>227.51</v>
    <v>222.73</v>
    <v>224.61</v>
    <v>224.67</v>
    <v>224.35</v>
    <v>223.75</v>
    <v>223.74</v>
    <v>217.93</v>
    <v>215.1</v>
  </a>
  <a r="1" c="761">
    <v>121.3</v>
    <v>120.79</v>
    <v>121.44</v>
    <v>121.95</v>
    <v>121.16</v>
    <v>122.8</v>
    <v>122.53</v>
    <v>122.28</v>
    <v>121.21</v>
    <v>120.65</v>
    <v>119.83</v>
    <v>118.49</v>
    <v>117.74</v>
    <v>117.23</v>
    <v>115.73</v>
    <v>115.34</v>
    <v>116.41</v>
    <v>117.63</v>
    <v>118.97</v>
    <v>117.79</v>
    <v>117.45</v>
    <v>118.96</v>
    <v>118.51</v>
    <v>118.13</v>
    <v>119.05</v>
    <v>119.39</v>
    <v>120.31</v>
    <v>120.01</v>
    <v>120.58</v>
    <v>122.16</v>
    <v>119.6</v>
    <v>118.46</v>
    <v>118.99</v>
    <v>119.38</v>
    <v>117.86</v>
    <v>116.99</v>
    <v>116.99</v>
    <v>116.42</v>
    <v>120.19</v>
    <v>122.28</v>
    <v>122.35</v>
    <v>123.03</v>
    <v>122.6</v>
    <v>122.56</v>
    <v>123.09</v>
    <v>121.75</v>
    <v>121.57</v>
    <v>120.68</v>
    <v>122.03</v>
    <v>119.41</v>
    <v>118.8</v>
    <v>119.13</v>
    <v>117.68</v>
    <v>117.21</v>
    <v>116.73</v>
    <v>116.21</v>
    <v>117.95</v>
    <v>117.99</v>
    <v>117.09</v>
    <v>115.59</v>
    <v>115.87</v>
    <v>115.96</v>
    <v>115.49</v>
    <v>116.52</v>
    <v>116.39</v>
    <v>116.6</v>
    <v>116.71</v>
    <v>118.46</v>
    <v>118.13</v>
    <v>119.28</v>
    <v>119.52</v>
    <v>117.86</v>
    <v>117.42</v>
    <v>118.17</v>
    <v>117.13</v>
    <v>116.38</v>
    <v>115.34</v>
    <v>116.24</v>
    <v>114.7</v>
    <v>116.39</v>
    <v>117.14</v>
    <v>117.79</v>
    <v>117.65</v>
    <v>117.85</v>
    <v>117.01</v>
    <v>117.49</v>
    <v>118.17</v>
    <v>116.4</v>
    <v>116.85</v>
    <v>116.29</v>
    <v>117.36</v>
    <v>119.69</v>
    <v>120.78</v>
    <v>120.83</v>
    <v>123.73</v>
    <v>123.8</v>
    <v>123.59</v>
    <v>124.68</v>
    <v>124.01</v>
    <v>125.37</v>
    <v>125.24</v>
    <v>126.69</v>
    <v>124.98</v>
    <v>124.03</v>
    <v>124.26</v>
    <v>125.02</v>
    <v>124.69</v>
    <v>125.22</v>
    <v>124.92</v>
    <v>125.22</v>
    <v>127.31</v>
    <v>130</v>
    <v>131.58000000000001</v>
    <v>132.22</v>
    <v>133.22</v>
    <v>134.72</v>
    <v>135.58000000000001</v>
    <v>136.5</v>
    <v>136.55000000000001</v>
    <v>141.51</v>
    <v>139.07</v>
    <v>139.29</v>
    <v>139.83000000000001</v>
    <v>139.18</v>
    <v>139.35</v>
    <v>135.69999999999999</v>
    <v>134.79</v>
    <v>135.02000000000001</v>
    <v>134.28</v>
    <v>134.22999999999999</v>
    <v>134.66999999999999</v>
    <v>132.09</v>
    <v>132.44</v>
    <v>130.91999999999999</v>
    <v>133.57</v>
    <v>133.43</v>
    <v>133.59</v>
    <v>134.77000000000001</v>
    <v>136.26</v>
    <v>134.58000000000001</v>
    <v>135.9</v>
    <v>138.66999999999999</v>
    <v>138.41</v>
    <v>139.93</v>
    <v>142.08000000000001</v>
    <v>143</v>
    <v>140.32</v>
    <v>137.15</v>
    <v>136.41999999999999</v>
    <v>139.18</v>
    <v>139.01</v>
    <v>138.85</v>
    <v>137.79</v>
    <v>135.62</v>
    <v>136.22999999999999</v>
    <v>134.47</v>
    <v>135.41999999999999</v>
    <v>137.41999999999999</v>
    <v>133.41</v>
    <v>134.22</v>
    <v>133.94999999999999</v>
    <v>134.41</v>
    <v>133.11000000000001</v>
    <v>134.87</v>
    <v>135.31</v>
    <v>135.16</v>
    <v>135.32</v>
    <v>137.82</v>
    <v>137.33000000000001</v>
    <v>137.24</v>
    <v>135.72999999999999</v>
    <v>135.1</v>
    <v>135.85</v>
    <v>136.83000000000001</v>
    <v>136.99</v>
    <v>137.55000000000001</v>
    <v>139.16999999999999</v>
    <v>138.43</v>
    <v>140.72</v>
    <v>139.21</v>
    <v>137.52000000000001</v>
    <v>138.72</v>
    <v>140.75</v>
    <v>138.72</v>
    <v>140.01</v>
    <v>141.53</v>
    <v>139.37</v>
    <v>138.93</v>
    <v>135.66999999999999</v>
    <v>134.54</v>
    <v>136.09</v>
    <v>137.49</v>
    <v>132.99</v>
    <v>133.41</v>
    <v>133.43</v>
    <v>134.5</v>
    <v>136.83000000000001</v>
    <v>138.28</v>
    <v>134.96</v>
    <v>131.56</v>
    <v>131.47999999999999</v>
    <v>132.13999999999999</v>
    <v>133.69999999999999</v>
    <v>133.79</v>
    <v>135.44</v>
    <v>135.72999999999999</v>
    <v>133.83000000000001</v>
    <v>137.22999999999999</v>
    <v>137.34</v>
    <v>137</v>
    <v>137.28</v>
    <v>135.29</v>
    <v>137</v>
    <v>137.32</v>
    <v>137.77000000000001</v>
    <v>136.9</v>
    <v>138.44999999999999</v>
    <v>137.16</v>
    <v>137.44</v>
    <v>135.66999999999999</v>
    <v>135.46</v>
    <v>136.54</v>
    <v>136.21</v>
    <v>135.97</v>
    <v>137.56</v>
    <v>138.53</v>
    <v>141.38999999999999</v>
    <v>143.16</v>
    <v>143.02000000000001</v>
    <v>142.96</v>
    <v>142.22</v>
    <v>143.33000000000001</v>
    <v>143.94</v>
    <v>142.16</v>
    <v>145.44999999999999</v>
    <v>145.88</v>
    <v>146.79</v>
    <v>145.43</v>
    <v>143.44999999999999</v>
    <v>146.83000000000001</v>
    <v>147.06</v>
    <v>146.78</v>
    <v>148.43</v>
    <v>147.01</v>
    <v>144.26</v>
    <v>145.21</v>
    <v>146.87</v>
    <v>148.54</v>
    <v>147.59</v>
    <v>148.80000000000001</v>
    <v>150.83000000000001</v>
    <v>151.69999999999999</v>
    <v>154.15</v>
    <v>154.51</v>
    <v>157.04</v>
    <v>155.57</v>
    <v>157.19999999999999</v>
    <v>158.35</v>
    <v>158.66</v>
    <v>160.22999999999999</v>
    <v>158.19</v>
    <v>154.88</v>
    <v>154.91999999999999</v>
    <v>153.07</v>
    <v>153.29</v>
    <v>151.04</v>
    <v>151.43</v>
    <v>150.99</v>
    <v>148.49</v>
    <v>147.78</v>
    <v>148.16999999999999</v>
    <v>146.93</v>
    <v>148.33000000000001</v>
    <v>151.38999999999999</v>
    <v>151.33000000000001</v>
    <v>152.91999999999999</v>
    <v>153.97</v>
    <v>156.28</v>
    <v>150.87</v>
    <v>151.25</v>
    <v>150</v>
    <v>150.24</v>
    <v>151.62</v>
    <v>152.32</v>
    <v>152.41999999999999</v>
    <v>152.51</v>
    <v>150.52000000000001</v>
    <v>150.69999999999999</v>
    <v>152.91</v>
    <v>153.84</v>
    <v>155.75</v>
    <v>152.85</v>
    <v>151.53</v>
    <v>151.19999999999999</v>
    <v>150.55000000000001</v>
    <v>150.03</v>
    <v>148.16999999999999</v>
    <v>151.63999999999999</v>
    <v>149.79</v>
    <v>149.1</v>
    <v>147.87</v>
    <v>153.06</v>
    <v>152.44</v>
    <v>151.13</v>
    <v>152.38999999999999</v>
    <v>153.83000000000001</v>
    <v>153.94999999999999</v>
    <v>156.24</v>
    <v>154.86000000000001</v>
    <v>154.04</v>
    <v>155.94</v>
    <v>157.69</v>
    <v>156.21</v>
    <v>154.38999999999999</v>
    <v>155.94999999999999</v>
    <v>157.13999999999999</v>
    <v>156.65</v>
    <v>156.38999999999999</v>
    <v>154.04</v>
    <v>155.71</v>
    <v>156.58000000000001</v>
    <v>159.34</v>
    <v>160.54</v>
    <v>162.63</v>
    <v>162.54</v>
    <v>163.24</v>
    <v>162.78</v>
    <v>164.07</v>
    <v>165.81</v>
    <v>165</v>
    <v>164.31</v>
    <v>164.67</v>
    <v>162.74</v>
    <v>163.88</v>
    <v>165.73</v>
    <v>165.04</v>
    <v>165.57</v>
    <v>164.73</v>
    <v>163.74</v>
    <v>161.38</v>
    <v>161.51</v>
    <v>160.77000000000001</v>
    <v>159.47</v>
    <v>161.6</v>
    <v>161</v>
    <v>158.94</v>
    <v>158.16</v>
    <v>157.22</v>
    <v>156.91</v>
    <v>156.63999999999999</v>
    <v>158.22</v>
    <v>161.22</v>
    <v>161.38999999999999</v>
    <v>161.71</v>
    <v>163.15</v>
    <v>164.03</v>
    <v>162.68</v>
    <v>162.12</v>
    <v>162.6</v>
    <v>163.36000000000001</v>
    <v>163.72999999999999</v>
    <v>165.59</v>
    <v>165.44</v>
    <v>167.35</v>
    <v>168.29</v>
    <v>166.39</v>
    <v>159.93</v>
    <v>155.68</v>
    <v>154.96</v>
    <v>156.88</v>
    <v>156.94</v>
    <v>158.94999999999999</v>
    <v>160.26</v>
    <v>159.47999999999999</v>
    <v>161.05000000000001</v>
    <v>164.06</v>
    <v>162.6</v>
    <v>165.21</v>
    <v>162.79</v>
    <v>164.53</v>
    <v>162.22999999999999</v>
    <v>164.39</v>
    <v>163.22999999999999</v>
    <v>163.65</v>
    <v>160.82</v>
    <v>163.22</v>
    <v>167.02</v>
    <v>166.44</v>
    <v>166.52</v>
    <v>166.37</v>
    <v>164.58</v>
    <v>164.43</v>
    <v>160.80000000000001</v>
    <v>163.15</v>
    <v>161.72</v>
    <v>162.76</v>
    <v>165.55</v>
    <v>166.76</v>
    <v>166.19</v>
    <v>167.84</v>
    <v>166.17</v>
    <v>165.08</v>
    <v>165.27</v>
    <v>165.37</v>
    <v>164.1</v>
    <v>167.64</v>
    <v>167.89</v>
    <v>167.88</v>
    <v>168.83</v>
    <v>169.75</v>
    <v>171.11</v>
    <v>170.29</v>
    <v>170.39</v>
    <v>170.28</v>
    <v>170.96</v>
    <v>170.54</v>
    <v>171.67</v>
    <v>171.79</v>
    <v>171.14</v>
    <v>169.94</v>
    <v>171.38</v>
    <v>166.98</v>
    <v>167.62</v>
    <v>168.52</v>
    <v>166.19</v>
    <v>165.53</v>
    <v>167.53</v>
    <v>168.5</v>
    <v>168.19</v>
    <v>168.06</v>
    <v>167.5</v>
    <v>166.98</v>
    <v>167.37</v>
    <v>169.27</v>
    <v>172.54</v>
    <v>172.26</v>
    <v>172.28</v>
    <v>173.55</v>
    <v>174.42</v>
    <v>174.41</v>
    <v>175.54</v>
    <v>176.63</v>
    <v>176.81</v>
    <v>173.49</v>
    <v>171.27</v>
    <v>172.86</v>
    <v>173.94</v>
    <v>173.13</v>
    <v>171.85</v>
    <v>170.92</v>
    <v>171</v>
    <v>174.21</v>
    <v>172.21</v>
    <v>173.26</v>
    <v>172.97</v>
    <v>172.08</v>
    <v>171.09</v>
    <v>170.85</v>
    <v>171.23</v>
    <v>170.46</v>
    <v>169.16</v>
    <v>170.22</v>
    <v>171.1</v>
    <v>172.3</v>
    <v>171.83</v>
    <v>172.04</v>
    <v>172.9</v>
    <v>173.38</v>
    <v>174.46</v>
    <v>178.31</v>
    <v>179.4</v>
    <v>181.78</v>
    <v>180.32</v>
    <v>177.54</v>
    <v>181</v>
    <v>182.19</v>
    <v>183.74</v>
    <v>183.61</v>
    <v>184</v>
    <v>185.02</v>
    <v>184.65</v>
    <v>180.81</v>
    <v>182.73</v>
    <v>187.44</v>
    <v>188.16</v>
    <v>191.11</v>
    <v>190.89</v>
    <v>192.53</v>
    <v>195.53</v>
    <v>197.8</v>
    <v>196.94</v>
    <v>198.45</v>
    <v>196.58</v>
    <v>200.86</v>
    <v>204.73</v>
    <v>206.57</v>
    <v>211.99</v>
    <v>214.72</v>
    <v>211.58</v>
    <v>217.89</v>
    <v>218.87</v>
    <v>221.12</v>
    <v>225.24</v>
    <v>220.79</v>
    <v>224.7</v>
    <v>212.91</v>
    <v>209.15</v>
    <v>215.47</v>
    <v>213.86</v>
    <v>205.84</v>
    <v>205.42</v>
    <v>207.78</v>
    <v>210.49</v>
    <v>210.07</v>
    <v>210.09</v>
    <v>208.1</v>
    <v>209.99</v>
    <v>207.93</v>
    <v>208.92</v>
    <v>213.32</v>
    <v>215.34</v>
    <v>219.44</v>
    <v>219.91</v>
    <v>214.5</v>
    <v>212.77</v>
    <v>212.97</v>
    <v>214.2</v>
    <v>213.35</v>
    <v>212.98</v>
    <v>214.57</v>
    <v>215.72</v>
    <v>218.04</v>
    <v>218.71</v>
    <v>223.58</v>
    <v>226.97</v>
    <v>224.57</v>
    <v>225.83</v>
    <v>223.79</v>
    <v>225.7</v>
    <v>224.97</v>
    <v>228.18</v>
    <v>227.08</v>
    <v>230.21</v>
    <v>230.74</v>
    <v>233.34</v>
    <v>236.8</v>
    <v>238.61</v>
    <v>241.41</v>
    <v>242.73</v>
    <v>246.71</v>
    <v>252.56</v>
    <v>248.52</v>
    <v>253.57</v>
    <v>246.77</v>
    <v>258.01</v>
    <v>265.29000000000002</v>
    <v>260.55</v>
    <v>259.48</v>
    <v>266.41000000000003</v>
    <v>275.88</v>
    <v>279.83</v>
    <v>282.99</v>
    <v>282.19</v>
    <v>277.37</v>
    <v>284.69</v>
    <v>285.91000000000003</v>
    <v>290.14999999999998</v>
    <v>292.55</v>
    <v>304.26</v>
    <v>318.60000000000002</v>
    <v>305.77</v>
    <v>319.73</v>
    <v>320</v>
    <v>287.8</v>
    <v>264.33999999999997</v>
    <v>283.83999999999997</v>
    <v>279.88</v>
    <v>265.51</v>
    <v>267.92</v>
    <v>279.16000000000003</v>
    <v>272.38</v>
    <v>278.22000000000003</v>
    <v>264.57</v>
    <v>271.32</v>
    <v>269.45</v>
    <v>263.89</v>
    <v>272.17</v>
    <v>272.74</v>
    <v>279.62</v>
    <v>289.94</v>
    <v>286.83999999999997</v>
    <v>293.77</v>
    <v>288.63</v>
    <v>296.31</v>
    <v>295.95</v>
    <v>284.97000000000003</v>
    <v>286.17</v>
    <v>282.39</v>
    <v>287.01</v>
    <v>286.87</v>
    <v>294.56</v>
    <v>289.36</v>
    <v>289.52</v>
    <v>281.70999999999998</v>
    <v>279.02999999999997</v>
    <v>278.75</v>
    <v>271.66000000000003</v>
    <v>253.43</v>
    <v>251.97</v>
    <v>242.33</v>
    <v>245.55</v>
    <v>253.02</v>
    <v>241.73</v>
    <v>250.28</v>
    <v>253.38</v>
    <v>257.22000000000003</v>
    <v>263.82</v>
    <v>258.42</v>
    <v>254.48</v>
    <v>262.58999999999997</v>
    <v>262.86</v>
    <v>262.56</v>
    <v>258.56</v>
    <v>265.12</v>
    <v>265.06</v>
    <v>265.14999999999998</v>
    <v>270.64999999999998</v>
    <v>266.02999999999997</v>
    <v>261.67</v>
    <v>262.41000000000003</v>
    <v>260.57</v>
    <v>259.47000000000003</v>
    <v>256.2</v>
    <v>251.31</v>
    <v>248.87</v>
    <v>253.2</v>
    <v>250.67</v>
    <v>252.94</v>
    <v>260.5</v>
    <v>264.49</v>
    <v>261.89</v>
    <v>268.27</v>
    <v>264.23</v>
    <v>271.54000000000002</v>
    <v>267.54000000000002</v>
    <v>254.99</v>
    <v>253.92</v>
    <v>250.76</v>
    <v>252.78</v>
    <v>252.36</v>
    <v>252.45</v>
    <v>256.33</v>
    <v>252.45</v>
    <v>248.39</v>
    <v>248.91</v>
    <v>253.1</v>
    <v>250.48</v>
    <v>251.89</v>
    <v>246.95</v>
    <v>247.74</v>
    <v>238.74</v>
    <v>237.35</v>
    <v>232.48</v>
    <v>227.07</v>
    <v>225.32</v>
    <v>233.06</v>
    <v>241.49</v>
    <v>239.59</v>
    <v>241.37</v>
    <v>233.93</v>
    <v>229.05</v>
    <v>232.13</v>
    <v>227.72</v>
    <v>219.58</v>
    <v>219.05</v>
    <v>222.1</v>
    <v>218.19</v>
    <v>219.81</v>
    <v>222.95</v>
    <v>225.27</v>
    <v>228.13</v>
    <v>227.38</v>
    <v>226</v>
    <v>218.17</v>
    <v>224.83</v>
    <v>223.59</v>
    <v>219.72</v>
    <v>223.14</v>
    <v>220.33</v>
    <v>217.5</v>
    <v>216.16</v>
    <v>218.31</v>
    <v>222.69</v>
    <v>226.91</v>
    <v>220.47</v>
    <v>222.23</v>
    <v>223.03</v>
    <v>219.38</v>
    <v>218.16</v>
    <v>220.69</v>
    <v>218.21</v>
    <v>217.23</v>
    <v>222.64</v>
    <v>231.39</v>
    <v>230.81</v>
    <v>235.02</v>
    <v>236.3</v>
    <v>237.7</v>
    <v>240.18</v>
    <v>235.82</v>
    <v>236.21</v>
    <v>239.23</v>
    <v>233.51</v>
    <v>238.67</v>
    <v>243.22</v>
    <v>246.54</v>
    <v>249.52</v>
    <v>246.76</v>
    <v>245.13</v>
    <v>245.74</v>
    <v>248.65</v>
    <v>239.3</v>
    <v>235.58</v>
    <v>235.88</v>
    <v>243.78</v>
    <v>239.98</v>
    <v>239.07</v>
    <v>238.56</v>
    <v>239.27</v>
    <v>234.2</v>
    <v>234.96</v>
    <v>232.33</v>
    <v>231.83</v>
    <v>235.47</v>
    <v>237.89</v>
    <v>239.03</v>
    <v>238.7</v>
    <v>238.47</v>
    <v>235.61</v>
    <v>233.3</v>
    <v>235.07</v>
    <v>226.39</v>
    <v>227.27</v>
    <v>226.56</v>
    <v>228.83</v>
    <v>227.26</v>
    <v>229.67</v>
    <v>229.12</v>
    <v>225.78</v>
    <v>225.36</v>
    <v>230.46</v>
    <v>229.48</v>
    <v>227.51</v>
    <v>222.73</v>
    <v>224.61</v>
    <v>224.67</v>
    <v>224.35</v>
    <v>223.75</v>
    <v>223.74</v>
    <v>217.93</v>
    <v>215.1</v>
  </a>
  <a r="1" c="208">
    <v>89.88</v>
    <v>91.54</v>
    <v>90.8</v>
    <v>91.42</v>
    <v>87.48</v>
    <v>87.28</v>
    <v>85.78</v>
    <v>86.28</v>
    <v>89.26</v>
    <v>93.6</v>
    <v>95.8</v>
    <v>93.82</v>
    <v>94.12</v>
    <v>94.08</v>
    <v>96.62</v>
    <v>97.36</v>
    <v>97.2</v>
    <v>99.48</v>
    <v>97.8</v>
    <v>99.22</v>
    <v>100.45</v>
    <v>100.7</v>
    <v>103.2</v>
    <v>100.7</v>
    <v>99.38</v>
    <v>102.95</v>
    <v>106.1</v>
    <v>103.8</v>
    <v>103.2</v>
    <v>101.75</v>
    <v>98.98</v>
    <v>99.18</v>
    <v>98.7</v>
    <v>101.5</v>
    <v>98.08</v>
    <v>97.5</v>
    <v>96.02</v>
    <v>97.86</v>
    <v>100</v>
    <v>100.15</v>
    <v>102.5</v>
    <v>103.35</v>
    <v>97.78</v>
    <v>102.2</v>
    <v>98.6</v>
    <v>99.1</v>
    <v>97.02</v>
    <v>101.8</v>
    <v>101.2</v>
    <v>101.55</v>
    <v>98.42</v>
    <v>98.02</v>
    <v>98.08</v>
    <v>100.05</v>
    <v>94.66</v>
    <v>93.9</v>
    <v>94.9</v>
    <v>94.82</v>
    <v>98.42</v>
    <v>95.88</v>
    <v>94.06</v>
    <v>94.96</v>
    <v>98.78</v>
    <v>104.65</v>
    <v>104.7</v>
    <v>104.75</v>
    <v>115</v>
    <v>115.6</v>
    <v>119.8</v>
    <v>119.7</v>
    <v>122</v>
    <v>121.45</v>
    <v>121</v>
    <v>121.65</v>
    <v>120.4</v>
    <v>119.3</v>
    <v>121.15</v>
    <v>122.5</v>
    <v>127.4</v>
    <v>124.55</v>
    <v>123.2</v>
    <v>124.35</v>
    <v>127.95</v>
    <v>126.3</v>
    <v>139.6</v>
    <v>143.80000000000001</v>
    <v>143.65</v>
    <v>152.05000000000001</v>
    <v>156.9</v>
    <v>148.80000000000001</v>
    <v>154.69999999999999</v>
    <v>156.35</v>
    <v>153.15</v>
    <v>147.94999999999999</v>
    <v>140.5</v>
    <v>144.4</v>
    <v>149.30000000000001</v>
    <v>149.80000000000001</v>
    <v>153</v>
    <v>150.30000000000001</v>
    <v>146.5</v>
    <v>150.30000000000001</v>
    <v>148</v>
    <v>149.30000000000001</v>
    <v>154.65</v>
    <v>154.15</v>
    <v>150.6</v>
    <v>145.35</v>
    <v>148.69999999999999</v>
    <v>142.4</v>
    <v>136.30000000000001</v>
    <v>142.94999999999999</v>
    <v>143.9</v>
    <v>145.55000000000001</v>
    <v>146.35</v>
    <v>146</v>
    <v>147.75</v>
    <v>153.19999999999999</v>
    <v>154.69999999999999</v>
    <v>148.35</v>
    <v>147.9</v>
    <v>148.1</v>
    <v>142.85</v>
    <v>144.75</v>
    <v>146.05000000000001</v>
    <v>143.1</v>
    <v>142.1</v>
    <v>146.30000000000001</v>
    <v>143.25</v>
    <v>133.80000000000001</v>
    <v>133.30000000000001</v>
    <v>136.55000000000001</v>
    <v>135.05000000000001</v>
    <v>133.35</v>
    <v>137.85</v>
    <v>134.35</v>
    <v>131.30000000000001</v>
    <v>125.35</v>
    <v>125</v>
    <v>130.4</v>
    <v>128.25</v>
    <v>126.1</v>
    <v>126.9</v>
    <v>122.1</v>
    <v>116.85</v>
    <v>114.7</v>
    <v>119.85</v>
    <v>120.2</v>
    <v>119.45</v>
    <v>123.6</v>
    <v>122.1</v>
    <v>124.5</v>
    <v>126</v>
    <v>125.85</v>
    <v>127.55</v>
    <v>131.4</v>
    <v>130.6</v>
    <v>127.95</v>
    <v>131.05000000000001</v>
    <v>124.65</v>
    <v>123.6</v>
    <v>122.55</v>
    <v>124</v>
    <v>117.6</v>
    <v>121</v>
    <v>121.65</v>
    <v>123.6</v>
    <v>122.05</v>
    <v>120.2</v>
    <v>117.1</v>
    <v>119.1</v>
    <v>119.8</v>
    <v>122.25</v>
    <v>125.5</v>
    <v>128.5</v>
    <v>126.95</v>
    <v>123.6</v>
    <v>127.25</v>
    <v>118.25</v>
    <v>118.2</v>
    <v>122.2</v>
    <v>121.65</v>
    <v>122.45</v>
    <v>126.1</v>
    <v>129.30000000000001</v>
    <v>127.25</v>
    <v>122.35</v>
    <v>122.4</v>
    <v>122.55</v>
    <v>124.8</v>
    <v>124</v>
    <v>124.85</v>
    <v>129.80000000000001</v>
    <v>128.05000000000001</v>
    <v>130.4</v>
    <v>124.3</v>
    <v>122.3</v>
    <v>123.2</v>
    <v>122.45</v>
    <v>119.75</v>
    <v>113.15</v>
    <v>109.8</v>
    <v>109.4</v>
    <v>107.1</v>
    <v>104.3</v>
    <v>108.35</v>
    <v>100.1</v>
    <v>99.08</v>
  </a>
  <a r="1" c="254">
    <v>88.62</v>
    <v>89.96</v>
    <v>90.5</v>
    <v>91.5</v>
    <v>91.7</v>
    <v>88.02</v>
    <v>89.82</v>
    <v>89.02</v>
    <v>87</v>
    <v>87.52</v>
    <v>85.62</v>
    <v>81.900000000000006</v>
    <v>83.56</v>
    <v>84.3</v>
    <v>85.26</v>
    <v>84.48</v>
    <v>84.1</v>
    <v>83.86</v>
    <v>81.040000000000006</v>
    <v>85.02</v>
    <v>84.28</v>
    <v>80.8</v>
    <v>83</v>
    <v>82.78</v>
    <v>85.22</v>
    <v>85.44</v>
    <v>86.3</v>
    <v>84.82</v>
    <v>84.76</v>
    <v>82.6</v>
    <v>84.5</v>
    <v>84.98</v>
    <v>85.96</v>
    <v>84.32</v>
    <v>86.34</v>
    <v>83.92</v>
    <v>82.64</v>
    <v>84.14</v>
    <v>83.76</v>
    <v>81.92</v>
    <v>84.32</v>
    <v>85.22</v>
    <v>85.86</v>
    <v>85.94</v>
    <v>85.78</v>
    <v>86.38</v>
    <v>89.88</v>
    <v>91.54</v>
    <v>90.8</v>
    <v>91.42</v>
    <v>87.48</v>
    <v>87.28</v>
    <v>85.78</v>
    <v>86.28</v>
    <v>89.26</v>
    <v>93.6</v>
    <v>95.8</v>
    <v>93.82</v>
    <v>94.12</v>
    <v>94.08</v>
    <v>96.62</v>
    <v>97.36</v>
    <v>97.2</v>
    <v>99.48</v>
    <v>97.8</v>
    <v>99.22</v>
    <v>100.45</v>
    <v>100.7</v>
    <v>103.2</v>
    <v>100.7</v>
    <v>99.38</v>
    <v>102.95</v>
    <v>106.1</v>
    <v>103.8</v>
    <v>103.2</v>
    <v>101.75</v>
    <v>98.98</v>
    <v>99.18</v>
    <v>98.7</v>
    <v>101.5</v>
    <v>98.08</v>
    <v>97.5</v>
    <v>96.02</v>
    <v>97.86</v>
    <v>100</v>
    <v>100.15</v>
    <v>102.5</v>
    <v>103.35</v>
    <v>97.78</v>
    <v>102.2</v>
    <v>98.6</v>
    <v>99.1</v>
    <v>97.02</v>
    <v>101.8</v>
    <v>101.2</v>
    <v>101.55</v>
    <v>98.42</v>
    <v>98.02</v>
    <v>98.08</v>
    <v>100.05</v>
    <v>94.66</v>
    <v>93.9</v>
    <v>94.9</v>
    <v>94.82</v>
    <v>98.42</v>
    <v>95.88</v>
    <v>94.06</v>
    <v>94.96</v>
    <v>98.78</v>
    <v>104.65</v>
    <v>104.7</v>
    <v>104.75</v>
    <v>115</v>
    <v>115.6</v>
    <v>119.8</v>
    <v>119.7</v>
    <v>122</v>
    <v>121.45</v>
    <v>121</v>
    <v>121.65</v>
    <v>120.4</v>
    <v>119.3</v>
    <v>121.15</v>
    <v>122.5</v>
    <v>127.4</v>
    <v>124.55</v>
    <v>123.2</v>
    <v>124.35</v>
    <v>127.95</v>
    <v>126.3</v>
    <v>139.6</v>
    <v>143.80000000000001</v>
    <v>143.65</v>
    <v>152.05000000000001</v>
    <v>156.9</v>
    <v>148.80000000000001</v>
    <v>154.69999999999999</v>
    <v>156.35</v>
    <v>153.15</v>
    <v>147.94999999999999</v>
    <v>140.5</v>
    <v>144.4</v>
    <v>149.30000000000001</v>
    <v>149.80000000000001</v>
    <v>153</v>
    <v>150.30000000000001</v>
    <v>146.5</v>
    <v>150.30000000000001</v>
    <v>148</v>
    <v>149.30000000000001</v>
    <v>154.65</v>
    <v>154.15</v>
    <v>150.6</v>
    <v>145.35</v>
    <v>148.69999999999999</v>
    <v>142.4</v>
    <v>136.30000000000001</v>
    <v>142.94999999999999</v>
    <v>143.9</v>
    <v>145.55000000000001</v>
    <v>146.35</v>
    <v>146</v>
    <v>147.75</v>
    <v>153.19999999999999</v>
    <v>154.69999999999999</v>
    <v>148.35</v>
    <v>147.9</v>
    <v>148.1</v>
    <v>142.85</v>
    <v>144.75</v>
    <v>146.05000000000001</v>
    <v>143.1</v>
    <v>142.1</v>
    <v>146.30000000000001</v>
    <v>143.25</v>
    <v>133.80000000000001</v>
    <v>133.30000000000001</v>
    <v>136.55000000000001</v>
    <v>135.05000000000001</v>
    <v>133.35</v>
    <v>137.85</v>
    <v>134.35</v>
    <v>131.30000000000001</v>
    <v>125.35</v>
    <v>125</v>
    <v>130.4</v>
    <v>128.25</v>
    <v>126.1</v>
    <v>126.9</v>
    <v>122.1</v>
    <v>116.85</v>
    <v>114.7</v>
    <v>119.85</v>
    <v>120.2</v>
    <v>119.45</v>
    <v>123.6</v>
    <v>122.1</v>
    <v>124.5</v>
    <v>126</v>
    <v>125.85</v>
    <v>127.55</v>
    <v>131.4</v>
    <v>130.6</v>
    <v>127.95</v>
    <v>131.05000000000001</v>
    <v>124.65</v>
    <v>123.6</v>
    <v>122.55</v>
    <v>124</v>
    <v>117.6</v>
    <v>121</v>
    <v>121.65</v>
    <v>123.6</v>
    <v>122.05</v>
    <v>120.2</v>
    <v>117.1</v>
    <v>119.1</v>
    <v>119.8</v>
    <v>122.25</v>
    <v>125.5</v>
    <v>128.5</v>
    <v>126.95</v>
    <v>123.6</v>
    <v>127.25</v>
    <v>118.25</v>
    <v>118.2</v>
    <v>122.2</v>
    <v>121.65</v>
    <v>122.45</v>
    <v>126.1</v>
    <v>129.30000000000001</v>
    <v>127.25</v>
    <v>122.35</v>
    <v>122.4</v>
    <v>122.55</v>
    <v>124.8</v>
    <v>124</v>
    <v>124.85</v>
    <v>129.80000000000001</v>
    <v>128.05000000000001</v>
    <v>130.4</v>
    <v>124.3</v>
    <v>122.3</v>
    <v>123.2</v>
    <v>122.45</v>
    <v>119.75</v>
    <v>113.15</v>
    <v>109.8</v>
    <v>109.4</v>
    <v>107.1</v>
    <v>104.3</v>
    <v>108.35</v>
    <v>100.1</v>
    <v>99.08</v>
  </a>
  <a r="1" c="761">
    <v>34.81</v>
    <v>34.619999999999997</v>
    <v>33.840000000000003</v>
    <v>33.79</v>
    <v>33.78</v>
    <v>34.33</v>
    <v>35.29</v>
    <v>34.9</v>
    <v>35.700000000000003</v>
    <v>35.81</v>
    <v>36.090000000000003</v>
    <v>35.159999999999997</v>
    <v>34.97</v>
    <v>35.6</v>
    <v>34.840000000000003</v>
    <v>35</v>
    <v>35.97</v>
    <v>35.51</v>
    <v>35.1</v>
    <v>35.76</v>
    <v>36.299999999999997</v>
    <v>35.75</v>
    <v>35.979999999999997</v>
    <v>35.43</v>
    <v>35.619999999999997</v>
    <v>34.94</v>
    <v>34.56</v>
    <v>35.270000000000003</v>
    <v>35.33</v>
    <v>36.5</v>
    <v>36.08</v>
    <v>36.78</v>
    <v>37.4</v>
    <v>37.369999999999997</v>
    <v>38.520000000000003</v>
    <v>38.799999999999997</v>
    <v>38.869999999999997</v>
    <v>38.32</v>
    <v>39.07</v>
    <v>39.49</v>
    <v>39.840000000000003</v>
    <v>40.65</v>
    <v>40.6</v>
    <v>40.69</v>
    <v>40.909999999999997</v>
    <v>41.24</v>
    <v>41.13</v>
    <v>41.17</v>
    <v>41.66</v>
    <v>40.4</v>
    <v>40.31</v>
    <v>40.74</v>
    <v>40.65</v>
    <v>40.9</v>
    <v>40.409999999999997</v>
    <v>39.81</v>
    <v>41.18</v>
    <v>40.840000000000003</v>
    <v>40.75</v>
    <v>40.15</v>
    <v>40.700000000000003</v>
    <v>40.130000000000003</v>
    <v>40.54</v>
    <v>40.07</v>
    <v>40.78</v>
    <v>40.549999999999997</v>
    <v>41.04</v>
    <v>40.200000000000003</v>
    <v>40.93</v>
    <v>40.99</v>
    <v>41.11</v>
    <v>41.3</v>
    <v>40.909999999999997</v>
    <v>41.73</v>
    <v>41.77</v>
    <v>41.73</v>
    <v>42.03</v>
    <v>41.93</v>
    <v>41.17</v>
    <v>41</v>
    <v>42.93</v>
    <v>43.7</v>
    <v>43.24</v>
    <v>43.63</v>
    <v>44.08</v>
    <v>44.64</v>
    <v>45.23</v>
    <v>44.29</v>
    <v>44.3</v>
    <v>44.89</v>
    <v>46.05</v>
    <v>46.01</v>
    <v>46.18</v>
    <v>46.35</v>
    <v>46.98</v>
    <v>46.97</v>
    <v>46.85</v>
    <v>45.89</v>
    <v>46.93</v>
    <v>47.38</v>
    <v>48.1</v>
    <v>47.61</v>
    <v>47.96</v>
    <v>48.72</v>
    <v>49.41</v>
    <v>49.01</v>
    <v>49.39</v>
    <v>49.78</v>
    <v>49.72</v>
    <v>48.68</v>
    <v>48.39</v>
    <v>47.92</v>
    <v>48.06</v>
    <v>48.25</v>
    <v>48.24</v>
    <v>49.15</v>
    <v>48.33</v>
    <v>48.52</v>
    <v>48.2</v>
    <v>48.52</v>
    <v>50.7</v>
    <v>49.42</v>
    <v>48.68</v>
    <v>50.22</v>
    <v>50.4</v>
    <v>49.58</v>
    <v>49.97</v>
    <v>50.82</v>
    <v>49.44</v>
    <v>51.18</v>
    <v>51.16</v>
    <v>51.18</v>
    <v>51.06</v>
    <v>51.5</v>
    <v>52.04</v>
    <v>52.86</v>
    <v>52.84</v>
    <v>54.82</v>
    <v>56</v>
    <v>55.94</v>
    <v>55.82</v>
    <v>56.64</v>
    <v>57.48</v>
    <v>56.64</v>
    <v>57.64</v>
    <v>57.62</v>
    <v>57.78</v>
    <v>59.7</v>
    <v>59.82</v>
    <v>60.94</v>
    <v>59.7</v>
    <v>58.76</v>
    <v>59.32</v>
    <v>60.02</v>
    <v>60.08</v>
    <v>58.88</v>
    <v>58.62</v>
    <v>59.04</v>
    <v>58.52</v>
    <v>57.88</v>
    <v>56.96</v>
    <v>57.98</v>
    <v>56.74</v>
    <v>56.64</v>
    <v>56.64</v>
    <v>57.48</v>
    <v>57.74</v>
    <v>58.62</v>
    <v>57.64</v>
    <v>58.88</v>
    <v>58</v>
    <v>58</v>
    <v>58.2</v>
    <v>57.82</v>
    <v>56.7</v>
    <v>57.88</v>
    <v>58.74</v>
    <v>58.66</v>
    <v>58.24</v>
    <v>57.72</v>
    <v>60</v>
    <v>62.06</v>
    <v>63.08</v>
    <v>62.62</v>
    <v>61.46</v>
    <v>62.76</v>
    <v>61.7</v>
    <v>60.7</v>
    <v>61.06</v>
    <v>62.6</v>
    <v>63.38</v>
    <v>63.46</v>
    <v>61.5</v>
    <v>61.9</v>
    <v>62.26</v>
    <v>63.1</v>
    <v>63.54</v>
    <v>58.1</v>
    <v>56.82</v>
    <v>55.84</v>
    <v>56.6</v>
    <v>58.74</v>
    <v>58.3</v>
    <v>58.72</v>
    <v>59.06</v>
    <v>59.82</v>
    <v>60.64</v>
    <v>61.22</v>
    <v>61.3</v>
    <v>61.36</v>
    <v>61.56</v>
    <v>61.82</v>
    <v>61.8</v>
    <v>61.72</v>
    <v>61.72</v>
    <v>62.44</v>
    <v>63.16</v>
    <v>63.4</v>
    <v>63.38</v>
    <v>63.3</v>
    <v>62</v>
    <v>61.6</v>
    <v>59.2</v>
    <v>60.46</v>
    <v>60.58</v>
    <v>60.58</v>
    <v>61.02</v>
    <v>61.94</v>
    <v>61.52</v>
    <v>62.84</v>
    <v>63.18</v>
    <v>65.680000000000007</v>
    <v>65.680000000000007</v>
    <v>65.88</v>
    <v>64.459999999999994</v>
    <v>65.819999999999993</v>
    <v>66.540000000000006</v>
    <v>64.84</v>
    <v>65.2</v>
    <v>65.16</v>
    <v>65.5</v>
    <v>64.98</v>
    <v>64.400000000000006</v>
    <v>65.400000000000006</v>
    <v>65.08</v>
    <v>65.900000000000006</v>
    <v>64.7</v>
    <v>65.739999999999995</v>
    <v>66.400000000000006</v>
    <v>65.5</v>
    <v>66.239999999999995</v>
    <v>67.7</v>
    <v>67.92</v>
    <v>67.52</v>
    <v>66.52</v>
    <v>66.12</v>
    <v>66.94</v>
    <v>68</v>
    <v>68.56</v>
    <v>67.78</v>
    <v>65.36</v>
    <v>64.819999999999993</v>
    <v>64.599999999999994</v>
    <v>63.86</v>
    <v>64.08</v>
    <v>63.2</v>
    <v>60.82</v>
    <v>62.16</v>
    <v>64.22</v>
    <v>60.7</v>
    <v>62.26</v>
    <v>63</v>
    <v>60.92</v>
    <v>61.26</v>
    <v>59.94</v>
    <v>60.56</v>
    <v>61.22</v>
    <v>61.92</v>
    <v>62.82</v>
    <v>61.8</v>
    <v>62.16</v>
    <v>62.56</v>
    <v>62.42</v>
    <v>63.04</v>
    <v>64.36</v>
    <v>64.959999999999994</v>
    <v>64.400000000000006</v>
    <v>64.5</v>
    <v>61.8</v>
    <v>62.22</v>
    <v>63.4</v>
    <v>61.8</v>
    <v>61.68</v>
    <v>62.4</v>
    <v>61.08</v>
    <v>61.84</v>
    <v>61.1</v>
    <v>61.08</v>
    <v>61.54</v>
    <v>62.12</v>
    <v>61.66</v>
    <v>63.06</v>
    <v>62.88</v>
    <v>64.06</v>
    <v>64.099999999999994</v>
    <v>63.96</v>
    <v>66.400000000000006</v>
    <v>65.88</v>
    <v>63.86</v>
    <v>63.96</v>
    <v>66.78</v>
    <v>66.86</v>
    <v>68.62</v>
    <v>69.16</v>
    <v>68.5</v>
    <v>70.84</v>
    <v>71.78</v>
    <v>72</v>
    <v>65.7</v>
    <v>63.62</v>
    <v>65.44</v>
    <v>66.459999999999994</v>
    <v>67.34</v>
    <v>65.959999999999994</v>
    <v>64.08</v>
    <v>62.78</v>
    <v>63.56</v>
    <v>63.38</v>
    <v>64.3</v>
    <v>66.400000000000006</v>
    <v>65.739999999999995</v>
    <v>67.400000000000006</v>
    <v>66.88</v>
    <v>68.98</v>
    <v>69.260000000000005</v>
    <v>68.7</v>
    <v>67.92</v>
    <v>68.7</v>
    <v>65.599999999999994</v>
    <v>63.56</v>
    <v>65.040000000000006</v>
    <v>57.12</v>
    <v>57.04</v>
    <v>56.18</v>
    <v>53.32</v>
    <v>55.96</v>
    <v>56.02</v>
    <v>54.24</v>
    <v>52.7</v>
    <v>53.2</v>
    <v>56.3</v>
    <v>55.42</v>
    <v>56.84</v>
    <v>57.4</v>
    <v>59.48</v>
    <v>59.64</v>
    <v>58</v>
    <v>57.76</v>
    <v>57.5</v>
    <v>56.76</v>
    <v>53.24</v>
    <v>54.06</v>
    <v>52.9</v>
    <v>50.36</v>
    <v>50.7</v>
    <v>50.64</v>
    <v>47.46</v>
    <v>43.21</v>
    <v>41.12</v>
    <v>41.82</v>
    <v>40.65</v>
    <v>43.7</v>
    <v>43.27</v>
    <v>44.75</v>
    <v>45.73</v>
    <v>44.71</v>
    <v>44.91</v>
    <v>42.65</v>
    <v>44.96</v>
    <v>46.53</v>
    <v>48.07</v>
    <v>48.05</v>
    <v>47.48</v>
    <v>47.94</v>
    <v>50.96</v>
    <v>50.6</v>
    <v>50.66</v>
    <v>50.54</v>
    <v>53.48</v>
    <v>52.76</v>
    <v>54.16</v>
    <v>55.94</v>
    <v>56.3</v>
    <v>55.22</v>
    <v>54.64</v>
    <v>55.2</v>
    <v>56.04</v>
    <v>55.22</v>
    <v>54.46</v>
    <v>54.3</v>
    <v>55.28</v>
    <v>57.8</v>
    <v>58.32</v>
    <v>57.42</v>
    <v>56.6</v>
    <v>56.6</v>
    <v>57.58</v>
    <v>58.84</v>
    <v>58.28</v>
    <v>58.58</v>
    <v>58.08</v>
    <v>58.2</v>
    <v>58.36</v>
    <v>57.28</v>
    <v>55.8</v>
    <v>57.64</v>
    <v>56.54</v>
    <v>56.34</v>
    <v>55.7</v>
    <v>56.28</v>
    <v>55.56</v>
    <v>57.76</v>
    <v>57.28</v>
    <v>57.84</v>
    <v>61.1</v>
    <v>60.04</v>
    <v>59.42</v>
    <v>60.14</v>
    <v>59.98</v>
    <v>59.34</v>
    <v>59.38</v>
    <v>59.58</v>
    <v>61.12</v>
    <v>61.32</v>
    <v>61.1</v>
    <v>60.84</v>
    <v>62</v>
    <v>60.84</v>
    <v>64.180000000000007</v>
    <v>64.62</v>
    <v>64.319999999999993</v>
    <v>62.94</v>
    <v>64.42</v>
    <v>66.5</v>
    <v>65.680000000000007</v>
    <v>66</v>
    <v>66.819999999999993</v>
    <v>68.5</v>
    <v>70.38</v>
    <v>69</v>
    <v>70.36</v>
    <v>70.099999999999994</v>
    <v>70.680000000000007</v>
    <v>74</v>
    <v>73.92</v>
    <v>73.34</v>
    <v>74.959999999999994</v>
    <v>73.92</v>
    <v>74.62</v>
    <v>75.48</v>
    <v>76.319999999999993</v>
    <v>73.06</v>
    <v>73.58</v>
    <v>75.5</v>
    <v>74.56</v>
    <v>75.3</v>
    <v>74.3</v>
    <v>76.48</v>
    <v>74.72</v>
    <v>75.42</v>
    <v>73.86</v>
    <v>75.459999999999994</v>
    <v>76</v>
    <v>76.48</v>
    <v>77.48</v>
    <v>78.38</v>
    <v>79.8</v>
    <v>79.239999999999995</v>
    <v>80.599999999999994</v>
    <v>80.62</v>
    <v>80.22</v>
    <v>79.3</v>
    <v>81.28</v>
    <v>81.38</v>
    <v>82.32</v>
    <v>83.64</v>
    <v>83.12</v>
    <v>81.38</v>
    <v>81.5</v>
    <v>83.28</v>
    <v>84.18</v>
    <v>84.24</v>
    <v>88</v>
    <v>87</v>
    <v>88.46</v>
    <v>87.46</v>
    <v>91.18</v>
    <v>89.82</v>
    <v>87.92</v>
    <v>88.62</v>
    <v>87.88</v>
    <v>88.62</v>
    <v>90.5</v>
    <v>87.46</v>
    <v>88.88</v>
    <v>88.6</v>
    <v>86.12</v>
    <v>88.62</v>
    <v>89.96</v>
    <v>90.5</v>
    <v>91.5</v>
    <v>91.7</v>
    <v>88.02</v>
    <v>89.82</v>
    <v>89.02</v>
    <v>87</v>
    <v>87.52</v>
    <v>85.62</v>
    <v>81.900000000000006</v>
    <v>83.56</v>
    <v>84.3</v>
    <v>85.26</v>
    <v>84.48</v>
    <v>84.1</v>
    <v>83.86</v>
    <v>81.040000000000006</v>
    <v>85.02</v>
    <v>84.28</v>
    <v>80.8</v>
    <v>83</v>
    <v>82.78</v>
    <v>85.22</v>
    <v>85.44</v>
    <v>86.3</v>
    <v>84.82</v>
    <v>84.76</v>
    <v>82.6</v>
    <v>84.5</v>
    <v>84.98</v>
    <v>85.96</v>
    <v>84.32</v>
    <v>86.34</v>
    <v>83.92</v>
    <v>82.64</v>
    <v>84.14</v>
    <v>83.76</v>
    <v>81.92</v>
    <v>84.32</v>
    <v>85.22</v>
    <v>85.86</v>
    <v>85.94</v>
    <v>85.78</v>
    <v>86.38</v>
    <v>89.88</v>
    <v>91.54</v>
    <v>90.8</v>
    <v>91.42</v>
    <v>87.48</v>
    <v>87.28</v>
    <v>85.78</v>
    <v>86.28</v>
    <v>89.26</v>
    <v>93.6</v>
    <v>95.8</v>
    <v>93.82</v>
    <v>94.12</v>
    <v>94.08</v>
    <v>96.62</v>
    <v>97.36</v>
    <v>97.2</v>
    <v>99.48</v>
    <v>97.8</v>
    <v>99.22</v>
    <v>100.45</v>
    <v>100.7</v>
    <v>103.2</v>
    <v>100.7</v>
    <v>99.38</v>
    <v>102.95</v>
    <v>106.1</v>
    <v>103.8</v>
    <v>103.2</v>
    <v>101.75</v>
    <v>98.98</v>
    <v>99.18</v>
    <v>98.7</v>
    <v>101.5</v>
    <v>98.08</v>
    <v>97.5</v>
    <v>96.02</v>
    <v>97.86</v>
    <v>100</v>
    <v>100.15</v>
    <v>102.5</v>
    <v>103.35</v>
    <v>97.78</v>
    <v>102.2</v>
    <v>98.6</v>
    <v>99.1</v>
    <v>97.02</v>
    <v>101.8</v>
    <v>101.2</v>
    <v>101.55</v>
    <v>98.42</v>
    <v>98.02</v>
    <v>98.08</v>
    <v>100.05</v>
    <v>94.66</v>
    <v>93.9</v>
    <v>94.9</v>
    <v>94.82</v>
    <v>98.42</v>
    <v>95.88</v>
    <v>94.06</v>
    <v>94.96</v>
    <v>98.78</v>
    <v>104.65</v>
    <v>104.7</v>
    <v>104.75</v>
    <v>115</v>
    <v>115.6</v>
    <v>119.8</v>
    <v>119.7</v>
    <v>122</v>
    <v>121.45</v>
    <v>121</v>
    <v>121.65</v>
    <v>120.4</v>
    <v>119.3</v>
    <v>121.15</v>
    <v>122.5</v>
    <v>127.4</v>
    <v>124.55</v>
    <v>123.2</v>
    <v>124.35</v>
    <v>127.95</v>
    <v>126.3</v>
    <v>139.6</v>
    <v>143.80000000000001</v>
    <v>143.65</v>
    <v>152.05000000000001</v>
    <v>156.9</v>
    <v>148.80000000000001</v>
    <v>154.69999999999999</v>
    <v>156.35</v>
    <v>153.15</v>
    <v>147.94999999999999</v>
    <v>140.5</v>
    <v>144.4</v>
    <v>149.30000000000001</v>
    <v>149.80000000000001</v>
    <v>153</v>
    <v>150.30000000000001</v>
    <v>146.5</v>
    <v>150.30000000000001</v>
    <v>148</v>
    <v>149.30000000000001</v>
    <v>154.65</v>
    <v>154.15</v>
    <v>150.6</v>
    <v>145.35</v>
    <v>148.69999999999999</v>
    <v>142.4</v>
    <v>136.30000000000001</v>
    <v>142.94999999999999</v>
    <v>143.9</v>
    <v>145.55000000000001</v>
    <v>146.35</v>
    <v>146</v>
    <v>147.75</v>
    <v>153.19999999999999</v>
    <v>154.69999999999999</v>
    <v>148.35</v>
    <v>147.9</v>
    <v>148.1</v>
    <v>142.85</v>
    <v>144.75</v>
    <v>146.05000000000001</v>
    <v>143.1</v>
    <v>142.1</v>
    <v>146.30000000000001</v>
    <v>143.25</v>
    <v>133.80000000000001</v>
    <v>133.30000000000001</v>
    <v>136.55000000000001</v>
    <v>135.05000000000001</v>
    <v>133.35</v>
    <v>137.85</v>
    <v>134.35</v>
    <v>131.30000000000001</v>
    <v>125.35</v>
    <v>125</v>
    <v>130.4</v>
    <v>128.25</v>
    <v>126.1</v>
    <v>126.9</v>
    <v>122.1</v>
    <v>116.85</v>
    <v>114.7</v>
    <v>119.85</v>
    <v>120.2</v>
    <v>119.45</v>
    <v>123.6</v>
    <v>122.1</v>
    <v>124.5</v>
    <v>126</v>
    <v>125.85</v>
    <v>127.55</v>
    <v>131.4</v>
    <v>130.6</v>
    <v>127.95</v>
    <v>131.05000000000001</v>
    <v>124.65</v>
    <v>123.6</v>
    <v>122.55</v>
    <v>124</v>
    <v>117.6</v>
    <v>121</v>
    <v>121.65</v>
    <v>123.6</v>
    <v>122.05</v>
    <v>120.2</v>
    <v>117.1</v>
    <v>119.1</v>
    <v>119.8</v>
    <v>122.25</v>
    <v>125.5</v>
    <v>128.5</v>
    <v>126.95</v>
    <v>123.6</v>
    <v>127.25</v>
    <v>118.25</v>
    <v>118.2</v>
    <v>122.2</v>
    <v>121.65</v>
    <v>122.45</v>
    <v>126.1</v>
    <v>129.30000000000001</v>
    <v>127.25</v>
    <v>122.35</v>
    <v>122.4</v>
    <v>122.55</v>
    <v>124.8</v>
    <v>124</v>
    <v>124.85</v>
    <v>129.80000000000001</v>
    <v>128.05000000000001</v>
    <v>130.4</v>
    <v>124.3</v>
    <v>122.3</v>
    <v>123.2</v>
    <v>122.45</v>
    <v>119.75</v>
    <v>113.15</v>
    <v>109.8</v>
    <v>109.4</v>
    <v>107.1</v>
    <v>104.3</v>
    <v>108.35</v>
    <v>100.1</v>
    <v>99.08</v>
  </a>
  <a r="1" c="205">
    <v>108.49</v>
    <v>108.72</v>
    <v>114.68</v>
    <v>113.28</v>
    <v>110.3</v>
    <v>108.86</v>
    <v>111.17</v>
    <v>110.72</v>
    <v>110.51</v>
    <v>107.55</v>
    <v>104.97</v>
    <v>103.66</v>
    <v>102.75</v>
    <v>104.26</v>
    <v>107.23</v>
    <v>106.23</v>
    <v>107</v>
    <v>104.58</v>
    <v>100.84</v>
    <v>100.46</v>
    <v>95.2</v>
    <v>96.18</v>
    <v>93.88</v>
    <v>92.13</v>
    <v>86.05</v>
    <v>85.85</v>
    <v>88.52</v>
    <v>90.91</v>
    <v>87.89</v>
    <v>82.93</v>
    <v>90.06</v>
    <v>88.58</v>
    <v>90.21</v>
    <v>89.61</v>
    <v>89.06</v>
    <v>84.42</v>
    <v>87.68</v>
    <v>92.28</v>
    <v>93.47</v>
    <v>98.41</v>
    <v>98.09</v>
    <v>94.07</v>
    <v>97.51</v>
    <v>98.11</v>
    <v>100.57</v>
    <v>100.17</v>
    <v>100.55</v>
    <v>100.74</v>
    <v>94.8</v>
    <v>91.65</v>
    <v>95.18</v>
    <v>96.3</v>
    <v>95.66</v>
    <v>95.86</v>
    <v>93.27</v>
    <v>97.81</v>
    <v>95.59</v>
    <v>95.06</v>
    <v>89.03</v>
    <v>87.15</v>
    <v>88.23</v>
    <v>94.62</v>
    <v>94.9</v>
    <v>97.66</v>
    <v>98.2</v>
    <v>98.53</v>
    <v>100.99</v>
    <v>100.04</v>
    <v>102.47</v>
    <v>103.32</v>
    <v>106.54</v>
    <v>109.33</v>
    <v>111.87</v>
    <v>116.19</v>
    <v>118.73</v>
    <v>114.11</v>
    <v>118.34</v>
    <v>114.96</v>
    <v>115.22</v>
    <v>114.38</v>
    <v>112.28</v>
    <v>112.62</v>
    <v>116.56</v>
    <v>123.58</v>
    <v>126.02</v>
    <v>124.41</v>
    <v>127.98</v>
    <v>126.67</v>
    <v>129.53</v>
    <v>128.07</v>
    <v>127.63</v>
    <v>125.68</v>
    <v>125.85</v>
    <v>124.02</v>
    <v>124.15</v>
    <v>120.58</v>
    <v>124.16</v>
    <v>125.08</v>
    <v>125.55</v>
    <v>127.61</v>
    <v>131.91</v>
    <v>131.09</v>
    <v>130.18</v>
    <v>129.03</v>
    <v>127.12</v>
    <v>122.2</v>
    <v>125.59</v>
    <v>122.26</v>
    <v>123.57</v>
    <v>120.91</v>
    <v>116.94</v>
    <v>119.64</v>
    <v>143.66</v>
    <v>140.9</v>
    <v>137.94999999999999</v>
    <v>137.29</v>
    <v>138.07</v>
    <v>135.19999999999999</v>
    <v>135.05500000000001</v>
    <v>135.93</v>
    <v>134.72999999999999</v>
    <v>135.4</v>
    <v>136.53</v>
    <v>138.13999999999999</v>
    <v>140.51</v>
    <v>142.43</v>
    <v>142.26</v>
    <v>141.21</v>
    <v>139.25</v>
    <v>140.26</v>
    <v>140.69</v>
    <v>142.34</v>
    <v>141.76</v>
    <v>143.32</v>
    <v>143.82</v>
    <v>144.43</v>
    <v>144.13</v>
    <v>144.27000000000001</v>
    <v>143.08000000000001</v>
    <v>141.66999999999999</v>
    <v>141.97</v>
    <v>142.91999999999999</v>
    <v>143.91</v>
    <v>145.33000000000001</v>
    <v>145.09</v>
    <v>145.01</v>
    <v>145.84</v>
    <v>147.33000000000001</v>
    <v>146.96</v>
    <v>150.07</v>
    <v>153.11000000000001</v>
    <v>151.84</v>
    <v>150.91</v>
    <v>151.79</v>
    <v>154.08000000000001</v>
    <v>157.68</v>
    <v>158.31</v>
    <v>157.78</v>
    <v>156.80000000000001</v>
    <v>157.12</v>
    <v>157.49</v>
    <v>158.18</v>
    <v>159.76</v>
    <v>158.6</v>
    <v>156.25</v>
    <v>157.67500000000001</v>
    <v>156.93</v>
    <v>155.53</v>
    <v>157.69999999999999</v>
    <v>158.31</v>
    <v>155.59</v>
    <v>155.34</v>
    <v>152.9</v>
    <v>154.12</v>
    <v>154.93</v>
    <v>157.44999999999999</v>
    <v>156.62</v>
    <v>155.12</v>
    <v>154.08000000000001</v>
    <v>153.63999999999999</v>
    <v>154.33000000000001</v>
    <v>154.25</v>
    <v>153.49</v>
    <v>153.33000000000001</v>
    <v>152.68</v>
    <v>152.66999999999999</v>
    <v>152.13999999999999</v>
    <v>152.28</v>
    <v>151.26</v>
    <v>152.38999999999999</v>
    <v>153.41</v>
    <v>152.06</v>
    <v>152.72499999999999</v>
    <v>153.81</v>
    <v>152.85</v>
    <v>152.81</v>
    <v>152.66</v>
    <v>152.57</v>
    <v>154.66999999999999</v>
    <v>154.54</v>
    <v>155.54</v>
    <v>157.57</v>
    <v>157.78</v>
    <v>160.06</v>
    <v>158.58000000000001</v>
  </a>
  <a r="1" c="754">
    <v>61.18</v>
    <v>61.42</v>
    <v>58.5</v>
    <v>56.41</v>
    <v>56.35</v>
    <v>56.35</v>
    <v>59.57</v>
    <v>59.7</v>
    <v>78.05</v>
    <v>84.75</v>
    <v>83.3</v>
    <v>83.43</v>
    <v>82.84</v>
    <v>81.58</v>
    <v>81.31</v>
    <v>83.97</v>
    <v>88.1</v>
    <v>91.1</v>
    <v>89.5</v>
    <v>92.97</v>
    <v>94.99</v>
    <v>93.6</v>
    <v>94.78</v>
    <v>94.93</v>
    <v>102.98</v>
    <v>106.87</v>
    <v>106.75</v>
    <v>104.2</v>
    <v>103.54</v>
    <v>104.48</v>
    <v>105.19</v>
    <v>102.36</v>
    <v>100.68</v>
    <v>103.36</v>
    <v>102.97</v>
    <v>100.98</v>
    <v>101.68</v>
    <v>102.88</v>
    <v>95.93</v>
    <v>93.49</v>
    <v>94.42</v>
    <v>89.11</v>
    <v>92.04</v>
    <v>91.34</v>
    <v>94.9</v>
    <v>94.23</v>
    <v>94.1</v>
    <v>91.66</v>
    <v>89</v>
    <v>86.61</v>
    <v>87.91</v>
    <v>89.29</v>
    <v>93.95</v>
    <v>91.6</v>
    <v>89.69</v>
    <v>86.65</v>
    <v>86.05</v>
    <v>84.79</v>
    <v>84.01</v>
    <v>84.06</v>
    <v>87.07</v>
    <v>88.46</v>
    <v>90.97</v>
    <v>88.23</v>
    <v>88.83</v>
    <v>89</v>
    <v>93.27</v>
    <v>90.92</v>
    <v>88.06</v>
    <v>88.65</v>
    <v>91.03</v>
    <v>87.75</v>
    <v>93.48</v>
    <v>94.49</v>
    <v>94.7</v>
    <v>95.8</v>
    <v>98.57</v>
    <v>89.94</v>
    <v>91.24</v>
    <v>94.5</v>
    <v>72</v>
    <v>67.25</v>
    <v>63.9</v>
    <v>63.29</v>
    <v>64.48</v>
    <v>64.349999999999994</v>
    <v>63.83</v>
    <v>63.71</v>
    <v>63.18</v>
    <v>63.35</v>
    <v>63.02</v>
    <v>62.79</v>
    <v>62.67</v>
    <v>63.07</v>
    <v>64.5</v>
    <v>64.41</v>
    <v>64.13</v>
    <v>64.47</v>
    <v>64.66</v>
    <v>63.99</v>
    <v>63.37</v>
    <v>64.540000000000006</v>
    <v>64.95</v>
    <v>63.83</v>
    <v>63.58</v>
    <v>64.64</v>
    <v>64.650000000000006</v>
    <v>65.58</v>
    <v>65.17</v>
    <v>64.19</v>
    <v>62.85</v>
    <v>62.22</v>
    <v>60.24</v>
    <v>59.83</v>
    <v>60.85</v>
    <v>62.85</v>
    <v>61.14</v>
    <v>61.95</v>
    <v>59.9</v>
    <v>58.94</v>
    <v>57.82</v>
    <v>57.59</v>
    <v>58.69</v>
    <v>56.9</v>
    <v>58.57</v>
    <v>61.74</v>
    <v>61.83</v>
    <v>62.81</v>
    <v>56.35</v>
    <v>58.66</v>
    <v>57.66</v>
    <v>59.13</v>
    <v>59.945</v>
    <v>59.11</v>
    <v>60.33</v>
    <v>60.14</v>
    <v>59.55</v>
    <v>60.24</v>
    <v>57.91</v>
    <v>60.16</v>
    <v>62.26</v>
    <v>62.27</v>
    <v>61.25</v>
    <v>61.44</v>
    <v>59.27</v>
    <v>57.97</v>
    <v>58.52</v>
    <v>56.2</v>
    <v>56.76</v>
    <v>56.45</v>
    <v>56.48</v>
    <v>57.32</v>
    <v>57.4</v>
    <v>57.94</v>
    <v>57.78</v>
    <v>58.12</v>
    <v>57.97</v>
    <v>57.35</v>
    <v>57.88</v>
    <v>58.17</v>
    <v>56.36</v>
    <v>54.2</v>
    <v>54.51</v>
    <v>53.97</v>
    <v>52.53</v>
    <v>53.67</v>
    <v>54.4</v>
    <v>54.45</v>
    <v>54.64</v>
    <v>57.16</v>
    <v>59.15</v>
    <v>59.93</v>
    <v>62.47</v>
    <v>61.36</v>
    <v>62.29</v>
    <v>62.08</v>
    <v>61.02</v>
    <v>63.11</v>
    <v>61.37</v>
    <v>60.67</v>
    <v>61.32</v>
    <v>62.44</v>
    <v>64.73</v>
    <v>64.77</v>
    <v>62.77</v>
    <v>62.55</v>
    <v>62.05</v>
    <v>62.09</v>
    <v>55.59</v>
    <v>57.45</v>
    <v>59.04</v>
    <v>58.9</v>
    <v>57.44</v>
    <v>58.21</v>
    <v>55.33</v>
    <v>53.14</v>
    <v>51.67</v>
    <v>53.03</v>
    <v>52.84</v>
    <v>55.61</v>
    <v>55.1</v>
    <v>53.52</v>
    <v>56.51</v>
    <v>56.22</v>
    <v>59.27</v>
    <v>58.58</v>
    <v>61.96</v>
    <v>61.99</v>
    <v>62.77</v>
    <v>61.81</v>
    <v>69.144999999999996</v>
    <v>69.599999999999994</v>
    <v>69.739999999999995</v>
    <v>66.849999999999994</v>
    <v>68.44</v>
    <v>67.77</v>
    <v>65.22</v>
    <v>63.55</v>
    <v>66.7</v>
    <v>64.37</v>
    <v>65.41</v>
    <v>65.66</v>
    <v>70.150000000000006</v>
    <v>74.13</v>
    <v>74.69</v>
    <v>74.37</v>
    <v>74.67</v>
    <v>77.36</v>
    <v>77.45</v>
    <v>76.02</v>
    <v>73.8</v>
    <v>76.36</v>
    <v>74.010000000000005</v>
    <v>73.7</v>
    <v>74.41</v>
    <v>74.66</v>
    <v>74.34</v>
    <v>74.180000000000007</v>
    <v>75.45</v>
    <v>75.89</v>
    <v>76.349999999999994</v>
    <v>78.569999999999993</v>
    <v>77.400000000000006</v>
    <v>77.37</v>
    <v>78.37</v>
    <v>76.36</v>
    <v>78.930000000000007</v>
    <v>77.56</v>
    <v>76.95</v>
    <v>80.069999999999993</v>
    <v>77</v>
    <v>76.790000000000006</v>
    <v>73.5</v>
    <v>74.040000000000006</v>
    <v>75.27</v>
    <v>76.05</v>
    <v>76.41</v>
    <v>77.510000000000005</v>
    <v>64.08</v>
    <v>65.7</v>
    <v>67.180000000000007</v>
    <v>69.67</v>
    <v>72.27</v>
    <v>72.03</v>
    <v>73.819999999999993</v>
    <v>77.12</v>
    <v>76.62</v>
    <v>75.209999999999994</v>
    <v>74.319999999999993</v>
    <v>68.87</v>
    <v>74.03</v>
    <v>73.61</v>
    <v>68.709999999999994</v>
    <v>68.680000000000007</v>
    <v>69.2</v>
    <v>68.22</v>
    <v>66.31</v>
    <v>67.709999999999994</v>
    <v>69.03</v>
    <v>77.05</v>
    <v>75.69</v>
    <v>82.94</v>
    <v>82.03</v>
    <v>84.12</v>
    <v>84.12</v>
    <v>81.819999999999993</v>
    <v>82.42</v>
    <v>81.900000000000006</v>
    <v>82.99</v>
    <v>83.44</v>
    <v>83.39</v>
    <v>78.489999999999995</v>
    <v>78.430000000000007</v>
    <v>80.59</v>
    <v>78.8</v>
    <v>79.56</v>
    <v>79.48</v>
    <v>77.03</v>
    <v>74.89</v>
    <v>74.34</v>
    <v>74.489999999999995</v>
    <v>77.38</v>
    <v>79.91</v>
    <v>77.989999999999995</v>
    <v>83</v>
    <v>79.19</v>
    <v>76.66</v>
    <v>74.8</v>
    <v>76.53</v>
    <v>75.16</v>
    <v>75.89</v>
    <v>79.739999999999995</v>
    <v>79.599999999999994</v>
    <v>83.78</v>
    <v>81.290000000000006</v>
    <v>80.209999999999994</v>
    <v>82.34</v>
    <v>82.58</v>
    <v>85.28</v>
    <v>82.76</v>
    <v>79.099999999999994</v>
    <v>80.16</v>
    <v>81.650000000000006</v>
    <v>81.08</v>
    <v>85</v>
    <v>84.6</v>
    <v>82.75</v>
    <v>84.78</v>
    <v>86.8</v>
    <v>99.07</v>
    <v>95.8</v>
    <v>92.41</v>
    <v>92.79</v>
    <v>88.86</v>
    <v>91.24</v>
    <v>85.76</v>
    <v>85.57</v>
    <v>81.489999999999995</v>
    <v>83.51</v>
    <v>80.260000000000005</v>
    <v>80.41</v>
    <v>85.07</v>
    <v>79.599999999999994</v>
    <v>76.67</v>
    <v>71.150000000000006</v>
    <v>69.64</v>
    <v>70.959999999999994</v>
    <v>67.63</v>
    <v>67.78</v>
    <v>69.650000000000006</v>
    <v>67.36</v>
    <v>72.14</v>
    <v>73.819999999999993</v>
    <v>78.290000000000006</v>
    <v>81.23</v>
    <v>81.73</v>
    <v>77.87</v>
    <v>76.05</v>
    <v>72.489999999999995</v>
    <v>70.44</v>
    <v>70.599999999999994</v>
    <v>71.42</v>
    <v>60.26</v>
    <v>55.28</v>
    <v>57.13</v>
    <v>55.1</v>
    <v>63.86</v>
    <v>59.27</v>
    <v>60.22</v>
    <v>59.5</v>
    <v>59.39</v>
    <v>58.4</v>
    <v>58.46</v>
    <v>59.17</v>
    <v>59.23</v>
    <v>62.58</v>
    <v>64.650000000000006</v>
    <v>65.709999999999994</v>
    <v>68.14</v>
    <v>69.28</v>
    <v>68.180000000000007</v>
    <v>67.27</v>
    <v>61.55</v>
    <v>60.42</v>
    <v>60.29</v>
    <v>59.89</v>
    <v>61.36</v>
    <v>60.93</v>
    <v>68.78</v>
    <v>71.400000000000006</v>
    <v>71.88</v>
    <v>70.069999999999993</v>
    <v>71.37</v>
    <v>70.83</v>
    <v>71.41</v>
    <v>69.56</v>
    <v>69.77</v>
    <v>69.010000000000005</v>
    <v>71.98</v>
    <v>73.959999999999994</v>
    <v>72.8</v>
    <v>72.459999999999994</v>
    <v>73.010000000000005</v>
    <v>72.97</v>
    <v>73.69</v>
    <v>74.599999999999994</v>
    <v>78.5</v>
    <v>79.59</v>
    <v>79.91</v>
    <v>80.48</v>
    <v>76.75</v>
    <v>74.41</v>
    <v>82.17</v>
    <v>80.63</v>
    <v>81.430000000000007</v>
    <v>80.989999999999995</v>
    <v>80.900000000000006</v>
    <v>83.69</v>
    <v>83.63</v>
    <v>86.5</v>
    <v>86.94</v>
    <v>87.89</v>
    <v>86.2</v>
    <v>86.4</v>
    <v>88.27</v>
    <v>88.06</v>
    <v>88.14</v>
    <v>88.63</v>
    <v>90.25</v>
    <v>88.99</v>
    <v>89.825000000000003</v>
    <v>89.28</v>
    <v>90.9</v>
    <v>91.1</v>
    <v>93.29</v>
    <v>91.69</v>
    <v>89.55</v>
    <v>90.25</v>
    <v>90.05</v>
    <v>90.12</v>
    <v>93.65</v>
    <v>90.38</v>
    <v>92</v>
    <v>94.16</v>
    <v>79.98</v>
    <v>85.83</v>
    <v>83.64</v>
    <v>84.93</v>
    <v>83.11</v>
    <v>83.21</v>
    <v>81.99</v>
    <v>84.32</v>
    <v>88.09</v>
    <v>87.51</v>
    <v>90.29</v>
    <v>92.33</v>
    <v>88.8</v>
    <v>88.47</v>
    <v>90.61</v>
    <v>94.22</v>
    <v>93.99</v>
    <v>95.56</v>
    <v>96.18</v>
    <v>97.54</v>
    <v>96.56</v>
    <v>95.86</v>
    <v>98.47</v>
    <v>97.15</v>
    <v>95.24</v>
    <v>99.39</v>
    <v>96.99</v>
    <v>94.94</v>
    <v>96.39</v>
    <v>94.52</v>
    <v>93.92</v>
    <v>97.91</v>
    <v>98.34</v>
    <v>99.16</v>
    <v>101.78</v>
    <v>99.05</v>
    <v>99</v>
    <v>98.21</v>
    <v>98.01</v>
    <v>99.6</v>
    <v>100.08</v>
    <v>100.13</v>
    <v>103.57</v>
    <v>103.84</v>
    <v>103.85</v>
    <v>104.84</v>
    <v>101.83</v>
    <v>99.93</v>
    <v>97.14</v>
    <v>92.02</v>
    <v>93.83</v>
    <v>94.4</v>
    <v>98.58</v>
    <v>95.33</v>
    <v>94.21</v>
    <v>96.28</v>
    <v>97.49</v>
    <v>96.03</v>
    <v>98.28</v>
    <v>96.29</v>
    <v>98.81</v>
    <v>99.01</v>
    <v>98.61</v>
    <v>100.03</v>
    <v>106.13</v>
    <v>108.63</v>
    <v>106.1</v>
    <v>105.67</v>
    <v>104.82</v>
    <v>102.3</v>
    <v>105</v>
    <v>106.79</v>
    <v>105.92</v>
    <v>100.01</v>
    <v>99.77</v>
    <v>96.89</v>
    <v>95.27</v>
    <v>93.1</v>
    <v>90.99</v>
    <v>93.32</v>
    <v>93.58</v>
    <v>94.88</v>
    <v>95.63</v>
    <v>96.79</v>
    <v>96.52</v>
    <v>98.26</v>
    <v>92.98</v>
    <v>94.54</v>
    <v>100.09</v>
    <v>101.7</v>
    <v>105.56</v>
    <v>105.36</v>
    <v>106.3</v>
    <v>107.47</v>
    <v>109.02500000000001</v>
    <v>111.09</v>
    <v>107.69</v>
    <v>110.87</v>
    <v>108.82</v>
    <v>109.8</v>
    <v>110.35</v>
    <v>110.68</v>
    <v>112.08</v>
    <v>111.24</v>
    <v>110.82</v>
    <v>108.49</v>
    <v>108.72</v>
    <v>114.68</v>
    <v>113.28</v>
    <v>110.3</v>
    <v>108.86</v>
    <v>111.17</v>
    <v>110.72</v>
    <v>110.51</v>
    <v>107.55</v>
    <v>104.97</v>
    <v>103.66</v>
    <v>102.75</v>
    <v>104.26</v>
    <v>107.23</v>
    <v>106.23</v>
    <v>107</v>
    <v>104.58</v>
    <v>100.84</v>
    <v>100.46</v>
    <v>95.2</v>
    <v>96.18</v>
    <v>93.88</v>
    <v>92.13</v>
    <v>86.05</v>
    <v>85.85</v>
    <v>88.52</v>
    <v>90.91</v>
    <v>87.89</v>
    <v>82.93</v>
    <v>90.06</v>
    <v>88.58</v>
    <v>90.21</v>
    <v>89.61</v>
    <v>89.06</v>
    <v>84.42</v>
    <v>87.68</v>
    <v>92.28</v>
    <v>93.47</v>
    <v>98.41</v>
    <v>98.09</v>
    <v>94.07</v>
    <v>97.51</v>
    <v>98.11</v>
    <v>100.57</v>
    <v>100.17</v>
    <v>100.55</v>
    <v>100.74</v>
    <v>94.8</v>
    <v>91.65</v>
    <v>95.18</v>
    <v>96.3</v>
    <v>95.66</v>
    <v>95.86</v>
    <v>93.27</v>
    <v>97.81</v>
    <v>95.59</v>
    <v>95.06</v>
    <v>89.03</v>
    <v>87.15</v>
    <v>88.23</v>
    <v>94.62</v>
    <v>94.9</v>
    <v>97.66</v>
    <v>98.2</v>
    <v>98.53</v>
    <v>100.99</v>
    <v>100.04</v>
    <v>102.47</v>
    <v>103.32</v>
    <v>106.54</v>
    <v>109.33</v>
    <v>111.87</v>
    <v>116.19</v>
    <v>118.73</v>
    <v>114.11</v>
    <v>118.34</v>
    <v>114.96</v>
    <v>115.22</v>
    <v>114.38</v>
    <v>112.28</v>
    <v>112.62</v>
    <v>116.56</v>
    <v>123.58</v>
    <v>126.02</v>
    <v>124.41</v>
    <v>127.98</v>
    <v>126.67</v>
    <v>129.53</v>
    <v>128.07</v>
    <v>127.63</v>
    <v>125.68</v>
    <v>125.85</v>
    <v>124.02</v>
    <v>124.15</v>
    <v>120.58</v>
    <v>124.16</v>
    <v>125.08</v>
    <v>125.55</v>
    <v>127.61</v>
    <v>131.91</v>
    <v>131.09</v>
    <v>130.18</v>
    <v>129.03</v>
    <v>127.12</v>
    <v>122.2</v>
    <v>125.59</v>
    <v>122.26</v>
    <v>123.57</v>
    <v>120.91</v>
    <v>116.94</v>
    <v>119.64</v>
    <v>143.66</v>
    <v>140.9</v>
    <v>137.94999999999999</v>
    <v>137.29</v>
    <v>138.07</v>
    <v>135.19999999999999</v>
    <v>135.05500000000001</v>
    <v>135.93</v>
    <v>134.72999999999999</v>
    <v>135.4</v>
    <v>136.53</v>
    <v>138.13999999999999</v>
    <v>140.51</v>
    <v>142.43</v>
    <v>142.26</v>
    <v>141.21</v>
    <v>139.25</v>
    <v>140.26</v>
    <v>140.69</v>
    <v>142.34</v>
    <v>141.76</v>
    <v>143.32</v>
    <v>143.82</v>
    <v>144.43</v>
    <v>144.13</v>
    <v>144.27000000000001</v>
    <v>143.08000000000001</v>
    <v>141.66999999999999</v>
    <v>141.97</v>
    <v>142.91999999999999</v>
    <v>143.91</v>
    <v>145.33000000000001</v>
    <v>145.09</v>
    <v>145.01</v>
    <v>145.84</v>
    <v>147.33000000000001</v>
    <v>146.96</v>
    <v>150.07</v>
    <v>153.11000000000001</v>
    <v>151.84</v>
    <v>150.91</v>
    <v>151.79</v>
    <v>154.08000000000001</v>
    <v>157.68</v>
    <v>158.31</v>
    <v>157.78</v>
    <v>156.80000000000001</v>
    <v>157.12</v>
    <v>157.49</v>
    <v>158.18</v>
    <v>159.76</v>
    <v>158.6</v>
    <v>156.25</v>
    <v>157.67500000000001</v>
    <v>156.93</v>
    <v>155.53</v>
    <v>157.69999999999999</v>
    <v>158.31</v>
    <v>155.59</v>
    <v>155.34</v>
    <v>152.9</v>
    <v>154.12</v>
    <v>154.93</v>
    <v>157.44999999999999</v>
    <v>156.62</v>
    <v>155.12</v>
    <v>154.08000000000001</v>
    <v>153.63999999999999</v>
    <v>154.33000000000001</v>
    <v>154.25</v>
    <v>153.49</v>
    <v>153.33000000000001</v>
    <v>152.68</v>
    <v>152.66999999999999</v>
    <v>152.13999999999999</v>
    <v>152.28</v>
    <v>151.26</v>
    <v>152.38999999999999</v>
    <v>153.41</v>
    <v>152.06</v>
    <v>152.72499999999999</v>
    <v>153.81</v>
    <v>152.85</v>
    <v>152.81</v>
    <v>152.66</v>
    <v>152.57</v>
    <v>154.66999999999999</v>
    <v>154.54</v>
    <v>155.54</v>
    <v>157.57</v>
    <v>157.78</v>
    <v>160.06</v>
    <v>158.58000000000001</v>
  </a>
  <a r="1" c="252">
    <v>98.28</v>
    <v>96.29</v>
    <v>98.81</v>
    <v>99.01</v>
    <v>98.61</v>
    <v>100.03</v>
    <v>106.13</v>
    <v>108.63</v>
    <v>106.1</v>
    <v>105.67</v>
    <v>104.82</v>
    <v>102.3</v>
    <v>105</v>
    <v>106.79</v>
    <v>105.92</v>
    <v>100.01</v>
    <v>99.77</v>
    <v>96.89</v>
    <v>95.27</v>
    <v>93.1</v>
    <v>90.99</v>
    <v>93.32</v>
    <v>93.58</v>
    <v>94.88</v>
    <v>95.63</v>
    <v>96.79</v>
    <v>96.52</v>
    <v>98.26</v>
    <v>92.98</v>
    <v>94.54</v>
    <v>100.09</v>
    <v>101.7</v>
    <v>105.56</v>
    <v>105.36</v>
    <v>106.3</v>
    <v>107.47</v>
    <v>109.02500000000001</v>
    <v>111.09</v>
    <v>107.69</v>
    <v>110.87</v>
    <v>108.82</v>
    <v>109.8</v>
    <v>110.35</v>
    <v>110.68</v>
    <v>112.08</v>
    <v>111.24</v>
    <v>110.82</v>
    <v>108.49</v>
    <v>108.72</v>
    <v>114.68</v>
    <v>113.28</v>
    <v>110.3</v>
    <v>108.86</v>
    <v>111.17</v>
    <v>110.72</v>
    <v>110.51</v>
    <v>107.55</v>
    <v>104.97</v>
    <v>103.66</v>
    <v>102.75</v>
    <v>104.26</v>
    <v>107.23</v>
    <v>106.23</v>
    <v>107</v>
    <v>104.58</v>
    <v>100.84</v>
    <v>100.46</v>
    <v>95.2</v>
    <v>96.18</v>
    <v>93.88</v>
    <v>92.13</v>
    <v>86.05</v>
    <v>85.85</v>
    <v>88.52</v>
    <v>90.91</v>
    <v>87.89</v>
    <v>82.93</v>
    <v>90.06</v>
    <v>88.58</v>
    <v>90.21</v>
    <v>89.61</v>
    <v>89.06</v>
    <v>84.42</v>
    <v>87.68</v>
    <v>92.28</v>
    <v>93.47</v>
    <v>98.41</v>
    <v>98.09</v>
    <v>94.07</v>
    <v>97.51</v>
    <v>98.11</v>
    <v>100.57</v>
    <v>100.17</v>
    <v>100.55</v>
    <v>100.74</v>
    <v>94.8</v>
    <v>91.65</v>
    <v>95.18</v>
    <v>96.3</v>
    <v>95.66</v>
    <v>95.86</v>
    <v>93.27</v>
    <v>97.81</v>
    <v>95.59</v>
    <v>95.06</v>
    <v>89.03</v>
    <v>87.15</v>
    <v>88.23</v>
    <v>94.62</v>
    <v>94.9</v>
    <v>97.66</v>
    <v>98.2</v>
    <v>98.53</v>
    <v>100.99</v>
    <v>100.04</v>
    <v>102.47</v>
    <v>103.32</v>
    <v>106.54</v>
    <v>109.33</v>
    <v>111.87</v>
    <v>116.19</v>
    <v>118.73</v>
    <v>114.11</v>
    <v>118.34</v>
    <v>114.96</v>
    <v>115.22</v>
    <v>114.38</v>
    <v>112.28</v>
    <v>112.62</v>
    <v>116.56</v>
    <v>123.58</v>
    <v>126.02</v>
    <v>124.41</v>
    <v>127.98</v>
    <v>126.67</v>
    <v>129.53</v>
    <v>128.07</v>
    <v>127.63</v>
    <v>125.68</v>
    <v>125.85</v>
    <v>124.02</v>
    <v>124.15</v>
    <v>120.58</v>
    <v>124.16</v>
    <v>125.08</v>
    <v>125.55</v>
    <v>127.61</v>
    <v>131.91</v>
    <v>131.09</v>
    <v>130.18</v>
    <v>129.03</v>
    <v>127.12</v>
    <v>122.2</v>
    <v>125.59</v>
    <v>122.26</v>
    <v>123.57</v>
    <v>120.91</v>
    <v>116.94</v>
    <v>119.64</v>
    <v>143.66</v>
    <v>140.9</v>
    <v>137.94999999999999</v>
    <v>137.29</v>
    <v>138.07</v>
    <v>135.19999999999999</v>
    <v>135.05500000000001</v>
    <v>135.93</v>
    <v>134.72999999999999</v>
    <v>135.4</v>
    <v>136.53</v>
    <v>138.13999999999999</v>
    <v>140.51</v>
    <v>142.43</v>
    <v>142.26</v>
    <v>141.21</v>
    <v>139.25</v>
    <v>140.26</v>
    <v>140.69</v>
    <v>142.34</v>
    <v>141.76</v>
    <v>143.32</v>
    <v>143.82</v>
    <v>144.43</v>
    <v>144.13</v>
    <v>144.27000000000001</v>
    <v>143.08000000000001</v>
    <v>141.66999999999999</v>
    <v>141.97</v>
    <v>142.91999999999999</v>
    <v>143.91</v>
    <v>145.33000000000001</v>
    <v>145.09</v>
    <v>145.01</v>
    <v>145.84</v>
    <v>147.33000000000001</v>
    <v>146.96</v>
    <v>150.07</v>
    <v>153.11000000000001</v>
    <v>151.84</v>
    <v>150.91</v>
    <v>151.79</v>
    <v>154.08000000000001</v>
    <v>157.68</v>
    <v>158.31</v>
    <v>157.78</v>
    <v>156.80000000000001</v>
    <v>157.12</v>
    <v>157.49</v>
    <v>158.18</v>
    <v>159.76</v>
    <v>158.6</v>
    <v>156.25</v>
    <v>157.67500000000001</v>
    <v>156.93</v>
    <v>155.53</v>
    <v>157.69999999999999</v>
    <v>158.31</v>
    <v>155.59</v>
    <v>155.34</v>
    <v>152.9</v>
    <v>154.12</v>
    <v>154.93</v>
    <v>157.44999999999999</v>
    <v>156.62</v>
    <v>155.12</v>
    <v>154.08000000000001</v>
    <v>153.63999999999999</v>
    <v>154.33000000000001</v>
    <v>154.25</v>
    <v>153.49</v>
    <v>153.33000000000001</v>
    <v>152.68</v>
    <v>152.66999999999999</v>
    <v>152.13999999999999</v>
    <v>152.28</v>
    <v>151.26</v>
    <v>152.38999999999999</v>
    <v>153.41</v>
    <v>152.06</v>
    <v>152.72499999999999</v>
    <v>153.81</v>
    <v>152.85</v>
    <v>152.81</v>
    <v>152.66</v>
    <v>152.57</v>
    <v>154.66999999999999</v>
    <v>154.54</v>
    <v>155.54</v>
    <v>157.57</v>
    <v>157.78</v>
    <v>160.06</v>
    <v>158.58000000000001</v>
  </a>
  <a r="1" c="205">
    <v>653.57000000000005</v>
    <v>679.55</v>
    <v>680.86</v>
    <v>686.33</v>
    <v>662.32</v>
    <v>628.4</v>
    <v>622.5</v>
    <v>639.77</v>
    <v>652.09</v>
    <v>644.17999999999995</v>
    <v>642.23</v>
    <v>681.55</v>
    <v>684.86</v>
    <v>667.89</v>
    <v>661.67</v>
    <v>657.78</v>
    <v>665.99</v>
    <v>692.7</v>
    <v>711.59</v>
    <v>717.39</v>
    <v>726.37</v>
    <v>754.97</v>
    <v>780.25</v>
    <v>746.22</v>
    <v>737.53</v>
    <v>779.35</v>
    <v>801.54</v>
    <v>790.79</v>
    <v>823.67</v>
    <v>816.56</v>
    <v>802.13</v>
    <v>819.15</v>
    <v>817.55</v>
    <v>834.61</v>
    <v>830.34</v>
    <v>831.7</v>
    <v>879.73</v>
    <v>876.01</v>
    <v>876.46</v>
    <v>873.6</v>
    <v>881.18</v>
    <v>842</v>
    <v>841.27</v>
    <v>815.01</v>
    <v>789.23</v>
    <v>830.1</v>
    <v>839.2</v>
    <v>847.65</v>
    <v>832.11</v>
    <v>805.02</v>
    <v>827.37</v>
    <v>844.05</v>
    <v>858.47</v>
    <v>877.39</v>
    <v>851.07</v>
    <v>882.64</v>
    <v>909.41</v>
    <v>923.69</v>
    <v>873.12</v>
    <v>853.16</v>
    <v>817.35</v>
    <v>872.9</v>
    <v>894.78</v>
    <v>898.57</v>
    <v>897.36</v>
    <v>910.75</v>
    <v>936.07</v>
    <v>968.02</v>
    <v>991.32</v>
    <v>991.12</v>
    <v>987.5</v>
    <v>985.92</v>
    <v>978.32</v>
    <v>1002.75</v>
    <v>990.18</v>
    <v>991.3</v>
    <v>1127.56</v>
    <v>1149.53</v>
    <v>1149.19</v>
    <v>1120.23</v>
    <v>1088.93</v>
    <v>1063.1099999999999</v>
    <v>1083.46</v>
    <v>1062.95</v>
    <v>1073.95</v>
    <v>1095.21</v>
    <v>1118.96</v>
    <v>1045.6300000000001</v>
    <v>1040.1500000000001</v>
    <v>1073.08</v>
    <v>1071.98</v>
    <v>1062.57</v>
    <v>1090.53</v>
    <v>1049.23</v>
    <v>1012.25</v>
    <v>1011.8</v>
    <v>1024.52</v>
    <v>1043.82</v>
    <v>1038.74</v>
    <v>1070.47</v>
    <v>1031.8900000000001</v>
    <v>996</v>
    <v>968.32</v>
    <v>950.54</v>
    <v>969.67</v>
    <v>959.36</v>
    <v>963.33</v>
    <v>933.61</v>
    <v>933.85</v>
    <v>920.15</v>
    <v>867.09</v>
    <v>906.79</v>
    <v>940.66</v>
    <v>979.07</v>
    <v>982.35</v>
    <v>1048.8599999999999</v>
    <v>1109.73</v>
    <v>1127.5899999999999</v>
    <v>1034.98</v>
    <v>1057.6500000000001</v>
    <v>1085.47</v>
    <v>1045.17</v>
    <v>1102.51</v>
    <v>1174.8599999999999</v>
    <v>1134.3499999999999</v>
    <v>1113.1099999999999</v>
    <v>1152.04</v>
    <v>1077.08</v>
    <v>1070.99</v>
    <v>1075.26</v>
    <v>1091.57</v>
    <v>1042.5999999999999</v>
    <v>1066.01</v>
    <v>1055.28</v>
    <v>1036.22</v>
    <v>1057.8399999999999</v>
    <v>1079.18</v>
    <v>1078.81</v>
    <v>985.03</v>
    <v>1031.19</v>
    <v>1014.75</v>
    <v>996.57</v>
    <v>943.38</v>
    <v>900.28</v>
    <v>981.98</v>
    <v>990.29</v>
    <v>1006.76</v>
    <v>1018.53</v>
    <v>1017.96</v>
    <v>1000.3</v>
    <v>990.32</v>
    <v>990.85</v>
    <v>1011.88</v>
    <v>1039.9000000000001</v>
    <v>1049.42</v>
    <v>1063.25</v>
    <v>1079</v>
    <v>1004.53</v>
    <v>987.46</v>
    <v>966.01</v>
    <v>956.85</v>
    <v>942.1</v>
    <v>926.73</v>
    <v>953.09</v>
    <v>953.83</v>
    <v>911.93</v>
    <v>898.53</v>
    <v>898.53</v>
    <v>921.94</v>
    <v>941.84</v>
    <v>941.95</v>
    <v>971.31</v>
    <v>951.04</v>
    <v>923.91</v>
    <v>957.27</v>
    <v>874.76</v>
    <v>882.81</v>
    <v>925.09</v>
    <v>924.93</v>
    <v>940.33</v>
    <v>946.22</v>
    <v>950.28</v>
    <v>951.82</v>
    <v>955.04</v>
    <v>957.63</v>
    <v>949.77</v>
    <v>962.49</v>
    <v>950.49</v>
    <v>987.45</v>
    <v>988.7</v>
    <v>990</v>
    <v>1029.21</v>
    <v>997.09</v>
    <v>999.35</v>
    <v>1004.73</v>
    <v>996.8</v>
    <v>1004.04</v>
    <v>941.78</v>
    <v>926.44</v>
    <v>921.2</v>
    <v>908.44</v>
    <v>890.33</v>
    <v>925.92</v>
    <v>827.42</v>
    <v>815</v>
  </a>
  <a r="1" c="252">
    <v>595.15</v>
    <v>584.39</v>
    <v>584.39</v>
    <v>570.98</v>
    <v>577.97</v>
    <v>574.07000000000005</v>
    <v>585.14</v>
    <v>581.26</v>
    <v>547.96</v>
    <v>559.70000000000005</v>
    <v>550.16999999999996</v>
    <v>575.13</v>
    <v>579.79999999999995</v>
    <v>576.08000000000004</v>
    <v>575.4</v>
    <v>558.16999999999996</v>
    <v>578.30999999999995</v>
    <v>577.02</v>
    <v>554.92999999999995</v>
    <v>595.37</v>
    <v>558.03</v>
    <v>555.84</v>
    <v>580.49</v>
    <v>572.55999999999995</v>
    <v>589.72</v>
    <v>599.77</v>
    <v>576.9</v>
    <v>601.58000000000004</v>
    <v>601.97</v>
    <v>629.11</v>
    <v>631.32000000000005</v>
    <v>621.9</v>
    <v>625.29999999999995</v>
    <v>723</v>
    <v>704.2</v>
    <v>671.71</v>
    <v>681.35</v>
    <v>686.22</v>
    <v>614.19000000000005</v>
    <v>639.42999999999995</v>
    <v>658.28</v>
    <v>661.81</v>
    <v>661.45</v>
    <v>667.32</v>
    <v>663.46</v>
    <v>663.46</v>
    <v>659.64</v>
    <v>653.57000000000005</v>
    <v>679.55</v>
    <v>680.86</v>
    <v>686.33</v>
    <v>662.32</v>
    <v>628.4</v>
    <v>622.5</v>
    <v>639.77</v>
    <v>652.09</v>
    <v>644.17999999999995</v>
    <v>642.23</v>
    <v>681.55</v>
    <v>684.86</v>
    <v>667.89</v>
    <v>661.67</v>
    <v>657.78</v>
    <v>665.99</v>
    <v>692.7</v>
    <v>711.59</v>
    <v>717.39</v>
    <v>726.37</v>
    <v>754.97</v>
    <v>780.25</v>
    <v>746.22</v>
    <v>737.53</v>
    <v>779.35</v>
    <v>801.54</v>
    <v>790.79</v>
    <v>823.67</v>
    <v>816.56</v>
    <v>802.13</v>
    <v>819.15</v>
    <v>817.55</v>
    <v>834.61</v>
    <v>830.34</v>
    <v>831.7</v>
    <v>879.73</v>
    <v>876.01</v>
    <v>876.46</v>
    <v>873.6</v>
    <v>881.18</v>
    <v>842</v>
    <v>841.27</v>
    <v>815.01</v>
    <v>789.23</v>
    <v>830.1</v>
    <v>839.2</v>
    <v>847.65</v>
    <v>832.11</v>
    <v>805.02</v>
    <v>827.37</v>
    <v>844.05</v>
    <v>858.47</v>
    <v>877.39</v>
    <v>851.07</v>
    <v>882.64</v>
    <v>909.41</v>
    <v>923.69</v>
    <v>873.12</v>
    <v>853.16</v>
    <v>817.35</v>
    <v>872.9</v>
    <v>894.78</v>
    <v>898.57</v>
    <v>897.36</v>
    <v>910.75</v>
    <v>936.07</v>
    <v>968.02</v>
    <v>991.32</v>
    <v>991.12</v>
    <v>987.5</v>
    <v>985.92</v>
    <v>978.32</v>
    <v>1002.75</v>
    <v>990.18</v>
    <v>991.3</v>
    <v>1127.56</v>
    <v>1149.53</v>
    <v>1149.19</v>
    <v>1120.23</v>
    <v>1088.93</v>
    <v>1063.1099999999999</v>
    <v>1083.46</v>
    <v>1062.95</v>
    <v>1073.95</v>
    <v>1095.21</v>
    <v>1118.96</v>
    <v>1045.6300000000001</v>
    <v>1040.1500000000001</v>
    <v>1073.08</v>
    <v>1071.98</v>
    <v>1062.57</v>
    <v>1090.53</v>
    <v>1049.23</v>
    <v>1012.25</v>
    <v>1011.8</v>
    <v>1024.52</v>
    <v>1043.82</v>
    <v>1038.74</v>
    <v>1070.47</v>
    <v>1031.8900000000001</v>
    <v>996</v>
    <v>968.32</v>
    <v>950.54</v>
    <v>969.67</v>
    <v>959.36</v>
    <v>963.33</v>
    <v>933.61</v>
    <v>933.85</v>
    <v>920.15</v>
    <v>867.09</v>
    <v>906.79</v>
    <v>940.66</v>
    <v>979.07</v>
    <v>982.35</v>
    <v>1048.8599999999999</v>
    <v>1109.73</v>
    <v>1127.5899999999999</v>
    <v>1034.98</v>
    <v>1057.6500000000001</v>
    <v>1085.47</v>
    <v>1045.17</v>
    <v>1102.51</v>
    <v>1174.8599999999999</v>
    <v>1134.3499999999999</v>
    <v>1113.1099999999999</v>
    <v>1152.04</v>
    <v>1077.08</v>
    <v>1070.99</v>
    <v>1075.26</v>
    <v>1091.57</v>
    <v>1042.5999999999999</v>
    <v>1066.01</v>
    <v>1055.28</v>
    <v>1036.22</v>
    <v>1057.8399999999999</v>
    <v>1079.18</v>
    <v>1078.81</v>
    <v>985.03</v>
    <v>1031.19</v>
    <v>1014.75</v>
    <v>996.57</v>
    <v>943.38</v>
    <v>900.28</v>
    <v>981.98</v>
    <v>990.29</v>
    <v>1006.76</v>
    <v>1018.53</v>
    <v>1017.96</v>
    <v>1000.3</v>
    <v>990.32</v>
    <v>990.85</v>
    <v>1011.88</v>
    <v>1039.9000000000001</v>
    <v>1049.42</v>
    <v>1063.25</v>
    <v>1079</v>
    <v>1004.53</v>
    <v>987.46</v>
    <v>966.01</v>
    <v>956.85</v>
    <v>942.1</v>
    <v>926.73</v>
    <v>953.09</v>
    <v>953.83</v>
    <v>911.93</v>
    <v>898.53</v>
    <v>898.53</v>
    <v>921.94</v>
    <v>941.84</v>
    <v>941.95</v>
    <v>971.31</v>
    <v>951.04</v>
    <v>923.91</v>
    <v>957.27</v>
    <v>874.76</v>
    <v>882.81</v>
    <v>925.09</v>
    <v>924.93</v>
    <v>940.33</v>
    <v>946.22</v>
    <v>950.28</v>
    <v>951.82</v>
    <v>955.04</v>
    <v>957.63</v>
    <v>949.77</v>
    <v>962.49</v>
    <v>950.49</v>
    <v>987.45</v>
    <v>988.7</v>
    <v>990</v>
    <v>1029.21</v>
    <v>997.09</v>
    <v>999.35</v>
    <v>1004.73</v>
    <v>996.8</v>
    <v>1004.04</v>
    <v>941.78</v>
    <v>926.44</v>
    <v>921.2</v>
    <v>908.44</v>
    <v>890.33</v>
    <v>925.92</v>
    <v>827.42</v>
    <v>815</v>
  </a>
  <a r="1" c="659">
    <v t="i">140</v>
    <v t="i">141</v>
    <v t="i">142</v>
    <v t="i">143</v>
    <v t="i">144</v>
    <v t="i">147</v>
    <v t="i">148</v>
    <v t="i">149</v>
    <v t="i">150</v>
    <v t="i">151</v>
    <v t="i">154</v>
    <v t="i">155</v>
    <v t="i">156</v>
    <v t="i">157</v>
    <v t="i">161</v>
    <v t="i">162</v>
    <v t="i">163</v>
    <v t="i">164</v>
    <v t="i">165</v>
    <v t="i">168</v>
    <v t="i">169</v>
    <v t="i">170</v>
    <v t="i">171</v>
    <v t="i">172</v>
    <v t="i">175</v>
    <v t="i">176</v>
    <v t="i">177</v>
    <v t="i">178</v>
    <v t="i">179</v>
    <v t="i">182</v>
    <v t="i">183</v>
    <v t="i">184</v>
    <v t="i">185</v>
    <v t="i">186</v>
    <v t="i">189</v>
    <v t="i">190</v>
    <v t="i">191</v>
    <v t="i">192</v>
    <v t="i">193</v>
    <v t="i">196</v>
    <v t="i">197</v>
    <v t="i">198</v>
    <v t="i">199</v>
    <v t="i">200</v>
    <v t="i">203</v>
    <v t="i">204</v>
    <v t="i">205</v>
    <v t="i">206</v>
    <v t="i">207</v>
    <v t="i">210</v>
    <v t="i">211</v>
    <v t="i">212</v>
    <v t="i">213</v>
    <v t="i">214</v>
    <v t="i">218</v>
    <v t="i">219</v>
    <v t="i">220</v>
    <v t="i">221</v>
    <v t="i">224</v>
    <v t="i">225</v>
    <v t="i">226</v>
    <v t="i">227</v>
    <v t="i">228</v>
    <v t="i">231</v>
    <v t="i">232</v>
    <v t="i">233</v>
    <v t="i">234</v>
    <v t="i">235</v>
    <v t="i">238</v>
    <v t="i">239</v>
    <v t="i">241</v>
    <v t="i">242</v>
    <v t="i">245</v>
    <v t="i">246</v>
    <v t="i">247</v>
    <v t="i">248</v>
    <v t="i">249</v>
    <v t="i">252</v>
    <v t="i">253</v>
    <v t="i">254</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v t="i">365</v>
    <v t="i">366</v>
    <v t="i">367</v>
    <v t="i">368</v>
    <v t="i">371</v>
    <v t="i">372</v>
    <v t="i">373</v>
    <v t="i">374</v>
    <v t="i">375</v>
    <v t="i">378</v>
    <v t="i">379</v>
    <v t="i">380</v>
    <v t="i">381</v>
    <v t="i">382</v>
    <v t="i">385</v>
    <v t="i">386</v>
    <v t="i">387</v>
    <v t="i">388</v>
    <v t="i">389</v>
    <v t="i">392</v>
    <v t="i">393</v>
    <v t="i">394</v>
    <v t="i">395</v>
    <v t="i">396</v>
    <v t="i">399</v>
    <v t="i">400</v>
    <v t="i">401</v>
    <v t="i">403</v>
    <v t="i">406</v>
    <v t="i">407</v>
    <v t="i">408</v>
    <v t="i">409</v>
    <v t="i">410</v>
    <v t="i">413</v>
    <v t="i">414</v>
    <v t="i">415</v>
    <v t="i">416</v>
    <v t="i">417</v>
    <v t="i">420</v>
    <v t="i">421</v>
    <v t="i">422</v>
    <v t="i">423</v>
    <v t="i">424</v>
    <v t="i">427</v>
    <v t="i">428</v>
    <v t="i">430</v>
    <v t="i">431</v>
    <v t="i">434</v>
    <v t="i">435</v>
    <v t="i">437</v>
    <v t="i">438</v>
    <v t="i">441</v>
    <v t="i">442</v>
    <v t="i">443</v>
    <v t="i">445</v>
    <v t="i">448</v>
    <v t="i">449</v>
    <v t="i">450</v>
    <v t="i">451</v>
    <v t="i">452</v>
    <v t="i">456</v>
    <v t="i">457</v>
    <v t="i">458</v>
    <v t="i">459</v>
    <v t="i">462</v>
    <v t="i">463</v>
    <v t="i">464</v>
    <v t="i">465</v>
    <v t="i">466</v>
    <v t="i">469</v>
    <v t="i">470</v>
    <v t="i">471</v>
    <v t="i">472</v>
    <v t="i">473</v>
    <v t="i">476</v>
    <v t="i">477</v>
    <v t="i">478</v>
    <v t="i">479</v>
    <v t="i">480</v>
    <v t="i">484</v>
    <v t="i">485</v>
    <v t="i">486</v>
    <v t="i">487</v>
    <v t="i">490</v>
    <v t="i">491</v>
    <v t="i">492</v>
    <v t="i">493</v>
    <v t="i">494</v>
    <v t="i">497</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546</v>
    <v t="i">547</v>
    <v t="i">548</v>
    <v t="i">549</v>
    <v t="i">550</v>
    <v t="i">553</v>
    <v t="i">554</v>
    <v t="i">555</v>
    <v t="i">556</v>
    <v t="i">557</v>
    <v t="i">560</v>
    <v t="i">561</v>
    <v t="i">562</v>
    <v t="i">563</v>
    <v t="i">564</v>
    <v t="i">567</v>
    <v t="i">568</v>
    <v t="i">569</v>
    <v t="i">570</v>
    <v t="i">571</v>
    <v t="i">574</v>
    <v t="i">575</v>
    <v t="i">576</v>
    <v t="i">577</v>
    <v t="i">578</v>
    <v t="i">582</v>
    <v t="i">583</v>
    <v t="i">584</v>
    <v t="i">585</v>
    <v t="i">588</v>
    <v t="i">589</v>
    <v t="i">590</v>
    <v t="i">591</v>
    <v t="i">592</v>
    <v t="i">595</v>
    <v t="i">596</v>
    <v t="i">597</v>
    <v t="i">598</v>
    <v t="i">599</v>
    <v t="i">602</v>
    <v t="i">603</v>
    <v t="i">604</v>
    <v t="i">606</v>
    <v t="i">609</v>
    <v t="i">610</v>
    <v t="i">611</v>
    <v t="i">612</v>
    <v t="i">613</v>
    <v t="i">616</v>
    <v t="i">617</v>
    <v t="i">618</v>
    <v t="i">619</v>
    <v t="i">623</v>
    <v t="i">624</v>
    <v t="i">625</v>
    <v t="i">626</v>
    <v t="i">627</v>
    <v t="i">630</v>
    <v t="i">631</v>
    <v t="i">632</v>
    <v t="i">633</v>
    <v t="i">634</v>
    <v t="i">637</v>
    <v t="i">638</v>
    <v t="i">639</v>
    <v t="i">640</v>
    <v t="i">641</v>
    <v t="i">644</v>
    <v t="i">645</v>
    <v t="i">646</v>
    <v t="i">647</v>
    <v t="i">648</v>
    <v t="i">651</v>
    <v t="i">652</v>
    <v t="i">653</v>
    <v t="i">654</v>
    <v t="i">655</v>
    <v t="i">658</v>
    <v t="i">659</v>
    <v t="i">660</v>
    <v t="i">661</v>
    <v t="i">662</v>
    <v t="i">665</v>
    <v t="i">666</v>
    <v t="i">667</v>
    <v t="i">668</v>
    <v t="i">669</v>
    <v t="i">672</v>
    <v t="i">673</v>
    <v t="i">674</v>
    <v t="i">675</v>
    <v t="i">676</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750</v>
    <v t="i">751</v>
    <v t="i">752</v>
    <v t="i">753</v>
    <v t="i">756</v>
    <v t="i">757</v>
    <v t="i">758</v>
    <v t="i">759</v>
    <v t="i">760</v>
    <v t="i">763</v>
    <v t="i">764</v>
    <v t="i">765</v>
    <v t="i">767</v>
    <v t="i">770</v>
    <v t="i">771</v>
    <v t="i">772</v>
    <v t="i">773</v>
    <v t="i">774</v>
    <v t="i">777</v>
    <v t="i">778</v>
    <v t="i">779</v>
    <v t="i">780</v>
    <v t="i">781</v>
    <v t="i">784</v>
    <v t="i">785</v>
    <v t="i">786</v>
    <v t="i">787</v>
    <v t="i">788</v>
    <v t="i">791</v>
    <v t="i">792</v>
    <v t="i">793</v>
    <v t="i">795</v>
    <v t="i">798</v>
    <v t="i">799</v>
    <v t="i">800</v>
    <v t="i">802</v>
    <v t="i">805</v>
    <v t="i">806</v>
    <v t="i">807</v>
    <v t="i">808</v>
    <v t="i">809</v>
    <v t="i">812</v>
    <v t="i">813</v>
    <v t="i">814</v>
    <v t="i">815</v>
    <v t="i">816</v>
    <v t="i">820</v>
    <v t="i">821</v>
    <v t="i">822</v>
    <v t="i">823</v>
    <v t="i">826</v>
    <v t="i">827</v>
    <v t="i">828</v>
    <v t="i">829</v>
    <v t="i">830</v>
    <v t="i">833</v>
    <v t="i">834</v>
    <v t="i">835</v>
    <v t="i">836</v>
    <v t="i">837</v>
    <v t="i">840</v>
    <v t="i">841</v>
    <v t="i">842</v>
    <v t="i">843</v>
    <v t="i">844</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896</v>
    <v t="i">897</v>
    <v t="i">898</v>
    <v t="i">899</v>
    <v t="i">900</v>
    <v t="i">903</v>
    <v t="i">904</v>
    <v t="i">905</v>
    <v t="i">906</v>
    <v t="i">907</v>
    <v t="i">910</v>
    <v t="i">911</v>
    <v t="i">912</v>
    <v t="i">913</v>
    <v t="i">914</v>
    <v t="i">917</v>
    <v t="i">918</v>
    <v t="i">919</v>
    <v t="i">920</v>
    <v t="i">921</v>
    <v t="i">924</v>
    <v t="i">925</v>
    <v t="i">926</v>
    <v t="i">927</v>
    <v t="i">928</v>
    <v t="i">931</v>
    <v t="i">932</v>
    <v t="i">933</v>
    <v t="i">934</v>
    <v t="i">935</v>
    <v t="i">938</v>
    <v t="i">939</v>
    <v t="i">940</v>
    <v t="i">941</v>
    <v t="i">942</v>
    <v t="i">946</v>
    <v t="i">947</v>
    <v t="i">948</v>
    <v t="i">949</v>
    <v t="i">952</v>
    <v t="i">953</v>
    <v t="i">954</v>
    <v t="i">955</v>
    <v t="i">956</v>
    <v t="i">959</v>
    <v t="i">960</v>
    <v t="i">961</v>
    <v t="i">962</v>
    <v t="i">963</v>
    <v t="i">966</v>
    <v t="i">967</v>
    <v t="i">968</v>
    <v t="i">969</v>
    <v t="i">973</v>
    <v t="i">974</v>
    <v t="i">975</v>
    <v t="i">976</v>
    <v t="i">977</v>
    <v t="i">980</v>
    <v t="i">981</v>
    <v t="i">982</v>
    <v t="i">983</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659">
    <v>-99999901</v>
    <v>-99999901</v>
    <v>-99999901</v>
    <v>-99999901</v>
    <v>-99999901</v>
    <v>-99999901</v>
    <v>-99999901</v>
    <v>-99999901</v>
    <v>-99999901</v>
    <v>-99999901</v>
    <v>-99999901</v>
    <v>-99999901</v>
    <v>131.25</v>
    <v>136.75</v>
    <v>142.02000000000001</v>
    <v>140</v>
    <v>137.34</v>
    <v>126.06</v>
    <v>122.7</v>
    <v>129.96</v>
    <v>132.16999999999999</v>
    <v>138.37</v>
    <v>136.57</v>
    <v>134</v>
    <v>131.75</v>
    <v>130.07</v>
    <v>134.75</v>
    <v>137.22</v>
    <v>135.1</v>
    <v>136.69</v>
    <v>147.83000000000001</v>
    <v>146.18</v>
    <v>148.31</v>
    <v>153.07</v>
    <v>159.01</v>
    <v>153.71</v>
    <v>151.66999999999999</v>
    <v>153.83000000000001</v>
    <v>166.26</v>
    <v>169.14</v>
    <v>167.36</v>
    <v>164</v>
    <v>166.4</v>
    <v>167.27</v>
    <v>161.53</v>
    <v>165.63</v>
    <v>167.87</v>
    <v>166.4</v>
    <v>162.62</v>
    <v>160.94999999999999</v>
    <v>163.93</v>
    <v>163.85</v>
    <v>161.66999999999999</v>
    <v>177.43</v>
    <v>178.09</v>
    <v>177.32</v>
    <v>175.08</v>
    <v>175.9</v>
    <v>170.37</v>
    <v>163.04</v>
    <v>163.49</v>
    <v>160.31</v>
    <v>162.08000000000001</v>
    <v>166.64</v>
    <v>168.23</v>
    <v>177.52</v>
    <v>176.17</v>
    <v>170.17</v>
    <v>168.76</v>
    <v>179.57</v>
    <v>177.18</v>
    <v>175.73</v>
    <v>178.14</v>
    <v>181.45</v>
    <v>180</v>
    <v>176.28</v>
    <v>171.51</v>
    <v>167.52</v>
    <v>169.81</v>
    <v>172.68</v>
    <v>176.23</v>
    <v>174.37</v>
    <v>172.98</v>
    <v>179.73</v>
    <v>176.7</v>
    <v>180.45</v>
    <v>177.44</v>
    <v>182.74</v>
    <v>165.83</v>
    <v>161.49</v>
    <v>163.34</v>
    <v>166.76</v>
    <v>170.49</v>
    <v>162.9</v>
    <v>160</v>
    <v>173.11</v>
    <v>172.05</v>
    <v>162.69999999999999</v>
    <v>178.24</v>
    <v>174.03</v>
    <v>164.73</v>
    <v>162.24</v>
    <v>164.35</v>
    <v>166.07</v>
    <v>177.21</v>
    <v>179.11</v>
    <v>176.44</v>
    <v>179.65</v>
    <v>184.16</v>
    <v>188.82</v>
    <v>184.06</v>
    <v>185.4</v>
    <v>184</v>
    <v>184.26</v>
    <v>186</v>
    <v>183.29</v>
    <v>182.13</v>
    <v>185.55</v>
    <v>184</v>
    <v>191.36</v>
    <v>201</v>
    <v>192.55</v>
    <v>199.63</v>
    <v>198.44</v>
    <v>198.33</v>
    <v>201.81</v>
    <v>202.01</v>
    <v>209.15</v>
    <v>215.27</v>
    <v>225.59</v>
    <v>229.93</v>
    <v>237.15</v>
    <v>235.67</v>
    <v>244.45</v>
    <v>245.46</v>
    <v>251.53</v>
    <v>255.48</v>
    <v>255.05</v>
    <v>251.22</v>
    <v>249.86</v>
    <v>254.98</v>
    <v>256.52999999999997</v>
    <v>252.29</v>
    <v>254.68</v>
    <v>265.58999999999997</v>
    <v>262.54000000000002</v>
    <v>264.27</v>
    <v>266.60000000000002</v>
    <v>264.62</v>
    <v>266.89</v>
    <v>269.5</v>
    <v>266.36</v>
    <v>274.77</v>
    <v>272</v>
    <v>272.72000000000003</v>
    <v>276.43</v>
    <v>276.42</v>
    <v>279.88</v>
    <v>297</v>
    <v>293.54000000000002</v>
    <v>289.23</v>
    <v>298.77</v>
    <v>297.60000000000002</v>
    <v>301.66000000000003</v>
    <v>301.08999999999997</v>
    <v>295.45999999999998</v>
    <v>315.77</v>
    <v>336.3</v>
    <v>336.78</v>
    <v>341.18</v>
    <v>349.44</v>
    <v>323.70999999999998</v>
    <v>333.26</v>
    <v>326.04000000000002</v>
    <v>329.76</v>
    <v>325.37</v>
    <v>340</v>
    <v>342.77</v>
    <v>339.85</v>
    <v>349.16</v>
    <v>328.98</v>
    <v>338.89</v>
    <v>335.33</v>
    <v>334.12</v>
    <v>337.54</v>
    <v>331.92</v>
    <v>343.75</v>
    <v>348.13</v>
    <v>346.51</v>
    <v>335.25</v>
    <v>327.39</v>
    <v>343.8</v>
    <v>329.91</v>
    <v>332.01</v>
    <v>337.71</v>
    <v>328.34</v>
    <v>317.12</v>
    <v>332.8</v>
    <v>342.66</v>
    <v>344.92</v>
    <v>347.29</v>
    <v>343.07</v>
    <v>333.8</v>
    <v>330.26</v>
    <v>328.93</v>
    <v>338.94</v>
    <v>354.03</v>
    <v>371.32</v>
    <v>368.52</v>
    <v>366.48</v>
    <v>367.1</v>
    <v>366.81</v>
    <v>382.26</v>
    <v>387.03</v>
    <v>391</v>
    <v>401.41</v>
    <v>416</v>
    <v>427.1</v>
    <v>437.71</v>
    <v>420.49</v>
    <v>330</v>
    <v>355.12</v>
    <v>353.25</v>
    <v>382.94</v>
    <v>372.88</v>
    <v>361.71</v>
    <v>356.53</v>
    <v>367.93</v>
    <v>374.83</v>
    <v>377.97</v>
    <v>385</v>
    <v>372.9</v>
    <v>369.65</v>
    <v>370.31</v>
    <v>367.59</v>
    <v>373.25</v>
    <v>375.2</v>
    <v>359.68</v>
    <v>327.88</v>
    <v>315.91000000000003</v>
    <v>317.69</v>
    <v>335.24</v>
    <v>326.27999999999997</v>
    <v>335.18</v>
    <v>315.98</v>
    <v>313.07</v>
    <v>316.8</v>
    <v>293.20999999999998</v>
    <v>289.3</v>
    <v>270.13</v>
    <v>284.20999999999998</v>
    <v>298.68</v>
    <v>300.24</v>
    <v>313.63</v>
    <v>331.96</v>
    <v>318.93</v>
    <v>335.8</v>
    <v>336.83</v>
    <v>333.87</v>
    <v>343.57</v>
    <v>336.2</v>
    <v>317.7</v>
    <v>303</v>
    <v>302.93</v>
    <v>305.27999999999997</v>
    <v>315.64</v>
    <v>330.8</v>
    <v>297.66000000000003</v>
    <v>271.48</v>
    <v>286.07</v>
    <v>286.89</v>
    <v>326.81</v>
    <v>309.95</v>
    <v>321.43</v>
    <v>322.3</v>
    <v>328.56</v>
    <v>328.16</v>
    <v>323.55</v>
    <v>313.08</v>
    <v>326.07</v>
    <v>336.09</v>
    <v>360.49</v>
    <v>372.42</v>
    <v>370.06</v>
    <v>371.19</v>
    <v>370.82</v>
    <v>382.29</v>
    <v>396.32</v>
    <v>401.1</v>
    <v>401.23</v>
    <v>406.81</v>
    <v>394</v>
    <v>399.26</v>
    <v>416.63</v>
    <v>433.33</v>
    <v>432.84</v>
    <v>426.97</v>
    <v>428.06</v>
    <v>446.6</v>
    <v>450.04</v>
    <v>453.03</v>
    <v>458.82</v>
    <v>464.39</v>
    <v>471.51</v>
    <v>485.01</v>
    <v>471.17</v>
    <v>472.98</v>
    <v>485.16</v>
    <v>492.97</v>
    <v>488.13</v>
    <v>484.31</v>
    <v>485</v>
    <v>480</v>
    <v>465.31</v>
    <v>483.47</v>
    <v>487.67</v>
    <v>478.45</v>
    <v>487.88</v>
    <v>488.66</v>
    <v>490.19</v>
    <v>486.96</v>
    <v>499.88</v>
    <v>510.84</v>
    <v>502.67</v>
    <v>506.81</v>
    <v>519.66</v>
    <v>529.15</v>
    <v>506</v>
    <v>505.07</v>
    <v>517.04</v>
    <v>530.28</v>
    <v>530</v>
    <v>535.77</v>
    <v>539.36</v>
    <v>539.16</v>
    <v>555.04</v>
    <v>559.61</v>
    <v>561.16999999999996</v>
    <v>570.16999999999996</v>
    <v>574.6</v>
    <v>565.91</v>
    <v>548.99</v>
    <v>629.03</v>
    <v>623.97</v>
    <v>644.59</v>
    <v>647.66</v>
    <v>632.66999999999996</v>
    <v>655</v>
    <v>660.29</v>
    <v>656.5</v>
    <v>662.77</v>
    <v>649.72</v>
    <v>664.55</v>
    <v>645.86</v>
    <v>649.09</v>
    <v>650.76</v>
    <v>657.44</v>
    <v>634.30999999999995</v>
    <v>625.27</v>
    <v>621.91</v>
    <v>625.02</v>
    <v>603.13</v>
    <v>604.59</v>
    <v>606</v>
    <v>607.07000000000005</v>
    <v>602.30999999999995</v>
    <v>625.91</v>
    <v>622.39</v>
    <v>633.69000000000005</v>
    <v>612.97</v>
    <v>579.67999999999995</v>
    <v>577.04</v>
    <v>598.80999999999995</v>
    <v>582.08000000000004</v>
    <v>600.23</v>
    <v>605.70000000000005</v>
    <v>643.55999999999995</v>
    <v>634.15</v>
    <v>625.54999999999995</v>
    <v>628.67999999999995</v>
    <v>617.91</v>
    <v>614.79</v>
    <v>611</v>
    <v>624.16999999999996</v>
    <v>644.37</v>
    <v>633.41</v>
    <v>628.97</v>
    <v>607.52</v>
    <v>605.16999999999996</v>
    <v>602.42999999999995</v>
    <v>614.9</v>
    <v>606.15</v>
    <v>606.23</v>
    <v>594.99</v>
    <v>603.22</v>
    <v>606.12</v>
    <v>625.45000000000005</v>
    <v>634.27</v>
    <v>604.55999999999995</v>
    <v>648.25</v>
    <v>644.41</v>
    <v>615.95000000000005</v>
    <v>602</v>
    <v>600</v>
    <v>594.07000000000005</v>
    <v>585.33000000000004</v>
    <v>576</v>
    <v>595.15</v>
    <v>584.39</v>
    <v>584.39</v>
    <v>570.98</v>
    <v>577.97</v>
    <v>574.07000000000005</v>
    <v>585.14</v>
    <v>581.26</v>
    <v>547.96</v>
    <v>559.70000000000005</v>
    <v>550.16999999999996</v>
    <v>575.13</v>
    <v>579.79999999999995</v>
    <v>576.08000000000004</v>
    <v>575.4</v>
    <v>558.16999999999996</v>
    <v>578.30999999999995</v>
    <v>577.02</v>
    <v>554.92999999999995</v>
    <v>595.37</v>
    <v>558.03</v>
    <v>555.84</v>
    <v>580.49</v>
    <v>572.55999999999995</v>
    <v>589.72</v>
    <v>599.77</v>
    <v>576.9</v>
    <v>601.58000000000004</v>
    <v>601.97</v>
    <v>629.11</v>
    <v>631.32000000000005</v>
    <v>621.9</v>
    <v>625.29999999999995</v>
    <v>723</v>
    <v>704.2</v>
    <v>671.71</v>
    <v>681.35</v>
    <v>686.22</v>
    <v>614.19000000000005</v>
    <v>639.42999999999995</v>
    <v>658.28</v>
    <v>661.81</v>
    <v>661.45</v>
    <v>667.32</v>
    <v>663.46</v>
    <v>663.46</v>
    <v>659.64</v>
    <v>653.57000000000005</v>
    <v>679.55</v>
    <v>680.86</v>
    <v>686.33</v>
    <v>662.32</v>
    <v>628.4</v>
    <v>622.5</v>
    <v>639.77</v>
    <v>652.09</v>
    <v>644.17999999999995</v>
    <v>642.23</v>
    <v>681.55</v>
    <v>684.86</v>
    <v>667.89</v>
    <v>661.67</v>
    <v>657.78</v>
    <v>665.99</v>
    <v>692.7</v>
    <v>711.59</v>
    <v>717.39</v>
    <v>726.37</v>
    <v>754.97</v>
    <v>780.25</v>
    <v>746.22</v>
    <v>737.53</v>
    <v>779.35</v>
    <v>801.54</v>
    <v>790.79</v>
    <v>823.67</v>
    <v>816.56</v>
    <v>802.13</v>
    <v>819.15</v>
    <v>817.55</v>
    <v>834.61</v>
    <v>830.34</v>
    <v>831.7</v>
    <v>879.73</v>
    <v>876.01</v>
    <v>876.46</v>
    <v>873.6</v>
    <v>881.18</v>
    <v>842</v>
    <v>841.27</v>
    <v>815.01</v>
    <v>789.23</v>
    <v>830.1</v>
    <v>839.2</v>
    <v>847.65</v>
    <v>832.11</v>
    <v>805.02</v>
    <v>827.37</v>
    <v>844.05</v>
    <v>858.47</v>
    <v>877.39</v>
    <v>851.07</v>
    <v>882.64</v>
    <v>909.41</v>
    <v>923.69</v>
    <v>873.12</v>
    <v>853.16</v>
    <v>817.35</v>
    <v>872.9</v>
    <v>894.78</v>
    <v>898.57</v>
    <v>897.36</v>
    <v>910.75</v>
    <v>936.07</v>
    <v>968.02</v>
    <v>991.32</v>
    <v>991.12</v>
    <v>987.5</v>
    <v>985.92</v>
    <v>978.32</v>
    <v>1002.75</v>
    <v>990.18</v>
    <v>991.3</v>
    <v>1127.56</v>
    <v>1149.53</v>
    <v>1149.19</v>
    <v>1120.23</v>
    <v>1088.93</v>
    <v>1063.1099999999999</v>
    <v>1083.46</v>
    <v>1062.95</v>
    <v>1073.95</v>
    <v>1095.21</v>
    <v>1118.96</v>
    <v>1045.6300000000001</v>
    <v>1040.1500000000001</v>
    <v>1073.08</v>
    <v>1071.98</v>
    <v>1062.57</v>
    <v>1090.53</v>
    <v>1049.23</v>
    <v>1012.25</v>
    <v>1011.8</v>
    <v>1024.52</v>
    <v>1043.82</v>
    <v>1038.74</v>
    <v>1070.47</v>
    <v>1031.8900000000001</v>
    <v>996</v>
    <v>968.32</v>
    <v>950.54</v>
    <v>969.67</v>
    <v>959.36</v>
    <v>963.33</v>
    <v>933.61</v>
    <v>933.85</v>
    <v>920.15</v>
    <v>867.09</v>
    <v>906.79</v>
    <v>940.66</v>
    <v>979.07</v>
    <v>982.35</v>
    <v>1048.8599999999999</v>
    <v>1109.73</v>
    <v>1127.5899999999999</v>
    <v>1034.98</v>
    <v>1057.6500000000001</v>
    <v>1085.47</v>
    <v>1045.17</v>
    <v>1102.51</v>
    <v>1174.8599999999999</v>
    <v>1134.3499999999999</v>
    <v>1113.1099999999999</v>
    <v>1152.04</v>
    <v>1077.08</v>
    <v>1070.99</v>
    <v>1075.26</v>
    <v>1091.57</v>
    <v>1042.5999999999999</v>
    <v>1066.01</v>
    <v>1055.28</v>
    <v>1036.22</v>
    <v>1057.8399999999999</v>
    <v>1079.18</v>
    <v>1078.81</v>
    <v>985.03</v>
    <v>1031.19</v>
    <v>1014.75</v>
    <v>996.57</v>
    <v>943.38</v>
    <v>900.28</v>
    <v>981.98</v>
    <v>990.29</v>
    <v>1006.76</v>
    <v>1018.53</v>
    <v>1017.96</v>
    <v>1000.3</v>
    <v>990.32</v>
    <v>990.85</v>
    <v>1011.88</v>
    <v>1039.9000000000001</v>
    <v>1049.42</v>
    <v>1063.25</v>
    <v>1079</v>
    <v>1004.53</v>
    <v>987.46</v>
    <v>966.01</v>
    <v>956.85</v>
    <v>942.1</v>
    <v>926.73</v>
    <v>953.09</v>
    <v>953.83</v>
    <v>911.93</v>
    <v>898.53</v>
    <v>898.53</v>
    <v>921.94</v>
    <v>941.84</v>
    <v>941.95</v>
    <v>971.31</v>
    <v>951.04</v>
    <v>923.91</v>
    <v>957.27</v>
    <v>874.76</v>
    <v>882.81</v>
    <v>925.09</v>
    <v>924.93</v>
    <v>940.33</v>
    <v>946.22</v>
    <v>950.28</v>
    <v>951.82</v>
    <v>955.04</v>
    <v>957.63</v>
    <v>949.77</v>
    <v>962.49</v>
    <v>950.49</v>
    <v>987.45</v>
    <v>988.7</v>
    <v>990</v>
    <v>1029.21</v>
    <v>997.09</v>
    <v>999.35</v>
    <v>1004.73</v>
    <v>996.8</v>
    <v>1004.04</v>
    <v>941.78</v>
    <v>926.44</v>
    <v>921.2</v>
    <v>908.44</v>
    <v>890.33</v>
    <v>925.92</v>
    <v>827.42</v>
    <v>815</v>
  </a>
  <a r="1" c="205">
    <v>81.709999999999994</v>
    <v>82.86</v>
    <v>80.739999999999995</v>
    <v>85.54</v>
    <v>86.19</v>
    <v>87.59</v>
    <v>85.44</v>
    <v>84.67</v>
    <v>85.41</v>
    <v>84.65</v>
    <v>84.38</v>
    <v>84.85</v>
    <v>83.72</v>
    <v>84.26</v>
    <v>82.56</v>
    <v>82.31</v>
    <v>81.98</v>
    <v>81.239999999999995</v>
    <v>79.78</v>
    <v>81.7</v>
    <v>80.05</v>
    <v>80.84</v>
    <v>77.930000000000007</v>
    <v>73.92</v>
    <v>75.209999999999994</v>
    <v>74.77</v>
    <v>73.91</v>
    <v>73.5</v>
    <v>71.010000000000005</v>
    <v>71.22</v>
    <v>69.989999999999995</v>
    <v>70.53</v>
    <v>72.77</v>
    <v>72.94</v>
    <v>73.86</v>
    <v>70.72</v>
    <v>71.38</v>
    <v>72.83</v>
    <v>74.8</v>
    <v>75.42</v>
    <v>75.95</v>
    <v>76.36</v>
    <v>76.650000000000006</v>
    <v>75.44</v>
    <v>75.13</v>
    <v>73.84</v>
    <v>72.36</v>
    <v>74.97</v>
    <v>72.97</v>
    <v>73.33</v>
    <v>74.66</v>
    <v>77.790000000000006</v>
    <v>76.66</v>
    <v>75.34</v>
    <v>73.89</v>
    <v>75.12</v>
    <v>72.34</v>
    <v>73.08</v>
    <v>70.55</v>
    <v>69.180000000000007</v>
    <v>69.91</v>
    <v>71.930000000000007</v>
    <v>71.709999999999994</v>
    <v>71.84</v>
    <v>72.17</v>
    <v>71.73</v>
    <v>72.38</v>
    <v>71.81</v>
    <v>70.48</v>
    <v>72.34</v>
    <v>72.91</v>
    <v>77.28</v>
    <v>76.48</v>
    <v>77.12</v>
    <v>77.489999999999995</v>
    <v>77.260000000000005</v>
    <v>75.58</v>
    <v>74.7</v>
    <v>74.64</v>
    <v>76.27</v>
    <v>74.11</v>
    <v>74.47</v>
    <v>74.61</v>
    <v>75.12</v>
    <v>73.930000000000007</v>
    <v>72.95</v>
    <v>79.17</v>
    <v>76.73</v>
    <v>75.45</v>
    <v>76.150000000000006</v>
    <v>76.36</v>
    <v>74.7</v>
    <v>74.69</v>
    <v>75.09</v>
    <v>75.08</v>
    <v>74.09</v>
    <v>74.599999999999994</v>
    <v>73.61</v>
    <v>71.819999999999993</v>
    <v>70.12</v>
    <v>70.73</v>
    <v>70.92</v>
    <v>70.400000000000006</v>
    <v>73.77</v>
    <v>71.62</v>
    <v>71.69</v>
    <v>72.209999999999994</v>
    <v>70.709999999999994</v>
    <v>70.06</v>
    <v>70.38</v>
    <v>68.61</v>
    <v>69.55</v>
    <v>68.849999999999994</v>
    <v>72.849999999999994</v>
    <v>73.25</v>
    <v>70.91</v>
    <v>71.64</v>
    <v>71.430000000000007</v>
    <v>69.67</v>
    <v>73.849999999999994</v>
    <v>72.25</v>
    <v>76.2</v>
    <v>75.5</v>
    <v>72.16</v>
    <v>72.66</v>
    <v>74.430000000000007</v>
    <v>72.42</v>
    <v>74.33</v>
    <v>73.599999999999994</v>
    <v>74.349999999999994</v>
    <v>74.540000000000006</v>
    <v>74.260000000000005</v>
    <v>72.08</v>
    <v>72.67</v>
    <v>74.040000000000006</v>
    <v>72.459999999999994</v>
    <v>72.17</v>
    <v>71.55</v>
    <v>70.33</v>
    <v>68.91</v>
    <v>65.94</v>
    <v>68.180000000000007</v>
    <v>70.739999999999995</v>
    <v>71.2</v>
    <v>70.37</v>
    <v>70.36</v>
    <v>71.61</v>
    <v>71.989999999999995</v>
    <v>68.180000000000007</v>
    <v>70.47</v>
    <v>75.02</v>
    <v>78.03</v>
    <v>78.540000000000006</v>
    <v>75.36</v>
    <v>75.88</v>
    <v>75.95</v>
    <v>74.989999999999995</v>
    <v>74.66</v>
    <v>78.040000000000006</v>
    <v>78.55</v>
    <v>78.8</v>
    <v>79.290000000000006</v>
    <v>80.349999999999994</v>
    <v>78.489999999999995</v>
    <v>76.95</v>
    <v>78.819999999999993</v>
    <v>75.650000000000006</v>
    <v>75.239999999999995</v>
    <v>76.45</v>
    <v>75.959999999999994</v>
    <v>75.760000000000005</v>
    <v>73.13</v>
    <v>71.08</v>
    <v>72.56</v>
    <v>71.67</v>
    <v>72.63</v>
    <v>71.430000000000007</v>
    <v>70.97</v>
    <v>70.87</v>
    <v>70.5</v>
    <v>70.84</v>
    <v>69.89</v>
    <v>69.42</v>
    <v>69.22</v>
    <v>69.62</v>
    <v>68.16</v>
    <v>69.36</v>
    <v>68.510000000000005</v>
    <v>67.88</v>
    <v>68.11</v>
    <v>69.48</v>
    <v>69.08</v>
    <v>68.45</v>
    <v>70.239999999999995</v>
    <v>71.510000000000005</v>
    <v>71.5</v>
    <v>71.319999999999993</v>
    <v>69.290000000000006</v>
    <v>71.27</v>
    <v>70.349999999999994</v>
    <v>69.959999999999994</v>
    <v>68.94</v>
    <v>67.62</v>
    <v>69.069999999999993</v>
    <v>66.7</v>
  </a>
  <a r="1" c="252">
    <v>94.61</v>
    <v>94.07</v>
    <v>96.42</v>
    <v>95.43</v>
    <v>95.76</v>
    <v>96.49</v>
    <v>96.5</v>
    <v>99.72</v>
    <v>94.67</v>
    <v>92.75</v>
    <v>92.12</v>
    <v>91.99</v>
    <v>94.1</v>
    <v>93.6</v>
    <v>93.57</v>
    <v>91.78</v>
    <v>91.62</v>
    <v>92.11</v>
    <v>90.86</v>
    <v>89.53</v>
    <v>83.36</v>
    <v>83.87</v>
    <v>83.69</v>
    <v>83.69</v>
    <v>85.66</v>
    <v>87.54</v>
    <v>86.57</v>
    <v>87.57</v>
    <v>90.68</v>
    <v>90.99</v>
    <v>91.32</v>
    <v>92.57</v>
    <v>89.07</v>
    <v>84.16</v>
    <v>85.44</v>
    <v>85.11</v>
    <v>81.86</v>
    <v>80.92</v>
    <v>79.14</v>
    <v>79.69</v>
    <v>79.31</v>
    <v>81.260000000000005</v>
    <v>80.97</v>
    <v>81.150000000000006</v>
    <v>81.260000000000005</v>
    <v>81.5</v>
    <v>82.12</v>
    <v>81.709999999999994</v>
    <v>82.86</v>
    <v>80.739999999999995</v>
    <v>85.54</v>
    <v>86.19</v>
    <v>87.59</v>
    <v>85.44</v>
    <v>84.67</v>
    <v>85.41</v>
    <v>84.65</v>
    <v>84.38</v>
    <v>84.85</v>
    <v>83.72</v>
    <v>84.26</v>
    <v>82.56</v>
    <v>82.31</v>
    <v>81.98</v>
    <v>81.239999999999995</v>
    <v>79.78</v>
    <v>81.7</v>
    <v>80.05</v>
    <v>80.84</v>
    <v>77.930000000000007</v>
    <v>73.92</v>
    <v>75.209999999999994</v>
    <v>74.77</v>
    <v>73.91</v>
    <v>73.5</v>
    <v>71.010000000000005</v>
    <v>71.22</v>
    <v>69.989999999999995</v>
    <v>70.53</v>
    <v>72.77</v>
    <v>72.94</v>
    <v>73.86</v>
    <v>70.72</v>
    <v>71.38</v>
    <v>72.83</v>
    <v>74.8</v>
    <v>75.42</v>
    <v>75.95</v>
    <v>76.36</v>
    <v>76.650000000000006</v>
    <v>75.44</v>
    <v>75.13</v>
    <v>73.84</v>
    <v>72.36</v>
    <v>74.97</v>
    <v>72.97</v>
    <v>73.33</v>
    <v>74.66</v>
    <v>77.790000000000006</v>
    <v>76.66</v>
    <v>75.34</v>
    <v>73.89</v>
    <v>75.12</v>
    <v>72.34</v>
    <v>73.08</v>
    <v>70.55</v>
    <v>69.180000000000007</v>
    <v>69.91</v>
    <v>71.930000000000007</v>
    <v>71.709999999999994</v>
    <v>71.84</v>
    <v>72.17</v>
    <v>71.73</v>
    <v>72.38</v>
    <v>71.81</v>
    <v>70.48</v>
    <v>72.34</v>
    <v>72.91</v>
    <v>77.28</v>
    <v>76.48</v>
    <v>77.12</v>
    <v>77.489999999999995</v>
    <v>77.260000000000005</v>
    <v>75.58</v>
    <v>74.7</v>
    <v>74.64</v>
    <v>76.27</v>
    <v>74.11</v>
    <v>74.47</v>
    <v>74.61</v>
    <v>75.12</v>
    <v>73.930000000000007</v>
    <v>72.95</v>
    <v>79.17</v>
    <v>76.73</v>
    <v>75.45</v>
    <v>76.150000000000006</v>
    <v>76.36</v>
    <v>74.7</v>
    <v>74.69</v>
    <v>75.09</v>
    <v>75.08</v>
    <v>74.09</v>
    <v>74.599999999999994</v>
    <v>73.61</v>
    <v>71.819999999999993</v>
    <v>70.12</v>
    <v>70.73</v>
    <v>70.92</v>
    <v>70.400000000000006</v>
    <v>73.77</v>
    <v>71.62</v>
    <v>71.69</v>
    <v>72.209999999999994</v>
    <v>70.709999999999994</v>
    <v>70.06</v>
    <v>70.38</v>
    <v>68.61</v>
    <v>69.55</v>
    <v>68.849999999999994</v>
    <v>72.849999999999994</v>
    <v>73.25</v>
    <v>70.91</v>
    <v>71.64</v>
    <v>71.430000000000007</v>
    <v>69.67</v>
    <v>73.849999999999994</v>
    <v>72.25</v>
    <v>76.2</v>
    <v>75.5</v>
    <v>72.16</v>
    <v>72.66</v>
    <v>74.430000000000007</v>
    <v>72.42</v>
    <v>74.33</v>
    <v>73.599999999999994</v>
    <v>74.349999999999994</v>
    <v>74.540000000000006</v>
    <v>74.260000000000005</v>
    <v>72.08</v>
    <v>72.67</v>
    <v>74.040000000000006</v>
    <v>72.459999999999994</v>
    <v>72.17</v>
    <v>71.55</v>
    <v>70.33</v>
    <v>68.91</v>
    <v>65.94</v>
    <v>68.180000000000007</v>
    <v>70.739999999999995</v>
    <v>71.2</v>
    <v>70.37</v>
    <v>70.36</v>
    <v>71.61</v>
    <v>71.989999999999995</v>
    <v>68.180000000000007</v>
    <v>70.47</v>
    <v>75.02</v>
    <v>78.03</v>
    <v>78.540000000000006</v>
    <v>75.36</v>
    <v>75.88</v>
    <v>75.95</v>
    <v>74.989999999999995</v>
    <v>74.66</v>
    <v>78.040000000000006</v>
    <v>78.55</v>
    <v>78.8</v>
    <v>79.290000000000006</v>
    <v>80.349999999999994</v>
    <v>78.489999999999995</v>
    <v>76.95</v>
    <v>78.819999999999993</v>
    <v>75.650000000000006</v>
    <v>75.239999999999995</v>
    <v>76.45</v>
    <v>75.959999999999994</v>
    <v>75.760000000000005</v>
    <v>73.13</v>
    <v>71.08</v>
    <v>72.56</v>
    <v>71.67</v>
    <v>72.63</v>
    <v>71.430000000000007</v>
    <v>70.97</v>
    <v>70.87</v>
    <v>70.5</v>
    <v>70.84</v>
    <v>69.89</v>
    <v>69.42</v>
    <v>69.22</v>
    <v>69.62</v>
    <v>68.16</v>
    <v>69.36</v>
    <v>68.510000000000005</v>
    <v>67.88</v>
    <v>68.11</v>
    <v>69.48</v>
    <v>69.08</v>
    <v>68.45</v>
    <v>70.239999999999995</v>
    <v>71.510000000000005</v>
    <v>71.5</v>
    <v>71.319999999999993</v>
    <v>69.290000000000006</v>
    <v>71.27</v>
    <v>70.349999999999994</v>
    <v>69.959999999999994</v>
    <v>68.94</v>
    <v>67.62</v>
    <v>69.069999999999993</v>
    <v>66.7</v>
  </a>
  <a r="1" c="754">
    <v>43.04</v>
    <v>44.19</v>
    <v>42.35</v>
    <v>40.619999999999997</v>
    <v>41.23</v>
    <v>42.73</v>
    <v>43.28</v>
    <v>43.83</v>
    <v>46.48</v>
    <v>47.75</v>
    <v>48.14</v>
    <v>49.92</v>
    <v>49.5</v>
    <v>50.05</v>
    <v>51.58</v>
    <v>52.24</v>
    <v>53.88</v>
    <v>53.76</v>
    <v>54.42</v>
    <v>54.44</v>
    <v>54.75</v>
    <v>54.85</v>
    <v>55.37</v>
    <v>55.32</v>
    <v>56.06</v>
    <v>56.21</v>
    <v>56.4</v>
    <v>56.38</v>
    <v>57.35</v>
    <v>58.63</v>
    <v>57.97</v>
    <v>59.75</v>
    <v>60.98</v>
    <v>61.7</v>
    <v>62.46</v>
    <v>62.72</v>
    <v>61.97</v>
    <v>62.5</v>
    <v>61.86</v>
    <v>61.73</v>
    <v>62.12</v>
    <v>60.68</v>
    <v>61.46</v>
    <v>61.71</v>
    <v>61.98</v>
    <v>63.28</v>
    <v>63.14</v>
    <v>61.57</v>
    <v>58.38</v>
    <v>58.25</v>
    <v>57.8</v>
    <v>57.58</v>
    <v>59.01</v>
    <v>60.3</v>
    <v>62.41</v>
    <v>63.47</v>
    <v>63.2</v>
    <v>63.65</v>
    <v>63.12</v>
    <v>64.88</v>
    <v>65.11</v>
    <v>64.55</v>
    <v>64.319999999999993</v>
    <v>63.76</v>
    <v>66</v>
    <v>65.52</v>
    <v>66.98</v>
    <v>66.84</v>
    <v>65.27</v>
    <v>66.73</v>
    <v>68.069999999999993</v>
    <v>68.989999999999995</v>
    <v>70.47</v>
    <v>70.650000000000006</v>
    <v>71.61</v>
    <v>70.91</v>
    <v>69.12</v>
    <v>68.989999999999995</v>
    <v>79.150000000000006</v>
    <v>81.39</v>
    <v>78.41</v>
    <v>76.599999999999994</v>
    <v>76.44</v>
    <v>78.03</v>
    <v>78.2</v>
    <v>78.36</v>
    <v>78.75</v>
    <v>77.73</v>
    <v>79.5</v>
    <v>81.03</v>
    <v>81.3</v>
    <v>79.09</v>
    <v>78.64</v>
    <v>79.41</v>
    <v>78.7</v>
    <v>77.47</v>
    <v>78.319999999999993</v>
    <v>78.25</v>
    <v>77.650000000000006</v>
    <v>76.069999999999993</v>
    <v>75.7</v>
    <v>77.08</v>
    <v>78.64</v>
    <v>80.25</v>
    <v>80.23</v>
    <v>79.41</v>
    <v>77.91</v>
    <v>78.11</v>
    <v>76.989999999999995</v>
    <v>76.400000000000006</v>
    <v>76.98</v>
    <v>76.81</v>
    <v>74.92</v>
    <v>77.16</v>
    <v>75.03</v>
    <v>75.14</v>
    <v>74.349999999999994</v>
    <v>76.180000000000007</v>
    <v>75.28</v>
    <v>73.400000000000006</v>
    <v>74.13</v>
    <v>71.94</v>
    <v>71.3</v>
    <v>69.2</v>
    <v>68.98</v>
    <v>70.8</v>
    <v>69.36</v>
    <v>69.31</v>
    <v>69.05</v>
    <v>67.400000000000006</v>
    <v>66.27</v>
    <v>67.790000000000006</v>
    <v>68.569999999999993</v>
    <v>69.23</v>
    <v>71.510000000000005</v>
    <v>70.430000000000007</v>
    <v>66.400000000000006</v>
    <v>67.930000000000007</v>
    <v>66.989999999999995</v>
    <v>66.02</v>
    <v>65.319999999999993</v>
    <v>66.62</v>
    <v>66.05</v>
    <v>65.67</v>
    <v>64.650000000000006</v>
    <v>63.97</v>
    <v>65.48</v>
    <v>63.6</v>
    <v>64.260000000000005</v>
    <v>63.52</v>
    <v>64.930000000000007</v>
    <v>64.12</v>
    <v>64.56</v>
    <v>63.79</v>
    <v>64.55</v>
    <v>65.819999999999993</v>
    <v>68.900000000000006</v>
    <v>69.31</v>
    <v>68.599999999999994</v>
    <v>69.59</v>
    <v>73.150000000000006</v>
    <v>70.86</v>
    <v>70.06</v>
    <v>70.489999999999995</v>
    <v>70.33</v>
    <v>70.3</v>
    <v>70.209999999999994</v>
    <v>70.540000000000006</v>
    <v>71.38</v>
    <v>70.849999999999994</v>
    <v>70.34</v>
    <v>72.680000000000007</v>
    <v>71.099999999999994</v>
    <v>70.67</v>
    <v>71.3</v>
    <v>71.06</v>
    <v>71.25</v>
    <v>71.319999999999993</v>
    <v>69.27</v>
    <v>73.53</v>
    <v>72.430000000000007</v>
    <v>72.290000000000006</v>
    <v>74.3</v>
    <v>68.62</v>
    <v>66.260000000000005</v>
    <v>67.31</v>
    <v>67.73</v>
    <v>67.52</v>
    <v>66.14</v>
    <v>65.739999999999995</v>
    <v>64.400000000000006</v>
    <v>63.76</v>
    <v>63.09</v>
    <v>64.47</v>
    <v>61.02</v>
    <v>58.99</v>
    <v>58.48</v>
    <v>64.87</v>
    <v>65.540000000000006</v>
    <v>69.010000000000005</v>
    <v>68.540000000000006</v>
    <v>69.260000000000005</v>
    <v>71.06</v>
    <v>71.930000000000007</v>
    <v>72.73</v>
    <v>72.040000000000006</v>
    <v>74.180000000000007</v>
    <v>73.31</v>
    <v>73.48</v>
    <v>73.31</v>
    <v>74.3</v>
    <v>72.61</v>
    <v>72.56</v>
    <v>71.849999999999994</v>
    <v>72.239999999999995</v>
    <v>73.13</v>
    <v>71.89</v>
    <v>71.56</v>
    <v>71.25</v>
    <v>69.58</v>
    <v>69.8</v>
    <v>68.989999999999995</v>
    <v>70.11</v>
    <v>68.09</v>
    <v>72.48</v>
    <v>71.52</v>
    <v>72.78</v>
    <v>73.5</v>
    <v>75.28</v>
    <v>73.94</v>
    <v>74.709999999999994</v>
    <v>77.44</v>
    <v>77.14</v>
    <v>76.69</v>
    <v>75.75</v>
    <v>75.16</v>
    <v>74.239999999999995</v>
    <v>72.87</v>
    <v>72.94</v>
    <v>74.28</v>
    <v>74.59</v>
    <v>76.17</v>
    <v>77.87</v>
    <v>77.92</v>
    <v>86.34</v>
    <v>84.94</v>
    <v>83.2</v>
    <v>81.900000000000006</v>
    <v>79.900000000000006</v>
    <v>79.16</v>
    <v>80.459999999999994</v>
    <v>80.41</v>
    <v>79.83</v>
    <v>78.38</v>
    <v>77.62</v>
    <v>77.69</v>
    <v>79.209999999999994</v>
    <v>79.430000000000007</v>
    <v>72.05</v>
    <v>73.25</v>
    <v>73.25</v>
    <v>74.150000000000006</v>
    <v>74.36</v>
    <v>73.13</v>
    <v>72.040000000000006</v>
    <v>71.650000000000006</v>
    <v>71.37</v>
    <v>71.16</v>
    <v>71.44</v>
    <v>73.25</v>
    <v>69.33</v>
    <v>69.13</v>
    <v>69.599999999999994</v>
    <v>69.64</v>
    <v>71.510000000000005</v>
    <v>73.42</v>
    <v>71.56</v>
    <v>71.62</v>
    <v>71.959999999999994</v>
    <v>73.069999999999993</v>
    <v>71.27</v>
    <v>72.16</v>
    <v>65.23</v>
    <v>66.09</v>
    <v>65.739999999999995</v>
    <v>64.959999999999994</v>
    <v>61.18</v>
    <v>61.41</v>
    <v>59.93</v>
    <v>60.25</v>
    <v>61.03</v>
    <v>61.23</v>
    <v>60.21</v>
    <v>60.73</v>
    <v>61.87</v>
    <v>61.71</v>
    <v>61.56</v>
    <v>61.13</v>
    <v>60.77</v>
    <v>60.32</v>
    <v>63.17</v>
    <v>64.59</v>
    <v>66.31</v>
    <v>66.150000000000006</v>
    <v>64.91</v>
    <v>65.97</v>
    <v>65.7</v>
    <v>64.84</v>
    <v>67.02</v>
    <v>68.58</v>
    <v>67.34</v>
    <v>67.739999999999995</v>
    <v>67.819999999999993</v>
    <v>68.3</v>
    <v>68.56</v>
    <v>68.77</v>
    <v>68.069999999999993</v>
    <v>66.75</v>
    <v>66.59</v>
    <v>66.849999999999994</v>
    <v>67.290000000000006</v>
    <v>69.75</v>
    <v>64.48</v>
    <v>69.989999999999995</v>
    <v>74.599999999999994</v>
    <v>78.63</v>
    <v>76.95</v>
    <v>79.349999999999994</v>
    <v>80.290000000000006</v>
    <v>79.42</v>
    <v>81.489999999999995</v>
    <v>81.16</v>
    <v>81.260000000000005</v>
    <v>78.89</v>
    <v>76.42</v>
    <v>74.95</v>
    <v>75.87</v>
    <v>74.209999999999994</v>
    <v>76.010000000000005</v>
    <v>74.44</v>
    <v>75.260000000000005</v>
    <v>76.48</v>
    <v>74.959999999999994</v>
    <v>76.27</v>
    <v>73.06</v>
    <v>70.650000000000006</v>
    <v>71.2</v>
    <v>69.510000000000005</v>
    <v>71.55</v>
    <v>72.73</v>
    <v>71.55</v>
    <v>73.02</v>
    <v>74.349999999999994</v>
    <v>75.84</v>
    <v>76.510000000000005</v>
    <v>75.61</v>
    <v>74.180000000000007</v>
    <v>74.86</v>
    <v>72.75</v>
    <v>72.86</v>
    <v>72.989999999999995</v>
    <v>74.5</v>
    <v>69.849999999999994</v>
    <v>64.62</v>
    <v>65.64</v>
    <v>65.069999999999993</v>
    <v>72.680000000000007</v>
    <v>70.94</v>
    <v>72.28</v>
    <v>73.099999999999994</v>
    <v>74.02</v>
    <v>73.06</v>
    <v>75.239999999999995</v>
    <v>72.92</v>
    <v>74.44</v>
    <v>73.77</v>
    <v>78.099999999999994</v>
    <v>77.75</v>
    <v>78.33</v>
    <v>79.42</v>
    <v>81.010000000000005</v>
    <v>80.89</v>
    <v>84.28</v>
    <v>85.43</v>
    <v>85.83</v>
    <v>83.65</v>
    <v>82.3</v>
    <v>82.81</v>
    <v>88.1</v>
    <v>91.72</v>
    <v>90.41</v>
    <v>90.16</v>
    <v>91.79</v>
    <v>92.46</v>
    <v>91.87</v>
    <v>88.67</v>
    <v>88</v>
    <v>87.75</v>
    <v>89</v>
    <v>88.26</v>
    <v>84.3</v>
    <v>84.16</v>
    <v>83.64</v>
    <v>82.53</v>
    <v>83.45</v>
    <v>84.67</v>
    <v>85.6</v>
    <v>87.12</v>
    <v>86.39</v>
    <v>86.58</v>
    <v>85.62</v>
    <v>83.93</v>
    <v>85.12</v>
    <v>84.76</v>
    <v>83.44</v>
    <v>83.78</v>
    <v>85.24</v>
    <v>91.65</v>
    <v>90.9</v>
    <v>93.12</v>
    <v>91.53</v>
    <v>93.3</v>
    <v>92.13</v>
    <v>92.05</v>
    <v>93.63</v>
    <v>96.68</v>
    <v>97.48</v>
    <v>96.64</v>
    <v>96.4</v>
    <v>95.39</v>
    <v>93.89</v>
    <v>92.21</v>
    <v>90.75</v>
    <v>90.5</v>
    <v>90.59</v>
    <v>91.16</v>
    <v>91.79</v>
    <v>89.94</v>
    <v>90.87</v>
    <v>91.29</v>
    <v>90.6</v>
    <v>87.11</v>
    <v>87.64</v>
    <v>87.75</v>
    <v>86.91</v>
    <v>88.43</v>
    <v>89.39</v>
    <v>89.22</v>
    <v>92.67</v>
    <v>89.56</v>
    <v>90.58</v>
    <v>91.73</v>
    <v>90.83</v>
    <v>91.4</v>
    <v>92.6</v>
    <v>93.98</v>
    <v>95.32</v>
    <v>93.73</v>
    <v>94.23</v>
    <v>96.79</v>
    <v>95.16</v>
    <v>96.53</v>
    <v>95.33</v>
    <v>95.96</v>
    <v>93.75</v>
    <v>92.81</v>
    <v>92.94</v>
    <v>91.98</v>
    <v>90.99</v>
    <v>94.36</v>
    <v>95.45</v>
    <v>94.21</v>
    <v>94.68</v>
    <v>95.89</v>
    <v>98.85</v>
    <v>97.83</v>
    <v>92.95</v>
    <v>94.7</v>
    <v>98.51</v>
    <v>99.39</v>
    <v>97.8</v>
    <v>97.78</v>
    <v>97.6</v>
    <v>98.45</v>
    <v>99.57</v>
    <v>97.97</v>
    <v>96.61</v>
    <v>96.61</v>
    <v>96.6</v>
    <v>100.1</v>
    <v>97.8</v>
    <v>99.28</v>
    <v>96</v>
    <v>93.4</v>
    <v>94.08</v>
    <v>94.25</v>
    <v>94.52</v>
    <v>92.52</v>
    <v>92.3</v>
    <v>93.7</v>
    <v>93.03</v>
    <v>92.21</v>
    <v>94.61</v>
    <v>94.07</v>
    <v>96.42</v>
    <v>95.43</v>
    <v>95.76</v>
    <v>96.49</v>
    <v>96.5</v>
    <v>99.72</v>
    <v>94.67</v>
    <v>92.75</v>
    <v>92.12</v>
    <v>91.99</v>
    <v>94.1</v>
    <v>93.6</v>
    <v>93.57</v>
    <v>91.78</v>
    <v>91.62</v>
    <v>92.11</v>
    <v>90.86</v>
    <v>89.53</v>
    <v>83.36</v>
    <v>83.87</v>
    <v>83.69</v>
    <v>83.69</v>
    <v>85.66</v>
    <v>87.54</v>
    <v>86.57</v>
    <v>87.57</v>
    <v>90.68</v>
    <v>90.99</v>
    <v>91.32</v>
    <v>92.57</v>
    <v>89.07</v>
    <v>84.16</v>
    <v>85.44</v>
    <v>85.11</v>
    <v>81.86</v>
    <v>80.92</v>
    <v>79.14</v>
    <v>79.69</v>
    <v>79.31</v>
    <v>81.260000000000005</v>
    <v>80.97</v>
    <v>81.150000000000006</v>
    <v>81.260000000000005</v>
    <v>81.5</v>
    <v>82.12</v>
    <v>81.709999999999994</v>
    <v>82.86</v>
    <v>80.739999999999995</v>
    <v>85.54</v>
    <v>86.19</v>
    <v>87.59</v>
    <v>85.44</v>
    <v>84.67</v>
    <v>85.41</v>
    <v>84.65</v>
    <v>84.38</v>
    <v>84.85</v>
    <v>83.72</v>
    <v>84.26</v>
    <v>82.56</v>
    <v>82.31</v>
    <v>81.98</v>
    <v>81.239999999999995</v>
    <v>79.78</v>
    <v>81.7</v>
    <v>80.05</v>
    <v>80.84</v>
    <v>77.930000000000007</v>
    <v>73.92</v>
    <v>75.209999999999994</v>
    <v>74.77</v>
    <v>73.91</v>
    <v>73.5</v>
    <v>71.010000000000005</v>
    <v>71.22</v>
    <v>69.989999999999995</v>
    <v>70.53</v>
    <v>72.77</v>
    <v>72.94</v>
    <v>73.86</v>
    <v>70.72</v>
    <v>71.38</v>
    <v>72.83</v>
    <v>74.8</v>
    <v>75.42</v>
    <v>75.95</v>
    <v>76.36</v>
    <v>76.650000000000006</v>
    <v>75.44</v>
    <v>75.13</v>
    <v>73.84</v>
    <v>72.36</v>
    <v>74.97</v>
    <v>72.97</v>
    <v>73.33</v>
    <v>74.66</v>
    <v>77.790000000000006</v>
    <v>76.66</v>
    <v>75.34</v>
    <v>73.89</v>
    <v>75.12</v>
    <v>72.34</v>
    <v>73.08</v>
    <v>70.55</v>
    <v>69.180000000000007</v>
    <v>69.91</v>
    <v>71.930000000000007</v>
    <v>71.709999999999994</v>
    <v>71.84</v>
    <v>72.17</v>
    <v>71.73</v>
    <v>72.38</v>
    <v>71.81</v>
    <v>70.48</v>
    <v>72.34</v>
    <v>72.91</v>
    <v>77.28</v>
    <v>76.48</v>
    <v>77.12</v>
    <v>77.489999999999995</v>
    <v>77.260000000000005</v>
    <v>75.58</v>
    <v>74.7</v>
    <v>74.64</v>
    <v>76.27</v>
    <v>74.11</v>
    <v>74.47</v>
    <v>74.61</v>
    <v>75.12</v>
    <v>73.930000000000007</v>
    <v>72.95</v>
    <v>79.17</v>
    <v>76.73</v>
    <v>75.45</v>
    <v>76.150000000000006</v>
    <v>76.36</v>
    <v>74.7</v>
    <v>74.69</v>
    <v>75.09</v>
    <v>75.08</v>
    <v>74.09</v>
    <v>74.599999999999994</v>
    <v>73.61</v>
    <v>71.819999999999993</v>
    <v>70.12</v>
    <v>70.73</v>
    <v>70.92</v>
    <v>70.400000000000006</v>
    <v>73.77</v>
    <v>71.62</v>
    <v>71.69</v>
    <v>72.209999999999994</v>
    <v>70.709999999999994</v>
    <v>70.06</v>
    <v>70.38</v>
    <v>68.61</v>
    <v>69.55</v>
    <v>68.849999999999994</v>
    <v>72.849999999999994</v>
    <v>73.25</v>
    <v>70.91</v>
    <v>71.64</v>
    <v>71.430000000000007</v>
    <v>69.67</v>
    <v>73.849999999999994</v>
    <v>72.25</v>
    <v>76.2</v>
    <v>75.5</v>
    <v>72.16</v>
    <v>72.66</v>
    <v>74.430000000000007</v>
    <v>72.42</v>
    <v>74.33</v>
    <v>73.599999999999994</v>
    <v>74.349999999999994</v>
    <v>74.540000000000006</v>
    <v>74.260000000000005</v>
    <v>72.08</v>
    <v>72.67</v>
    <v>74.040000000000006</v>
    <v>72.459999999999994</v>
    <v>72.17</v>
    <v>71.55</v>
    <v>70.33</v>
    <v>68.91</v>
    <v>65.94</v>
    <v>68.180000000000007</v>
    <v>70.739999999999995</v>
    <v>71.2</v>
    <v>70.37</v>
    <v>70.36</v>
    <v>71.61</v>
    <v>71.989999999999995</v>
    <v>68.180000000000007</v>
    <v>70.47</v>
    <v>75.02</v>
    <v>78.03</v>
    <v>78.540000000000006</v>
    <v>75.36</v>
    <v>75.88</v>
    <v>75.95</v>
    <v>74.989999999999995</v>
    <v>74.66</v>
    <v>78.040000000000006</v>
    <v>78.55</v>
    <v>78.8</v>
    <v>79.290000000000006</v>
    <v>80.349999999999994</v>
    <v>78.489999999999995</v>
    <v>76.95</v>
    <v>78.819999999999993</v>
    <v>75.650000000000006</v>
    <v>75.239999999999995</v>
    <v>76.45</v>
    <v>75.959999999999994</v>
    <v>75.760000000000005</v>
    <v>73.13</v>
    <v>71.08</v>
    <v>72.56</v>
    <v>71.67</v>
    <v>72.63</v>
    <v>71.430000000000007</v>
    <v>70.97</v>
    <v>70.87</v>
    <v>70.5</v>
    <v>70.84</v>
    <v>69.89</v>
    <v>69.42</v>
    <v>69.22</v>
    <v>69.62</v>
    <v>68.16</v>
    <v>69.36</v>
    <v>68.510000000000005</v>
    <v>67.88</v>
    <v>68.11</v>
    <v>69.48</v>
    <v>69.08</v>
    <v>68.45</v>
    <v>70.239999999999995</v>
    <v>71.510000000000005</v>
    <v>71.5</v>
    <v>71.319999999999993</v>
    <v>69.290000000000006</v>
    <v>71.27</v>
    <v>70.349999999999994</v>
    <v>69.959999999999994</v>
    <v>68.94</v>
    <v>67.62</v>
    <v>69.069999999999993</v>
    <v>66.7</v>
  </a>
  <a r="1" c="254">
    <v>38.81</v>
    <v>38.340000000000003</v>
    <v>36.594999999999999</v>
    <v>36.844999999999999</v>
    <v>37.79</v>
    <v>38.5</v>
    <v>38.46</v>
    <v>38.369999999999997</v>
    <v>37.94</v>
    <v>38.26</v>
    <v>37.914999999999999</v>
    <v>38.265000000000001</v>
    <v>39.575000000000003</v>
    <v>39.89</v>
    <v>41.85</v>
    <v>41.65</v>
    <v>40.369999999999997</v>
    <v>40.01</v>
    <v>39.950000000000003</v>
    <v>40.405000000000001</v>
    <v>40.19</v>
    <v>39.549999999999997</v>
    <v>39.994999999999997</v>
    <v>40.270000000000003</v>
    <v>41.63</v>
    <v>41.91</v>
    <v>43.81</v>
    <v>45.835000000000001</v>
    <v>45.26</v>
    <v>45.954999999999998</v>
    <v>44.7</v>
    <v>45.844999999999999</v>
    <v>45.57</v>
    <v>47.354999999999997</v>
    <v>47.64</v>
    <v>49.29</v>
    <v>47.884999999999998</v>
    <v>49.094999999999999</v>
    <v>49.15</v>
    <v>51.11</v>
    <v>51.24</v>
    <v>52.15</v>
    <v>53.08</v>
    <v>54.41</v>
    <v>55.5</v>
    <v>59.11</v>
    <v>55.72</v>
    <v>60.04</v>
    <v>63.03</v>
    <v>61.1</v>
    <v>59.53</v>
    <v>62.85</v>
    <v>67.33</v>
    <v>69.42</v>
    <v>71.66</v>
    <v>71.95</v>
    <v>69.819999999999993</v>
    <v>73.599999999999994</v>
    <v>73.31</v>
    <v>72.989999999999995</v>
    <v>74.11</v>
    <v>78.09</v>
    <v>86.83</v>
    <v>82.49</v>
    <v>86.98</v>
    <v>86.46</v>
    <v>72.28</v>
    <v>60.13</v>
    <v>68.36</v>
    <v>66.739999999999995</v>
    <v>58.93</v>
    <v>58.42</v>
    <v>63.72</v>
    <v>61.59</v>
    <v>64.06</v>
    <v>59.5</v>
    <v>60.05</v>
    <v>58.89</v>
    <v>56.78</v>
    <v>60.23</v>
    <v>60.61</v>
    <v>63.72</v>
    <v>67.430000000000007</v>
    <v>67.650000000000006</v>
    <v>70.05</v>
    <v>67.38</v>
    <v>71.900000000000006</v>
    <v>68.31</v>
    <v>65.39</v>
    <v>65.5</v>
    <v>64.25</v>
    <v>66.37</v>
    <v>66.58</v>
    <v>70.11</v>
    <v>66.900000000000006</v>
    <v>67.459999999999994</v>
    <v>63.92</v>
    <v>63.21</v>
    <v>62.84</v>
    <v>61.04</v>
    <v>55.64</v>
    <v>55.12</v>
    <v>53.96</v>
    <v>54.91</v>
    <v>57.26</v>
    <v>53.42</v>
    <v>55.73</v>
    <v>56.54</v>
    <v>58.27</v>
    <v>59.38</v>
    <v>56.95</v>
    <v>56.04</v>
    <v>58.84</v>
    <v>58.92</v>
    <v>59.35</v>
    <v>57.61</v>
    <v>60.97</v>
    <v>61.12</v>
    <v>60.89</v>
    <v>63.54</v>
    <v>61.63</v>
    <v>59.7</v>
    <v>60.43</v>
    <v>59.29</v>
    <v>58.89</v>
    <v>58.48</v>
    <v>56.62</v>
    <v>55.82</v>
    <v>56.93</v>
    <v>57</v>
    <v>57.31</v>
    <v>59.9</v>
    <v>62.84</v>
    <v>62</v>
    <v>66.14</v>
    <v>65.180000000000007</v>
    <v>68.8</v>
    <v>66.459999999999994</v>
    <v>59.9</v>
    <v>59.89</v>
    <v>58.31</v>
    <v>59.35</v>
    <v>59.16</v>
    <v>59.53</v>
    <v>60.91</v>
    <v>59.6</v>
    <v>58.37</v>
    <v>58.49</v>
    <v>59.17</v>
    <v>58.8</v>
    <v>59.44</v>
    <v>57.6</v>
    <v>57.77</v>
    <v>54.19</v>
    <v>54.09</v>
    <v>51.63</v>
    <v>51.02</v>
    <v>50.53</v>
    <v>53.2</v>
    <v>55.5</v>
    <v>54.9</v>
    <v>55.47</v>
    <v>52.43</v>
    <v>51.27</v>
    <v>52.37</v>
    <v>49.66</v>
    <v>47.305</v>
    <v>46.585000000000001</v>
    <v>47.26</v>
    <v>46.094999999999999</v>
    <v>47.64</v>
    <v>48.115000000000002</v>
    <v>48.704999999999998</v>
    <v>49.53</v>
    <v>49.3</v>
    <v>48.36</v>
    <v>45.805</v>
    <v>48</v>
    <v>47.6</v>
    <v>46.384999999999998</v>
    <v>47.07</v>
    <v>45.914999999999999</v>
    <v>44.914999999999999</v>
    <v>44.484999999999999</v>
    <v>45.494999999999997</v>
    <v>47.125</v>
    <v>48.034999999999997</v>
    <v>46.015000000000001</v>
    <v>47.015000000000001</v>
    <v>46.884999999999998</v>
    <v>45.66</v>
    <v>45.58</v>
    <v>46.14</v>
    <v>45.3</v>
    <v>45.26</v>
    <v>46.91</v>
    <v>49.174999999999997</v>
    <v>48.445</v>
    <v>50.03</v>
    <v>50.91</v>
    <v>51</v>
    <v>51.87</v>
    <v>50.93</v>
    <v>51.13</v>
    <v>52.12</v>
    <v>50.06</v>
    <v>51.12</v>
    <v>53.39</v>
    <v>54.11</v>
    <v>53.83</v>
    <v>53.26</v>
    <v>53.02</v>
    <v>53.62</v>
    <v>54.17</v>
    <v>51.89</v>
    <v>50.99</v>
    <v>51.03</v>
    <v>52.65</v>
    <v>51.72</v>
    <v>51.85</v>
    <v>51.95</v>
    <v>52.51</v>
    <v>50.39</v>
    <v>50.52</v>
    <v>49.884999999999998</v>
    <v>49.825000000000003</v>
    <v>50.83</v>
    <v>52.07</v>
    <v>52.57</v>
    <v>52.46</v>
    <v>52.38</v>
    <v>51.53</v>
    <v>50.52</v>
    <v>51.21</v>
    <v>48.8</v>
    <v>48.835000000000001</v>
    <v>48.225000000000001</v>
    <v>48.89</v>
    <v>48.564999999999998</v>
    <v>49.56</v>
    <v>49.515000000000001</v>
    <v>48.55</v>
    <v>47.835000000000001</v>
    <v>49.44</v>
    <v>49.085000000000001</v>
    <v>48.2</v>
    <v>45.825000000000003</v>
    <v>46.3</v>
    <v>46.384999999999998</v>
    <v>46.424999999999997</v>
    <v>46.71</v>
    <v>46.67</v>
    <v>44.79</v>
    <v>43.96</v>
  </a>
  <a r="1" c="761">
    <v>20.03</v>
    <v>19.916</v>
    <v>19.809999999999999</v>
    <v>19.850000000000001</v>
    <v>19.768000000000001</v>
    <v>20.315000000000001</v>
    <v>20.035</v>
    <v>19.838000000000001</v>
    <v>19.738</v>
    <v>19.885999999999999</v>
    <v>19.757999999999999</v>
    <v>19.457999999999998</v>
    <v>19.600000000000001</v>
    <v>19.751999999999999</v>
    <v>19.283999999999999</v>
    <v>19.123999999999999</v>
    <v>19.63</v>
    <v>19.885999999999999</v>
    <v>20.285</v>
    <v>20.079999999999998</v>
    <v>19.794</v>
    <v>20.12</v>
    <v>20.024999999999999</v>
    <v>20.05</v>
    <v>20.43</v>
    <v>20.73</v>
    <v>20.91</v>
    <v>20.965</v>
    <v>21.305</v>
    <v>21.47</v>
    <v>20.83</v>
    <v>20.55</v>
    <v>20.515000000000001</v>
    <v>20.285</v>
    <v>19.852</v>
    <v>19.577999999999999</v>
    <v>19.420000000000002</v>
    <v>19.3</v>
    <v>20.28</v>
    <v>20.305</v>
    <v>20.065000000000001</v>
    <v>20.3</v>
    <v>20.454999999999998</v>
    <v>20.445</v>
    <v>20.355</v>
    <v>20.204999999999998</v>
    <v>20.11</v>
    <v>19.905999999999999</v>
    <v>20.04</v>
    <v>19.402000000000001</v>
    <v>19.326000000000001</v>
    <v>19.562000000000001</v>
    <v>19.446000000000002</v>
    <v>19.423999999999999</v>
    <v>19.212</v>
    <v>18.98</v>
    <v>19.617999999999999</v>
    <v>19.556000000000001</v>
    <v>19.437999999999999</v>
    <v>19.175999999999998</v>
    <v>19.22</v>
    <v>19.065999999999999</v>
    <v>18.724</v>
    <v>18.972000000000001</v>
    <v>19.190000000000001</v>
    <v>19.309999999999999</v>
    <v>19.29</v>
    <v>19.652000000000001</v>
    <v>19.574000000000002</v>
    <v>19.655999999999999</v>
    <v>19.672000000000001</v>
    <v>19.286000000000001</v>
    <v>19.149999999999999</v>
    <v>19.224</v>
    <v>19.161999999999999</v>
    <v>19.224</v>
    <v>19.143999999999998</v>
    <v>19.352</v>
    <v>19.010000000000002</v>
    <v>19.224</v>
    <v>19.542000000000002</v>
    <v>19.89</v>
    <v>19.658000000000001</v>
    <v>19.597999999999999</v>
    <v>19.468</v>
    <v>19.37</v>
    <v>19.423999999999999</v>
    <v>19.09</v>
    <v>19.082000000000001</v>
    <v>19.036000000000001</v>
    <v>19.225999999999999</v>
    <v>19.661999999999999</v>
    <v>20.13</v>
    <v>20.149999999999999</v>
    <v>20.38</v>
    <v>20.574999999999999</v>
    <v>20.414999999999999</v>
    <v>20.61</v>
    <v>20.395</v>
    <v>20.96</v>
    <v>20.975000000000001</v>
    <v>21.475000000000001</v>
    <v>21.215</v>
    <v>21.12</v>
    <v>21.1</v>
    <v>20.975000000000001</v>
    <v>21.03</v>
    <v>21.004999999999999</v>
    <v>20.785</v>
    <v>20.905000000000001</v>
    <v>21.145</v>
    <v>21.97</v>
    <v>22.695</v>
    <v>22.98</v>
    <v>23.245000000000001</v>
    <v>23.545000000000002</v>
    <v>23.565000000000001</v>
    <v>24.055</v>
    <v>23.934999999999999</v>
    <v>25</v>
    <v>24.75</v>
    <v>24.45</v>
    <v>24.72</v>
    <v>24.524999999999999</v>
    <v>24.655000000000001</v>
    <v>23.515000000000001</v>
    <v>23.395</v>
    <v>23.49</v>
    <v>23.465</v>
    <v>23.38</v>
    <v>23.375</v>
    <v>22.75</v>
    <v>22.885000000000002</v>
    <v>22.48</v>
    <v>23.315000000000001</v>
    <v>23.34</v>
    <v>23.48</v>
    <v>24.01</v>
    <v>24.09</v>
    <v>23.934999999999999</v>
    <v>24.215</v>
    <v>24.785</v>
    <v>25.07</v>
    <v>25.92</v>
    <v>27.035</v>
    <v>27.215</v>
    <v>26.59</v>
    <v>25.9</v>
    <v>25.765000000000001</v>
    <v>26.8</v>
    <v>26.954999999999998</v>
    <v>27.234999999999999</v>
    <v>26.61</v>
    <v>25.68</v>
    <v>25.75</v>
    <v>24.984999999999999</v>
    <v>25.29</v>
    <v>26.29</v>
    <v>24.98</v>
    <v>25.35</v>
    <v>24.92</v>
    <v>25.41</v>
    <v>24.76</v>
    <v>25.015000000000001</v>
    <v>25.114999999999998</v>
    <v>25.09</v>
    <v>25.324999999999999</v>
    <v>26.17</v>
    <v>25.515000000000001</v>
    <v>25.34</v>
    <v>24.934999999999999</v>
    <v>24.87</v>
    <v>24.92</v>
    <v>25.094999999999999</v>
    <v>25.09</v>
    <v>25.355</v>
    <v>25.965</v>
    <v>25.824999999999999</v>
    <v>26.48</v>
    <v>26.26</v>
    <v>25.995000000000001</v>
    <v>26.225000000000001</v>
    <v>26.76</v>
    <v>26.07</v>
    <v>26.02</v>
    <v>26.43</v>
    <v>25.495000000000001</v>
    <v>25.364999999999998</v>
    <v>24.655000000000001</v>
    <v>24.42</v>
    <v>24.614999999999998</v>
    <v>24.88</v>
    <v>23.594999999999999</v>
    <v>23.515000000000001</v>
    <v>23.315000000000001</v>
    <v>23.754999999999999</v>
    <v>24.4</v>
    <v>24.39</v>
    <v>23.774999999999999</v>
    <v>22.93</v>
    <v>22.734999999999999</v>
    <v>22.684999999999999</v>
    <v>23.1</v>
    <v>23.06</v>
    <v>23.37</v>
    <v>23.164999999999999</v>
    <v>22.875</v>
    <v>23.69</v>
    <v>24.445</v>
    <v>24.41</v>
    <v>24.38</v>
    <v>23.925000000000001</v>
    <v>24.495000000000001</v>
    <v>24.51</v>
    <v>24.61</v>
    <v>24.23</v>
    <v>24.45</v>
    <v>23.99</v>
    <v>23.68</v>
    <v>23.225000000000001</v>
    <v>23.375</v>
    <v>23.875</v>
    <v>23.645</v>
    <v>23.385000000000002</v>
    <v>23.61</v>
    <v>23.74</v>
    <v>24.664999999999999</v>
    <v>25.41</v>
    <v>25.385000000000002</v>
    <v>25.364999999999998</v>
    <v>25.155000000000001</v>
    <v>25.454999999999998</v>
    <v>25.545000000000002</v>
    <v>25.46</v>
    <v>25.97</v>
    <v>26.24</v>
    <v>26.454999999999998</v>
    <v>26.125</v>
    <v>25.664999999999999</v>
    <v>26.27</v>
    <v>26.31</v>
    <v>26.574999999999999</v>
    <v>27.094999999999999</v>
    <v>26.515000000000001</v>
    <v>25.295000000000002</v>
    <v>25.63</v>
    <v>25.94</v>
    <v>26.445</v>
    <v>26.11</v>
    <v>26.605</v>
    <v>26.835000000000001</v>
    <v>26.87</v>
    <v>27.55</v>
    <v>28.61</v>
    <v>29.41</v>
    <v>28.664999999999999</v>
    <v>28.55</v>
    <v>28.76</v>
    <v>28.695</v>
    <v>29.13</v>
    <v>28.64</v>
    <v>27.614999999999998</v>
    <v>27.585000000000001</v>
    <v>27.39</v>
    <v>27.48</v>
    <v>26.645</v>
    <v>26.98</v>
    <v>26.88</v>
    <v>26.26</v>
    <v>26.484999999999999</v>
    <v>26.515000000000001</v>
    <v>26.434999999999999</v>
    <v>26.395</v>
    <v>27.085000000000001</v>
    <v>26.98</v>
    <v>27.114999999999998</v>
    <v>26.97</v>
    <v>27.5</v>
    <v>26.42</v>
    <v>26.614999999999998</v>
    <v>26.184999999999999</v>
    <v>26.33</v>
    <v>26.68</v>
    <v>26.66</v>
    <v>27.02</v>
    <v>27.35</v>
    <v>27.105</v>
    <v>27.09</v>
    <v>27.79</v>
    <v>27.824999999999999</v>
    <v>28.13</v>
    <v>27.085000000000001</v>
    <v>26.594999999999999</v>
    <v>26.704999999999998</v>
    <v>26.57</v>
    <v>26.42</v>
    <v>25.524999999999999</v>
    <v>25.905000000000001</v>
    <v>26.105</v>
    <v>25.925000000000001</v>
    <v>25.45</v>
    <v>26.37</v>
    <v>26.49</v>
    <v>26.58</v>
    <v>26.67</v>
    <v>26.844999999999999</v>
    <v>26.9</v>
    <v>27.3</v>
    <v>26.69</v>
    <v>26.704999999999998</v>
    <v>27.09</v>
    <v>27.395</v>
    <v>27.05</v>
    <v>26.895</v>
    <v>27.08</v>
    <v>27.045000000000002</v>
    <v>26.72</v>
    <v>26.815000000000001</v>
    <v>26.375</v>
    <v>26.655000000000001</v>
    <v>27.114999999999998</v>
    <v>27.85</v>
    <v>27.725000000000001</v>
    <v>28.164999999999999</v>
    <v>28.48</v>
    <v>28.52</v>
    <v>28.434999999999999</v>
    <v>28.574999999999999</v>
    <v>28.524999999999999</v>
    <v>28.28</v>
    <v>28.434999999999999</v>
    <v>28.274999999999999</v>
    <v>28.34</v>
    <v>28.25</v>
    <v>28.74</v>
    <v>28.74</v>
    <v>28.885000000000002</v>
    <v>28.645</v>
    <v>28.28</v>
    <v>27.344999999999999</v>
    <v>27.78</v>
    <v>27.62</v>
    <v>27.31</v>
    <v>27.704999999999998</v>
    <v>27.52</v>
    <v>27.66</v>
    <v>27.745000000000001</v>
    <v>27.234999999999999</v>
    <v>27.225000000000001</v>
    <v>27.465</v>
    <v>27.885000000000002</v>
    <v>28.54</v>
    <v>28.344999999999999</v>
    <v>28.29</v>
    <v>28.56</v>
    <v>28.29</v>
    <v>28.18</v>
    <v>27.94</v>
    <v>28.035</v>
    <v>28.51</v>
    <v>28.594999999999999</v>
    <v>29.125</v>
    <v>28.8</v>
    <v>28.785</v>
    <v>28.73</v>
    <v>28.675000000000001</v>
    <v>26.535</v>
    <v>24.96</v>
    <v>25.04</v>
    <v>25.3</v>
    <v>25.215</v>
    <v>25.46</v>
    <v>25.945</v>
    <v>25.875</v>
    <v>26.145</v>
    <v>26.5</v>
    <v>25.93</v>
    <v>26.24</v>
    <v>26.9</v>
    <v>26.89</v>
    <v>26.524999999999999</v>
    <v>26.614999999999998</v>
    <v>26.59</v>
    <v>26.43</v>
    <v>25.844999999999999</v>
    <v>26.12</v>
    <v>26.774999999999999</v>
    <v>26.29</v>
    <v>26.504999999999999</v>
    <v>26.53</v>
    <v>26.844999999999999</v>
    <v>26.94</v>
    <v>26.35</v>
    <v>26.57</v>
    <v>26.315000000000001</v>
    <v>26.33</v>
    <v>26.72</v>
    <v>27.01</v>
    <v>26.74</v>
    <v>26.9</v>
    <v>26.815000000000001</v>
    <v>26.684999999999999</v>
    <v>26.754999999999999</v>
    <v>26.765000000000001</v>
    <v>26.594999999999999</v>
    <v>27.565000000000001</v>
    <v>27.73</v>
    <v>27.555</v>
    <v>28.504999999999999</v>
    <v>28.93</v>
    <v>29.35</v>
    <v>29.184999999999999</v>
    <v>28.9</v>
    <v>28.67</v>
    <v>28.664999999999999</v>
    <v>28.76</v>
    <v>29.52</v>
    <v>29.28</v>
    <v>28.99</v>
    <v>28.535</v>
    <v>28.79</v>
    <v>28.085000000000001</v>
    <v>28.33</v>
    <v>28.605</v>
    <v>28.2</v>
    <v>28</v>
    <v>28.09</v>
    <v>28.305</v>
    <v>28.6</v>
    <v>28.63</v>
    <v>28.52</v>
    <v>28.46</v>
    <v>28.434999999999999</v>
    <v>28.86</v>
    <v>29.97</v>
    <v>29.99</v>
    <v>29.655000000000001</v>
    <v>29.684999999999999</v>
    <v>29.99</v>
    <v>29.995000000000001</v>
    <v>30.42</v>
    <v>30.55</v>
    <v>30.83</v>
    <v>30.31</v>
    <v>29.695</v>
    <v>30</v>
    <v>30.135000000000002</v>
    <v>29.885000000000002</v>
    <v>29.24</v>
    <v>29.285</v>
    <v>29.49</v>
    <v>29.86</v>
    <v>29.72</v>
    <v>29.98</v>
    <v>30.07</v>
    <v>29.745000000000001</v>
    <v>29.73</v>
    <v>29.975000000000001</v>
    <v>29.83</v>
    <v>29.82</v>
    <v>29.355</v>
    <v>29.594999999999999</v>
    <v>30.01</v>
    <v>30.41</v>
    <v>30.39</v>
    <v>30.22</v>
    <v>30.274999999999999</v>
    <v>30.43</v>
    <v>30.76</v>
    <v>31.805</v>
    <v>32.015000000000001</v>
    <v>32.270000000000003</v>
    <v>31.954999999999998</v>
    <v>31.864999999999998</v>
    <v>32.130000000000003</v>
    <v>31.89</v>
    <v>32.085000000000001</v>
    <v>32.270000000000003</v>
    <v>32.905000000000001</v>
    <v>32.965000000000003</v>
    <v>32.695</v>
    <v>32.435000000000002</v>
    <v>32.35</v>
    <v>33.234999999999999</v>
    <v>34.005000000000003</v>
    <v>34.314999999999998</v>
    <v>34.244999999999997</v>
    <v>35.04</v>
    <v>35.880000000000003</v>
    <v>36.534999999999997</v>
    <v>36.06</v>
    <v>36.844999999999999</v>
    <v>36.005000000000003</v>
    <v>37.615000000000002</v>
    <v>37.905000000000001</v>
    <v>37.625</v>
    <v>38.82</v>
    <v>39.81</v>
    <v>39.234999999999999</v>
    <v>40.659999999999997</v>
    <v>40.71</v>
    <v>41.24</v>
    <v>42.204999999999998</v>
    <v>40.81</v>
    <v>41.064999999999998</v>
    <v>38.284999999999997</v>
    <v>37.825000000000003</v>
    <v>38.81</v>
    <v>38.340000000000003</v>
    <v>36.594999999999999</v>
    <v>36.844999999999999</v>
    <v>37.79</v>
    <v>38.5</v>
    <v>38.46</v>
    <v>38.369999999999997</v>
    <v>37.94</v>
    <v>38.26</v>
    <v>37.914999999999999</v>
    <v>38.265000000000001</v>
    <v>39.575000000000003</v>
    <v>39.89</v>
    <v>41.85</v>
    <v>41.65</v>
    <v>40.369999999999997</v>
    <v>40.01</v>
    <v>39.950000000000003</v>
    <v>40.405000000000001</v>
    <v>40.19</v>
    <v>39.549999999999997</v>
    <v>39.994999999999997</v>
    <v>40.270000000000003</v>
    <v>41.63</v>
    <v>41.91</v>
    <v>43.81</v>
    <v>45.835000000000001</v>
    <v>45.26</v>
    <v>45.954999999999998</v>
    <v>44.7</v>
    <v>45.844999999999999</v>
    <v>45.57</v>
    <v>47.354999999999997</v>
    <v>47.64</v>
    <v>49.29</v>
    <v>47.884999999999998</v>
    <v>49.094999999999999</v>
    <v>49.15</v>
    <v>51.11</v>
    <v>51.24</v>
    <v>52.15</v>
    <v>53.08</v>
    <v>54.41</v>
    <v>55.5</v>
    <v>59.11</v>
    <v>55.72</v>
    <v>60.04</v>
    <v>63.03</v>
    <v>61.1</v>
    <v>59.53</v>
    <v>62.85</v>
    <v>67.33</v>
    <v>69.42</v>
    <v>71.66</v>
    <v>71.95</v>
    <v>69.819999999999993</v>
    <v>73.599999999999994</v>
    <v>73.31</v>
    <v>72.989999999999995</v>
    <v>74.11</v>
    <v>78.09</v>
    <v>86.83</v>
    <v>82.49</v>
    <v>86.98</v>
    <v>86.46</v>
    <v>72.28</v>
    <v>60.13</v>
    <v>68.36</v>
    <v>66.739999999999995</v>
    <v>58.93</v>
    <v>58.42</v>
    <v>63.72</v>
    <v>61.59</v>
    <v>64.06</v>
    <v>59.5</v>
    <v>60.05</v>
    <v>58.89</v>
    <v>56.78</v>
    <v>60.23</v>
    <v>60.61</v>
    <v>63.72</v>
    <v>67.430000000000007</v>
    <v>67.650000000000006</v>
    <v>70.05</v>
    <v>67.38</v>
    <v>71.900000000000006</v>
    <v>68.31</v>
    <v>65.39</v>
    <v>65.5</v>
    <v>64.25</v>
    <v>66.37</v>
    <v>66.58</v>
    <v>70.11</v>
    <v>66.900000000000006</v>
    <v>67.459999999999994</v>
    <v>63.92</v>
    <v>63.21</v>
    <v>62.84</v>
    <v>61.04</v>
    <v>55.64</v>
    <v>55.12</v>
    <v>53.96</v>
    <v>54.91</v>
    <v>57.26</v>
    <v>53.42</v>
    <v>55.73</v>
    <v>56.54</v>
    <v>58.27</v>
    <v>59.38</v>
    <v>56.95</v>
    <v>56.04</v>
    <v>58.84</v>
    <v>58.92</v>
    <v>59.35</v>
    <v>57.61</v>
    <v>60.97</v>
    <v>61.12</v>
    <v>60.89</v>
    <v>63.54</v>
    <v>61.63</v>
    <v>59.7</v>
    <v>60.43</v>
    <v>59.29</v>
    <v>58.89</v>
    <v>58.48</v>
    <v>56.62</v>
    <v>55.82</v>
    <v>56.93</v>
    <v>57</v>
    <v>57.31</v>
    <v>59.9</v>
    <v>62.84</v>
    <v>62</v>
    <v>66.14</v>
    <v>65.180000000000007</v>
    <v>68.8</v>
    <v>66.459999999999994</v>
    <v>59.9</v>
    <v>59.89</v>
    <v>58.31</v>
    <v>59.35</v>
    <v>59.16</v>
    <v>59.53</v>
    <v>60.91</v>
    <v>59.6</v>
    <v>58.37</v>
    <v>58.49</v>
    <v>59.17</v>
    <v>58.8</v>
    <v>59.44</v>
    <v>57.6</v>
    <v>57.77</v>
    <v>54.19</v>
    <v>54.09</v>
    <v>51.63</v>
    <v>51.02</v>
    <v>50.53</v>
    <v>53.2</v>
    <v>55.5</v>
    <v>54.9</v>
    <v>55.47</v>
    <v>52.43</v>
    <v>51.27</v>
    <v>52.37</v>
    <v>49.66</v>
    <v>47.305</v>
    <v>46.585000000000001</v>
    <v>47.26</v>
    <v>46.094999999999999</v>
    <v>47.64</v>
    <v>48.115000000000002</v>
    <v>48.704999999999998</v>
    <v>49.53</v>
    <v>49.3</v>
    <v>48.36</v>
    <v>45.805</v>
    <v>48</v>
    <v>47.6</v>
    <v>46.384999999999998</v>
    <v>47.07</v>
    <v>45.914999999999999</v>
    <v>44.914999999999999</v>
    <v>44.484999999999999</v>
    <v>45.494999999999997</v>
    <v>47.125</v>
    <v>48.034999999999997</v>
    <v>46.015000000000001</v>
    <v>47.015000000000001</v>
    <v>46.884999999999998</v>
    <v>45.66</v>
    <v>45.58</v>
    <v>46.14</v>
    <v>45.3</v>
    <v>45.26</v>
    <v>46.91</v>
    <v>49.174999999999997</v>
    <v>48.445</v>
    <v>50.03</v>
    <v>50.91</v>
    <v>51</v>
    <v>51.87</v>
    <v>50.93</v>
    <v>51.13</v>
    <v>52.12</v>
    <v>50.06</v>
    <v>51.12</v>
    <v>53.39</v>
    <v>54.11</v>
    <v>53.83</v>
    <v>53.26</v>
    <v>53.02</v>
    <v>53.62</v>
    <v>54.17</v>
    <v>51.89</v>
    <v>50.99</v>
    <v>51.03</v>
    <v>52.65</v>
    <v>51.72</v>
    <v>51.85</v>
    <v>51.95</v>
    <v>52.51</v>
    <v>50.39</v>
    <v>50.52</v>
    <v>49.884999999999998</v>
    <v>49.825000000000003</v>
    <v>50.83</v>
    <v>52.07</v>
    <v>52.57</v>
    <v>52.46</v>
    <v>52.38</v>
    <v>51.53</v>
    <v>50.52</v>
    <v>51.21</v>
    <v>48.8</v>
    <v>48.835000000000001</v>
    <v>48.225000000000001</v>
    <v>48.89</v>
    <v>48.564999999999998</v>
    <v>49.56</v>
    <v>49.515000000000001</v>
    <v>48.55</v>
    <v>47.835000000000001</v>
    <v>49.44</v>
    <v>49.085000000000001</v>
    <v>48.2</v>
    <v>45.825000000000003</v>
    <v>46.3</v>
    <v>46.384999999999998</v>
    <v>46.424999999999997</v>
    <v>46.71</v>
    <v>46.67</v>
    <v>44.79</v>
    <v>43.96</v>
  </a>
  <a r="1" c="208">
    <v>55.72</v>
    <v>60.04</v>
    <v>63.03</v>
    <v>61.1</v>
    <v>59.53</v>
    <v>62.85</v>
    <v>67.33</v>
    <v>69.42</v>
    <v>71.66</v>
    <v>71.95</v>
    <v>69.819999999999993</v>
    <v>73.599999999999994</v>
    <v>73.31</v>
    <v>72.989999999999995</v>
    <v>74.11</v>
    <v>78.09</v>
    <v>86.83</v>
    <v>82.49</v>
    <v>86.98</v>
    <v>86.46</v>
    <v>72.28</v>
    <v>60.13</v>
    <v>68.36</v>
    <v>66.739999999999995</v>
    <v>58.93</v>
    <v>58.42</v>
    <v>63.72</v>
    <v>61.59</v>
    <v>64.06</v>
    <v>59.5</v>
    <v>60.05</v>
    <v>58.89</v>
    <v>56.78</v>
    <v>60.23</v>
    <v>60.61</v>
    <v>63.72</v>
    <v>67.430000000000007</v>
    <v>67.650000000000006</v>
    <v>70.05</v>
    <v>67.38</v>
    <v>71.900000000000006</v>
    <v>68.31</v>
    <v>65.39</v>
    <v>65.5</v>
    <v>64.25</v>
    <v>66.37</v>
    <v>66.58</v>
    <v>70.11</v>
    <v>66.900000000000006</v>
    <v>67.459999999999994</v>
    <v>63.92</v>
    <v>63.21</v>
    <v>62.84</v>
    <v>61.04</v>
    <v>55.64</v>
    <v>55.12</v>
    <v>53.96</v>
    <v>54.91</v>
    <v>57.26</v>
    <v>53.42</v>
    <v>55.73</v>
    <v>56.54</v>
    <v>58.27</v>
    <v>59.38</v>
    <v>56.95</v>
    <v>56.04</v>
    <v>58.84</v>
    <v>58.92</v>
    <v>59.35</v>
    <v>57.61</v>
    <v>60.97</v>
    <v>61.12</v>
    <v>60.89</v>
    <v>63.54</v>
    <v>61.63</v>
    <v>59.7</v>
    <v>60.43</v>
    <v>59.29</v>
    <v>58.89</v>
    <v>58.48</v>
    <v>56.62</v>
    <v>55.82</v>
    <v>56.93</v>
    <v>57</v>
    <v>57.31</v>
    <v>59.9</v>
    <v>62.84</v>
    <v>62</v>
    <v>66.14</v>
    <v>65.180000000000007</v>
    <v>68.8</v>
    <v>66.459999999999994</v>
    <v>59.9</v>
    <v>59.89</v>
    <v>58.31</v>
    <v>59.35</v>
    <v>59.16</v>
    <v>59.53</v>
    <v>60.91</v>
    <v>59.6</v>
    <v>58.37</v>
    <v>58.49</v>
    <v>59.17</v>
    <v>58.8</v>
    <v>59.44</v>
    <v>57.6</v>
    <v>57.77</v>
    <v>54.19</v>
    <v>54.09</v>
    <v>51.63</v>
    <v>51.02</v>
    <v>50.53</v>
    <v>53.2</v>
    <v>55.5</v>
    <v>54.9</v>
    <v>55.47</v>
    <v>52.43</v>
    <v>51.27</v>
    <v>52.37</v>
    <v>49.66</v>
    <v>47.305</v>
    <v>46.585000000000001</v>
    <v>47.26</v>
    <v>46.094999999999999</v>
    <v>47.64</v>
    <v>48.115000000000002</v>
    <v>48.704999999999998</v>
    <v>49.53</v>
    <v>49.3</v>
    <v>48.36</v>
    <v>45.805</v>
    <v>48</v>
    <v>47.6</v>
    <v>46.384999999999998</v>
    <v>47.07</v>
    <v>45.914999999999999</v>
    <v>44.914999999999999</v>
    <v>44.484999999999999</v>
    <v>45.494999999999997</v>
    <v>47.125</v>
    <v>48.034999999999997</v>
    <v>46.015000000000001</v>
    <v>47.015000000000001</v>
    <v>46.884999999999998</v>
    <v>45.66</v>
    <v>45.58</v>
    <v>46.14</v>
    <v>45.3</v>
    <v>45.26</v>
    <v>46.91</v>
    <v>49.174999999999997</v>
    <v>48.445</v>
    <v>50.03</v>
    <v>50.91</v>
    <v>51</v>
    <v>51.87</v>
    <v>50.93</v>
    <v>51.13</v>
    <v>52.12</v>
    <v>50.06</v>
    <v>51.12</v>
    <v>53.39</v>
    <v>54.11</v>
    <v>53.83</v>
    <v>53.26</v>
    <v>53.02</v>
    <v>53.62</v>
    <v>54.17</v>
    <v>51.89</v>
    <v>50.99</v>
    <v>51.03</v>
    <v>52.65</v>
    <v>51.72</v>
    <v>51.85</v>
    <v>51.95</v>
    <v>52.51</v>
    <v>50.39</v>
    <v>50.52</v>
    <v>49.884999999999998</v>
    <v>49.825000000000003</v>
    <v>50.83</v>
    <v>52.07</v>
    <v>52.57</v>
    <v>52.46</v>
    <v>52.38</v>
    <v>51.53</v>
    <v>50.52</v>
    <v>51.21</v>
    <v>48.8</v>
    <v>48.835000000000001</v>
    <v>48.225000000000001</v>
    <v>48.89</v>
    <v>48.564999999999998</v>
    <v>49.56</v>
    <v>49.515000000000001</v>
    <v>48.55</v>
    <v>47.835000000000001</v>
    <v>49.44</v>
    <v>49.085000000000001</v>
    <v>48.2</v>
    <v>45.825000000000003</v>
    <v>46.3</v>
    <v>46.384999999999998</v>
    <v>46.424999999999997</v>
    <v>46.71</v>
    <v>46.67</v>
    <v>44.79</v>
    <v>43.96</v>
  </a>
  <a r="1" c="209">
    <v>234.9</v>
    <v>237.05</v>
    <v>240.95</v>
    <v>240.65</v>
    <v>244.45</v>
    <v>234.4</v>
    <v>235.45</v>
    <v>236.8</v>
    <v>238.45</v>
    <v>231</v>
    <v>234.2</v>
    <v>235.15</v>
    <v>230.1</v>
    <v>229</v>
    <v>227.65</v>
    <v>230.45</v>
    <v>231.85</v>
    <v>232.3</v>
    <v>234.95</v>
    <v>235.35</v>
    <v>241.4</v>
    <v>242.3</v>
    <v>246.6</v>
    <v>249.65</v>
    <v>247.4</v>
    <v>248.35</v>
    <v>252.9</v>
    <v>256.85000000000002</v>
    <v>257.35000000000002</v>
    <v>266.35000000000002</v>
    <v>265.39999999999998</v>
    <v>262.89999999999998</v>
    <v>257</v>
    <v>254.35</v>
    <v>261.2</v>
    <v>259.35000000000002</v>
    <v>261.89999999999998</v>
    <v>259.75</v>
    <v>262.55</v>
    <v>264.95</v>
    <v>272.89999999999998</v>
    <v>276.7</v>
    <v>267.75</v>
    <v>253.55</v>
    <v>258.05</v>
    <v>252.8</v>
    <v>249.35</v>
    <v>245.15</v>
    <v>255.05</v>
    <v>256.10000000000002</v>
    <v>254.75</v>
    <v>248</v>
    <v>248.85</v>
    <v>250.85</v>
    <v>253.35</v>
    <v>243.4</v>
    <v>237.15</v>
    <v>243.3</v>
    <v>241.8</v>
    <v>247.95</v>
    <v>238.2</v>
    <v>229.2</v>
    <v>227.55</v>
    <v>229.1</v>
    <v>239.95</v>
    <v>236.15</v>
    <v>233.25</v>
    <v>255.95</v>
    <v>256.10000000000002</v>
    <v>260.2</v>
    <v>260.3</v>
    <v>267.55</v>
    <v>266.2</v>
    <v>267.75</v>
    <v>278.64999999999998</v>
    <v>273.60000000000002</v>
    <v>272.10000000000002</v>
    <v>273.89999999999998</v>
    <v>274.85000000000002</v>
    <v>276</v>
    <v>275.10000000000002</v>
    <v>270.8</v>
    <v>271.55</v>
    <v>268.60000000000002</v>
    <v>260.55</v>
    <v>272.95</v>
    <v>282.7</v>
    <v>275.2</v>
    <v>272.60000000000002</v>
    <v>274.64999999999998</v>
    <v>265.3</v>
    <v>268.39999999999998</v>
    <v>270.95</v>
    <v>263.75</v>
    <v>260.95</v>
    <v>255.8</v>
    <v>264.60000000000002</v>
    <v>264.60000000000002</v>
    <v>269.05</v>
    <v>277.3</v>
    <v>273.2</v>
    <v>268.95</v>
    <v>267.25</v>
    <v>269.95</v>
    <v>276.2</v>
    <v>287.14999999999998</v>
    <v>283.45</v>
    <v>281.85000000000002</v>
    <v>269.05</v>
    <v>270.5</v>
    <v>263.45</v>
    <v>257.7</v>
    <v>264.3</v>
    <v>265.3</v>
    <v>270.14999999999998</v>
    <v>276.95</v>
    <v>282.75</v>
    <v>291</v>
    <v>289.25</v>
    <v>292.75</v>
    <v>279.5</v>
    <v>280.5</v>
    <v>279.55</v>
    <v>276.05</v>
    <v>278.10000000000002</v>
    <v>285.39999999999998</v>
    <v>276.64999999999998</v>
    <v>275.89999999999998</v>
    <v>280.10000000000002</v>
    <v>278.35000000000002</v>
    <v>268</v>
    <v>263.8</v>
    <v>270</v>
    <v>269.64999999999998</v>
    <v>268.55</v>
    <v>273.10000000000002</v>
    <v>270.14999999999998</v>
    <v>264.35000000000002</v>
    <v>262.45</v>
    <v>264.7</v>
    <v>268.8</v>
    <v>269</v>
    <v>265.39999999999998</v>
    <v>268.05</v>
    <v>265.60000000000002</v>
    <v>262</v>
    <v>256.8</v>
    <v>284.60000000000002</v>
    <v>289.60000000000002</v>
    <v>290.10000000000002</v>
    <v>299.25</v>
    <v>300.39999999999998</v>
    <v>300.60000000000002</v>
    <v>303.7</v>
    <v>302.25</v>
    <v>305.75</v>
    <v>311</v>
    <v>309.25</v>
    <v>306.39999999999998</v>
    <v>308.75</v>
    <v>295.10000000000002</v>
    <v>294</v>
    <v>294.3</v>
    <v>296.8</v>
    <v>291.8</v>
    <v>296.25</v>
    <v>299.2</v>
    <v>297.55</v>
    <v>301.75</v>
    <v>294.60000000000002</v>
    <v>288.2</v>
    <v>286.75</v>
    <v>287.35000000000002</v>
    <v>288</v>
    <v>295.5</v>
    <v>299.60000000000002</v>
    <v>289.7</v>
    <v>287.39999999999998</v>
    <v>291.10000000000002</v>
    <v>272.05</v>
    <v>275.3</v>
    <v>279.39999999999998</v>
    <v>287.10000000000002</v>
    <v>285.75</v>
    <v>295</v>
    <v>295</v>
    <v>293.35000000000002</v>
    <v>289.8</v>
    <v>291</v>
    <v>290.5</v>
    <v>296.35000000000002</v>
    <v>292</v>
    <v>292.60000000000002</v>
    <v>303</v>
    <v>272.8</v>
    <v>260.5</v>
    <v>254.55</v>
    <v>261.10000000000002</v>
    <v>266.39999999999998</v>
    <v>265.35000000000002</v>
    <v>264.39999999999998</v>
    <v>264.39999999999998</v>
    <v>258</v>
    <v>253.3</v>
    <v>252.6</v>
    <v>244.3</v>
    <v>249.1</v>
    <v>235.75</v>
    <v>231.4</v>
  </a>
  <a r="1" c="767">
    <v>141.0401</v>
    <v>138.5556</v>
    <v>139.1121</v>
    <v>139.15190000000001</v>
    <v>142.173</v>
    <v>141.95439999999999</v>
    <v>144.08109999999999</v>
    <v>144.31960000000001</v>
    <v>148.5532</v>
    <v>149.76570000000001</v>
    <v>148.31469999999999</v>
    <v>148.49359999999999</v>
    <v>149.96440000000001</v>
    <v>162.34719999999999</v>
    <v>159.803</v>
    <v>159.74340000000001</v>
    <v>162.9633</v>
    <v>163.44030000000001</v>
    <v>163.0428</v>
    <v>164.9907</v>
    <v>162.28749999999999</v>
    <v>162.8639</v>
    <v>164.21549999999999</v>
    <v>163.6789</v>
    <v>165.2491</v>
    <v>164.67269999999999</v>
    <v>165.01060000000001</v>
    <v>166.1634</v>
    <v>167.5746</v>
    <v>168.74719999999999</v>
    <v>167.03790000000001</v>
    <v>168.9659</v>
    <v>171.5299</v>
    <v>171.6293</v>
    <v>173.8554</v>
    <v>175.46530000000001</v>
    <v>175.86279999999999</v>
    <v>175.46530000000001</v>
    <v>177.89019999999999</v>
    <v>180.01689999999999</v>
    <v>179.89769999999999</v>
    <v>179.32130000000001</v>
    <v>179.89769999999999</v>
    <v>179.32130000000001</v>
    <v>179.83799999999999</v>
    <v>180.7722</v>
    <v>180.23560000000001</v>
    <v>180.65299999999999</v>
    <v>177.77090000000001</v>
    <v>173.8355</v>
    <v>174.01439999999999</v>
    <v>172.02680000000001</v>
    <v>173.13980000000001</v>
    <v>172.8417</v>
    <v>173.1001</v>
    <v>173.41810000000001</v>
    <v>177.31379999999999</v>
    <v>174.74979999999999</v>
    <v>175.30629999999999</v>
    <v>174.233</v>
    <v>177.41319999999999</v>
    <v>176.39949999999999</v>
    <v>178.88399999999999</v>
    <v>178.566</v>
    <v>181.36850000000001</v>
    <v>181.56729999999999</v>
    <v>181.9847</v>
    <v>181.38839999999999</v>
    <v>183.3561</v>
    <v>181.76599999999999</v>
    <v>184.5487</v>
    <v>187.5301</v>
    <v>186.83439999999999</v>
    <v>192.00219999999999</v>
    <v>191.10769999999999</v>
    <v>194.9041</v>
    <v>194.745</v>
    <v>193.87049999999999</v>
    <v>190.63069999999999</v>
    <v>194.1885</v>
    <v>197.0308</v>
    <v>200.6482</v>
    <v>201.7414</v>
    <v>199.90289999999999</v>
    <v>201.24449999999999</v>
    <v>206.26320000000001</v>
    <v>208.4992</v>
    <v>208.69800000000001</v>
    <v>204.2259</v>
    <v>206.11410000000001</v>
    <v>208.4992</v>
    <v>208.5986</v>
    <v>211.0831</v>
    <v>206.66069999999999</v>
    <v>207.50540000000001</v>
    <v>209.98990000000001</v>
    <v>210.7353</v>
    <v>207.1576</v>
    <v>207.95269999999999</v>
    <v>212.3751</v>
    <v>213.81610000000001</v>
    <v>213.667</v>
    <v>213.3689</v>
    <v>213.96510000000001</v>
    <v>213.91550000000001</v>
    <v>215.55520000000001</v>
    <v>216.69810000000001</v>
    <v>213.6173</v>
    <v>214.11420000000001</v>
    <v>208.00229999999999</v>
    <v>208.3502</v>
    <v>203.083</v>
    <v>204.92160000000001</v>
    <v>206.76009999999999</v>
    <v>206.36259999999999</v>
    <v>208.4496</v>
    <v>205.36879999999999</v>
    <v>207.55510000000001</v>
    <v>207.70419999999999</v>
    <v>208.10169999999999</v>
    <v>210.785</v>
    <v>207.40610000000001</v>
    <v>208.2011</v>
    <v>214.01480000000001</v>
    <v>207.1079</v>
    <v>203.33150000000001</v>
    <v>207.85329999999999</v>
    <v>211.33160000000001</v>
    <v>210.08930000000001</v>
    <v>216.00239999999999</v>
    <v>214.7105</v>
    <v>213.7664</v>
    <v>212.1763</v>
    <v>214.9589</v>
    <v>218.23849999999999</v>
    <v>220.1267</v>
    <v>224.99629999999999</v>
    <v>228.32560000000001</v>
    <v>232.54920000000001</v>
    <v>232.30080000000001</v>
    <v>232.20140000000001</v>
    <v>235.13310000000001</v>
    <v>231.40629999999999</v>
    <v>227.72929999999999</v>
    <v>230.5616</v>
    <v>229.81630000000001</v>
    <v>231.60509999999999</v>
    <v>234.2884</v>
    <v>236.72319999999999</v>
    <v>236.17660000000001</v>
    <v>231.25729999999999</v>
    <v>225.94040000000001</v>
    <v>227.23240000000001</v>
    <v>226.03980000000001</v>
    <v>225.1454</v>
    <v>223.0087</v>
    <v>227.13300000000001</v>
    <v>227.33179999999999</v>
    <v>225.4435</v>
    <v>226.6361</v>
    <v>224.44970000000001</v>
    <v>235.13310000000001</v>
    <v>228.22620000000001</v>
    <v>219.82859999999999</v>
    <v>221.71680000000001</v>
    <v>226.18889999999999</v>
    <v>224.54910000000001</v>
    <v>227.779</v>
    <v>225.09569999999999</v>
    <v>225.74170000000001</v>
    <v>225.04599999999999</v>
    <v>225.79140000000001</v>
    <v>224.89689999999999</v>
    <v>222.9093</v>
    <v>223.9528</v>
    <v>223.20750000000001</v>
    <v>227.779</v>
    <v>229.1206</v>
    <v>226.33799999999999</v>
    <v>227.38140000000001</v>
    <v>223.70439999999999</v>
    <v>226.43729999999999</v>
    <v>228.52430000000001</v>
    <v>233.4436</v>
    <v>230.4622</v>
    <v>230.36279999999999</v>
    <v>226.48699999999999</v>
    <v>219.43100000000001</v>
    <v>221.518</v>
    <v>225.1951</v>
    <v>227.9777</v>
    <v>224.64850000000001</v>
    <v>214.7105</v>
    <v>218.18879999999999</v>
    <v>217.04589999999999</v>
    <v>214.7602</v>
    <v>221.4683</v>
    <v>212.3751</v>
    <v>202.23830000000001</v>
    <v>200.4992</v>
    <v>201.44329999999999</v>
    <v>208.05199999999999</v>
    <v>207.90299999999999</v>
    <v>209.14519999999999</v>
    <v>209.94030000000001</v>
    <v>213.26949999999999</v>
    <v>216.69810000000001</v>
    <v>219.92789999999999</v>
    <v>220.52420000000001</v>
    <v>222.36279999999999</v>
    <v>223.0087</v>
    <v>224.251</v>
    <v>224.44970000000001</v>
    <v>225.4932</v>
    <v>224.59880000000001</v>
    <v>224.251</v>
    <v>225.5429</v>
    <v>228.97149999999999</v>
    <v>228.27590000000001</v>
    <v>229.1703</v>
    <v>225.4435</v>
    <v>223.25720000000001</v>
    <v>218.6857</v>
    <v>213.6173</v>
    <v>217.94030000000001</v>
    <v>218.53659999999999</v>
    <v>218.6857</v>
    <v>224.79759999999999</v>
    <v>225.79140000000001</v>
    <v>225.74170000000001</v>
    <v>228.92179999999999</v>
    <v>227.779</v>
    <v>236.92189999999999</v>
    <v>232.74799999999999</v>
    <v>236.87219999999999</v>
    <v>238.512</v>
    <v>239.6549</v>
    <v>243.03380000000001</v>
    <v>238.85980000000001</v>
    <v>234.73560000000001</v>
    <v>234.3877</v>
    <v>235.33179999999999</v>
    <v>231.7542</v>
    <v>233.2946</v>
    <v>234.6362</v>
    <v>236.9716</v>
    <v>240.74809999999999</v>
    <v>237.66730000000001</v>
    <v>240.05240000000001</v>
    <v>242.13939999999999</v>
    <v>238.6611</v>
    <v>237.2201</v>
    <v>245.91579999999999</v>
    <v>244.52449999999999</v>
    <v>241.79150000000001</v>
    <v>240.64869999999999</v>
    <v>238.6114</v>
    <v>239.20769999999999</v>
    <v>240.84739999999999</v>
    <v>243.6301</v>
    <v>239.35669999999999</v>
    <v>240.79769999999999</v>
    <v>235.7294</v>
    <v>238.4126</v>
    <v>232.84729999999999</v>
    <v>238.16419999999999</v>
    <v>237.76669999999999</v>
    <v>239.05860000000001</v>
    <v>239.25739999999999</v>
    <v>247.25739999999999</v>
    <v>237.1704</v>
    <v>239.7046</v>
    <v>243.8288</v>
    <v>240.74809999999999</v>
    <v>238.11449999999999</v>
    <v>237.51820000000001</v>
    <v>235.33179999999999</v>
    <v>238.6114</v>
    <v>240.25120000000001</v>
    <v>238.85980000000001</v>
    <v>237.56790000000001</v>
    <v>236.17660000000001</v>
    <v>237.86600000000001</v>
    <v>241.99029999999999</v>
    <v>241.59280000000001</v>
    <v>242.3381</v>
    <v>247.5556</v>
    <v>247.10839999999999</v>
    <v>250.1395</v>
    <v>246.76050000000001</v>
    <v>241.245</v>
    <v>246.214</v>
    <v>243.18289999999999</v>
    <v>243.18289999999999</v>
    <v>243.13319999999999</v>
    <v>244.37540000000001</v>
    <v>246.61150000000001</v>
    <v>239.15799999999999</v>
    <v>238.2636</v>
    <v>237.61760000000001</v>
    <v>238.31319999999999</v>
    <v>239.55549999999999</v>
    <v>237.91569999999999</v>
    <v>239.40639999999999</v>
    <v>240.10210000000001</v>
    <v>238.71080000000001</v>
    <v>249.59289999999999</v>
    <v>251.4811</v>
    <v>249.84129999999999</v>
    <v>254.0153</v>
    <v>248.9966</v>
    <v>246.4624</v>
    <v>248.35059999999999</v>
    <v>250.3879</v>
    <v>252.773</v>
    <v>257.34449999999998</v>
    <v>258.93459999999999</v>
    <v>261.22030000000001</v>
    <v>268.12720000000002</v>
    <v>270.01549999999997</v>
    <v>268.97199999999998</v>
    <v>243.48099999999999</v>
    <v>225.2945</v>
    <v>235.9778</v>
    <v>239.50579999999999</v>
    <v>243.8288</v>
    <v>236.27600000000001</v>
    <v>237.3194</v>
    <v>230.95910000000001</v>
    <v>238.01509999999999</v>
    <v>235.63</v>
    <v>240.74809999999999</v>
    <v>242.63630000000001</v>
    <v>237.2698</v>
    <v>243.28219999999999</v>
    <v>245.0214</v>
    <v>244.42509999999999</v>
    <v>249.19540000000001</v>
    <v>245.66739999999999</v>
    <v>253.0215</v>
    <v>255.80410000000001</v>
    <v>238.11449999999999</v>
    <v>229.61750000000001</v>
    <v>237.0213</v>
    <v>233.84110000000001</v>
    <v>232.49950000000001</v>
    <v>228.22620000000001</v>
    <v>217.4434</v>
    <v>224.74789999999999</v>
    <v>222.36279999999999</v>
    <v>222.51179999999999</v>
    <v>217.74160000000001</v>
    <v>221.369</v>
    <v>226.38759999999999</v>
    <v>223.70439999999999</v>
    <v>226.5864</v>
    <v>229.4187</v>
    <v>233.3442</v>
    <v>240.05240000000001</v>
    <v>235.53059999999999</v>
    <v>230.31319999999999</v>
    <v>230.5616</v>
    <v>232.54920000000001</v>
    <v>226.98390000000001</v>
    <v>223.90309999999999</v>
    <v>215.80369999999999</v>
    <v>209.4434</v>
    <v>214.56139999999999</v>
    <v>213.667</v>
    <v>201.7414</v>
    <v>188.32509999999999</v>
    <v>185.4033</v>
    <v>191.14750000000001</v>
    <v>186.25800000000001</v>
    <v>195.50030000000001</v>
    <v>195.77860000000001</v>
    <v>201.24449999999999</v>
    <v>207.40610000000001</v>
    <v>204.5737</v>
    <v>204.02709999999999</v>
    <v>198.36250000000001</v>
    <v>207.65450000000001</v>
    <v>211.67939999999999</v>
    <v>216.49930000000001</v>
    <v>215.75399999999999</v>
    <v>201.98990000000001</v>
    <v>202.934</v>
    <v>214.46199999999999</v>
    <v>211.23220000000001</v>
    <v>211.1328</v>
    <v>210.08930000000001</v>
    <v>214.11420000000001</v>
    <v>213.4682</v>
    <v>219.67949999999999</v>
    <v>220</v>
    <v>220.15</v>
    <v>220.65</v>
    <v>219.15</v>
    <v>218.65</v>
    <v>221.55</v>
    <v>219.65</v>
    <v>221.1</v>
    <v>217.15</v>
    <v>221.1</v>
    <v>222.95</v>
    <v>222.05</v>
    <v>222.4</v>
    <v>221.35</v>
    <v>219.7</v>
    <v>221.7</v>
    <v>225.05</v>
    <v>226.1</v>
    <v>227.65</v>
    <v>225.3</v>
    <v>227.95</v>
    <v>223.25</v>
    <v>221</v>
    <v>220.45</v>
    <v>221.95</v>
    <v>221.9</v>
    <v>217.55</v>
    <v>214.6</v>
    <v>214.05</v>
    <v>212.85</v>
    <v>218.45</v>
    <v>215.5</v>
    <v>216.05</v>
    <v>230</v>
    <v>225.8</v>
    <v>222.35</v>
    <v>223.65</v>
    <v>225.4</v>
    <v>221.9</v>
    <v>223.95</v>
    <v>224.05</v>
    <v>227.7</v>
    <v>225.45</v>
    <v>225.2</v>
    <v>223.65</v>
    <v>225.85</v>
    <v>222.55</v>
    <v>239.75</v>
    <v>237.15</v>
    <v>235.75</v>
    <v>231.8</v>
    <v>236.15</v>
    <v>238.9</v>
    <v>236.25</v>
    <v>236.1</v>
    <v>238.25</v>
    <v>239.2</v>
    <v>228.25</v>
    <v>213.9</v>
    <v>219.3</v>
    <v>214.8</v>
    <v>214.85</v>
    <v>220.3</v>
    <v>222</v>
    <v>218.65</v>
    <v>222.2</v>
    <v>218</v>
    <v>222</v>
    <v>220.6</v>
    <v>218.5</v>
    <v>223.25</v>
    <v>215.55</v>
    <v>215</v>
    <v>215.4</v>
    <v>213.25</v>
    <v>210.8</v>
    <v>211.45</v>
    <v>213.7</v>
    <v>210.05</v>
    <v>210.25</v>
    <v>211.1</v>
    <v>217.25</v>
    <v>217.25</v>
    <v>218.3</v>
    <v>226.15</v>
    <v>223.45</v>
    <v>228.95</v>
    <v>229.65</v>
    <v>232</v>
    <v>233.75</v>
    <v>228.9</v>
    <v>226.95</v>
    <v>232.65</v>
    <v>231.1</v>
    <v>230</v>
    <v>230.55</v>
    <v>232.4</v>
    <v>231.05</v>
    <v>235.25</v>
    <v>234.25</v>
    <v>237.6</v>
    <v>244.85</v>
    <v>250.5</v>
    <v>249.7</v>
    <v>250</v>
    <v>245.9</v>
    <v>248.8</v>
    <v>249</v>
    <v>245.25</v>
    <v>246.9</v>
    <v>245.15</v>
    <v>247.05</v>
    <v>252.35</v>
    <v>246.1</v>
    <v>248.25</v>
    <v>249.75</v>
    <v>246.55</v>
    <v>249.1</v>
    <v>253.65</v>
    <v>258.75</v>
    <v>256.05</v>
    <v>257.39999999999998</v>
    <v>249</v>
    <v>246.1</v>
    <v>244.35</v>
    <v>239.25</v>
    <v>242.25</v>
    <v>235.15</v>
    <v>230.85</v>
    <v>233.45</v>
    <v>235.1</v>
    <v>239.1</v>
    <v>234.65</v>
    <v>235.65</v>
    <v>232</v>
    <v>226.55</v>
    <v>227.2</v>
    <v>228.4</v>
    <v>222.3</v>
    <v>222.8</v>
    <v>223.75</v>
    <v>227.3</v>
    <v>228.2</v>
    <v>231</v>
    <v>229.95</v>
    <v>230.25</v>
    <v>229.5</v>
    <v>237.55</v>
    <v>235.5</v>
    <v>237.6</v>
    <v>234.25</v>
    <v>233.5</v>
    <v>239.15</v>
    <v>235.4</v>
    <v>242.7</v>
    <v>239.25</v>
    <v>231</v>
    <v>234.15</v>
    <v>235.85</v>
    <v>236.55</v>
    <v>235.95</v>
    <v>235.25</v>
    <v>236.3</v>
    <v>235.95</v>
    <v>234.9</v>
    <v>237.05</v>
    <v>240.95</v>
    <v>240.65</v>
    <v>244.45</v>
    <v>234.4</v>
    <v>235.45</v>
    <v>236.8</v>
    <v>238.45</v>
    <v>231</v>
    <v>234.2</v>
    <v>235.15</v>
    <v>230.1</v>
    <v>229</v>
    <v>227.65</v>
    <v>230.45</v>
    <v>231.85</v>
    <v>232.3</v>
    <v>234.95</v>
    <v>235.35</v>
    <v>241.4</v>
    <v>242.3</v>
    <v>246.6</v>
    <v>249.65</v>
    <v>247.4</v>
    <v>248.35</v>
    <v>252.9</v>
    <v>256.85000000000002</v>
    <v>257.35000000000002</v>
    <v>266.35000000000002</v>
    <v>265.39999999999998</v>
    <v>262.89999999999998</v>
    <v>257</v>
    <v>254.35</v>
    <v>261.2</v>
    <v>259.35000000000002</v>
    <v>261.89999999999998</v>
    <v>259.75</v>
    <v>262.55</v>
    <v>264.95</v>
    <v>272.89999999999998</v>
    <v>276.7</v>
    <v>267.75</v>
    <v>253.55</v>
    <v>258.05</v>
    <v>252.8</v>
    <v>249.35</v>
    <v>245.15</v>
    <v>255.05</v>
    <v>256.10000000000002</v>
    <v>254.75</v>
    <v>248</v>
    <v>248.85</v>
    <v>250.85</v>
    <v>253.35</v>
    <v>243.4</v>
    <v>237.15</v>
    <v>243.3</v>
    <v>241.8</v>
    <v>247.95</v>
    <v>238.2</v>
    <v>229.2</v>
    <v>227.55</v>
    <v>229.1</v>
    <v>239.95</v>
    <v>236.15</v>
    <v>233.25</v>
    <v>255.95</v>
    <v>256.10000000000002</v>
    <v>260.2</v>
    <v>260.3</v>
    <v>267.55</v>
    <v>266.2</v>
    <v>267.75</v>
    <v>278.64999999999998</v>
    <v>273.60000000000002</v>
    <v>272.10000000000002</v>
    <v>273.89999999999998</v>
    <v>274.85000000000002</v>
    <v>276</v>
    <v>275.10000000000002</v>
    <v>270.8</v>
    <v>271.55</v>
    <v>268.60000000000002</v>
    <v>260.55</v>
    <v>272.95</v>
    <v>282.7</v>
    <v>275.2</v>
    <v>272.60000000000002</v>
    <v>274.64999999999998</v>
    <v>265.3</v>
    <v>268.39999999999998</v>
    <v>270.95</v>
    <v>263.75</v>
    <v>260.95</v>
    <v>255.8</v>
    <v>264.60000000000002</v>
    <v>264.60000000000002</v>
    <v>269.05</v>
    <v>277.3</v>
    <v>273.2</v>
    <v>268.95</v>
    <v>267.25</v>
    <v>269.95</v>
    <v>276.2</v>
    <v>287.14999999999998</v>
    <v>283.45</v>
    <v>281.85000000000002</v>
    <v>269.05</v>
    <v>270.5</v>
    <v>263.45</v>
    <v>257.7</v>
    <v>264.3</v>
    <v>265.3</v>
    <v>270.14999999999998</v>
    <v>276.95</v>
    <v>282.75</v>
    <v>291</v>
    <v>289.25</v>
    <v>292.75</v>
    <v>279.5</v>
    <v>280.5</v>
    <v>279.55</v>
    <v>276.05</v>
    <v>278.10000000000002</v>
    <v>285.39999999999998</v>
    <v>276.64999999999998</v>
    <v>275.89999999999998</v>
    <v>280.10000000000002</v>
    <v>278.35000000000002</v>
    <v>268</v>
    <v>263.8</v>
    <v>270</v>
    <v>269.64999999999998</v>
    <v>268.55</v>
    <v>273.10000000000002</v>
    <v>270.14999999999998</v>
    <v>264.35000000000002</v>
    <v>262.45</v>
    <v>264.7</v>
    <v>268.8</v>
    <v>269</v>
    <v>265.39999999999998</v>
    <v>268.05</v>
    <v>265.60000000000002</v>
    <v>262</v>
    <v>256.8</v>
    <v>284.60000000000002</v>
    <v>289.60000000000002</v>
    <v>290.10000000000002</v>
    <v>299.25</v>
    <v>300.39999999999998</v>
    <v>300.60000000000002</v>
    <v>303.7</v>
    <v>302.25</v>
    <v>305.75</v>
    <v>311</v>
    <v>309.25</v>
    <v>306.39999999999998</v>
    <v>308.75</v>
    <v>295.10000000000002</v>
    <v>294</v>
    <v>294.3</v>
    <v>296.8</v>
    <v>291.8</v>
    <v>296.25</v>
    <v>299.2</v>
    <v>297.55</v>
    <v>301.75</v>
    <v>294.60000000000002</v>
    <v>288.2</v>
    <v>286.75</v>
    <v>287.35000000000002</v>
    <v>288</v>
    <v>295.5</v>
    <v>299.60000000000002</v>
    <v>289.7</v>
    <v>287.39999999999998</v>
    <v>291.10000000000002</v>
    <v>272.05</v>
    <v>275.3</v>
    <v>279.39999999999998</v>
    <v>287.10000000000002</v>
    <v>285.75</v>
    <v>295</v>
    <v>295</v>
    <v>293.35000000000002</v>
    <v>289.8</v>
    <v>291</v>
    <v>290.5</v>
    <v>296.35000000000002</v>
    <v>292</v>
    <v>292.60000000000002</v>
    <v>303</v>
    <v>272.8</v>
    <v>260.5</v>
    <v>254.55</v>
    <v>261.10000000000002</v>
    <v>266.39999999999998</v>
    <v>265.35000000000002</v>
    <v>264.39999999999998</v>
    <v>264.39999999999998</v>
    <v>258</v>
    <v>253.3</v>
    <v>252.6</v>
    <v>244.3</v>
    <v>249.1</v>
    <v>235.75</v>
    <v>231.4</v>
  </a>
  <a r="1" c="256">
    <v>249.1</v>
    <v>253.65</v>
    <v>258.75</v>
    <v>256.05</v>
    <v>257.39999999999998</v>
    <v>249</v>
    <v>246.1</v>
    <v>244.35</v>
    <v>239.25</v>
    <v>242.25</v>
    <v>235.15</v>
    <v>230.85</v>
    <v>233.45</v>
    <v>235.1</v>
    <v>239.1</v>
    <v>234.65</v>
    <v>235.65</v>
    <v>232</v>
    <v>226.55</v>
    <v>227.2</v>
    <v>228.4</v>
    <v>222.3</v>
    <v>222.8</v>
    <v>223.75</v>
    <v>227.3</v>
    <v>228.2</v>
    <v>231</v>
    <v>229.95</v>
    <v>230.25</v>
    <v>229.5</v>
    <v>237.55</v>
    <v>235.5</v>
    <v>237.6</v>
    <v>234.25</v>
    <v>233.5</v>
    <v>239.15</v>
    <v>235.4</v>
    <v>242.7</v>
    <v>239.25</v>
    <v>231</v>
    <v>234.15</v>
    <v>235.85</v>
    <v>236.55</v>
    <v>235.95</v>
    <v>235.25</v>
    <v>236.3</v>
    <v>235.95</v>
    <v>234.9</v>
    <v>237.05</v>
    <v>240.95</v>
    <v>240.65</v>
    <v>244.45</v>
    <v>234.4</v>
    <v>235.45</v>
    <v>236.8</v>
    <v>238.45</v>
    <v>231</v>
    <v>234.2</v>
    <v>235.15</v>
    <v>230.1</v>
    <v>229</v>
    <v>227.65</v>
    <v>230.45</v>
    <v>231.85</v>
    <v>232.3</v>
    <v>234.95</v>
    <v>235.35</v>
    <v>241.4</v>
    <v>242.3</v>
    <v>246.6</v>
    <v>249.65</v>
    <v>247.4</v>
    <v>248.35</v>
    <v>252.9</v>
    <v>256.85000000000002</v>
    <v>257.35000000000002</v>
    <v>266.35000000000002</v>
    <v>265.39999999999998</v>
    <v>262.89999999999998</v>
    <v>257</v>
    <v>254.35</v>
    <v>261.2</v>
    <v>259.35000000000002</v>
    <v>261.89999999999998</v>
    <v>259.75</v>
    <v>262.55</v>
    <v>264.95</v>
    <v>272.89999999999998</v>
    <v>276.7</v>
    <v>267.75</v>
    <v>253.55</v>
    <v>258.05</v>
    <v>252.8</v>
    <v>249.35</v>
    <v>245.15</v>
    <v>255.05</v>
    <v>256.10000000000002</v>
    <v>254.75</v>
    <v>248</v>
    <v>248.85</v>
    <v>250.85</v>
    <v>253.35</v>
    <v>243.4</v>
    <v>237.15</v>
    <v>243.3</v>
    <v>241.8</v>
    <v>247.95</v>
    <v>238.2</v>
    <v>229.2</v>
    <v>227.55</v>
    <v>229.1</v>
    <v>239.95</v>
    <v>236.15</v>
    <v>233.25</v>
    <v>255.95</v>
    <v>256.10000000000002</v>
    <v>260.2</v>
    <v>260.3</v>
    <v>267.55</v>
    <v>266.2</v>
    <v>267.75</v>
    <v>278.64999999999998</v>
    <v>273.60000000000002</v>
    <v>272.10000000000002</v>
    <v>273.89999999999998</v>
    <v>274.85000000000002</v>
    <v>276</v>
    <v>275.10000000000002</v>
    <v>270.8</v>
    <v>271.55</v>
    <v>268.60000000000002</v>
    <v>260.55</v>
    <v>272.95</v>
    <v>282.7</v>
    <v>275.2</v>
    <v>272.60000000000002</v>
    <v>274.64999999999998</v>
    <v>265.3</v>
    <v>268.39999999999998</v>
    <v>270.95</v>
    <v>263.75</v>
    <v>260.95</v>
    <v>255.8</v>
    <v>264.60000000000002</v>
    <v>264.60000000000002</v>
    <v>269.05</v>
    <v>277.3</v>
    <v>273.2</v>
    <v>268.95</v>
    <v>267.25</v>
    <v>269.95</v>
    <v>276.2</v>
    <v>287.14999999999998</v>
    <v>283.45</v>
    <v>281.85000000000002</v>
    <v>269.05</v>
    <v>270.5</v>
    <v>263.45</v>
    <v>257.7</v>
    <v>264.3</v>
    <v>265.3</v>
    <v>270.14999999999998</v>
    <v>276.95</v>
    <v>282.75</v>
    <v>291</v>
    <v>289.25</v>
    <v>292.75</v>
    <v>279.5</v>
    <v>280.5</v>
    <v>279.55</v>
    <v>276.05</v>
    <v>278.10000000000002</v>
    <v>285.39999999999998</v>
    <v>276.64999999999998</v>
    <v>275.89999999999998</v>
    <v>280.10000000000002</v>
    <v>278.35000000000002</v>
    <v>268</v>
    <v>263.8</v>
    <v>270</v>
    <v>269.64999999999998</v>
    <v>268.55</v>
    <v>273.10000000000002</v>
    <v>270.14999999999998</v>
    <v>264.35000000000002</v>
    <v>262.45</v>
    <v>264.7</v>
    <v>268.8</v>
    <v>269</v>
    <v>265.39999999999998</v>
    <v>268.05</v>
    <v>265.60000000000002</v>
    <v>262</v>
    <v>256.8</v>
    <v>284.60000000000002</v>
    <v>289.60000000000002</v>
    <v>290.10000000000002</v>
    <v>299.25</v>
    <v>300.39999999999998</v>
    <v>300.60000000000002</v>
    <v>303.7</v>
    <v>302.25</v>
    <v>305.75</v>
    <v>311</v>
    <v>309.25</v>
    <v>306.39999999999998</v>
    <v>308.75</v>
    <v>295.10000000000002</v>
    <v>294</v>
    <v>294.3</v>
    <v>296.8</v>
    <v>291.8</v>
    <v>296.25</v>
    <v>299.2</v>
    <v>297.55</v>
    <v>301.75</v>
    <v>294.60000000000002</v>
    <v>288.2</v>
    <v>286.75</v>
    <v>287.35000000000002</v>
    <v>288</v>
    <v>295.5</v>
    <v>299.60000000000002</v>
    <v>289.7</v>
    <v>287.39999999999998</v>
    <v>291.10000000000002</v>
    <v>272.05</v>
    <v>275.3</v>
    <v>279.39999999999998</v>
    <v>287.10000000000002</v>
    <v>285.75</v>
    <v>295</v>
    <v>295</v>
    <v>293.35000000000002</v>
    <v>289.8</v>
    <v>291</v>
    <v>290.5</v>
    <v>296.35000000000002</v>
    <v>292</v>
    <v>292.60000000000002</v>
    <v>303</v>
    <v>272.8</v>
    <v>260.5</v>
    <v>254.55</v>
    <v>261.10000000000002</v>
    <v>266.39999999999998</v>
    <v>265.35000000000002</v>
    <v>264.39999999999998</v>
    <v>264.39999999999998</v>
    <v>258</v>
    <v>253.3</v>
    <v>252.6</v>
    <v>244.3</v>
    <v>249.1</v>
    <v>235.75</v>
    <v>231.4</v>
  </a>
  <a r="1" c="209">
    <v>124.55</v>
    <v>124.16</v>
    <v>124.44</v>
    <v>124.65</v>
    <v>124.96</v>
    <v>124.83</v>
    <v>124.88</v>
    <v>125.13</v>
    <v>125</v>
    <v>125.2</v>
    <v>125.34</v>
    <v>125.12</v>
    <v>125.22</v>
    <v>125.06</v>
    <v>124.95</v>
    <v>125.16</v>
    <v>125.38</v>
    <v>125.84</v>
    <v>125.78</v>
    <v>125.88</v>
    <v>125.97</v>
    <v>125.82</v>
    <v>125.65</v>
    <v>125.5</v>
    <v>125.69</v>
    <v>125.72</v>
    <v>125.73</v>
    <v>125.76</v>
    <v>126.06</v>
    <v>126.25</v>
    <v>126.43</v>
    <v>126.53</v>
    <v>126.57</v>
    <v>126.77</v>
    <v>126.84</v>
    <v>126.85</v>
    <v>126.95</v>
    <v>127.2</v>
    <v>127.27</v>
    <v>127.35</v>
    <v>127.47</v>
    <v>127.78</v>
    <v>127.17</v>
    <v>126.24</v>
    <v>126.7</v>
    <v>125.92</v>
    <v>125.54</v>
    <v>125.47</v>
    <v>125.98</v>
    <v>125.09</v>
    <v>124.66</v>
    <v>124.36</v>
    <v>124.72</v>
    <v>125.13</v>
    <v>124.88</v>
    <v>124.64</v>
    <v>123.77</v>
    <v>124.14</v>
    <v>123.9</v>
    <v>124.57</v>
    <v>123.55</v>
    <v>123.13</v>
    <v>123.75</v>
    <v>124.09</v>
    <v>124.32</v>
    <v>124.34</v>
    <v>123.54</v>
    <v>125.21</v>
    <v>124.62</v>
    <v>124.31</v>
    <v>123.89</v>
    <v>124.51</v>
    <v>124.4</v>
    <v>124.51</v>
    <v>125.25</v>
    <v>125.07</v>
    <v>124.8</v>
    <v>124.81</v>
    <v>124.78</v>
    <v>124.79</v>
    <v>124.49</v>
    <v>124.32</v>
    <v>124.08</v>
    <v>124.56</v>
    <v>124.15</v>
    <v>124.3</v>
    <v>125.18</v>
    <v>125.12</v>
    <v>125.11</v>
    <v>124.84</v>
    <v>124.27</v>
    <v>124.24</v>
    <v>124.83</v>
    <v>123.78</v>
    <v>123.85</v>
    <v>123.63</v>
    <v>124.52</v>
    <v>124.41</v>
    <v>124.97</v>
    <v>125.71</v>
    <v>125.58</v>
    <v>125.48</v>
    <v>125.68</v>
    <v>125.78</v>
    <v>125.2</v>
    <v>125.47</v>
    <v>124.89</v>
    <v>124.96</v>
    <v>124.82</v>
    <v>124.59</v>
    <v>124.58</v>
    <v>124.46</v>
    <v>124.9</v>
    <v>125.21</v>
    <v>125.58</v>
    <v>125.84</v>
    <v>125.96</v>
    <v>124.12</v>
    <v>123.53</v>
    <v>123.81</v>
    <v>124.07</v>
    <v>124.46</v>
    <v>124.5</v>
    <v>124.5</v>
    <v>124.38</v>
    <v>124.29</v>
    <v>124.13</v>
    <v>124.03</v>
    <v>123.79</v>
    <v>123.76</v>
    <v>123.35</v>
    <v>122.37</v>
    <v>122.83</v>
    <v>122.99</v>
    <v>122.68</v>
    <v>122.69</v>
    <v>122.51</v>
    <v>122.31</v>
    <v>122.36</v>
    <v>122.28</v>
    <v>122.13</v>
    <v>121.98</v>
    <v>121.67</v>
    <v>122.11</v>
    <v>122.53</v>
    <v>122.72</v>
    <v>122.26</v>
    <v>122.22</v>
    <v>121.97</v>
    <v>122.44</v>
    <v>122.77</v>
    <v>122.81</v>
    <v>122.66</v>
    <v>122.65</v>
    <v>122.2</v>
    <v>122.27</v>
    <v>122.24</v>
    <v>122.4</v>
    <v>121.78</v>
    <v>121.63</v>
    <v>121.27</v>
    <v>121.27</v>
    <v>121.32</v>
    <v>121.27</v>
    <v>121.32</v>
    <v>121.8</v>
    <v>121.64</v>
    <v>121.48</v>
    <v>121.38</v>
    <v>120.99</v>
    <v>120.84</v>
    <v>120.47</v>
    <v>120.79</v>
    <v>120.86</v>
    <v>120.54</v>
    <v>120.68</v>
    <v>119.94</v>
    <v>119.18</v>
    <v>119.15</v>
    <v>118.88</v>
    <v>118.81</v>
    <v>119.04</v>
    <v>119.25</v>
    <v>118.44</v>
    <v>119.14</v>
    <v>118.99</v>
    <v>117.96</v>
    <v>117.7</v>
    <v>117.65</v>
    <v>117.31</v>
    <v>117.1</v>
    <v>116.87</v>
    <v>116.32</v>
    <v>116.64</v>
    <v>116.9</v>
    <v>117.77</v>
    <v>116.95</v>
    <v>116.87</v>
    <v>116.99</v>
    <v>116.69</v>
    <v>117.08</v>
    <v>116.88</v>
    <v>117.5</v>
    <v>117.59</v>
    <v>116.67</v>
    <v>116.71</v>
    <v>116.22</v>
    <v>115.71</v>
    <v>115.99</v>
  </a>
  <a r="1" c="256">
    <v>127.44</v>
    <v>126.94</v>
    <v>127.08</v>
    <v>127.07</v>
    <v>127.21</v>
    <v>127.2</v>
    <v>127.13</v>
    <v>127.01</v>
    <v>127.03</v>
    <v>126.84</v>
    <v>126.91</v>
    <v>126.79</v>
    <v>126.98</v>
    <v>127.16</v>
    <v>127.44</v>
    <v>127.2</v>
    <v>126.87</v>
    <v>126.92</v>
    <v>126.83</v>
    <v>126.84</v>
    <v>126.66</v>
    <v>126.73</v>
    <v>126.9</v>
    <v>127.27</v>
    <v>127.3</v>
    <v>127.24</v>
    <v>127.23</v>
    <v>126.68</v>
    <v>126.59</v>
    <v>126.65</v>
    <v>126.43</v>
    <v>126.31</v>
    <v>125.91</v>
    <v>126.11</v>
    <v>126.05</v>
    <v>124.39</v>
    <v>124.18</v>
    <v>124.38</v>
    <v>124.46</v>
    <v>124.31</v>
    <v>124.47</v>
    <v>124.06</v>
    <v>123.96</v>
    <v>124.42</v>
    <v>124.45</v>
    <v>124.83</v>
    <v>124.61</v>
    <v>124.55</v>
    <v>124.16</v>
    <v>124.44</v>
    <v>124.65</v>
    <v>124.96</v>
    <v>124.83</v>
    <v>124.88</v>
    <v>125.13</v>
    <v>125</v>
    <v>125.2</v>
    <v>125.34</v>
    <v>125.12</v>
    <v>125.22</v>
    <v>125.06</v>
    <v>124.95</v>
    <v>125.16</v>
    <v>125.38</v>
    <v>125.84</v>
    <v>125.78</v>
    <v>125.88</v>
    <v>125.97</v>
    <v>125.82</v>
    <v>125.65</v>
    <v>125.5</v>
    <v>125.69</v>
    <v>125.72</v>
    <v>125.73</v>
    <v>125.76</v>
    <v>126.06</v>
    <v>126.25</v>
    <v>126.43</v>
    <v>126.53</v>
    <v>126.57</v>
    <v>126.77</v>
    <v>126.84</v>
    <v>126.85</v>
    <v>126.95</v>
    <v>127.2</v>
    <v>127.27</v>
    <v>127.35</v>
    <v>127.47</v>
    <v>127.78</v>
    <v>127.17</v>
    <v>126.24</v>
    <v>126.7</v>
    <v>125.92</v>
    <v>125.54</v>
    <v>125.47</v>
    <v>125.98</v>
    <v>125.09</v>
    <v>124.66</v>
    <v>124.36</v>
    <v>124.72</v>
    <v>125.13</v>
    <v>124.88</v>
    <v>124.64</v>
    <v>123.77</v>
    <v>124.14</v>
    <v>123.9</v>
    <v>124.57</v>
    <v>123.55</v>
    <v>123.13</v>
    <v>123.75</v>
    <v>124.09</v>
    <v>124.32</v>
    <v>124.34</v>
    <v>123.54</v>
    <v>125.21</v>
    <v>124.62</v>
    <v>124.31</v>
    <v>123.89</v>
    <v>124.51</v>
    <v>124.4</v>
    <v>124.51</v>
    <v>125.25</v>
    <v>125.07</v>
    <v>124.8</v>
    <v>124.81</v>
    <v>124.78</v>
    <v>124.79</v>
    <v>124.49</v>
    <v>124.32</v>
    <v>124.08</v>
    <v>124.56</v>
    <v>124.15</v>
    <v>124.3</v>
    <v>125.18</v>
    <v>125.12</v>
    <v>125.11</v>
    <v>124.84</v>
    <v>124.27</v>
    <v>124.24</v>
    <v>124.83</v>
    <v>123.78</v>
    <v>123.85</v>
    <v>123.63</v>
    <v>124.52</v>
    <v>124.41</v>
    <v>124.97</v>
    <v>125.71</v>
    <v>125.58</v>
    <v>125.48</v>
    <v>125.68</v>
    <v>125.78</v>
    <v>125.2</v>
    <v>125.47</v>
    <v>124.89</v>
    <v>124.96</v>
    <v>124.82</v>
    <v>124.59</v>
    <v>124.58</v>
    <v>124.46</v>
    <v>124.9</v>
    <v>125.21</v>
    <v>125.58</v>
    <v>125.84</v>
    <v>125.96</v>
    <v>124.12</v>
    <v>123.53</v>
    <v>123.81</v>
    <v>124.07</v>
    <v>124.46</v>
    <v>124.5</v>
    <v>124.5</v>
    <v>124.38</v>
    <v>124.29</v>
    <v>124.13</v>
    <v>124.03</v>
    <v>123.79</v>
    <v>123.76</v>
    <v>123.35</v>
    <v>122.37</v>
    <v>122.83</v>
    <v>122.99</v>
    <v>122.68</v>
    <v>122.69</v>
    <v>122.51</v>
    <v>122.31</v>
    <v>122.36</v>
    <v>122.28</v>
    <v>122.13</v>
    <v>121.98</v>
    <v>121.67</v>
    <v>122.11</v>
    <v>122.53</v>
    <v>122.72</v>
    <v>122.26</v>
    <v>122.22</v>
    <v>121.97</v>
    <v>122.44</v>
    <v>122.77</v>
    <v>122.81</v>
    <v>122.66</v>
    <v>122.65</v>
    <v>122.2</v>
    <v>122.27</v>
    <v>122.24</v>
    <v>122.4</v>
    <v>121.78</v>
    <v>121.63</v>
    <v>121.27</v>
    <v>121.27</v>
    <v>121.32</v>
    <v>121.27</v>
    <v>121.32</v>
    <v>121.8</v>
    <v>121.64</v>
    <v>121.48</v>
    <v>121.38</v>
    <v>120.99</v>
    <v>120.84</v>
    <v>120.47</v>
    <v>120.79</v>
    <v>120.86</v>
    <v>120.54</v>
    <v>120.68</v>
    <v>119.94</v>
    <v>119.18</v>
    <v>119.15</v>
    <v>118.88</v>
    <v>118.81</v>
    <v>119.04</v>
    <v>119.25</v>
    <v>118.44</v>
    <v>119.14</v>
    <v>118.99</v>
    <v>117.96</v>
    <v>117.7</v>
    <v>117.65</v>
    <v>117.31</v>
    <v>117.1</v>
    <v>116.87</v>
    <v>116.32</v>
    <v>116.64</v>
    <v>116.9</v>
    <v>117.77</v>
    <v>116.95</v>
    <v>116.87</v>
    <v>116.99</v>
    <v>116.69</v>
    <v>117.08</v>
    <v>116.88</v>
    <v>117.5</v>
    <v>117.59</v>
    <v>116.67</v>
    <v>116.71</v>
    <v>116.22</v>
    <v>115.71</v>
    <v>115.99</v>
  </a>
  <a r="1" c="767">
    <v>124.65</v>
    <v>124.79</v>
    <v>124.18</v>
    <v>124.65</v>
    <v>124.85</v>
    <v>124.97</v>
    <v>125.14</v>
    <v>125.56</v>
    <v>126.04</v>
    <v>126.79</v>
    <v>125.92</v>
    <v>126.59</v>
    <v>127.12</v>
    <v>126.74</v>
    <v>126.38</v>
    <v>126.37</v>
    <v>127.49</v>
    <v>127.22</v>
    <v>127.68</v>
    <v>127.67</v>
    <v>127.5</v>
    <v>128.05000000000001</v>
    <v>127.92</v>
    <v>127.49</v>
    <v>127.36</v>
    <v>128.12</v>
    <v>128.56</v>
    <v>129.13999999999999</v>
    <v>128.91999999999999</v>
    <v>129.79</v>
    <v>129.97</v>
    <v>131.19999999999999</v>
    <v>131.65</v>
    <v>131.80000000000001</v>
    <v>131.11000000000001</v>
    <v>131.07</v>
    <v>131.38999999999999</v>
    <v>132.11000000000001</v>
    <v>131.31</v>
    <v>132.54</v>
    <v>131.94</v>
    <v>132.55000000000001</v>
    <v>133.07</v>
    <v>133.33000000000001</v>
    <v>133.22</v>
    <v>133.82</v>
    <v>133.33000000000001</v>
    <v>132.5</v>
    <v>131.94</v>
    <v>132.44</v>
    <v>131.57</v>
    <v>131.22</v>
    <v>131.41</v>
    <v>130.81</v>
    <v>130.6</v>
    <v>130.66</v>
    <v>131.28</v>
    <v>130.83000000000001</v>
    <v>130.69999999999999</v>
    <v>130.03</v>
    <v>129.96</v>
    <v>130.04</v>
    <v>130.38999999999999</v>
    <v>129.83000000000001</v>
    <v>129.97999999999999</v>
    <v>130.38999999999999</v>
    <v>130.34</v>
    <v>130.91999999999999</v>
    <v>130.5</v>
    <v>131.53</v>
    <v>131.66</v>
    <v>130.83000000000001</v>
    <v>130.11000000000001</v>
    <v>130.18</v>
    <v>129.97</v>
    <v>129.5</v>
    <v>129.43</v>
    <v>129.62</v>
    <v>129.52000000000001</v>
    <v>129.97</v>
    <v>129.99</v>
    <v>129.69</v>
    <v>129.59</v>
    <v>129.84</v>
    <v>129.34</v>
    <v>129.52000000000001</v>
    <v>130.28</v>
    <v>129.54</v>
    <v>129.24</v>
    <v>129.25</v>
    <v>129.79</v>
    <v>129.6</v>
    <v>129.83000000000001</v>
    <v>130.65</v>
    <v>130.63</v>
    <v>131.09</v>
    <v>131.29</v>
    <v>130.94999999999999</v>
    <v>130.80000000000001</v>
    <v>130.6</v>
    <v>130.09</v>
    <v>129.94999999999999</v>
    <v>129.87</v>
    <v>129.86000000000001</v>
    <v>130.01</v>
    <v>130.32</v>
    <v>130.72999999999999</v>
    <v>130.27000000000001</v>
    <v>130.41999999999999</v>
    <v>130.86000000000001</v>
    <v>130.72</v>
    <v>129.66</v>
    <v>129.69999999999999</v>
    <v>130.07</v>
    <v>129.81</v>
    <v>129.63999999999999</v>
    <v>130.25</v>
    <v>129.79</v>
    <v>129.27000000000001</v>
    <v>130.41999999999999</v>
    <v>129.66</v>
    <v>129.15</v>
    <v>129.33000000000001</v>
    <v>129.18</v>
    <v>129.02000000000001</v>
    <v>129.26</v>
    <v>129.09</v>
    <v>128.34</v>
    <v>128.11000000000001</v>
    <v>128.58000000000001</v>
    <v>129.22999999999999</v>
    <v>128.78</v>
    <v>129.03</v>
    <v>129.33000000000001</v>
    <v>129.66</v>
    <v>130.13999999999999</v>
    <v>129.84</v>
    <v>129.41999999999999</v>
    <v>129.22</v>
    <v>129.34</v>
    <v>129.05000000000001</v>
    <v>130.13</v>
    <v>129.97</v>
    <v>129.38</v>
    <v>129.26</v>
    <v>129.47</v>
    <v>129.25</v>
    <v>128.74</v>
    <v>128.94</v>
    <v>129.27000000000001</v>
    <v>128.77000000000001</v>
    <v>128.06</v>
    <v>128.25</v>
    <v>128.38999999999999</v>
    <v>129.01</v>
    <v>129.33000000000001</v>
    <v>129.77000000000001</v>
    <v>129.38999999999999</v>
    <v>128.79</v>
    <v>127.65</v>
    <v>127.62</v>
    <v>128.27000000000001</v>
    <v>126.9</v>
    <v>127.42</v>
    <v>127.2</v>
    <v>127.42</v>
    <v>127.1</v>
    <v>127.12</v>
    <v>127.03</v>
    <v>127.09</v>
    <v>127.28</v>
    <v>126.84</v>
    <v>126.43</v>
    <v>126.23</v>
    <v>125.8</v>
    <v>125.96</v>
    <v>126.63</v>
    <v>126.37</v>
    <v>127.11</v>
    <v>127.34</v>
    <v>126.68</v>
    <v>127.37</v>
    <v>127.85</v>
    <v>127.61</v>
    <v>127.93</v>
    <v>128.26</v>
    <v>128.31</v>
    <v>128.41999999999999</v>
    <v>127.93</v>
    <v>127.74</v>
    <v>127.84</v>
    <v>127.76</v>
    <v>128.09</v>
    <v>128.13</v>
    <v>128.53</v>
    <v>128.69</v>
    <v>129.18</v>
    <v>129.38</v>
    <v>129.69999999999999</v>
    <v>129.77000000000001</v>
    <v>129.91999999999999</v>
    <v>129.32</v>
    <v>129.30000000000001</v>
    <v>129.76</v>
    <v>129.75</v>
    <v>130.19999999999999</v>
    <v>130.18</v>
    <v>129.47999999999999</v>
    <v>129.58000000000001</v>
    <v>129.71</v>
    <v>130.04</v>
    <v>130.22999999999999</v>
    <v>129.96</v>
    <v>130.13</v>
    <v>129.87</v>
    <v>129.41</v>
    <v>129.66</v>
    <v>129.51</v>
    <v>129.46</v>
    <v>129.18</v>
    <v>129.68</v>
    <v>130.31</v>
    <v>130.49</v>
    <v>130.88</v>
    <v>130.78</v>
    <v>130.97</v>
    <v>131.29</v>
    <v>130.87</v>
    <v>131.19</v>
    <v>131.27000000000001</v>
    <v>130.99</v>
    <v>130.36000000000001</v>
    <v>130.19</v>
    <v>129.99</v>
    <v>130.05000000000001</v>
    <v>130.59</v>
    <v>130.03</v>
    <v>130.11000000000001</v>
    <v>130.52000000000001</v>
    <v>130.55000000000001</v>
    <v>131.5</v>
    <v>130.97</v>
    <v>130.63</v>
    <v>130.12</v>
    <v>129.86000000000001</v>
    <v>129.86000000000001</v>
    <v>129.77000000000001</v>
    <v>129.88</v>
    <v>129.69</v>
    <v>129.80000000000001</v>
    <v>130.41999999999999</v>
    <v>130.87</v>
    <v>130.66</v>
    <v>131.01</v>
    <v>130.06</v>
    <v>129.66999999999999</v>
    <v>129.83000000000001</v>
    <v>130.41999999999999</v>
    <v>129.96</v>
    <v>130.18</v>
    <v>129.72</v>
    <v>129.4</v>
    <v>129.38999999999999</v>
    <v>129.19999999999999</v>
    <v>129.44999999999999</v>
    <v>129.22</v>
    <v>129.31</v>
    <v>128.9</v>
    <v>129.61000000000001</v>
    <v>130.09</v>
    <v>129.79</v>
    <v>129.6</v>
    <v>130.13999999999999</v>
    <v>130.18</v>
    <v>129.87</v>
    <v>130.13</v>
    <v>130.1</v>
    <v>130.09</v>
    <v>130.47</v>
    <v>130.72999999999999</v>
    <v>130.59</v>
    <v>130.62</v>
    <v>131.32</v>
    <v>131.83000000000001</v>
    <v>131.71</v>
    <v>131.78</v>
    <v>131.91</v>
    <v>132.03</v>
    <v>132.03</v>
    <v>132.01</v>
    <v>132.09</v>
    <v>131.9</v>
    <v>129.62</v>
    <v>129.22999999999999</v>
    <v>128.91</v>
    <v>128.97</v>
    <v>128.97</v>
    <v>128.49</v>
    <v>128.63999999999999</v>
    <v>128.25</v>
    <v>128.25</v>
    <v>127.83</v>
    <v>127.97</v>
    <v>128.05000000000001</v>
    <v>127.76</v>
    <v>127.05</v>
    <v>127.29</v>
    <v>126.9</v>
    <v>126.53</v>
    <v>126.26</v>
    <v>125.99</v>
    <v>125.76</v>
    <v>125.73</v>
    <v>126.66</v>
    <v>126.71</v>
    <v>127.03</v>
    <v>127.09</v>
    <v>127.34</v>
    <v>127.41</v>
    <v>127.2</v>
    <v>127.05</v>
    <v>127.31</v>
    <v>127.23</v>
    <v>126.94</v>
    <v>127.37</v>
    <v>128</v>
    <v>128.84</v>
    <v>128.81</v>
    <v>129.22999999999999</v>
    <v>129.1</v>
    <v>128.99</v>
    <v>129.16999999999999</v>
    <v>128.43</v>
    <v>128.08000000000001</v>
    <v>128.91</v>
    <v>128.83000000000001</v>
    <v>128.49</v>
    <v>128.46</v>
    <v>127.9</v>
    <v>127.98</v>
    <v>128.41</v>
    <v>128.4</v>
    <v>128.65</v>
    <v>128.87</v>
    <v>129.08000000000001</v>
    <v>129.19999999999999</v>
    <v>128.41999999999999</v>
    <v>128.33000000000001</v>
    <v>126.31</v>
    <v>125.6</v>
    <v>125.8</v>
    <v>125.94</v>
    <v>125.73</v>
    <v>125.73</v>
    <v>125.82</v>
    <v>125.73</v>
    <v>126.46</v>
    <v>126.27</v>
    <v>126.5</v>
    <v>126.5</v>
    <v>126.55</v>
    <v>126.52</v>
    <v>126.48</v>
    <v>126.49</v>
    <v>126.62</v>
    <v>126.92</v>
    <v>126.84</v>
    <v>127.31</v>
    <v>126.97</v>
    <v>127.58</v>
    <v>128.05000000000001</v>
    <v>127.57</v>
    <v>127.56</v>
    <v>127.68</v>
    <v>127.86</v>
    <v>128.13999999999999</v>
    <v>128.51</v>
    <v>128.28</v>
    <v>128.59</v>
    <v>128.84</v>
    <v>129.01</v>
    <v>128.82</v>
    <v>129.51</v>
    <v>129.25</v>
    <v>128.97999999999999</v>
    <v>129</v>
    <v>129.49</v>
    <v>128.88999999999999</v>
    <v>128.87</v>
    <v>128.75</v>
    <v>129.18</v>
    <v>128.94999999999999</v>
    <v>128.75</v>
    <v>128.13</v>
    <v>127.87</v>
    <v>127.67</v>
    <v>128.35</v>
    <v>128.72999999999999</v>
    <v>128.76</v>
    <v>128.77000000000001</v>
    <v>128.24</v>
    <v>128.12</v>
    <v>128.55000000000001</v>
    <v>128.82</v>
    <v>129.13</v>
    <v>129.04</v>
    <v>129.43</v>
    <v>129.52000000000001</v>
    <v>129.37</v>
    <v>129.47</v>
    <v>129.32</v>
    <v>128.79</v>
    <v>129.05000000000001</v>
    <v>129.09</v>
    <v>129.30000000000001</v>
    <v>129.16</v>
    <v>127.78</v>
    <v>127.12</v>
    <v>127.32</v>
    <v>127.25</v>
    <v>127.5</v>
    <v>127.14</v>
    <v>127.29</v>
    <v>127.44</v>
    <v>127.29</v>
    <v>127.21</v>
    <v>127.27</v>
    <v>127.09</v>
    <v>127.11</v>
    <v>127.33</v>
    <v>126.78</v>
    <v>127.16</v>
    <v>127.17</v>
    <v>126.8</v>
    <v>126.49</v>
    <v>126.49</v>
    <v>126.1</v>
    <v>125.99</v>
    <v>125.88</v>
    <v>126.03</v>
    <v>126.22</v>
    <v>126.34</v>
    <v>126.21</v>
    <v>126.98</v>
    <v>127.27</v>
    <v>127.25</v>
    <v>126.4</v>
    <v>126.17</v>
    <v>126.53</v>
    <v>126.61</v>
    <v>126.45</v>
    <v>126.62</v>
    <v>126.64</v>
    <v>127.11</v>
    <v>127.15</v>
    <v>126.97</v>
    <v>127.05</v>
    <v>126.77</v>
    <v>126.52</v>
    <v>126.08</v>
    <v>126.75</v>
    <v>126.53</v>
    <v>125.77</v>
    <v>125.76</v>
    <v>125.95</v>
    <v>126.18</v>
    <v>125.78</v>
    <v>126.13</v>
    <v>125.56</v>
    <v>125.48</v>
    <v>125.48</v>
    <v>125.64</v>
    <v>125.4</v>
    <v>125.23</v>
    <v>124.8</v>
    <v>125.19</v>
    <v>125.58</v>
    <v>125.94</v>
    <v>126.29</v>
    <v>126.24</v>
    <v>126.33</v>
    <v>126.55</v>
    <v>126.05</v>
    <v>126.2</v>
    <v>126.31</v>
    <v>126.4</v>
    <v>125.92</v>
    <v>125.66</v>
    <v>125.61</v>
    <v>125.6</v>
    <v>125.64</v>
    <v>125.43</v>
    <v>125.7</v>
    <v>126</v>
    <v>126</v>
    <v>126.01</v>
    <v>126.13</v>
    <v>126.21</v>
    <v>125.81</v>
    <v>125.71</v>
    <v>126.2</v>
    <v>126.12</v>
    <v>126.64</v>
    <v>126.63</v>
    <v>127.13</v>
    <v>127.73</v>
    <v>127.71</v>
    <v>127.55</v>
    <v>127.47</v>
    <v>127.66</v>
    <v>127.61</v>
    <v>127.44</v>
    <v>126.94</v>
    <v>127.08</v>
    <v>127.07</v>
    <v>127.21</v>
    <v>127.2</v>
    <v>127.13</v>
    <v>127.01</v>
    <v>127.03</v>
    <v>126.84</v>
    <v>126.91</v>
    <v>126.79</v>
    <v>126.98</v>
    <v>127.16</v>
    <v>127.44</v>
    <v>127.2</v>
    <v>126.87</v>
    <v>126.92</v>
    <v>126.83</v>
    <v>126.84</v>
    <v>126.66</v>
    <v>126.73</v>
    <v>126.9</v>
    <v>127.27</v>
    <v>127.3</v>
    <v>127.24</v>
    <v>127.23</v>
    <v>126.68</v>
    <v>126.59</v>
    <v>126.65</v>
    <v>126.43</v>
    <v>126.31</v>
    <v>125.91</v>
    <v>126.11</v>
    <v>126.05</v>
    <v>124.39</v>
    <v>124.18</v>
    <v>124.38</v>
    <v>124.46</v>
    <v>124.31</v>
    <v>124.47</v>
    <v>124.06</v>
    <v>123.96</v>
    <v>124.42</v>
    <v>124.45</v>
    <v>124.83</v>
    <v>124.61</v>
    <v>124.55</v>
    <v>124.16</v>
    <v>124.44</v>
    <v>124.65</v>
    <v>124.96</v>
    <v>124.83</v>
    <v>124.88</v>
    <v>125.13</v>
    <v>125</v>
    <v>125.2</v>
    <v>125.34</v>
    <v>125.12</v>
    <v>125.22</v>
    <v>125.06</v>
    <v>124.95</v>
    <v>125.16</v>
    <v>125.38</v>
    <v>125.84</v>
    <v>125.78</v>
    <v>125.88</v>
    <v>125.97</v>
    <v>125.82</v>
    <v>125.65</v>
    <v>125.5</v>
    <v>125.69</v>
    <v>125.72</v>
    <v>125.73</v>
    <v>125.76</v>
    <v>126.06</v>
    <v>126.25</v>
    <v>126.43</v>
    <v>126.53</v>
    <v>126.57</v>
    <v>126.77</v>
    <v>126.84</v>
    <v>126.85</v>
    <v>126.95</v>
    <v>127.2</v>
    <v>127.27</v>
    <v>127.35</v>
    <v>127.47</v>
    <v>127.78</v>
    <v>127.17</v>
    <v>126.24</v>
    <v>126.7</v>
    <v>125.92</v>
    <v>125.54</v>
    <v>125.47</v>
    <v>125.98</v>
    <v>125.09</v>
    <v>124.66</v>
    <v>124.36</v>
    <v>124.72</v>
    <v>125.13</v>
    <v>124.88</v>
    <v>124.64</v>
    <v>123.77</v>
    <v>124.14</v>
    <v>123.9</v>
    <v>124.57</v>
    <v>123.55</v>
    <v>123.13</v>
    <v>123.75</v>
    <v>124.09</v>
    <v>124.32</v>
    <v>124.34</v>
    <v>123.54</v>
    <v>125.21</v>
    <v>124.62</v>
    <v>124.31</v>
    <v>123.89</v>
    <v>124.51</v>
    <v>124.4</v>
    <v>124.51</v>
    <v>125.25</v>
    <v>125.07</v>
    <v>124.8</v>
    <v>124.81</v>
    <v>124.78</v>
    <v>124.79</v>
    <v>124.49</v>
    <v>124.32</v>
    <v>124.08</v>
    <v>124.56</v>
    <v>124.15</v>
    <v>124.3</v>
    <v>125.18</v>
    <v>125.12</v>
    <v>125.11</v>
    <v>124.84</v>
    <v>124.27</v>
    <v>124.24</v>
    <v>124.83</v>
    <v>123.78</v>
    <v>123.85</v>
    <v>123.63</v>
    <v>124.52</v>
    <v>124.41</v>
    <v>124.97</v>
    <v>125.71</v>
    <v>125.58</v>
    <v>125.48</v>
    <v>125.68</v>
    <v>125.78</v>
    <v>125.2</v>
    <v>125.47</v>
    <v>124.89</v>
    <v>124.96</v>
    <v>124.82</v>
    <v>124.59</v>
    <v>124.58</v>
    <v>124.46</v>
    <v>124.9</v>
    <v>125.21</v>
    <v>125.58</v>
    <v>125.84</v>
    <v>125.96</v>
    <v>124.12</v>
    <v>123.53</v>
    <v>123.81</v>
    <v>124.07</v>
    <v>124.46</v>
    <v>124.5</v>
    <v>124.5</v>
    <v>124.38</v>
    <v>124.29</v>
    <v>124.13</v>
    <v>124.03</v>
    <v>123.79</v>
    <v>123.76</v>
    <v>123.35</v>
    <v>122.37</v>
    <v>122.83</v>
    <v>122.99</v>
    <v>122.68</v>
    <v>122.69</v>
    <v>122.51</v>
    <v>122.31</v>
    <v>122.36</v>
    <v>122.28</v>
    <v>122.13</v>
    <v>121.98</v>
    <v>121.67</v>
    <v>122.11</v>
    <v>122.53</v>
    <v>122.72</v>
    <v>122.26</v>
    <v>122.22</v>
    <v>121.97</v>
    <v>122.44</v>
    <v>122.77</v>
    <v>122.81</v>
    <v>122.66</v>
    <v>122.65</v>
    <v>122.2</v>
    <v>122.27</v>
    <v>122.24</v>
    <v>122.4</v>
    <v>121.78</v>
    <v>121.63</v>
    <v>121.27</v>
    <v>121.27</v>
    <v>121.32</v>
    <v>121.27</v>
    <v>121.32</v>
    <v>121.8</v>
    <v>121.64</v>
    <v>121.48</v>
    <v>121.38</v>
    <v>120.99</v>
    <v>120.84</v>
    <v>120.47</v>
    <v>120.79</v>
    <v>120.86</v>
    <v>120.54</v>
    <v>120.68</v>
    <v>119.94</v>
    <v>119.18</v>
    <v>119.15</v>
    <v>118.88</v>
    <v>118.81</v>
    <v>119.04</v>
    <v>119.25</v>
    <v>118.44</v>
    <v>119.14</v>
    <v>118.99</v>
    <v>117.96</v>
    <v>117.7</v>
    <v>117.65</v>
    <v>117.31</v>
    <v>117.1</v>
    <v>116.87</v>
    <v>116.32</v>
    <v>116.64</v>
    <v>116.9</v>
    <v>117.77</v>
    <v>116.95</v>
    <v>116.87</v>
    <v>116.99</v>
    <v>116.69</v>
    <v>117.08</v>
    <v>116.88</v>
    <v>117.5</v>
    <v>117.59</v>
    <v>116.67</v>
    <v>116.71</v>
    <v>116.22</v>
    <v>115.71</v>
    <v>115.99</v>
  </a>
  <a r="1" c="205">
    <v>153.19</v>
    <v>147.44999999999999</v>
    <v>147.6</v>
    <v>148.81</v>
    <v>150.9</v>
    <v>146.19</v>
    <v>141.80000000000001</v>
    <v>142.63999999999999</v>
    <v>138.19</v>
    <v>134.61000000000001</v>
    <v>131.16999999999999</v>
    <v>127.31</v>
    <v>125.4</v>
    <v>125.3</v>
    <v>128.56</v>
    <v>133.11000000000001</v>
    <v>136.34</v>
    <v>131.80000000000001</v>
    <v>129.62</v>
    <v>116.73</v>
    <v>117.01</v>
    <v>118</v>
    <v>109.77</v>
    <v>111.07</v>
    <v>102.63</v>
    <v>100.74</v>
    <v>103.87</v>
    <v>106.48</v>
    <v>100.58</v>
    <v>103.29</v>
    <v>107.08</v>
    <v>105.91</v>
    <v>107.81</v>
    <v>107.37</v>
    <v>104.27</v>
    <v>100.8</v>
    <v>102.49</v>
    <v>104.23</v>
    <v>109.3</v>
    <v>108.01</v>
    <v>109.42</v>
    <v>113.19</v>
    <v>113.86</v>
    <v>120.38</v>
    <v>124.34</v>
    <v>121.93</v>
    <v>116.61</v>
    <v>115.63</v>
    <v>112.97</v>
    <v>113.62</v>
    <v>114.88</v>
    <v>116.72</v>
    <v>113.71</v>
    <v>113.27</v>
    <v>110.38</v>
    <v>110.95</v>
    <v>104.65</v>
    <v>103.06</v>
    <v>103.64</v>
    <v>99.41</v>
    <v>104.97</v>
    <v>104.55</v>
    <v>104.04</v>
    <v>102</v>
    <v>102.42</v>
    <v>100.55</v>
    <v>97.47</v>
    <v>89.81</v>
    <v>83</v>
    <v>89.06</v>
    <v>87.79</v>
    <v>94.19</v>
    <v>96.44</v>
    <v>96.66</v>
    <v>99.72</v>
    <v>100.14</v>
    <v>103.07</v>
    <v>84.78</v>
    <v>90.17</v>
    <v>90.45</v>
    <v>90.49</v>
    <v>88.89</v>
    <v>88.31</v>
    <v>91.16</v>
    <v>91.97</v>
    <v>92.01</v>
    <v>89.05</v>
    <v>93.59</v>
    <v>91.18</v>
    <v>91.49</v>
    <v>89</v>
    <v>87.05</v>
    <v>90.5</v>
    <v>95.07</v>
    <v>103.42</v>
    <v>101.83</v>
    <v>103.3</v>
    <v>99.69</v>
    <v>102.13</v>
    <v>99.92</v>
    <v>102.12</v>
    <v>108.73</v>
    <v>124.37</v>
    <v>135.86000000000001</v>
    <v>127.65</v>
    <v>117.9</v>
    <v>119.36</v>
    <v>112.45</v>
    <v>114.19</v>
    <v>106.97</v>
    <v>106.06</v>
    <v>103.08</v>
    <v>102.15</v>
    <v>104.15</v>
    <v>101.33</v>
    <v>95.48</v>
    <v>95.04</v>
    <v>93.01</v>
    <v>95.94</v>
    <v>93.8</v>
    <v>89.52</v>
    <v>98.34</v>
    <v>99.97</v>
    <v>99.28</v>
    <v>105.8</v>
    <v>106.32</v>
    <v>107.93</v>
    <v>110.73</v>
    <v>107.78</v>
    <v>108.84</v>
    <v>107.71</v>
    <v>111.26</v>
    <v>104.85</v>
    <v>104.73</v>
    <v>104.01</v>
    <v>103.24</v>
    <v>104.7</v>
    <v>102.06</v>
    <v>95.46</v>
    <v>91.94</v>
    <v>98.78</v>
    <v>105.56</v>
    <v>110.62</v>
    <v>115.76</v>
    <v>110.07</v>
    <v>111.23</v>
    <v>114.19</v>
    <v>118.14</v>
    <v>117.22</v>
    <v>117.35</v>
    <v>124.88</v>
    <v>127.44</v>
    <v>127.54</v>
    <v>124.94</v>
    <v>127.25</v>
    <v>124</v>
    <v>117.7</v>
    <v>119.49</v>
    <v>127.2</v>
    <v>129.75</v>
    <v>128.47999999999999</v>
    <v>128.05000000000001</v>
    <v>127</v>
    <v>125.8</v>
    <v>138.43</v>
    <v>144.71</v>
    <v>147.99</v>
    <v>142.9</v>
    <v>136.72</v>
    <v>145.59</v>
    <v>141.26</v>
    <v>134.21</v>
    <v>131.11000000000001</v>
    <v>131.16999999999999</v>
    <v>132.53</v>
    <v>142.35</v>
    <v>141.9</v>
    <v>139.82</v>
    <v>138.47</v>
    <v>135.47</v>
    <v>137.68</v>
    <v>137</v>
    <v>140.78</v>
    <v>137.78</v>
    <v>135.62</v>
    <v>131.44999999999999</v>
    <v>129.94</v>
    <v>134.01</v>
    <v>137.76</v>
    <v>134.38</v>
    <v>136.08000000000001</v>
    <v>137.97</v>
    <v>137.87</v>
    <v>139.75</v>
    <v>140.86000000000001</v>
    <v>140.32</v>
    <v>138.61000000000001</v>
    <v>139.97999999999999</v>
    <v>148.57</v>
    <v>141.97</v>
    <v>145.36000000000001</v>
    <v>149.54</v>
    <v>153.12</v>
    <v>157</v>
    <v>158.96</v>
  </a>
  <a r="1" c="252">
    <v>187.834</v>
    <v>186.03399999999999</v>
    <v>189.25800000000001</v>
    <v>187.58199999999999</v>
    <v>182.34</v>
    <v>186.93600000000001</v>
    <v>183.85599999999999</v>
    <v>182.768</v>
    <v>177.51400000000001</v>
    <v>175.92599999999999</v>
    <v>171.75399999999999</v>
    <v>172.374</v>
    <v>173.26</v>
    <v>172.13399999999999</v>
    <v>172.80799999999999</v>
    <v>169.93799999999999</v>
    <v>170.08600000000001</v>
    <v>167.15799999999999</v>
    <v>163.59399999999999</v>
    <v>163.29</v>
    <v>160.09200000000001</v>
    <v>162.68600000000001</v>
    <v>163.16800000000001</v>
    <v>165.06200000000001</v>
    <v>160.54400000000001</v>
    <v>162.482</v>
    <v>164.41399999999999</v>
    <v>164.876</v>
    <v>166.58</v>
    <v>167.774</v>
    <v>170.87200000000001</v>
    <v>170.70400000000001</v>
    <v>170.982</v>
    <v>170.71199999999999</v>
    <v>173.49799999999999</v>
    <v>173.012</v>
    <v>153.04</v>
    <v>156.22399999999999</v>
    <v>156.47800000000001</v>
    <v>153.38</v>
    <v>155.31</v>
    <v>156.68</v>
    <v>154.36000000000001</v>
    <v>152.59</v>
    <v>153.88999999999999</v>
    <v>154.58000000000001</v>
    <v>154.22999999999999</v>
    <v>153.19</v>
    <v>147.44999999999999</v>
    <v>147.6</v>
    <v>148.81</v>
    <v>150.9</v>
    <v>146.19</v>
    <v>141.80000000000001</v>
    <v>142.63999999999999</v>
    <v>138.19</v>
    <v>134.61000000000001</v>
    <v>131.16999999999999</v>
    <v>127.31</v>
    <v>125.4</v>
    <v>125.3</v>
    <v>128.56</v>
    <v>133.11000000000001</v>
    <v>136.34</v>
    <v>131.80000000000001</v>
    <v>129.62</v>
    <v>116.73</v>
    <v>117.01</v>
    <v>118</v>
    <v>109.77</v>
    <v>111.07</v>
    <v>102.63</v>
    <v>100.74</v>
    <v>103.87</v>
    <v>106.48</v>
    <v>100.58</v>
    <v>103.29</v>
    <v>107.08</v>
    <v>105.91</v>
    <v>107.81</v>
    <v>107.37</v>
    <v>104.27</v>
    <v>100.8</v>
    <v>102.49</v>
    <v>104.23</v>
    <v>109.3</v>
    <v>108.01</v>
    <v>109.42</v>
    <v>113.19</v>
    <v>113.86</v>
    <v>120.38</v>
    <v>124.34</v>
    <v>121.93</v>
    <v>116.61</v>
    <v>115.63</v>
    <v>112.97</v>
    <v>113.62</v>
    <v>114.88</v>
    <v>116.72</v>
    <v>113.71</v>
    <v>113.27</v>
    <v>110.38</v>
    <v>110.95</v>
    <v>104.65</v>
    <v>103.06</v>
    <v>103.64</v>
    <v>99.41</v>
    <v>104.97</v>
    <v>104.55</v>
    <v>104.04</v>
    <v>102</v>
    <v>102.42</v>
    <v>100.55</v>
    <v>97.47</v>
    <v>89.81</v>
    <v>83</v>
    <v>89.06</v>
    <v>87.79</v>
    <v>94.19</v>
    <v>96.44</v>
    <v>96.66</v>
    <v>99.72</v>
    <v>100.14</v>
    <v>103.07</v>
    <v>84.78</v>
    <v>90.17</v>
    <v>90.45</v>
    <v>90.49</v>
    <v>88.89</v>
    <v>88.31</v>
    <v>91.16</v>
    <v>91.97</v>
    <v>92.01</v>
    <v>89.05</v>
    <v>93.59</v>
    <v>91.18</v>
    <v>91.49</v>
    <v>89</v>
    <v>87.05</v>
    <v>90.5</v>
    <v>95.07</v>
    <v>103.42</v>
    <v>101.83</v>
    <v>103.3</v>
    <v>99.69</v>
    <v>102.13</v>
    <v>99.92</v>
    <v>102.12</v>
    <v>108.73</v>
    <v>124.37</v>
    <v>135.86000000000001</v>
    <v>127.65</v>
    <v>117.9</v>
    <v>119.36</v>
    <v>112.45</v>
    <v>114.19</v>
    <v>106.97</v>
    <v>106.06</v>
    <v>103.08</v>
    <v>102.15</v>
    <v>104.15</v>
    <v>101.33</v>
    <v>95.48</v>
    <v>95.04</v>
    <v>93.01</v>
    <v>95.94</v>
    <v>93.8</v>
    <v>89.52</v>
    <v>98.34</v>
    <v>99.97</v>
    <v>99.28</v>
    <v>105.8</v>
    <v>106.32</v>
    <v>107.93</v>
    <v>110.73</v>
    <v>107.78</v>
    <v>108.84</v>
    <v>107.71</v>
    <v>111.26</v>
    <v>104.85</v>
    <v>104.73</v>
    <v>104.01</v>
    <v>103.24</v>
    <v>104.7</v>
    <v>102.06</v>
    <v>95.46</v>
    <v>91.94</v>
    <v>98.78</v>
    <v>105.56</v>
    <v>110.62</v>
    <v>115.76</v>
    <v>110.07</v>
    <v>111.23</v>
    <v>114.19</v>
    <v>118.14</v>
    <v>117.22</v>
    <v>117.35</v>
    <v>124.88</v>
    <v>127.44</v>
    <v>127.54</v>
    <v>124.94</v>
    <v>127.25</v>
    <v>124</v>
    <v>117.7</v>
    <v>119.49</v>
    <v>127.2</v>
    <v>129.75</v>
    <v>128.47999999999999</v>
    <v>128.05000000000001</v>
    <v>127</v>
    <v>125.8</v>
    <v>138.43</v>
    <v>144.71</v>
    <v>147.99</v>
    <v>142.9</v>
    <v>136.72</v>
    <v>145.59</v>
    <v>141.26</v>
    <v>134.21</v>
    <v>131.11000000000001</v>
    <v>131.16999999999999</v>
    <v>132.53</v>
    <v>142.35</v>
    <v>141.9</v>
    <v>139.82</v>
    <v>138.47</v>
    <v>135.47</v>
    <v>137.68</v>
    <v>137</v>
    <v>140.78</v>
    <v>137.78</v>
    <v>135.62</v>
    <v>131.44999999999999</v>
    <v>129.94</v>
    <v>134.01</v>
    <v>137.76</v>
    <v>134.38</v>
    <v>136.08000000000001</v>
    <v>137.97</v>
    <v>137.87</v>
    <v>139.75</v>
    <v>140.86000000000001</v>
    <v>140.32</v>
    <v>138.61000000000001</v>
    <v>139.97999999999999</v>
    <v>148.57</v>
    <v>141.97</v>
    <v>145.36000000000001</v>
    <v>149.54</v>
    <v>153.12</v>
    <v>157</v>
    <v>158.96</v>
  </a>
  <a r="1" c="754">
    <v>108.276</v>
    <v>110.878</v>
    <v>106.03400000000001</v>
    <v>110.19</v>
    <v>110.80200000000001</v>
    <v>113.708</v>
    <v>116.37</v>
    <v>118.696</v>
    <v>119.886</v>
    <v>121.352</v>
    <v>121.85</v>
    <v>122.782</v>
    <v>125.066</v>
    <v>123.952</v>
    <v>126.952</v>
    <v>127.682</v>
    <v>130.834</v>
    <v>130.18</v>
    <v>130.45599999999999</v>
    <v>130.87200000000001</v>
    <v>133.38399999999999</v>
    <v>133.68</v>
    <v>133.93199999999999</v>
    <v>134.78</v>
    <v>134.11000000000001</v>
    <v>133.048</v>
    <v>135.786</v>
    <v>137.148</v>
    <v>138.15799999999999</v>
    <v>137.524</v>
    <v>137.64400000000001</v>
    <v>137.24600000000001</v>
    <v>137.536</v>
    <v>139.816</v>
    <v>141.024</v>
    <v>143.29599999999999</v>
    <v>143.12799999999999</v>
    <v>136.078</v>
    <v>139.648</v>
    <v>140.744</v>
    <v>141.542</v>
    <v>138.76</v>
    <v>140.15199999999999</v>
    <v>139.51</v>
    <v>140.24600000000001</v>
    <v>140.75200000000001</v>
    <v>140.49199999999999</v>
    <v>141.298</v>
    <v>137.50399999999999</v>
    <v>135.06</v>
    <v>134.374</v>
    <v>135.232</v>
    <v>139.25200000000001</v>
    <v>139.73400000000001</v>
    <v>142.86000000000001</v>
    <v>145.292</v>
    <v>145.83600000000001</v>
    <v>145.512</v>
    <v>145.50800000000001</v>
    <v>149.19200000000001</v>
    <v>149.822</v>
    <v>150.49</v>
    <v>150.684</v>
    <v>152.684</v>
    <v>153.33799999999999</v>
    <v>153.88800000000001</v>
    <v>157.44800000000001</v>
    <v>157.14599999999999</v>
    <v>153.08000000000001</v>
    <v>154.19999999999999</v>
    <v>156.26</v>
    <v>156.96799999999999</v>
    <v>155.49</v>
    <v>158.078</v>
    <v>159.88200000000001</v>
    <v>162.58799999999999</v>
    <v>157.47</v>
    <v>154.75200000000001</v>
    <v>158.4</v>
    <v>156</v>
    <v>153</v>
    <v>150.56800000000001</v>
    <v>149.58799999999999</v>
    <v>153.84200000000001</v>
    <v>154.19399999999999</v>
    <v>155.93199999999999</v>
    <v>153.428</v>
    <v>151.958</v>
    <v>154.268</v>
    <v>154.726</v>
    <v>155.21799999999999</v>
    <v>148.03</v>
    <v>148.21199999999999</v>
    <v>153.61600000000001</v>
    <v>151.536</v>
    <v>151.34800000000001</v>
    <v>157.91200000000001</v>
    <v>155.376</v>
    <v>155.898</v>
    <v>148.78200000000001</v>
    <v>151.16</v>
    <v>151.38800000000001</v>
    <v>153.512</v>
    <v>154.636</v>
    <v>154.83000000000001</v>
    <v>154.928</v>
    <v>155.714</v>
    <v>151.80000000000001</v>
    <v>152.47999999999999</v>
    <v>153.67400000000001</v>
    <v>151.4</v>
    <v>151.83199999999999</v>
    <v>151.51</v>
    <v>156.69999999999999</v>
    <v>157.12</v>
    <v>156.44399999999999</v>
    <v>153.83799999999999</v>
    <v>154.268</v>
    <v>153.74199999999999</v>
    <v>147.16200000000001</v>
    <v>148.95599999999999</v>
    <v>147.29</v>
    <v>146.27199999999999</v>
    <v>142.78200000000001</v>
    <v>144.38999999999999</v>
    <v>148.19</v>
    <v>149.25800000000001</v>
    <v>143.25</v>
    <v>144.71</v>
    <v>144.232</v>
    <v>138.666</v>
    <v>137.12200000000001</v>
    <v>139.14400000000001</v>
    <v>143.33000000000001</v>
    <v>145.31200000000001</v>
    <v>142.666</v>
    <v>144.20599999999999</v>
    <v>144.58799999999999</v>
    <v>145.958</v>
    <v>146.024</v>
    <v>144.32400000000001</v>
    <v>152.114</v>
    <v>151.602</v>
    <v>153.01</v>
    <v>154.83600000000001</v>
    <v>155.41</v>
    <v>154.166</v>
    <v>151.63</v>
    <v>147.702</v>
    <v>145.77199999999999</v>
    <v>146.22399999999999</v>
    <v>128.65799999999999</v>
    <v>131.386</v>
    <v>132.02199999999999</v>
    <v>134.4</v>
    <v>140.822</v>
    <v>140.63200000000001</v>
    <v>139.762</v>
    <v>141.83000000000001</v>
    <v>142.40799999999999</v>
    <v>144.30000000000001</v>
    <v>141.952</v>
    <v>145.71600000000001</v>
    <v>145.1</v>
    <v>146.03399999999999</v>
    <v>146.86199999999999</v>
    <v>149.86600000000001</v>
    <v>147.91800000000001</v>
    <v>150.96199999999999</v>
    <v>150.78200000000001</v>
    <v>154.82599999999999</v>
    <v>157.334</v>
    <v>157.792</v>
    <v>158.822</v>
    <v>157.184</v>
    <v>161.29400000000001</v>
    <v>153.24</v>
    <v>148.80199999999999</v>
    <v>148.63</v>
    <v>149.828</v>
    <v>151.69800000000001</v>
    <v>153.57</v>
    <v>152.15799999999999</v>
    <v>147.214</v>
    <v>147.75399999999999</v>
    <v>150.24</v>
    <v>151.30000000000001</v>
    <v>153.10400000000001</v>
    <v>146.17400000000001</v>
    <v>165.75800000000001</v>
    <v>165.52199999999999</v>
    <v>159.81200000000001</v>
    <v>159.76</v>
    <v>162.87799999999999</v>
    <v>162.27600000000001</v>
    <v>158.12799999999999</v>
    <v>156.25399999999999</v>
    <v>158.59</v>
    <v>155.256</v>
    <v>159.22800000000001</v>
    <v>162.21600000000001</v>
    <v>161.32400000000001</v>
    <v>163.76</v>
    <v>163.804</v>
    <v>166.422</v>
    <v>165.512</v>
    <v>166.57599999999999</v>
    <v>167.64400000000001</v>
    <v>167.83600000000001</v>
    <v>164.18600000000001</v>
    <v>165.654</v>
    <v>165.572</v>
    <v>166.34800000000001</v>
    <v>162.822</v>
    <v>166.25399999999999</v>
    <v>171</v>
    <v>167.172</v>
    <v>166.96600000000001</v>
    <v>167.08</v>
    <v>165.00800000000001</v>
    <v>171.11600000000001</v>
    <v>172.03</v>
    <v>175.19200000000001</v>
    <v>177.226</v>
    <v>175.79</v>
    <v>178.49199999999999</v>
    <v>177.166</v>
    <v>178.078</v>
    <v>183.85</v>
    <v>187.47200000000001</v>
    <v>185.11</v>
    <v>184.72</v>
    <v>178.006</v>
    <v>176.97200000000001</v>
    <v>176.358</v>
    <v>178.87799999999999</v>
    <v>173.43600000000001</v>
    <v>176.08199999999999</v>
    <v>178.12799999999999</v>
    <v>183.536</v>
    <v>181.18799999999999</v>
    <v>184.4</v>
    <v>187.73</v>
    <v>188.92599999999999</v>
    <v>187.71799999999999</v>
    <v>188.93799999999999</v>
    <v>185.59200000000001</v>
    <v>183.774</v>
    <v>183.42400000000001</v>
    <v>184.35</v>
    <v>183.66800000000001</v>
    <v>183.59</v>
    <v>181.536</v>
    <v>191.316</v>
    <v>190.17</v>
    <v>189</v>
    <v>190.61600000000001</v>
    <v>190</v>
    <v>186.59800000000001</v>
    <v>188.68199999999999</v>
    <v>190.91800000000001</v>
    <v>194.208</v>
    <v>198.89599999999999</v>
    <v>203.05600000000001</v>
    <v>201.61600000000001</v>
    <v>207.202</v>
    <v>209.65799999999999</v>
    <v>209.11</v>
    <v>207.96</v>
    <v>202.27799999999999</v>
    <v>201.06800000000001</v>
    <v>204.42</v>
    <v>204.596</v>
    <v>209.41</v>
    <v>212.12</v>
    <v>210.542</v>
    <v>214.01400000000001</v>
    <v>208.28</v>
    <v>209.88800000000001</v>
    <v>209.68600000000001</v>
    <v>211.464</v>
    <v>224.626</v>
    <v>224.744</v>
    <v>224.86799999999999</v>
    <v>224.096</v>
    <v>225.56800000000001</v>
    <v>229.43600000000001</v>
    <v>229.684</v>
    <v>224.22</v>
    <v>225.98599999999999</v>
    <v>222.94399999999999</v>
    <v>212.19800000000001</v>
    <v>214.97399999999999</v>
    <v>218.25</v>
    <v>217.65199999999999</v>
    <v>221.11199999999999</v>
    <v>219.822</v>
    <v>216.292</v>
    <v>213.54</v>
    <v>212.024</v>
    <v>210.86799999999999</v>
    <v>214.75399999999999</v>
    <v>215.41</v>
    <v>210.83</v>
    <v>209.816</v>
    <v>204.91399999999999</v>
    <v>203.148</v>
    <v>206.25800000000001</v>
    <v>210.82599999999999</v>
    <v>211.43199999999999</v>
    <v>214.29599999999999</v>
    <v>219.37</v>
    <v>225.03399999999999</v>
    <v>226.84</v>
    <v>224.99600000000001</v>
    <v>228.124</v>
    <v>234.078</v>
    <v>228.726</v>
    <v>202.55</v>
    <v>203.67599999999999</v>
    <v>204.18799999999999</v>
    <v>202.02600000000001</v>
    <v>205.41200000000001</v>
    <v>204.66</v>
    <v>201.65799999999999</v>
    <v>204.36199999999999</v>
    <v>201.81</v>
    <v>196.48</v>
    <v>197.89599999999999</v>
    <v>197.32599999999999</v>
    <v>199.49600000000001</v>
    <v>197.428</v>
    <v>193.596</v>
    <v>187.68199999999999</v>
    <v>185.51599999999999</v>
    <v>184.458</v>
    <v>188.392</v>
    <v>184.19200000000001</v>
    <v>185.952</v>
    <v>182.06200000000001</v>
    <v>181.21799999999999</v>
    <v>183.15799999999999</v>
    <v>173.41800000000001</v>
    <v>170.126</v>
    <v>156.76599999999999</v>
    <v>161.68</v>
    <v>168.62799999999999</v>
    <v>162.32400000000001</v>
    <v>168.86600000000001</v>
    <v>168.58600000000001</v>
    <v>166</v>
    <v>168.82400000000001</v>
    <v>164.82400000000001</v>
    <v>165.55</v>
    <v>169.946</v>
    <v>172.27600000000001</v>
    <v>167.71</v>
    <v>165.548</v>
    <v>159.55199999999999</v>
    <v>159.22800000000001</v>
    <v>162.31200000000001</v>
    <v>164.80600000000001</v>
    <v>154.81399999999999</v>
    <v>144.33000000000001</v>
    <v>147.1</v>
    <v>145.52000000000001</v>
    <v>165.19</v>
    <v>156.69800000000001</v>
    <v>157.13399999999999</v>
    <v>159.964</v>
    <v>163.30000000000001</v>
    <v>159.33199999999999</v>
    <v>154.43199999999999</v>
    <v>151.19800000000001</v>
    <v>153.36600000000001</v>
    <v>162.54</v>
    <v>187.714</v>
    <v>189.05199999999999</v>
    <v>187.482</v>
    <v>188.572</v>
    <v>191.00200000000001</v>
    <v>191.59</v>
    <v>195.47200000000001</v>
    <v>195.61</v>
    <v>193.05199999999999</v>
    <v>196.65799999999999</v>
    <v>194.898</v>
    <v>196.012</v>
    <v>203.12</v>
    <v>207.34399999999999</v>
    <v>205.364</v>
    <v>207.036</v>
    <v>208.036</v>
    <v>205.15</v>
    <v>204.36799999999999</v>
    <v>202.952</v>
    <v>203.154</v>
    <v>200.874</v>
    <v>205.47800000000001</v>
    <v>204.26</v>
    <v>203.04599999999999</v>
    <v>202.21799999999999</v>
    <v>202.422</v>
    <v>202.17599999999999</v>
    <v>202.548</v>
    <v>203.52</v>
    <v>206.042</v>
    <v>205.37200000000001</v>
    <v>201.958</v>
    <v>200.86600000000001</v>
    <v>201.47399999999999</v>
    <v>197.732</v>
    <v>201.02600000000001</v>
    <v>200.982</v>
    <v>196.416</v>
    <v>194.28200000000001</v>
    <v>196.08</v>
    <v>199.26400000000001</v>
    <v>201.03200000000001</v>
    <v>202.28800000000001</v>
    <v>204.48400000000001</v>
    <v>205.61600000000001</v>
    <v>202.37799999999999</v>
    <v>201.952</v>
    <v>208.93799999999999</v>
    <v>207.00200000000001</v>
    <v>204.596</v>
    <v>202.74199999999999</v>
    <v>193.61799999999999</v>
    <v>187.756</v>
    <v>192.35599999999999</v>
    <v>191.38399999999999</v>
    <v>193.39400000000001</v>
    <v>191.83</v>
    <v>192.68</v>
    <v>191.982</v>
    <v>192.47399999999999</v>
    <v>191.286</v>
    <v>199.23599999999999</v>
    <v>193.75800000000001</v>
    <v>197.15</v>
    <v>198.64</v>
    <v>195.49600000000001</v>
    <v>188.624</v>
    <v>182.874</v>
    <v>184.6</v>
    <v>181.024</v>
    <v>182.46199999999999</v>
    <v>174.82400000000001</v>
    <v>174.50200000000001</v>
    <v>171.274</v>
    <v>170.68600000000001</v>
    <v>172.66</v>
    <v>170.172</v>
    <v>173.44800000000001</v>
    <v>178.41</v>
    <v>177.35599999999999</v>
    <v>178.05</v>
    <v>175.39400000000001</v>
    <v>177.35</v>
    <v>175.988</v>
    <v>172.93199999999999</v>
    <v>177.596</v>
    <v>185.72</v>
    <v>183.49199999999999</v>
    <v>182.28399999999999</v>
    <v>183.876</v>
    <v>179.71199999999999</v>
    <v>182.76</v>
    <v>187.86600000000001</v>
    <v>186.73400000000001</v>
    <v>184.714</v>
    <v>187.65600000000001</v>
    <v>185.792</v>
    <v>189.48400000000001</v>
    <v>186.40199999999999</v>
    <v>190.07400000000001</v>
    <v>189.548</v>
    <v>192.23</v>
    <v>189.55600000000001</v>
    <v>185.53399999999999</v>
    <v>186.67400000000001</v>
    <v>183.72200000000001</v>
    <v>187.2</v>
    <v>188.17</v>
    <v>184.05600000000001</v>
    <v>182.48599999999999</v>
    <v>182.02</v>
    <v>182.47200000000001</v>
    <v>182.56800000000001</v>
    <v>180.84800000000001</v>
    <v>182.864</v>
    <v>183.59</v>
    <v>177.74199999999999</v>
    <v>184.74</v>
    <v>182.25200000000001</v>
    <v>180.61</v>
    <v>178.898</v>
    <v>180.72</v>
    <v>183.51</v>
    <v>188.3</v>
    <v>187.13</v>
    <v>187.834</v>
    <v>186.03399999999999</v>
    <v>189.25800000000001</v>
    <v>187.58199999999999</v>
    <v>182.34</v>
    <v>186.93600000000001</v>
    <v>183.85599999999999</v>
    <v>182.768</v>
    <v>177.51400000000001</v>
    <v>175.92599999999999</v>
    <v>171.75399999999999</v>
    <v>172.374</v>
    <v>173.26</v>
    <v>172.13399999999999</v>
    <v>172.80799999999999</v>
    <v>169.93799999999999</v>
    <v>170.08600000000001</v>
    <v>167.15799999999999</v>
    <v>163.59399999999999</v>
    <v>163.29</v>
    <v>160.09200000000001</v>
    <v>162.68600000000001</v>
    <v>163.16800000000001</v>
    <v>165.06200000000001</v>
    <v>160.54400000000001</v>
    <v>162.482</v>
    <v>164.41399999999999</v>
    <v>164.876</v>
    <v>166.58</v>
    <v>167.774</v>
    <v>170.87200000000001</v>
    <v>170.70400000000001</v>
    <v>170.982</v>
    <v>170.71199999999999</v>
    <v>173.49799999999999</v>
    <v>173.012</v>
    <v>153.04</v>
    <v>156.22399999999999</v>
    <v>156.47800000000001</v>
    <v>153.38</v>
    <v>155.31</v>
    <v>156.68</v>
    <v>154.36000000000001</v>
    <v>152.59</v>
    <v>153.88999999999999</v>
    <v>154.58000000000001</v>
    <v>154.22999999999999</v>
    <v>153.19</v>
    <v>147.44999999999999</v>
    <v>147.6</v>
    <v>148.81</v>
    <v>150.9</v>
    <v>146.19</v>
    <v>141.80000000000001</v>
    <v>142.63999999999999</v>
    <v>138.19</v>
    <v>134.61000000000001</v>
    <v>131.16999999999999</v>
    <v>127.31</v>
    <v>125.4</v>
    <v>125.3</v>
    <v>128.56</v>
    <v>133.11000000000001</v>
    <v>136.34</v>
    <v>131.80000000000001</v>
    <v>129.62</v>
    <v>116.73</v>
    <v>117.01</v>
    <v>118</v>
    <v>109.77</v>
    <v>111.07</v>
    <v>102.63</v>
    <v>100.74</v>
    <v>103.87</v>
    <v>106.48</v>
    <v>100.58</v>
    <v>103.29</v>
    <v>107.08</v>
    <v>105.91</v>
    <v>107.81</v>
    <v>107.37</v>
    <v>104.27</v>
    <v>100.8</v>
    <v>102.49</v>
    <v>104.23</v>
    <v>109.3</v>
    <v>108.01</v>
    <v>109.42</v>
    <v>113.19</v>
    <v>113.86</v>
    <v>120.38</v>
    <v>124.34</v>
    <v>121.93</v>
    <v>116.61</v>
    <v>115.63</v>
    <v>112.97</v>
    <v>113.62</v>
    <v>114.88</v>
    <v>116.72</v>
    <v>113.71</v>
    <v>113.27</v>
    <v>110.38</v>
    <v>110.95</v>
    <v>104.65</v>
    <v>103.06</v>
    <v>103.64</v>
    <v>99.41</v>
    <v>104.97</v>
    <v>104.55</v>
    <v>104.04</v>
    <v>102</v>
    <v>102.42</v>
    <v>100.55</v>
    <v>97.47</v>
    <v>89.81</v>
    <v>83</v>
    <v>89.06</v>
    <v>87.79</v>
    <v>94.19</v>
    <v>96.44</v>
    <v>96.66</v>
    <v>99.72</v>
    <v>100.14</v>
    <v>103.07</v>
    <v>84.78</v>
    <v>90.17</v>
    <v>90.45</v>
    <v>90.49</v>
    <v>88.89</v>
    <v>88.31</v>
    <v>91.16</v>
    <v>91.97</v>
    <v>92.01</v>
    <v>89.05</v>
    <v>93.59</v>
    <v>91.18</v>
    <v>91.49</v>
    <v>89</v>
    <v>87.05</v>
    <v>90.5</v>
    <v>95.07</v>
    <v>103.42</v>
    <v>101.83</v>
    <v>103.3</v>
    <v>99.69</v>
    <v>102.13</v>
    <v>99.92</v>
    <v>102.12</v>
    <v>108.73</v>
    <v>124.37</v>
    <v>135.86000000000001</v>
    <v>127.65</v>
    <v>117.9</v>
    <v>119.36</v>
    <v>112.45</v>
    <v>114.19</v>
    <v>106.97</v>
    <v>106.06</v>
    <v>103.08</v>
    <v>102.15</v>
    <v>104.15</v>
    <v>101.33</v>
    <v>95.48</v>
    <v>95.04</v>
    <v>93.01</v>
    <v>95.94</v>
    <v>93.8</v>
    <v>89.52</v>
    <v>98.34</v>
    <v>99.97</v>
    <v>99.28</v>
    <v>105.8</v>
    <v>106.32</v>
    <v>107.93</v>
    <v>110.73</v>
    <v>107.78</v>
    <v>108.84</v>
    <v>107.71</v>
    <v>111.26</v>
    <v>104.85</v>
    <v>104.73</v>
    <v>104.01</v>
    <v>103.24</v>
    <v>104.7</v>
    <v>102.06</v>
    <v>95.46</v>
    <v>91.94</v>
    <v>98.78</v>
    <v>105.56</v>
    <v>110.62</v>
    <v>115.76</v>
    <v>110.07</v>
    <v>111.23</v>
    <v>114.19</v>
    <v>118.14</v>
    <v>117.22</v>
    <v>117.35</v>
    <v>124.88</v>
    <v>127.44</v>
    <v>127.54</v>
    <v>124.94</v>
    <v>127.25</v>
    <v>124</v>
    <v>117.7</v>
    <v>119.49</v>
    <v>127.2</v>
    <v>129.75</v>
    <v>128.47999999999999</v>
    <v>128.05000000000001</v>
    <v>127</v>
    <v>125.8</v>
    <v>138.43</v>
    <v>144.71</v>
    <v>147.99</v>
    <v>142.9</v>
    <v>136.72</v>
    <v>145.59</v>
    <v>141.26</v>
    <v>134.21</v>
    <v>131.11000000000001</v>
    <v>131.16999999999999</v>
    <v>132.53</v>
    <v>142.35</v>
    <v>141.9</v>
    <v>139.82</v>
    <v>138.47</v>
    <v>135.47</v>
    <v>137.68</v>
    <v>137</v>
    <v>140.78</v>
    <v>137.78</v>
    <v>135.62</v>
    <v>131.44999999999999</v>
    <v>129.94</v>
    <v>134.01</v>
    <v>137.76</v>
    <v>134.38</v>
    <v>136.08000000000001</v>
    <v>137.97</v>
    <v>137.87</v>
    <v>139.75</v>
    <v>140.86000000000001</v>
    <v>140.32</v>
    <v>138.61000000000001</v>
    <v>139.97999999999999</v>
    <v>148.57</v>
    <v>141.97</v>
    <v>145.36000000000001</v>
    <v>149.54</v>
    <v>153.12</v>
    <v>157</v>
    <v>158.96</v>
  </a>
  <a r="1" c="208">
    <v>112.01</v>
    <v>113.34</v>
    <v>113.72</v>
    <v>114.27</v>
    <v>114.02</v>
    <v>114.88</v>
    <v>114.67</v>
    <v>114.98</v>
    <v>113.88</v>
    <v>115.41</v>
    <v>115.21</v>
    <v>113.37</v>
    <v>112.49</v>
    <v>112.59</v>
    <v>113.33</v>
    <v>113.05</v>
    <v>112.49</v>
    <v>112.1</v>
    <v>112.44</v>
    <v>111.2</v>
    <v>112.25</v>
    <v>113.63</v>
    <v>112.85</v>
    <v>112.35</v>
    <v>111.31</v>
    <v>112.23</v>
    <v>112.59</v>
    <v>112.53</v>
    <v>112.45</v>
    <v>111.27</v>
    <v>111.08</v>
    <v>110.91</v>
    <v>111.11</v>
    <v>112.34</v>
    <v>112.32</v>
    <v>112.53</v>
    <v>111.56</v>
    <v>112.13</v>
    <v>112.97</v>
    <v>112.62</v>
    <v>111.92</v>
    <v>112.85</v>
    <v>112.54</v>
    <v>113.6</v>
    <v>113.38</v>
    <v>112.02</v>
    <v>111.58</v>
    <v>112.73</v>
    <v>112.56</v>
    <v>112.04</v>
    <v>111.99</v>
    <v>112.1</v>
    <v>112.26</v>
    <v>111.61</v>
    <v>109.98</v>
    <v>109.15</v>
    <v>109.44</v>
    <v>109.34</v>
    <v>109.92</v>
    <v>108.88</v>
    <v>107.24</v>
    <v>107.68</v>
    <v>107.56</v>
    <v>109.4</v>
    <v>109.64</v>
    <v>109.15</v>
    <v>111.45</v>
    <v>111.94</v>
    <v>112.23</v>
    <v>112.19</v>
    <v>113.46</v>
    <v>114.17</v>
    <v>115.15</v>
    <v>116.45</v>
    <v>116.1</v>
    <v>116.33</v>
    <v>117.13</v>
    <v>117.6</v>
    <v>117.58</v>
    <v>117.47</v>
    <v>117.19</v>
    <v>117.54</v>
    <v>117.8</v>
    <v>118.6</v>
    <v>119.42</v>
    <v>120.38</v>
    <v>120.82</v>
    <v>121.02</v>
    <v>121.42</v>
    <v>120.78</v>
    <v>122.06</v>
    <v>123.95</v>
    <v>123.27</v>
    <v>122.27</v>
    <v>122.06</v>
    <v>123</v>
    <v>123.16</v>
    <v>124.59</v>
    <v>124.87</v>
    <v>124.75</v>
    <v>124.58</v>
    <v>125.11</v>
    <v>125.25</v>
    <v>125.89</v>
    <v>126.21</v>
    <v>125.8</v>
    <v>125.69</v>
    <v>125.19</v>
    <v>124.33</v>
    <v>122.3</v>
    <v>122.33</v>
    <v>122.11</v>
    <v>123.97</v>
    <v>125.77</v>
    <v>125.43</v>
    <v>125.13</v>
    <v>125.83</v>
    <v>126.18</v>
    <v>126.13</v>
    <v>125.13</v>
    <v>126.16</v>
    <v>125.05</v>
    <v>124.84</v>
    <v>125.05</v>
    <v>126.41</v>
    <v>127.46</v>
    <v>126.26</v>
    <v>126.62</v>
    <v>127.39</v>
    <v>126.45</v>
    <v>125.88</v>
    <v>127.09</v>
    <v>127.59</v>
    <v>127.88</v>
    <v>127.31</v>
    <v>127.61</v>
    <v>127.68</v>
    <v>126.16</v>
    <v>126.62</v>
    <v>126.97</v>
    <v>127.2</v>
    <v>125.52</v>
    <v>126.32</v>
    <v>125.59</v>
    <v>126.03</v>
    <v>125.1</v>
    <v>123.82</v>
    <v>124.84</v>
    <v>127.2</v>
    <v>129.11000000000001</v>
    <v>129.57</v>
    <v>129.27000000000001</v>
    <v>129.68</v>
    <v>129.78</v>
    <v>129.63999999999999</v>
    <v>129.6</v>
    <v>130.33000000000001</v>
    <v>129.83000000000001</v>
    <v>129.66999999999999</v>
    <v>128.49</v>
    <v>128.04</v>
    <v>127.09</v>
    <v>127.16</v>
    <v>126.79</v>
    <v>126.96</v>
    <v>127.24</v>
    <v>128.1</v>
    <v>129.28</v>
    <v>127.67</v>
    <v>127.59</v>
    <v>128</v>
    <v>128.85</v>
    <v>128.21</v>
    <v>128.02000000000001</v>
    <v>127.93</v>
    <v>127</v>
    <v>126.56</v>
    <v>127.87</v>
    <v>127.67</v>
    <v>127.09</v>
    <v>127.65</v>
    <v>128.62</v>
    <v>128.66</v>
    <v>130.35</v>
    <v>131.25</v>
    <v>131.1</v>
    <v>130.5</v>
    <v>131.03</v>
    <v>130.66999999999999</v>
    <v>130.87</v>
    <v>131.44</v>
    <v>131.32</v>
    <v>132.61000000000001</v>
    <v>133.9</v>
    <v>134.63999999999999</v>
    <v>134.57</v>
    <v>134.32</v>
    <v>134.74</v>
    <v>135.32</v>
    <v>134.68</v>
    <v>134.77000000000001</v>
    <v>133.36000000000001</v>
    <v>132.84</v>
    <v>133.22</v>
    <v>132.97</v>
    <v>133.58000000000001</v>
    <v>132.38</v>
    <v>132.34</v>
  </a>
  <a r="1" c="761">
    <v>74.709999999999994</v>
    <v>75.180000000000007</v>
    <v>74.63</v>
    <v>74.069999999999993</v>
    <v>73.37</v>
    <v>73.400000000000006</v>
    <v>74.13</v>
    <v>74.959999999999994</v>
    <v>75.959999999999994</v>
    <v>76.34</v>
    <v>76.239999999999995</v>
    <v>77</v>
    <v>76.680000000000007</v>
    <v>76.87</v>
    <v>76.95</v>
    <v>77.42</v>
    <v>77.92</v>
    <v>78.06</v>
    <v>77.72</v>
    <v>77.78</v>
    <v>77.84</v>
    <v>77.87</v>
    <v>78.78</v>
    <v>78.58</v>
    <v>78.28</v>
    <v>78.27</v>
    <v>78.069999999999993</v>
    <v>78.05</v>
    <v>78.34</v>
    <v>79.11</v>
    <v>79.08</v>
    <v>79.63</v>
    <v>79.540000000000006</v>
    <v>79.77</v>
    <v>80.239999999999995</v>
    <v>80.52</v>
    <v>80.680000000000007</v>
    <v>81.05</v>
    <v>80.64</v>
    <v>81.39</v>
    <v>81.569999999999993</v>
    <v>81.599999999999994</v>
    <v>81.78</v>
    <v>80.989999999999995</v>
    <v>81.3</v>
    <v>80.83</v>
    <v>81.28</v>
    <v>80.98</v>
    <v>81.47</v>
    <v>81.25</v>
    <v>81.069999999999993</v>
    <v>80.819999999999993</v>
    <v>80.930000000000007</v>
    <v>81.78</v>
    <v>81.81</v>
    <v>81.59</v>
    <v>82.02</v>
    <v>82.11</v>
    <v>82.61</v>
    <v>82.22</v>
    <v>82.52</v>
    <v>83.07</v>
    <v>83.88</v>
    <v>84.22</v>
    <v>84.51</v>
    <v>85.01</v>
    <v>84.9</v>
    <v>85.25</v>
    <v>85.55</v>
    <v>84.76</v>
    <v>84.42</v>
    <v>86.33</v>
    <v>86.53</v>
    <v>86.63</v>
    <v>87.18</v>
    <v>87.28</v>
    <v>87.45</v>
    <v>88.21</v>
    <v>87.28</v>
    <v>87.28</v>
    <v>87.67</v>
    <v>87.96</v>
    <v>87.65</v>
    <v>86.63</v>
    <v>86.57</v>
    <v>88.26</v>
    <v>88.64</v>
    <v>88.3</v>
    <v>88.02</v>
    <v>88.24</v>
    <v>88.52</v>
    <v>89.03</v>
    <v>89.08</v>
    <v>88.31</v>
    <v>88.42</v>
    <v>88.73</v>
    <v>88.84</v>
    <v>88.28</v>
    <v>89.06</v>
    <v>89.05</v>
    <v>89.22</v>
    <v>88.55</v>
    <v>89.55</v>
    <v>89.64</v>
    <v>89.95</v>
    <v>91.3</v>
    <v>91.26</v>
    <v>90.95</v>
    <v>91.12</v>
    <v>91.07</v>
    <v>91.74</v>
    <v>91.05</v>
    <v>91.04</v>
    <v>91.13</v>
    <v>90.52</v>
    <v>90.55</v>
    <v>89.98</v>
    <v>90.61</v>
    <v>90.86</v>
    <v>91.4</v>
    <v>91.18</v>
    <v>89.81</v>
    <v>89.23</v>
    <v>89.39</v>
    <v>88.31</v>
    <v>88.33</v>
    <v>89.27</v>
    <v>89.48</v>
    <v>88.23</v>
    <v>90.07</v>
    <v>89.96</v>
    <v>89.77</v>
    <v>88.8</v>
    <v>89.66</v>
    <v>90.34</v>
    <v>91</v>
    <v>91.09</v>
    <v>91.23</v>
    <v>91.51</v>
    <v>91.37</v>
    <v>91.25</v>
    <v>91.96</v>
    <v>92.48</v>
    <v>92.08</v>
    <v>92.64</v>
    <v>92.51</v>
    <v>92.76</v>
    <v>92.81</v>
    <v>92.44</v>
    <v>92.45</v>
    <v>92.21</v>
    <v>92.2</v>
    <v>91.57</v>
    <v>90.78</v>
    <v>91.48</v>
    <v>91.45</v>
    <v>92.69</v>
    <v>92.99</v>
    <v>93.74</v>
    <v>94.18</v>
    <v>94.31</v>
    <v>94.78</v>
    <v>95.28</v>
    <v>95.87</v>
    <v>95.96</v>
    <v>96.49</v>
    <v>96.69</v>
    <v>96.95</v>
    <v>96.76</v>
    <v>96.66</v>
    <v>96.5</v>
    <v>96.71</v>
    <v>96.7</v>
    <v>97.08</v>
    <v>96.38</v>
    <v>96.63</v>
    <v>96.74</v>
    <v>96.83</v>
    <v>97</v>
    <v>97.31</v>
    <v>97.66</v>
    <v>97.84</v>
    <v>97.41</v>
    <v>97.79</v>
    <v>98.04</v>
    <v>98.23</v>
    <v>97.05</v>
    <v>96.39</v>
    <v>95.9</v>
    <v>96.28</v>
    <v>97.39</v>
    <v>95.34</v>
    <v>95.04</v>
    <v>94.99</v>
    <v>95.29</v>
    <v>95.25</v>
    <v>96.68</v>
    <v>96.12</v>
    <v>92.16</v>
    <v>90.07</v>
    <v>90.99</v>
    <v>91.99</v>
    <v>91.87</v>
    <v>92.34</v>
    <v>92.47</v>
    <v>93.38</v>
    <v>93.68</v>
    <v>95.4</v>
    <v>95.51</v>
    <v>95.44</v>
    <v>95.42</v>
    <v>95.57</v>
    <v>95.28</v>
    <v>95.3</v>
    <v>95.32</v>
    <v>95.24</v>
    <v>96.41</v>
    <v>95.96</v>
    <v>96.75</v>
    <v>95.75</v>
    <v>94.57</v>
    <v>93.89</v>
    <v>92.75</v>
    <v>93.73</v>
    <v>94.21</v>
    <v>93.57</v>
    <v>95.56</v>
    <v>96.28</v>
    <v>95.79</v>
    <v>96.53</v>
    <v>96.05</v>
    <v>97.26</v>
    <v>96.83</v>
    <v>97.45</v>
    <v>97.32</v>
    <v>97.44</v>
    <v>97.27</v>
    <v>97.71</v>
    <v>97.58</v>
    <v>97.82</v>
    <v>98.24</v>
    <v>98.21</v>
    <v>98.79</v>
    <v>99.2</v>
    <v>99.29</v>
    <v>100.15</v>
    <v>100.47</v>
    <v>100.73</v>
    <v>101.68</v>
    <v>101.75</v>
    <v>101.65</v>
    <v>102.61</v>
    <v>102.38</v>
    <v>102.22</v>
    <v>102.52</v>
    <v>102.23</v>
    <v>102.06</v>
    <v>102.53</v>
    <v>102.29</v>
    <v>102.45</v>
    <v>102.13</v>
    <v>100.17</v>
    <v>100.62</v>
    <v>99.7</v>
    <v>100.28</v>
    <v>104.39</v>
    <v>104.99</v>
    <v>106.15</v>
    <v>107.18</v>
    <v>107.21</v>
    <v>107.73</v>
    <v>107.41</v>
    <v>105.91</v>
    <v>106.13</v>
    <v>106.01</v>
    <v>106.11</v>
    <v>107.66</v>
    <v>108.74</v>
    <v>108.54</v>
    <v>108.91</v>
    <v>107.87</v>
    <v>108.28</v>
    <v>108.68</v>
    <v>109.5</v>
    <v>109.25</v>
    <v>109.56</v>
    <v>109.45</v>
    <v>109.52</v>
    <v>109.07</v>
    <v>109.58</v>
    <v>110.25</v>
    <v>110.04</v>
    <v>109.66</v>
    <v>109.95</v>
    <v>109.63</v>
    <v>110.03</v>
    <v>108.25</v>
    <v>108.63</v>
    <v>108.56</v>
    <v>108.87</v>
    <v>108.23</v>
    <v>109.42</v>
    <v>109.44</v>
    <v>110.1</v>
    <v>109.07</v>
    <v>109.11</v>
    <v>109.23</v>
    <v>108.09</v>
    <v>108.03</v>
    <v>107.8</v>
    <v>109.67</v>
    <v>109.81</v>
    <v>110.92</v>
    <v>110.16</v>
    <v>110.21</v>
    <v>111.37</v>
    <v>111.44</v>
    <v>110.75</v>
    <v>108.48</v>
    <v>110.16</v>
    <v>110.46</v>
    <v>110.28</v>
    <v>111.83</v>
    <v>110.89</v>
    <v>110.74</v>
    <v>110.17</v>
    <v>111.47</v>
    <v>111.32</v>
    <v>111.88</v>
    <v>111.55</v>
    <v>110.65</v>
    <v>111.07</v>
    <v>110.86</v>
    <v>111.32</v>
    <v>111.36</v>
    <v>112.11</v>
    <v>110.84</v>
    <v>110.88</v>
    <v>109.43</v>
    <v>107.4</v>
    <v>108.81</v>
    <v>109.07</v>
    <v>107.68</v>
    <v>107.69</v>
    <v>104.03</v>
    <v>101.71</v>
    <v>101.99</v>
    <v>99.92</v>
    <v>99.39</v>
    <v>97.17</v>
    <v>98.1</v>
    <v>97.2</v>
    <v>98.32</v>
    <v>98.54</v>
    <v>97.94</v>
    <v>99.18</v>
    <v>99.63</v>
    <v>99.43</v>
    <v>101.66</v>
    <v>101.69</v>
    <v>101.26</v>
    <v>100.8</v>
    <v>98.48</v>
    <v>97.93</v>
    <v>99.37</v>
    <v>99.36</v>
    <v>93.94</v>
    <v>89.82</v>
    <v>87.37</v>
    <v>90.42</v>
    <v>86.01</v>
    <v>89.5</v>
    <v>88.25</v>
    <v>90.86</v>
    <v>91.48</v>
    <v>90.04</v>
    <v>88.78</v>
    <v>87.53</v>
    <v>90.78</v>
    <v>91.42</v>
    <v>91.98</v>
    <v>92.04</v>
    <v>92.52</v>
    <v>92.8</v>
    <v>95.43</v>
    <v>95.39</v>
    <v>94.81</v>
    <v>94.34</v>
    <v>96.19</v>
    <v>96.03</v>
    <v>99.76</v>
    <v>100.68</v>
    <v>100.45</v>
    <v>100.74</v>
    <v>101.54</v>
    <v>100.76</v>
    <v>100.82</v>
    <v>99.82</v>
    <v>98.95</v>
    <v>97.63</v>
    <v>98.48</v>
    <v>99.42</v>
    <v>99.9</v>
    <v>99.22</v>
    <v>99.17</v>
    <v>98.5</v>
    <v>100.11</v>
    <v>100.03</v>
    <v>100.11</v>
    <v>100.5</v>
    <v>100.44</v>
    <v>100.58</v>
    <v>100.59</v>
    <v>99.56</v>
    <v>99.33</v>
    <v>99.67</v>
    <v>99.64</v>
    <v>99.59</v>
    <v>98.82</v>
    <v>99.23</v>
    <v>99.09</v>
    <v>100.07</v>
    <v>100.21</v>
    <v>100.02</v>
    <v>100.81</v>
    <v>100.67</v>
    <v>100.57</v>
    <v>100.89</v>
    <v>102.06</v>
    <v>101.31</v>
    <v>101.71</v>
    <v>101.67</v>
    <v>101.96</v>
    <v>102.8</v>
    <v>102.29</v>
    <v>102.44</v>
    <v>103.3</v>
    <v>101.58</v>
    <v>103.73</v>
    <v>103.33</v>
    <v>103.47</v>
    <v>102.67</v>
    <v>103.24</v>
    <v>103.57</v>
    <v>104.01</v>
    <v>105.23</v>
    <v>105.73</v>
    <v>106.24</v>
    <v>106.8</v>
    <v>103.25</v>
    <v>104.39</v>
    <v>104.07</v>
    <v>104.27</v>
    <v>104.24</v>
    <v>104.57</v>
    <v>105.36</v>
    <v>105.3</v>
    <v>105.41</v>
    <v>105.96</v>
    <v>105.69</v>
    <v>105.58</v>
    <v>104.78</v>
    <v>105.26</v>
    <v>105.79</v>
    <v>105.87</v>
    <v>105.76</v>
    <v>106.87</v>
    <v>106.33</v>
    <v>105.67</v>
    <v>105.86</v>
    <v>104.75</v>
    <v>105.5</v>
    <v>106.5</v>
    <v>105.51</v>
    <v>106.09</v>
    <v>106.12</v>
    <v>106.81</v>
    <v>107.51</v>
    <v>107.7</v>
    <v>107.71</v>
    <v>106.91</v>
    <v>106.79</v>
    <v>108.08</v>
    <v>108.27</v>
    <v>108.62</v>
    <v>108.68</v>
    <v>108.57</v>
    <v>108.51</v>
    <v>108.53</v>
    <v>108.85</v>
    <v>108.7</v>
    <v>109.34</v>
    <v>109.78</v>
    <v>110.03</v>
    <v>110.33</v>
    <v>110.3</v>
    <v>111.42</v>
    <v>111.55</v>
    <v>109.39</v>
    <v>110.26</v>
    <v>109.54</v>
    <v>110.22</v>
    <v>109.89</v>
    <v>108.7</v>
    <v>110.69</v>
    <v>111.33</v>
    <v>110.63</v>
    <v>111.09</v>
    <v>112.15</v>
    <v>112.99</v>
    <v>113.28</v>
    <v>113.6</v>
    <v>113.81</v>
    <v>113.74</v>
    <v>113.94</v>
    <v>113.52</v>
    <v>113.71</v>
    <v>111.82</v>
    <v>110.19</v>
    <v>112.53</v>
    <v>112.74</v>
    <v>113.27</v>
    <v>111.7</v>
    <v>111.57</v>
    <v>111.19</v>
    <v>109.91</v>
    <v>110.3</v>
    <v>111.17</v>
    <v>109.66</v>
    <v>111.44</v>
    <v>111.61</v>
    <v>112.89</v>
    <v>112.79</v>
    <v>113.2</v>
    <v>112.75</v>
    <v>112.71</v>
    <v>112.7</v>
    <v>112.76</v>
    <v>113.32</v>
    <v>113.09</v>
    <v>113.26</v>
    <v>112.94</v>
    <v>112.23</v>
    <v>111.53</v>
    <v>111.49</v>
    <v>110.75</v>
    <v>110.29</v>
    <v>111.5</v>
    <v>111.99</v>
    <v>112.31</v>
    <v>112.48</v>
    <v>112.7</v>
    <v>112.86</v>
    <v>112.01</v>
    <v>113.34</v>
    <v>113.72</v>
    <v>114.27</v>
    <v>114.02</v>
    <v>114.88</v>
    <v>114.67</v>
    <v>114.98</v>
    <v>113.88</v>
    <v>115.41</v>
    <v>115.21</v>
    <v>113.37</v>
    <v>112.49</v>
    <v>112.59</v>
    <v>113.33</v>
    <v>113.05</v>
    <v>112.49</v>
    <v>112.1</v>
    <v>112.44</v>
    <v>111.2</v>
    <v>112.25</v>
    <v>113.63</v>
    <v>112.85</v>
    <v>112.35</v>
    <v>111.31</v>
    <v>112.23</v>
    <v>112.59</v>
    <v>112.53</v>
    <v>112.45</v>
    <v>111.27</v>
    <v>111.08</v>
    <v>110.91</v>
    <v>111.11</v>
    <v>112.34</v>
    <v>112.32</v>
    <v>112.53</v>
    <v>111.56</v>
    <v>112.13</v>
    <v>112.97</v>
    <v>112.62</v>
    <v>111.92</v>
    <v>112.85</v>
    <v>112.54</v>
    <v>113.6</v>
    <v>113.38</v>
    <v>112.02</v>
    <v>111.58</v>
    <v>112.73</v>
    <v>112.56</v>
    <v>112.04</v>
    <v>111.99</v>
    <v>112.1</v>
    <v>112.26</v>
    <v>111.61</v>
    <v>109.98</v>
    <v>109.15</v>
    <v>109.44</v>
    <v>109.34</v>
    <v>109.92</v>
    <v>108.88</v>
    <v>107.24</v>
    <v>107.68</v>
    <v>107.56</v>
    <v>109.4</v>
    <v>109.64</v>
    <v>109.15</v>
    <v>111.45</v>
    <v>111.94</v>
    <v>112.23</v>
    <v>112.19</v>
    <v>113.46</v>
    <v>114.17</v>
    <v>115.15</v>
    <v>116.45</v>
    <v>116.1</v>
    <v>116.33</v>
    <v>117.13</v>
    <v>117.6</v>
    <v>117.58</v>
    <v>117.47</v>
    <v>117.19</v>
    <v>117.54</v>
    <v>117.8</v>
    <v>118.6</v>
    <v>119.42</v>
    <v>120.38</v>
    <v>120.82</v>
    <v>121.02</v>
    <v>121.42</v>
    <v>120.78</v>
    <v>122.06</v>
    <v>123.95</v>
    <v>123.27</v>
    <v>122.27</v>
    <v>122.06</v>
    <v>123</v>
    <v>123.16</v>
    <v>124.59</v>
    <v>124.87</v>
    <v>124.75</v>
    <v>124.58</v>
    <v>125.11</v>
    <v>125.25</v>
    <v>125.89</v>
    <v>126.21</v>
    <v>125.8</v>
    <v>125.69</v>
    <v>125.19</v>
    <v>124.33</v>
    <v>122.3</v>
    <v>122.33</v>
    <v>122.11</v>
    <v>123.97</v>
    <v>125.77</v>
    <v>125.43</v>
    <v>125.13</v>
    <v>125.83</v>
    <v>126.18</v>
    <v>126.13</v>
    <v>125.13</v>
    <v>126.16</v>
    <v>125.05</v>
    <v>124.84</v>
    <v>125.05</v>
    <v>126.41</v>
    <v>127.46</v>
    <v>126.26</v>
    <v>126.62</v>
    <v>127.39</v>
    <v>126.45</v>
    <v>125.88</v>
    <v>127.09</v>
    <v>127.59</v>
    <v>127.88</v>
    <v>127.31</v>
    <v>127.61</v>
    <v>127.68</v>
    <v>126.16</v>
    <v>126.62</v>
    <v>126.97</v>
    <v>127.2</v>
    <v>125.52</v>
    <v>126.32</v>
    <v>125.59</v>
    <v>126.03</v>
    <v>125.1</v>
    <v>123.82</v>
    <v>124.84</v>
    <v>127.2</v>
    <v>129.11000000000001</v>
    <v>129.57</v>
    <v>129.27000000000001</v>
    <v>129.68</v>
    <v>129.78</v>
    <v>129.63999999999999</v>
    <v>129.6</v>
    <v>130.33000000000001</v>
    <v>129.83000000000001</v>
    <v>129.66999999999999</v>
    <v>128.49</v>
    <v>128.04</v>
    <v>127.09</v>
    <v>127.16</v>
    <v>126.79</v>
    <v>126.96</v>
    <v>127.24</v>
    <v>128.1</v>
    <v>129.28</v>
    <v>127.67</v>
    <v>127.59</v>
    <v>128</v>
    <v>128.85</v>
    <v>128.21</v>
    <v>128.02000000000001</v>
    <v>127.93</v>
    <v>127</v>
    <v>126.56</v>
    <v>127.87</v>
    <v>127.67</v>
    <v>127.09</v>
    <v>127.65</v>
    <v>128.62</v>
    <v>128.66</v>
    <v>130.35</v>
    <v>131.25</v>
    <v>131.1</v>
    <v>130.5</v>
    <v>131.03</v>
    <v>130.66999999999999</v>
    <v>130.87</v>
    <v>131.44</v>
    <v>131.32</v>
    <v>132.61000000000001</v>
    <v>133.9</v>
    <v>134.63999999999999</v>
    <v>134.57</v>
    <v>134.32</v>
    <v>134.74</v>
    <v>135.32</v>
    <v>134.68</v>
    <v>134.77000000000001</v>
    <v>133.36000000000001</v>
    <v>132.84</v>
    <v>133.22</v>
    <v>132.97</v>
    <v>133.58000000000001</v>
    <v>132.38</v>
    <v>132.34</v>
  </a>
  <a r="1" c="254">
    <v>111.09</v>
    <v>112.15</v>
    <v>112.99</v>
    <v>113.28</v>
    <v>113.6</v>
    <v>113.81</v>
    <v>113.74</v>
    <v>113.94</v>
    <v>113.52</v>
    <v>113.71</v>
    <v>111.82</v>
    <v>110.19</v>
    <v>112.53</v>
    <v>112.74</v>
    <v>113.27</v>
    <v>111.7</v>
    <v>111.57</v>
    <v>111.19</v>
    <v>109.91</v>
    <v>110.3</v>
    <v>111.17</v>
    <v>109.66</v>
    <v>111.44</v>
    <v>111.61</v>
    <v>112.89</v>
    <v>112.79</v>
    <v>113.2</v>
    <v>112.75</v>
    <v>112.71</v>
    <v>112.7</v>
    <v>112.76</v>
    <v>113.32</v>
    <v>113.09</v>
    <v>113.26</v>
    <v>112.94</v>
    <v>112.23</v>
    <v>111.53</v>
    <v>111.49</v>
    <v>110.75</v>
    <v>110.29</v>
    <v>111.5</v>
    <v>111.99</v>
    <v>112.31</v>
    <v>112.48</v>
    <v>112.7</v>
    <v>112.86</v>
    <v>112.01</v>
    <v>113.34</v>
    <v>113.72</v>
    <v>114.27</v>
    <v>114.02</v>
    <v>114.88</v>
    <v>114.67</v>
    <v>114.98</v>
    <v>113.88</v>
    <v>115.41</v>
    <v>115.21</v>
    <v>113.37</v>
    <v>112.49</v>
    <v>112.59</v>
    <v>113.33</v>
    <v>113.05</v>
    <v>112.49</v>
    <v>112.1</v>
    <v>112.44</v>
    <v>111.2</v>
    <v>112.25</v>
    <v>113.63</v>
    <v>112.85</v>
    <v>112.35</v>
    <v>111.31</v>
    <v>112.23</v>
    <v>112.59</v>
    <v>112.53</v>
    <v>112.45</v>
    <v>111.27</v>
    <v>111.08</v>
    <v>110.91</v>
    <v>111.11</v>
    <v>112.34</v>
    <v>112.32</v>
    <v>112.53</v>
    <v>111.56</v>
    <v>112.13</v>
    <v>112.97</v>
    <v>112.62</v>
    <v>111.92</v>
    <v>112.85</v>
    <v>112.54</v>
    <v>113.6</v>
    <v>113.38</v>
    <v>112.02</v>
    <v>111.58</v>
    <v>112.73</v>
    <v>112.56</v>
    <v>112.04</v>
    <v>111.99</v>
    <v>112.1</v>
    <v>112.26</v>
    <v>111.61</v>
    <v>109.98</v>
    <v>109.15</v>
    <v>109.44</v>
    <v>109.34</v>
    <v>109.92</v>
    <v>108.88</v>
    <v>107.24</v>
    <v>107.68</v>
    <v>107.56</v>
    <v>109.4</v>
    <v>109.64</v>
    <v>109.15</v>
    <v>111.45</v>
    <v>111.94</v>
    <v>112.23</v>
    <v>112.19</v>
    <v>113.46</v>
    <v>114.17</v>
    <v>115.15</v>
    <v>116.45</v>
    <v>116.1</v>
    <v>116.33</v>
    <v>117.13</v>
    <v>117.6</v>
    <v>117.58</v>
    <v>117.47</v>
    <v>117.19</v>
    <v>117.54</v>
    <v>117.8</v>
    <v>118.6</v>
    <v>119.42</v>
    <v>120.38</v>
    <v>120.82</v>
    <v>121.02</v>
    <v>121.42</v>
    <v>120.78</v>
    <v>122.06</v>
    <v>123.95</v>
    <v>123.27</v>
    <v>122.27</v>
    <v>122.06</v>
    <v>123</v>
    <v>123.16</v>
    <v>124.59</v>
    <v>124.87</v>
    <v>124.75</v>
    <v>124.58</v>
    <v>125.11</v>
    <v>125.25</v>
    <v>125.89</v>
    <v>126.21</v>
    <v>125.8</v>
    <v>125.69</v>
    <v>125.19</v>
    <v>124.33</v>
    <v>122.3</v>
    <v>122.33</v>
    <v>122.11</v>
    <v>123.97</v>
    <v>125.77</v>
    <v>125.43</v>
    <v>125.13</v>
    <v>125.83</v>
    <v>126.18</v>
    <v>126.13</v>
    <v>125.13</v>
    <v>126.16</v>
    <v>125.05</v>
    <v>124.84</v>
    <v>125.05</v>
    <v>126.41</v>
    <v>127.46</v>
    <v>126.26</v>
    <v>126.62</v>
    <v>127.39</v>
    <v>126.45</v>
    <v>125.88</v>
    <v>127.09</v>
    <v>127.59</v>
    <v>127.88</v>
    <v>127.31</v>
    <v>127.61</v>
    <v>127.68</v>
    <v>126.16</v>
    <v>126.62</v>
    <v>126.97</v>
    <v>127.2</v>
    <v>125.52</v>
    <v>126.32</v>
    <v>125.59</v>
    <v>126.03</v>
    <v>125.1</v>
    <v>123.82</v>
    <v>124.84</v>
    <v>127.2</v>
    <v>129.11000000000001</v>
    <v>129.57</v>
    <v>129.27000000000001</v>
    <v>129.68</v>
    <v>129.78</v>
    <v>129.63999999999999</v>
    <v>129.6</v>
    <v>130.33000000000001</v>
    <v>129.83000000000001</v>
    <v>129.66999999999999</v>
    <v>128.49</v>
    <v>128.04</v>
    <v>127.09</v>
    <v>127.16</v>
    <v>126.79</v>
    <v>126.96</v>
    <v>127.24</v>
    <v>128.1</v>
    <v>129.28</v>
    <v>127.67</v>
    <v>127.59</v>
    <v>128</v>
    <v>128.85</v>
    <v>128.21</v>
    <v>128.02000000000001</v>
    <v>127.93</v>
    <v>127</v>
    <v>126.56</v>
    <v>127.87</v>
    <v>127.67</v>
    <v>127.09</v>
    <v>127.65</v>
    <v>128.62</v>
    <v>128.66</v>
    <v>130.35</v>
    <v>131.25</v>
    <v>131.1</v>
    <v>130.5</v>
    <v>131.03</v>
    <v>130.66999999999999</v>
    <v>130.87</v>
    <v>131.44</v>
    <v>131.32</v>
    <v>132.61000000000001</v>
    <v>133.9</v>
    <v>134.63999999999999</v>
    <v>134.57</v>
    <v>134.32</v>
    <v>134.74</v>
    <v>135.32</v>
    <v>134.68</v>
    <v>134.77000000000001</v>
    <v>133.36000000000001</v>
    <v>132.84</v>
    <v>133.22</v>
    <v>132.97</v>
    <v>133.58000000000001</v>
    <v>132.38</v>
    <v>132.34</v>
  </a>
  <a r="1" c="257">
    <v t="i">0</v>
    <v t="i">1</v>
    <v t="i">4</v>
    <v t="i">5</v>
    <v t="i">6</v>
    <v t="i">7</v>
    <v t="i">8</v>
    <v t="i">11</v>
    <v t="i">12</v>
    <v t="i">13</v>
    <v t="i">14</v>
    <v t="i">15</v>
    <v t="i">18</v>
    <v t="i">19</v>
    <v t="i">20</v>
    <v t="i">21</v>
    <v t="i">22</v>
    <v t="i">25</v>
    <v t="i">26</v>
    <v t="i">27</v>
    <v t="i">28</v>
    <v t="i">29</v>
    <v t="i">32</v>
    <v t="i">33</v>
    <v t="i">34</v>
    <v t="i">35</v>
    <v t="i">36</v>
    <v t="i">39</v>
    <v t="i">40</v>
    <v t="i">41</v>
    <v t="i">42</v>
    <v t="i">43</v>
    <v t="i">46</v>
    <v t="i">47</v>
    <v t="i">48</v>
    <v t="i">49</v>
    <v t="i">50</v>
    <v t="i">53</v>
    <v t="i">54</v>
    <v t="i">55</v>
    <v t="i">56</v>
    <v t="i">57</v>
    <v t="i">60</v>
    <v t="i">61</v>
    <v t="i">62</v>
    <v t="i">67</v>
    <v t="i">68</v>
    <v t="i">69</v>
    <v t="i">71</v>
    <v t="i">74</v>
    <v t="i">75</v>
    <v t="i">76</v>
    <v t="i">77</v>
    <v t="i">78</v>
    <v t="i">81</v>
    <v t="i">82</v>
    <v t="i">83</v>
    <v t="i">84</v>
    <v t="i">85</v>
    <v t="i">88</v>
    <v t="i">89</v>
    <v t="i">90</v>
    <v t="i">91</v>
    <v t="i">92</v>
    <v t="i">95</v>
    <v t="i">96</v>
    <v t="i">97</v>
    <v t="i">98</v>
    <v t="i">99</v>
    <v t="i">102</v>
    <v t="i">103</v>
    <v t="i">104</v>
    <v t="i">105</v>
    <v t="i">106</v>
    <v t="i">109</v>
    <v t="i">110</v>
    <v t="i">111</v>
    <v t="i">112</v>
    <v t="i">113</v>
    <v t="i">116</v>
    <v t="i">117</v>
    <v t="i">118</v>
    <v t="i">119</v>
    <v t="i">120</v>
    <v t="i">123</v>
    <v t="i">124</v>
    <v t="i">125</v>
    <v t="i">126</v>
    <v t="i">127</v>
    <v t="i">130</v>
    <v t="i">131</v>
    <v t="i">132</v>
    <v t="i">133</v>
    <v t="i">134</v>
    <v t="i">137</v>
    <v t="i">138</v>
    <v t="i">139</v>
    <v t="i">140</v>
    <v t="i">141</v>
    <v t="i">144</v>
    <v t="i">145</v>
    <v t="i">146</v>
    <v t="i">147</v>
    <v t="i">148</v>
    <v t="i">151</v>
    <v t="i">152</v>
    <v t="i">153</v>
    <v t="i">154</v>
    <v t="i">155</v>
    <v t="i">158</v>
    <v t="i">159</v>
    <v t="i">160</v>
    <v t="i">161</v>
    <v t="i">166</v>
    <v t="i">167</v>
    <v t="i">168</v>
    <v t="i">169</v>
    <v t="i">172</v>
    <v t="i">173</v>
    <v t="i">174</v>
    <v t="i">175</v>
    <v t="i">176</v>
    <v t="i">179</v>
    <v t="i">180</v>
    <v t="i">181</v>
    <v t="i">182</v>
    <v t="i">183</v>
    <v t="i">186</v>
    <v t="i">187</v>
    <v t="i">188</v>
    <v t="i">189</v>
    <v t="i">190</v>
    <v t="i">193</v>
    <v t="i">194</v>
    <v t="i">195</v>
    <v t="i">196</v>
    <v t="i">197</v>
    <v t="i">200</v>
    <v t="i">201</v>
    <v t="i">202</v>
    <v t="i">203</v>
    <v t="i">204</v>
    <v t="i">207</v>
    <v t="i">208</v>
    <v t="i">209</v>
    <v t="i">210</v>
    <v t="i">211</v>
    <v t="i">214</v>
    <v t="i">215</v>
    <v t="i">216</v>
    <v t="i">217</v>
    <v t="i">218</v>
    <v t="i">221</v>
    <v t="i">222</v>
    <v t="i">223</v>
    <v t="i">224</v>
    <v t="i">225</v>
    <v t="i">228</v>
    <v t="i">229</v>
    <v t="i">230</v>
    <v t="i">231</v>
    <v t="i">232</v>
    <v t="i">235</v>
    <v t="i">236</v>
    <v t="i">237</v>
    <v t="i">238</v>
    <v t="i">239</v>
    <v t="i">242</v>
    <v t="i">243</v>
    <v t="i">244</v>
    <v t="i">245</v>
    <v t="i">246</v>
    <v t="i">249</v>
    <v t="i">250</v>
    <v t="i">251</v>
    <v t="i">252</v>
    <v t="i">253</v>
    <v t="i">256</v>
    <v t="i">257</v>
    <v t="i">258</v>
    <v t="i">259</v>
    <v t="i">260</v>
    <v t="i">263</v>
    <v t="i">264</v>
    <v t="i">265</v>
    <v t="i">266</v>
    <v t="i">267</v>
    <v t="i">270</v>
    <v t="i">271</v>
    <v t="i">272</v>
    <v t="i">273</v>
    <v t="i">274</v>
    <v t="i">277</v>
    <v t="i">278</v>
    <v t="i">279</v>
    <v t="i">280</v>
    <v t="i">281</v>
    <v t="i">284</v>
    <v t="i">285</v>
    <v t="i">286</v>
    <v t="i">287</v>
    <v t="i">288</v>
    <v t="i">291</v>
    <v t="i">292</v>
    <v t="i">293</v>
    <v t="i">294</v>
    <v t="i">295</v>
    <v t="i">298</v>
    <v t="i">299</v>
    <v t="i">300</v>
    <v t="i">301</v>
    <v t="i">302</v>
    <v t="i">305</v>
    <v t="i">306</v>
    <v t="i">307</v>
    <v t="i">308</v>
    <v t="i">309</v>
    <v t="i">312</v>
    <v t="i">313</v>
    <v t="i">314</v>
    <v t="i">315</v>
    <v t="i">316</v>
    <v t="i">319</v>
    <v t="i">320</v>
    <v t="i">321</v>
    <v t="i">322</v>
    <v t="i">323</v>
    <v t="i">326</v>
    <v t="i">327</v>
    <v t="i">328</v>
    <v t="i">329</v>
    <v t="i">330</v>
    <v t="i">333</v>
    <v t="i">334</v>
    <v t="i">335</v>
    <v t="i">336</v>
    <v t="i">337</v>
    <v t="i">340</v>
    <v t="i">341</v>
    <v t="i">342</v>
    <v t="i">343</v>
    <v t="i">344</v>
    <v t="i">347</v>
    <v t="i">348</v>
    <v t="i">349</v>
    <v t="i">350</v>
    <v t="i">351</v>
    <v t="i">354</v>
    <v t="i">355</v>
    <v t="i">356</v>
    <v t="i">357</v>
    <v t="i">358</v>
    <v t="i">361</v>
    <v t="i">362</v>
    <v t="i">363</v>
    <v t="i">364</v>
    <v t="i">365</v>
  </a>
  <a r="1" c="257">
    <v>13.15</v>
    <v>13.18</v>
    <v>12.997999999999999</v>
    <v>14.167999999999999</v>
    <v>14.569000000000001</v>
    <v>14.611000000000001</v>
    <v>14.512</v>
    <v>13.94</v>
    <v>13.46</v>
    <v>13.07</v>
    <v>12.262</v>
    <v>12.007999999999999</v>
    <v>13.044</v>
    <v>12.672000000000001</v>
    <v>12.67</v>
    <v>12.327999999999999</v>
    <v>12.3</v>
    <v>12.106</v>
    <v>11.73</v>
    <v>12.224</v>
    <v>12.076000000000001</v>
    <v>11.305999999999999</v>
    <v>11.632999999999999</v>
    <v>12.003</v>
    <v>12.409000000000001</v>
    <v>12.342000000000001</v>
    <v>12.531000000000001</v>
    <v>12.374000000000001</v>
    <v>12.433999999999999</v>
    <v>12.89</v>
    <v>13.291</v>
    <v>13.426</v>
    <v>13.082000000000001</v>
    <v>13.102</v>
    <v>12.992000000000001</v>
    <v>13.163</v>
    <v>12.843999999999999</v>
    <v>12.523999999999999</v>
    <v>12.236000000000001</v>
    <v>12.1</v>
    <v>12.252000000000001</v>
    <v>12.952</v>
    <v>13.284000000000001</v>
    <v>13.25</v>
    <v>13.304</v>
    <v>13.221</v>
    <v>13.125</v>
    <v>12.977</v>
    <v>13.714</v>
    <v>14.31</v>
    <v>14.76</v>
    <v>14.76</v>
    <v>14.84</v>
    <v>15.194000000000001</v>
    <v>15.077999999999999</v>
    <v>15.12</v>
    <v>15.478</v>
    <v>16.013999999999999</v>
    <v>16.244</v>
    <v>16.97</v>
    <v>17.058</v>
    <v>17.38</v>
    <v>17.55</v>
    <v>17.814</v>
    <v>17.614000000000001</v>
    <v>18.134</v>
    <v>19.006</v>
    <v>18.574000000000002</v>
    <v>18.27</v>
    <v>17.288</v>
    <v>18.212</v>
    <v>16.545999999999999</v>
    <v>15.772</v>
    <v>15.776999999999999</v>
    <v>17.347999999999999</v>
    <v>17.372</v>
    <v>17.312000000000001</v>
    <v>16.95</v>
    <v>16.553999999999998</v>
    <v>16.818000000000001</v>
    <v>16.46</v>
    <v>17.05</v>
    <v>17.614000000000001</v>
    <v>17.512</v>
    <v>17.465</v>
    <v>17.404</v>
    <v>18.170000000000002</v>
    <v>17.236000000000001</v>
    <v>17.332000000000001</v>
    <v>17.952999999999999</v>
    <v>17.071999999999999</v>
    <v>16.928999999999998</v>
    <v>16.373999999999999</v>
    <v>15.95</v>
    <v>15.836</v>
    <v>16.994</v>
    <v>16.501000000000001</v>
    <v>16.398</v>
    <v>15.789</v>
    <v>15.308</v>
    <v>15.608000000000001</v>
    <v>15.268000000000001</v>
    <v>14.667999999999999</v>
    <v>14.362</v>
    <v>14.65</v>
    <v>14.904</v>
    <v>15.522</v>
    <v>14.936</v>
    <v>14.91</v>
    <v>15.012</v>
    <v>15.03</v>
    <v>16.055</v>
    <v>15.596</v>
    <v>15.166</v>
    <v>15.885</v>
    <v>15.768000000000001</v>
    <v>16.125</v>
    <v>15.821999999999999</v>
    <v>16.353000000000002</v>
    <v>16.931999999999999</v>
    <v>17.05</v>
    <v>17.309999999999999</v>
    <v>17.236000000000001</v>
    <v>16.744</v>
    <v>17.064</v>
    <v>17.510000000000002</v>
    <v>16.763999999999999</v>
    <v>16.722000000000001</v>
    <v>16.308</v>
    <v>16.012</v>
    <v>16.37</v>
    <v>16.306999999999999</v>
    <v>-99999901</v>
    <v>16.411999999999999</v>
    <v>16.648</v>
    <v>16.908000000000001</v>
    <v>16.103999999999999</v>
    <v>16.545999999999999</v>
    <v>15.664999999999999</v>
    <v>15.61</v>
    <v>15.066000000000001</v>
    <v>14.82</v>
    <v>14.488</v>
    <v>14.087999999999999</v>
    <v>14.162000000000001</v>
    <v>14.045999999999999</v>
    <v>14.414999999999999</v>
    <v>-99999901</v>
    <v>14.696</v>
    <v>14.811999999999999</v>
    <v>14.907999999999999</v>
    <v>14.97</v>
    <v>14.914</v>
    <v>15.672000000000001</v>
    <v>15.079000000000001</v>
    <v>14.941000000000001</v>
    <v>14.092000000000001</v>
    <v>13.9</v>
    <v>13.28</v>
    <v>12.85</v>
    <v>13.146000000000001</v>
    <v>13.584</v>
    <v>14.369</v>
    <v>14.183999999999999</v>
    <v>14.516</v>
    <v>14.311999999999999</v>
    <v>14.118</v>
    <v>14.066000000000001</v>
    <v>13.945</v>
    <v>13.65</v>
    <v>13.28</v>
    <v>13.41</v>
    <v>13.09</v>
    <v>13.238</v>
    <v>13.456</v>
    <v>13.462999999999999</v>
    <v>13.535</v>
    <v>13.49</v>
    <v>12.784000000000001</v>
    <v>12.672000000000001</v>
    <v>13.084</v>
    <v>13.285</v>
    <v>12.95</v>
    <v>13.032999999999999</v>
    <v>12.926</v>
    <v>12.602</v>
    <v>12.182</v>
    <v>12.311999999999999</v>
    <v>12.631</v>
    <v>13.065</v>
    <v>12.842000000000001</v>
    <v>12.795</v>
    <v>12.662000000000001</v>
    <v>12.366</v>
    <v>12.15</v>
    <v>12.494</v>
    <v>12.414</v>
    <v>12.788</v>
    <v>13.054</v>
    <v>13.22</v>
    <v>13.452</v>
    <v>13.664</v>
    <v>13.667999999999999</v>
    <v>13.95</v>
    <v>13.95</v>
    <v>13.836</v>
    <v>13.866</v>
    <v>14.111000000000001</v>
    <v>13.53</v>
    <v>13.826000000000001</v>
    <v>13.644</v>
    <v>14.224</v>
    <v>14.721</v>
    <v>15.167999999999999</v>
    <v>15.242000000000001</v>
    <v>15.292999999999999</v>
    <v>14.61</v>
    <v>-99999901</v>
    <v>14.012</v>
    <v>13.863</v>
    <v>14.478999999999999</v>
    <v>14.428000000000001</v>
    <v>14.365</v>
    <v>14.728999999999999</v>
    <v>14.371</v>
    <v>14.02</v>
    <v>13.542</v>
    <v>12.974</v>
    <v>12.816000000000001</v>
    <v>12.933</v>
    <v>13.146000000000001</v>
    <v>12.898</v>
    <v>13.04</v>
    <v>13.215999999999999</v>
    <v>12.965999999999999</v>
    <v>12.52</v>
    <v>12.467000000000001</v>
    <v>12.18</v>
    <v>12.154</v>
    <v>12.119</v>
    <v>11.731999999999999</v>
    <v>11.984</v>
    <v>12.044</v>
    <v>12.598000000000001</v>
    <v>12.092000000000001</v>
    <v>11.724</v>
    <v>11.667999999999999</v>
    <v>11.622</v>
    <v>11.25</v>
    <v>10.842000000000001</v>
    <v>11.064</v>
    <v>11.098000000000001</v>
    <v>10.901</v>
    <v>10.946</v>
    <v>11.071999999999999</v>
    <v>10.55</v>
    <v>10.481999999999999</v>
  </a>
  <a r="1" c="772">
    <v t="i">0</v>
    <v t="i">1</v>
    <v t="i">2</v>
    <v t="i">3</v>
    <v t="i">4</v>
    <v t="i">7</v>
    <v t="i">8</v>
    <v t="i">9</v>
    <v t="i">10</v>
    <v t="i">11</v>
    <v t="i">14</v>
    <v t="i">15</v>
    <v t="i">16</v>
    <v t="i">17</v>
    <v t="i">18</v>
    <v t="i">21</v>
    <v t="i">22</v>
    <v t="i">23</v>
    <v t="i">24</v>
    <v t="i">25</v>
    <v t="i">28</v>
    <v t="i">29</v>
    <v t="i">30</v>
    <v t="i">31</v>
    <v t="i">32</v>
    <v t="i">35</v>
    <v t="i">36</v>
    <v t="i">37</v>
    <v t="i">38</v>
    <v t="i">39</v>
    <v t="i">42</v>
    <v t="i">43</v>
    <v t="i">44</v>
    <v t="i">45</v>
    <v t="i">46</v>
    <v t="i">49</v>
    <v t="i">50</v>
    <v t="i">51</v>
    <v t="i">52</v>
    <v t="i">53</v>
    <v t="i">56</v>
    <v t="i">57</v>
    <v t="i">58</v>
    <v t="i">59</v>
    <v t="i">60</v>
    <v t="i">64</v>
    <v t="i">65</v>
    <v t="i">66</v>
    <v t="i">67</v>
    <v t="i">71</v>
    <v t="i">72</v>
    <v t="i">73</v>
    <v t="i">74</v>
    <v t="i">77</v>
    <v t="i">78</v>
    <v t="i">79</v>
    <v t="i">80</v>
    <v t="i">81</v>
    <v t="i">84</v>
    <v t="i">85</v>
    <v t="i">86</v>
    <v t="i">87</v>
    <v t="i">88</v>
    <v t="i">91</v>
    <v t="i">92</v>
    <v t="i">93</v>
    <v t="i">94</v>
    <v t="i">95</v>
    <v t="i">98</v>
    <v t="i">99</v>
    <v t="i">100</v>
    <v t="i">101</v>
    <v t="i">102</v>
    <v t="i">105</v>
    <v t="i">106</v>
    <v t="i">107</v>
    <v t="i">108</v>
    <v t="i">109</v>
    <v t="i">112</v>
    <v t="i">113</v>
    <v t="i">114</v>
    <v t="i">115</v>
    <v t="i">116</v>
    <v t="i">119</v>
    <v t="i">120</v>
    <v t="i">121</v>
    <v t="i">122</v>
    <v t="i">123</v>
    <v t="i">126</v>
    <v t="i">127</v>
    <v t="i">128</v>
    <v t="i">129</v>
    <v t="i">130</v>
    <v t="i">133</v>
    <v t="i">134</v>
    <v t="i">135</v>
    <v t="i">136</v>
    <v t="i">137</v>
    <v t="i">140</v>
    <v t="i">141</v>
    <v t="i">142</v>
    <v t="i">143</v>
    <v t="i">144</v>
    <v t="i">147</v>
    <v t="i">148</v>
    <v t="i">149</v>
    <v t="i">150</v>
    <v t="i">151</v>
    <v t="i">154</v>
    <v t="i">155</v>
    <v t="i">156</v>
    <v t="i">157</v>
    <v t="i">162</v>
    <v t="i">163</v>
    <v t="i">164</v>
    <v t="i">165</v>
    <v t="i">168</v>
    <v t="i">169</v>
    <v t="i">170</v>
    <v t="i">171</v>
    <v t="i">172</v>
    <v t="i">175</v>
    <v t="i">176</v>
    <v t="i">177</v>
    <v t="i">178</v>
    <v t="i">179</v>
    <v t="i">182</v>
    <v t="i">183</v>
    <v t="i">184</v>
    <v t="i">185</v>
    <v t="i">186</v>
    <v t="i">189</v>
    <v t="i">190</v>
    <v t="i">191</v>
    <v t="i">192</v>
    <v t="i">193</v>
    <v t="i">196</v>
    <v t="i">197</v>
    <v t="i">198</v>
    <v t="i">199</v>
    <v t="i">200</v>
    <v t="i">203</v>
    <v t="i">204</v>
    <v t="i">205</v>
    <v t="i">206</v>
    <v t="i">207</v>
    <v t="i">210</v>
    <v t="i">211</v>
    <v t="i">212</v>
    <v t="i">213</v>
    <v t="i">214</v>
    <v t="i">217</v>
    <v t="i">218</v>
    <v t="i">219</v>
    <v t="i">220</v>
    <v t="i">221</v>
    <v t="i">224</v>
    <v t="i">225</v>
    <v t="i">226</v>
    <v t="i">227</v>
    <v t="i">228</v>
    <v t="i">231</v>
    <v t="i">232</v>
    <v t="i">233</v>
    <v t="i">234</v>
    <v t="i">235</v>
    <v t="i">238</v>
    <v t="i">239</v>
    <v t="i">240</v>
    <v t="i">241</v>
    <v t="i">242</v>
    <v t="i">245</v>
    <v t="i">246</v>
    <v t="i">247</v>
    <v t="i">248</v>
    <v t="i">249</v>
    <v t="i">252</v>
    <v t="i">253</v>
    <v t="i">254</v>
    <v t="i">255</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v t="i">365</v>
    <v t="i">366</v>
    <v t="i">367</v>
    <v t="i">368</v>
    <v t="i">371</v>
    <v t="i">372</v>
    <v t="i">373</v>
    <v t="i">374</v>
    <v t="i">375</v>
    <v t="i">378</v>
    <v t="i">379</v>
    <v t="i">380</v>
    <v t="i">381</v>
    <v t="i">382</v>
    <v t="i">385</v>
    <v t="i">386</v>
    <v t="i">387</v>
    <v t="i">388</v>
    <v t="i">389</v>
    <v t="i">392</v>
    <v t="i">393</v>
    <v t="i">394</v>
    <v t="i">395</v>
    <v t="i">396</v>
    <v t="i">399</v>
    <v t="i">400</v>
    <v t="i">401</v>
    <v t="i">402</v>
    <v t="i">403</v>
    <v t="i">406</v>
    <v t="i">407</v>
    <v t="i">408</v>
    <v t="i">409</v>
    <v t="i">410</v>
    <v t="i">413</v>
    <v t="i">414</v>
    <v t="i">415</v>
    <v t="i">416</v>
    <v t="i">417</v>
    <v t="i">420</v>
    <v t="i">421</v>
    <v t="i">422</v>
    <v t="i">423</v>
    <v t="i">424</v>
    <v t="i">427</v>
    <v t="i">428</v>
    <v t="i">430</v>
    <v t="i">431</v>
    <v t="i">434</v>
    <v t="i">435</v>
    <v t="i">437</v>
    <v t="i">438</v>
    <v t="i">441</v>
    <v t="i">442</v>
    <v t="i">443</v>
    <v t="i">444</v>
    <v t="i">445</v>
    <v t="i">448</v>
    <v t="i">449</v>
    <v t="i">450</v>
    <v t="i">451</v>
    <v t="i">452</v>
    <v t="i">455</v>
    <v t="i">456</v>
    <v t="i">457</v>
    <v t="i">458</v>
    <v t="i">459</v>
    <v t="i">462</v>
    <v t="i">463</v>
    <v t="i">464</v>
    <v t="i">465</v>
    <v t="i">466</v>
    <v t="i">469</v>
    <v t="i">470</v>
    <v t="i">471</v>
    <v t="i">472</v>
    <v t="i">473</v>
    <v t="i">476</v>
    <v t="i">477</v>
    <v t="i">478</v>
    <v t="i">479</v>
    <v t="i">480</v>
    <v t="i">483</v>
    <v t="i">484</v>
    <v t="i">485</v>
    <v t="i">486</v>
    <v t="i">487</v>
    <v t="i">490</v>
    <v t="i">491</v>
    <v t="i">492</v>
    <v t="i">493</v>
    <v t="i">494</v>
    <v t="i">497</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547</v>
    <v t="i">548</v>
    <v t="i">549</v>
    <v t="i">550</v>
    <v t="i">553</v>
    <v t="i">554</v>
    <v t="i">555</v>
    <v t="i">556</v>
    <v t="i">557</v>
    <v t="i">560</v>
    <v t="i">561</v>
    <v t="i">562</v>
    <v t="i">563</v>
    <v t="i">564</v>
    <v t="i">567</v>
    <v t="i">568</v>
    <v t="i">569</v>
    <v t="i">570</v>
    <v t="i">571</v>
    <v t="i">574</v>
    <v t="i">575</v>
    <v t="i">576</v>
    <v t="i">577</v>
    <v t="i">578</v>
    <v t="i">581</v>
    <v t="i">582</v>
    <v t="i">583</v>
    <v t="i">584</v>
    <v t="i">585</v>
    <v t="i">588</v>
    <v t="i">589</v>
    <v t="i">590</v>
    <v t="i">591</v>
    <v t="i">592</v>
    <v t="i">595</v>
    <v t="i">596</v>
    <v t="i">597</v>
    <v t="i">598</v>
    <v t="i">599</v>
    <v t="i">602</v>
    <v t="i">603</v>
    <v t="i">604</v>
    <v t="i">605</v>
    <v t="i">606</v>
    <v t="i">609</v>
    <v t="i">610</v>
    <v t="i">611</v>
    <v t="i">612</v>
    <v t="i">613</v>
    <v t="i">616</v>
    <v t="i">617</v>
    <v t="i">618</v>
    <v t="i">619</v>
    <v t="i">620</v>
    <v t="i">623</v>
    <v t="i">624</v>
    <v t="i">625</v>
    <v t="i">626</v>
    <v t="i">627</v>
    <v t="i">630</v>
    <v t="i">631</v>
    <v t="i">632</v>
    <v t="i">633</v>
    <v t="i">634</v>
    <v t="i">637</v>
    <v t="i">638</v>
    <v t="i">639</v>
    <v t="i">640</v>
    <v t="i">641</v>
    <v t="i">644</v>
    <v t="i">645</v>
    <v t="i">646</v>
    <v t="i">647</v>
    <v t="i">648</v>
    <v t="i">651</v>
    <v t="i">652</v>
    <v t="i">653</v>
    <v t="i">654</v>
    <v t="i">655</v>
    <v t="i">658</v>
    <v t="i">659</v>
    <v t="i">660</v>
    <v t="i">661</v>
    <v t="i">662</v>
    <v t="i">665</v>
    <v t="i">666</v>
    <v t="i">667</v>
    <v t="i">668</v>
    <v t="i">669</v>
    <v t="i">672</v>
    <v t="i">673</v>
    <v t="i">674</v>
    <v t="i">675</v>
    <v t="i">676</v>
    <v t="i">679</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750</v>
    <v t="i">751</v>
    <v t="i">752</v>
    <v t="i">753</v>
    <v t="i">756</v>
    <v t="i">757</v>
    <v t="i">758</v>
    <v t="i">759</v>
    <v t="i">760</v>
    <v t="i">763</v>
    <v t="i">764</v>
    <v t="i">765</v>
    <v t="i">766</v>
    <v t="i">767</v>
    <v t="i">770</v>
    <v t="i">771</v>
    <v t="i">772</v>
    <v t="i">773</v>
    <v t="i">774</v>
    <v t="i">777</v>
    <v t="i">778</v>
    <v t="i">779</v>
    <v t="i">780</v>
    <v t="i">781</v>
    <v t="i">784</v>
    <v t="i">785</v>
    <v t="i">786</v>
    <v t="i">787</v>
    <v t="i">788</v>
    <v t="i">791</v>
    <v t="i">792</v>
    <v t="i">793</v>
    <v t="i">798</v>
    <v t="i">799</v>
    <v t="i">800</v>
    <v t="i">802</v>
    <v t="i">805</v>
    <v t="i">806</v>
    <v t="i">807</v>
    <v t="i">808</v>
    <v t="i">809</v>
    <v t="i">812</v>
    <v t="i">813</v>
    <v t="i">814</v>
    <v t="i">815</v>
    <v t="i">816</v>
    <v t="i">819</v>
    <v t="i">820</v>
    <v t="i">821</v>
    <v t="i">822</v>
    <v t="i">823</v>
    <v t="i">826</v>
    <v t="i">827</v>
    <v t="i">828</v>
    <v t="i">829</v>
    <v t="i">830</v>
    <v t="i">833</v>
    <v t="i">834</v>
    <v t="i">835</v>
    <v t="i">836</v>
    <v t="i">837</v>
    <v t="i">840</v>
    <v t="i">841</v>
    <v t="i">842</v>
    <v t="i">843</v>
    <v t="i">844</v>
    <v t="i">847</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897</v>
    <v t="i">898</v>
    <v t="i">899</v>
    <v t="i">900</v>
    <v t="i">903</v>
    <v t="i">904</v>
    <v t="i">905</v>
    <v t="i">906</v>
    <v t="i">907</v>
    <v t="i">910</v>
    <v t="i">911</v>
    <v t="i">912</v>
    <v t="i">913</v>
    <v t="i">914</v>
    <v t="i">917</v>
    <v t="i">918</v>
    <v t="i">919</v>
    <v t="i">920</v>
    <v t="i">921</v>
    <v t="i">924</v>
    <v t="i">925</v>
    <v t="i">926</v>
    <v t="i">927</v>
    <v t="i">928</v>
    <v t="i">931</v>
    <v t="i">932</v>
    <v t="i">933</v>
    <v t="i">934</v>
    <v t="i">935</v>
    <v t="i">938</v>
    <v t="i">939</v>
    <v t="i">940</v>
    <v t="i">941</v>
    <v t="i">942</v>
    <v t="i">945</v>
    <v t="i">946</v>
    <v t="i">947</v>
    <v t="i">948</v>
    <v t="i">949</v>
    <v t="i">952</v>
    <v t="i">953</v>
    <v t="i">954</v>
    <v t="i">955</v>
    <v t="i">956</v>
    <v t="i">959</v>
    <v t="i">960</v>
    <v t="i">961</v>
    <v t="i">962</v>
    <v t="i">963</v>
    <v t="i">966</v>
    <v t="i">967</v>
    <v t="i">968</v>
    <v t="i">969</v>
    <v t="i">970</v>
    <v t="i">973</v>
    <v t="i">974</v>
    <v t="i">975</v>
    <v t="i">976</v>
    <v t="i">977</v>
    <v t="i">980</v>
    <v t="i">981</v>
    <v t="i">982</v>
    <v t="i">983</v>
    <v t="i">984</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1050</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772">
    <v>9.2970000000000006</v>
    <v>9.4139999999999997</v>
    <v>9.7070000000000007</v>
    <v>9.5169999999999995</v>
    <v>9.4120000000000008</v>
    <v>9.3170000000000002</v>
    <v>9.6690000000000005</v>
    <v>9.8879999999999999</v>
    <v>9.9719999999999995</v>
    <v>9.7479999999999993</v>
    <v>9.4444999999999997</v>
    <v>9.4604999999999997</v>
    <v>9.3529999999999998</v>
    <v>9.6315000000000008</v>
    <v>9.4964999999999993</v>
    <v>9.9094999999999995</v>
    <v>10.041</v>
    <v>10.084</v>
    <v>9.9420000000000002</v>
    <v>10.266999999999999</v>
    <v>10.443</v>
    <v>10.477</v>
    <v>10.407999999999999</v>
    <v>10.481</v>
    <v>10.596</v>
    <v>10.593</v>
    <v>10.481999999999999</v>
    <v>10.125999999999999</v>
    <v>10.058</v>
    <v>10.465</v>
    <v>10.596</v>
    <v>10.409000000000001</v>
    <v>10.286</v>
    <v>10.14</v>
    <v>10.276</v>
    <v>10.252000000000001</v>
    <v>10.204000000000001</v>
    <v>10.087</v>
    <v>10.292</v>
    <v>10.56</v>
    <v>10.625</v>
    <v>10.33</v>
    <v>10.250999999999999</v>
    <v>10.432</v>
    <v>10.644</v>
    <v>-99999901</v>
    <v>10.776999999999999</v>
    <v>10.506</v>
    <v>10.493</v>
    <v>10.489000000000001</v>
    <v>10.385999999999999</v>
    <v>10.438000000000001</v>
    <v>10.449</v>
    <v>10.444000000000001</v>
    <v>10.625999999999999</v>
    <v>11.298999999999999</v>
    <v>11.27</v>
    <v>12.173999999999999</v>
    <v>12.587999999999999</v>
    <v>12.548</v>
    <v>12.13</v>
    <v>12.25</v>
    <v>11.973000000000001</v>
    <v>11.808999999999999</v>
    <v>11.839</v>
    <v>12.074</v>
    <v>11.641999999999999</v>
    <v>11.488</v>
    <v>11.509</v>
    <v>11.881</v>
    <v>12.029</v>
    <v>12.631</v>
    <v>12.635999999999999</v>
    <v>12.238</v>
    <v>12.446</v>
    <v>12.417</v>
    <v>12.002000000000001</v>
    <v>11.778</v>
    <v>11.766999999999999</v>
    <v>11.571999999999999</v>
    <v>11.492000000000001</v>
    <v>11.52</v>
    <v>11.5</v>
    <v>11.5</v>
    <v>11.244</v>
    <v>10.843</v>
    <v>10.86</v>
    <v>10.565</v>
    <v>10.487</v>
    <v>10.698</v>
    <v>10.707000000000001</v>
    <v>10.56</v>
    <v>10.698</v>
    <v>10.699</v>
    <v>10.59</v>
    <v>10.691000000000001</v>
    <v>10.988</v>
    <v>10.749000000000001</v>
    <v>10.486000000000001</v>
    <v>10.571999999999999</v>
    <v>10.624000000000001</v>
    <v>10.061</v>
    <v>10.448</v>
    <v>10.464</v>
    <v>10.372</v>
    <v>10.534000000000001</v>
    <v>10.99</v>
    <v>10.862</v>
    <v>10.93</v>
    <v>10.699</v>
    <v>10.673999999999999</v>
    <v>10.816000000000001</v>
    <v>11.179</v>
    <v>11.904</v>
    <v>11.757</v>
    <v>11.686</v>
    <v>11.44</v>
    <v>11.342000000000001</v>
    <v>11.336</v>
    <v>11.414</v>
    <v>11.907999999999999</v>
    <v>11.395</v>
    <v>10.807</v>
    <v>11.05</v>
    <v>10.961</v>
    <v>10.981</v>
    <v>10.779</v>
    <v>10.952999999999999</v>
    <v>10.916</v>
    <v>10.845000000000001</v>
    <v>10.938000000000001</v>
    <v>11.331</v>
    <v>10.987</v>
    <v>11.458</v>
    <v>11.678000000000001</v>
    <v>11.62</v>
    <v>-99999901</v>
    <v>12.265000000000001</v>
    <v>11.78</v>
    <v>12.084</v>
    <v>12.006</v>
    <v>11.972</v>
    <v>11.901</v>
    <v>12.023</v>
    <v>11.988</v>
    <v>12.6</v>
    <v>12.981999999999999</v>
    <v>12.914</v>
    <v>12.518000000000001</v>
    <v>12.201000000000001</v>
    <v>12.43</v>
    <v>-99999901</v>
    <v>12.38</v>
    <v>12.183</v>
    <v>12.295</v>
    <v>12.353999999999999</v>
    <v>12.177</v>
    <v>11.667999999999999</v>
    <v>11.808</v>
    <v>11.818</v>
    <v>11.544</v>
    <v>11.488</v>
    <v>11.058</v>
    <v>11.096</v>
    <v>11.301</v>
    <v>11.209</v>
    <v>11.016</v>
    <v>11.336</v>
    <v>11.382</v>
    <v>11.334</v>
    <v>11.199</v>
    <v>11.087</v>
    <v>10.709</v>
    <v>10.802</v>
    <v>10.894</v>
    <v>10.991</v>
    <v>10.839</v>
    <v>10.738</v>
    <v>11.058</v>
    <v>11.052</v>
    <v>10.91</v>
    <v>10.928000000000001</v>
    <v>10.84</v>
    <v>11.326000000000001</v>
    <v>11.497</v>
    <v>11.544</v>
    <v>11.339</v>
    <v>11.015000000000001</v>
    <v>10.564</v>
    <v>10.406000000000001</v>
    <v>10.311999999999999</v>
    <v>10.228</v>
    <v>10.236000000000001</v>
    <v>10.135999999999999</v>
    <v>9.7835000000000001</v>
    <v>9.9109999999999996</v>
    <v>9.8030000000000008</v>
    <v>9.7910000000000004</v>
    <v>10.058</v>
    <v>9.5549999999999997</v>
    <v>8.9149999999999991</v>
    <v>8.5229999999999997</v>
    <v>8.8125</v>
    <v>9.0190000000000001</v>
    <v>8.8559999999999999</v>
    <v>8.8655000000000008</v>
    <v>8.9380000000000006</v>
    <v>8.9049999999999994</v>
    <v>9.0210000000000008</v>
    <v>9.1125000000000007</v>
    <v>9.048</v>
    <v>9.0939999999999994</v>
    <v>8.9670000000000005</v>
    <v>9.0440000000000005</v>
    <v>8.9324999999999992</v>
    <v>9.5715000000000003</v>
    <v>-99999901</v>
    <v>9.4570000000000007</v>
    <v>9.1445000000000007</v>
    <v>9.0694999999999997</v>
    <v>9.0414999999999992</v>
    <v>9.1359999999999992</v>
    <v>8.5790000000000006</v>
    <v>8.6240000000000006</v>
    <v>8.5205000000000002</v>
    <v>8.1590000000000007</v>
    <v>8.2684999999999995</v>
    <v>8.4179999999999993</v>
    <v>8.9075000000000006</v>
    <v>9.2490000000000006</v>
    <v>8.9525000000000006</v>
    <v>8.8279999999999994</v>
    <v>8.8744999999999994</v>
    <v>8.7415000000000003</v>
    <v>9.0380000000000003</v>
    <v>9.3955000000000002</v>
    <v>9.7014999999999993</v>
    <v>10.119</v>
    <v>10.113</v>
    <v>10.352</v>
    <v>10.210000000000001</v>
    <v>10.090999999999999</v>
    <v>10.199999999999999</v>
    <v>10.311</v>
    <v>10.427</v>
    <v>10.458</v>
    <v>10.391</v>
    <v>10.206</v>
    <v>10.276</v>
    <v>10.234</v>
    <v>10.298</v>
    <v>10.448</v>
    <v>10.468</v>
    <v>11.031000000000001</v>
    <v>11.36</v>
    <v>11.323</v>
    <v>11.425000000000001</v>
    <v>11.302</v>
    <v>11.042999999999999</v>
    <v>10.836</v>
    <v>10.917</v>
    <v>10.71</v>
    <v>10.667999999999999</v>
    <v>10.464</v>
    <v>10.3</v>
    <v>10.38</v>
    <v>9.9250000000000007</v>
    <v>9.9849999999999994</v>
    <v>10</v>
    <v>10.33</v>
    <v>10.146000000000001</v>
    <v>9.9004999999999992</v>
    <v>9.718</v>
    <v>9.9809999999999999</v>
    <v>9.9410000000000007</v>
    <v>10.210000000000001</v>
    <v>10.686</v>
    <v>10.686999999999999</v>
    <v>10.595000000000001</v>
    <v>10.65</v>
    <v>10.68</v>
    <v>10.53</v>
    <v>10.443</v>
    <v>10.382</v>
    <v>10.275</v>
    <v>10.569000000000001</v>
    <v>10.298999999999999</v>
    <v>10.355</v>
    <v>10.444000000000001</v>
    <v>10.444000000000001</v>
    <v>10.458</v>
    <v>10.263999999999999</v>
    <v>9.9920000000000009</v>
    <v>10.0335</v>
    <v>9.9375</v>
    <v>9.7870000000000008</v>
    <v>9.5310000000000006</v>
    <v>9.3175000000000008</v>
    <v>9.4184999999999999</v>
    <v>9.1854999999999993</v>
    <v>9.1795000000000009</v>
    <v>9.1980000000000004</v>
    <v>9.2014999999999993</v>
    <v>-99999901</v>
    <v>9.14</v>
    <v>9.0050000000000008</v>
    <v>9.0760000000000005</v>
    <v>9.4870000000000001</v>
    <v>9.6195000000000004</v>
    <v>10.066000000000001</v>
    <v>9.7650000000000006</v>
    <v>9.298</v>
    <v>9.3119999999999994</v>
    <v>9.1844999999999999</v>
    <v>9.125</v>
    <v>9.2949999999999999</v>
    <v>9.3684999999999992</v>
    <v>9.3335000000000008</v>
    <v>9.4525000000000006</v>
    <v>9.4969999999999999</v>
    <v>9.6039999999999992</v>
    <v>10.01</v>
    <v>10.06</v>
    <v>9.9629999999999992</v>
    <v>9.11</v>
    <v>8.8770000000000007</v>
    <v>9.1735000000000007</v>
    <v>9.3714999999999993</v>
    <v>9.4004999999999992</v>
    <v>9.1300000000000008</v>
    <v>9.2989999999999995</v>
    <v>9.3480000000000008</v>
    <v>9.2100000000000009</v>
    <v>9.1105</v>
    <v>9.1679999999999993</v>
    <v>9.0649999999999995</v>
    <v>8.9830000000000005</v>
    <v>8.9484999999999992</v>
    <v>8.7095000000000002</v>
    <v>8.6780000000000008</v>
    <v>8.6</v>
    <v>8.4559999999999995</v>
    <v>8.5225000000000009</v>
    <v>8.3234999999999992</v>
    <v>8.1370000000000005</v>
    <v>7.9749999999999996</v>
    <v>8.2055000000000007</v>
    <v>8.1029999999999998</v>
    <v>7.8085000000000004</v>
    <v>7.6840000000000002</v>
    <v>7.3529999999999998</v>
    <v>7.5575000000000001</v>
    <v>7.7694999999999999</v>
    <v>7.5579999999999998</v>
    <v>7.3564999999999996</v>
    <v>7.3570000000000002</v>
    <v>7.593</v>
    <v>7.5330000000000004</v>
    <v>7.6310000000000002</v>
    <v>7.7009999999999996</v>
    <v>7.8209999999999997</v>
    <v>7.923</v>
    <v>8.0950000000000006</v>
    <v>8.0274999999999999</v>
    <v>8.1159999999999997</v>
    <v>7.9020000000000001</v>
    <v>7.7889999999999997</v>
    <v>7.6135000000000002</v>
    <v>7.367</v>
    <v>7.2634999999999996</v>
    <v>7.3544999999999998</v>
    <v>7.306</v>
    <v>7.0945</v>
    <v>6.5865</v>
    <v>6.3460000000000001</v>
    <v>6.6375000000000002</v>
    <v>6.4080000000000004</v>
    <v>6.7359999999999998</v>
    <v>6.9044999999999996</v>
    <v>7.2104999999999997</v>
    <v>7.1814999999999998</v>
    <v>7.218</v>
    <v>7.1215000000000002</v>
    <v>6.9989999999999997</v>
    <v>7.3330000000000002</v>
    <v>7.6630000000000003</v>
    <v>7.7009999999999996</v>
    <v>7.657</v>
    <v>7.94</v>
    <v>7.798</v>
    <v>7.968</v>
    <v>8.1850000000000005</v>
    <v>-99999901</v>
    <v>8.0210000000000008</v>
    <v>8.3859999999999992</v>
    <v>8.5359999999999996</v>
    <v>8.4659999999999993</v>
    <v>8.5890000000000004</v>
    <v>8.6549999999999994</v>
    <v>8.6839999999999993</v>
    <v>8.5154999999999994</v>
    <v>8.3249999999999993</v>
    <v>8.2539999999999996</v>
    <v>8.2710000000000008</v>
    <v>8.44</v>
    <v>8.3224999999999998</v>
    <v>9.16</v>
    <v>-99999901</v>
    <v>9.4710000000000001</v>
    <v>9.4115000000000002</v>
    <v>9.1489999999999991</v>
    <v>9.0310000000000006</v>
    <v>8.9760000000000009</v>
    <v>9.3254999999999999</v>
    <v>9.4205000000000005</v>
    <v>9.4815000000000005</v>
    <v>9.2904999999999998</v>
    <v>10.103999999999999</v>
    <v>9.59</v>
    <v>9.7219999999999995</v>
    <v>9.7029999999999994</v>
    <v>9.6620000000000008</v>
    <v>10.537000000000001</v>
    <v>10.391999999999999</v>
    <v>10.602</v>
    <v>10.497999999999999</v>
    <v>10.311</v>
    <v>10.398</v>
    <v>10.592000000000001</v>
    <v>10.445</v>
    <v>10.638</v>
    <v>10.81</v>
    <v>10.656000000000001</v>
    <v>10.542</v>
    <v>10.576000000000001</v>
    <v>10.625999999999999</v>
    <v>10.481999999999999</v>
    <v>10.491</v>
    <v>10.135999999999999</v>
    <v>10.004</v>
    <v>10.0265</v>
    <v>10.220000000000001</v>
    <v>10.343</v>
    <v>10.614000000000001</v>
    <v>10.714</v>
    <v>10.992000000000001</v>
    <v>11.111000000000001</v>
    <v>11.103999999999999</v>
    <v>11.157999999999999</v>
    <v>11.114000000000001</v>
    <v>11.275</v>
    <v>11.162000000000001</v>
    <v>10.821</v>
    <v>10.628</v>
    <v>10.497999999999999</v>
    <v>10.185</v>
    <v>9.9939999999999998</v>
    <v>10.294</v>
    <v>10.493</v>
    <v>10.702</v>
    <v>10.617000000000001</v>
    <v>10.814</v>
    <v>10.628</v>
    <v>10.715</v>
    <v>10.472</v>
    <v>10.61</v>
    <v>10.62</v>
    <v>10.646000000000001</v>
    <v>10.305</v>
    <v>9.9420000000000002</v>
    <v>10.019500000000001</v>
    <v>10.644</v>
    <v>-99999901</v>
    <v>11.348000000000001</v>
    <v>11.342000000000001</v>
    <v>11.268000000000001</v>
    <v>11.606</v>
    <v>11.74</v>
    <v>11.34</v>
    <v>11.654999999999999</v>
    <v>11.548</v>
    <v>11.484</v>
    <v>11.957000000000001</v>
    <v>12.138999999999999</v>
    <v>12.22</v>
    <v>12.169</v>
    <v>11.875</v>
    <v>12.02</v>
    <v>12.558999999999999</v>
    <v>12.381</v>
    <v>12.506</v>
    <v>12.802</v>
    <v>13.25</v>
    <v>13.66</v>
    <v>13.933999999999999</v>
    <v>13.672000000000001</v>
    <v>13.742000000000001</v>
    <v>13.752000000000001</v>
    <v>13.656000000000001</v>
    <v>13.49</v>
    <v>13.534000000000001</v>
    <v>13.808999999999999</v>
    <v>13.917</v>
    <v>13.87</v>
    <v>13.922000000000001</v>
    <v>13.898</v>
    <v>14.231</v>
    <v>14.42</v>
    <v>14.715999999999999</v>
    <v>15.131</v>
    <v>14.939</v>
    <v>13.287000000000001</v>
    <v>13.19</v>
    <v>12.731</v>
    <v>12.746</v>
    <v>13.15</v>
    <v>13.18</v>
    <v>12.997999999999999</v>
    <v>14.167999999999999</v>
    <v>14.569000000000001</v>
    <v>14.611000000000001</v>
    <v>14.512</v>
    <v>13.94</v>
    <v>13.46</v>
    <v>13.07</v>
    <v>12.262</v>
    <v>12.007999999999999</v>
    <v>13.044</v>
    <v>12.672000000000001</v>
    <v>12.67</v>
    <v>12.327999999999999</v>
    <v>12.3</v>
    <v>12.106</v>
    <v>11.73</v>
    <v>12.224</v>
    <v>12.076000000000001</v>
    <v>11.305999999999999</v>
    <v>11.632999999999999</v>
    <v>12.003</v>
    <v>12.409000000000001</v>
    <v>12.342000000000001</v>
    <v>12.531000000000001</v>
    <v>12.374000000000001</v>
    <v>12.433999999999999</v>
    <v>12.89</v>
    <v>13.291</v>
    <v>13.426</v>
    <v>13.082000000000001</v>
    <v>13.102</v>
    <v>12.992000000000001</v>
    <v>13.163</v>
    <v>12.843999999999999</v>
    <v>12.523999999999999</v>
    <v>12.236000000000001</v>
    <v>12.1</v>
    <v>12.252000000000001</v>
    <v>12.952</v>
    <v>13.284000000000001</v>
    <v>13.25</v>
    <v>13.304</v>
    <v>13.221</v>
    <v>13.125</v>
    <v>12.977</v>
    <v>13.714</v>
    <v>14.31</v>
    <v>14.76</v>
    <v>14.76</v>
    <v>14.84</v>
    <v>15.194000000000001</v>
    <v>15.077999999999999</v>
    <v>15.12</v>
    <v>15.478</v>
    <v>16.013999999999999</v>
    <v>16.244</v>
    <v>16.97</v>
    <v>17.058</v>
    <v>17.38</v>
    <v>17.55</v>
    <v>17.814</v>
    <v>17.614000000000001</v>
    <v>18.134</v>
    <v>19.006</v>
    <v>18.574000000000002</v>
    <v>18.27</v>
    <v>17.288</v>
    <v>18.212</v>
    <v>16.545999999999999</v>
    <v>15.772</v>
    <v>15.776999999999999</v>
    <v>17.347999999999999</v>
    <v>17.372</v>
    <v>17.312000000000001</v>
    <v>16.95</v>
    <v>16.553999999999998</v>
    <v>16.818000000000001</v>
    <v>16.46</v>
    <v>17.05</v>
    <v>17.614000000000001</v>
    <v>17.512</v>
    <v>17.465</v>
    <v>17.404</v>
    <v>18.170000000000002</v>
    <v>17.236000000000001</v>
    <v>17.332000000000001</v>
    <v>17.952999999999999</v>
    <v>17.071999999999999</v>
    <v>16.928999999999998</v>
    <v>16.373999999999999</v>
    <v>15.95</v>
    <v>15.836</v>
    <v>16.994</v>
    <v>16.501000000000001</v>
    <v>16.398</v>
    <v>15.789</v>
    <v>15.308</v>
    <v>15.608000000000001</v>
    <v>15.268000000000001</v>
    <v>14.667999999999999</v>
    <v>14.362</v>
    <v>14.65</v>
    <v>14.904</v>
    <v>15.522</v>
    <v>14.936</v>
    <v>14.91</v>
    <v>15.012</v>
    <v>15.03</v>
    <v>16.055</v>
    <v>15.596</v>
    <v>15.166</v>
    <v>15.885</v>
    <v>15.768000000000001</v>
    <v>16.125</v>
    <v>15.821999999999999</v>
    <v>16.353000000000002</v>
    <v>16.931999999999999</v>
    <v>17.05</v>
    <v>17.309999999999999</v>
    <v>17.236000000000001</v>
    <v>16.744</v>
    <v>17.064</v>
    <v>17.510000000000002</v>
    <v>16.763999999999999</v>
    <v>16.722000000000001</v>
    <v>16.308</v>
    <v>16.012</v>
    <v>16.37</v>
    <v>16.306999999999999</v>
    <v>-99999901</v>
    <v>16.411999999999999</v>
    <v>16.648</v>
    <v>16.908000000000001</v>
    <v>16.103999999999999</v>
    <v>16.545999999999999</v>
    <v>15.664999999999999</v>
    <v>15.61</v>
    <v>15.066000000000001</v>
    <v>14.82</v>
    <v>14.488</v>
    <v>14.087999999999999</v>
    <v>14.162000000000001</v>
    <v>14.045999999999999</v>
    <v>14.414999999999999</v>
    <v>-99999901</v>
    <v>14.696</v>
    <v>14.811999999999999</v>
    <v>14.907999999999999</v>
    <v>14.97</v>
    <v>14.914</v>
    <v>15.672000000000001</v>
    <v>15.079000000000001</v>
    <v>14.941000000000001</v>
    <v>14.092000000000001</v>
    <v>13.9</v>
    <v>13.28</v>
    <v>12.85</v>
    <v>13.146000000000001</v>
    <v>13.584</v>
    <v>14.369</v>
    <v>14.183999999999999</v>
    <v>14.516</v>
    <v>14.311999999999999</v>
    <v>14.118</v>
    <v>14.066000000000001</v>
    <v>13.945</v>
    <v>13.65</v>
    <v>13.28</v>
    <v>13.41</v>
    <v>13.09</v>
    <v>13.238</v>
    <v>13.456</v>
    <v>13.462999999999999</v>
    <v>13.535</v>
    <v>13.49</v>
    <v>12.784000000000001</v>
    <v>12.672000000000001</v>
    <v>13.084</v>
    <v>13.285</v>
    <v>12.95</v>
    <v>13.032999999999999</v>
    <v>12.926</v>
    <v>12.602</v>
    <v>12.182</v>
    <v>12.311999999999999</v>
    <v>12.631</v>
    <v>13.065</v>
    <v>12.842000000000001</v>
    <v>12.795</v>
    <v>12.662000000000001</v>
    <v>12.366</v>
    <v>12.15</v>
    <v>12.494</v>
    <v>12.414</v>
    <v>12.788</v>
    <v>13.054</v>
    <v>13.22</v>
    <v>13.452</v>
    <v>13.664</v>
    <v>13.667999999999999</v>
    <v>13.95</v>
    <v>13.95</v>
    <v>13.836</v>
    <v>13.866</v>
    <v>14.111000000000001</v>
    <v>13.53</v>
    <v>13.826000000000001</v>
    <v>13.644</v>
    <v>14.224</v>
    <v>14.721</v>
    <v>15.167999999999999</v>
    <v>15.242000000000001</v>
    <v>15.292999999999999</v>
    <v>14.61</v>
    <v>-99999901</v>
    <v>14.012</v>
    <v>13.863</v>
    <v>14.478999999999999</v>
    <v>14.428000000000001</v>
    <v>14.365</v>
    <v>14.728999999999999</v>
    <v>14.371</v>
    <v>14.02</v>
    <v>13.542</v>
    <v>12.974</v>
    <v>12.816000000000001</v>
    <v>12.933</v>
    <v>13.146000000000001</v>
    <v>12.898</v>
    <v>13.04</v>
    <v>13.215999999999999</v>
    <v>12.965999999999999</v>
    <v>12.52</v>
    <v>12.467000000000001</v>
    <v>12.18</v>
    <v>12.154</v>
    <v>12.119</v>
    <v>11.731999999999999</v>
    <v>11.984</v>
    <v>12.044</v>
    <v>12.598000000000001</v>
    <v>12.092000000000001</v>
    <v>11.724</v>
    <v>11.667999999999999</v>
    <v>11.622</v>
    <v>11.25</v>
    <v>10.842000000000001</v>
    <v>11.064</v>
    <v>11.098000000000001</v>
    <v>10.901</v>
    <v>10.946</v>
    <v>11.071999999999999</v>
    <v>10.55</v>
    <v>10.481999999999999</v>
  </a>
  <a r="1" c="210">
    <v t="i">0</v>
    <v t="i">2</v>
    <v t="i">5</v>
    <v t="i">6</v>
    <v t="i">7</v>
    <v t="i">8</v>
    <v t="i">9</v>
    <v t="i">12</v>
    <v t="i">13</v>
    <v t="i">14</v>
    <v t="i">15</v>
    <v t="i">16</v>
    <v t="i">19</v>
    <v t="i">20</v>
    <v t="i">21</v>
    <v t="i">22</v>
    <v t="i">23</v>
    <v t="i">26</v>
    <v t="i">27</v>
    <v t="i">28</v>
    <v t="i">29</v>
    <v t="i">30</v>
    <v t="i">33</v>
    <v t="i">34</v>
    <v t="i">35</v>
    <v t="i">36</v>
    <v t="i">37</v>
    <v t="i">40</v>
    <v t="i">41</v>
    <v t="i">42</v>
    <v t="i">43</v>
    <v t="i">44</v>
    <v t="i">47</v>
    <v t="i">48</v>
    <v t="i">49</v>
    <v t="i">50</v>
    <v t="i">51</v>
    <v t="i">54</v>
    <v t="i">55</v>
    <v t="i">56</v>
    <v t="i">57</v>
    <v t="i">58</v>
    <v t="i">61</v>
    <v t="i">62</v>
    <v t="i">63</v>
    <v t="i">64</v>
    <v t="i">65</v>
    <v t="i">68</v>
    <v t="i">69</v>
    <v t="i">70</v>
    <v t="i">71</v>
    <v t="i">72</v>
    <v t="i">75</v>
    <v t="i">76</v>
    <v t="i">77</v>
    <v t="i">78</v>
    <v t="i">79</v>
    <v t="i">82</v>
    <v t="i">83</v>
    <v t="i">84</v>
    <v t="i">85</v>
    <v t="i">86</v>
    <v t="i">89</v>
    <v t="i">90</v>
    <v t="i">91</v>
    <v t="i">92</v>
    <v t="i">97</v>
    <v t="i">98</v>
    <v t="i">99</v>
    <v t="i">100</v>
    <v t="i">103</v>
    <v t="i">104</v>
    <v t="i">105</v>
    <v t="i">106</v>
    <v t="i">107</v>
    <v t="i">110</v>
    <v t="i">111</v>
    <v t="i">112</v>
    <v t="i">113</v>
    <v t="i">114</v>
    <v t="i">117</v>
    <v t="i">118</v>
    <v t="i">119</v>
    <v t="i">120</v>
    <v t="i">121</v>
    <v t="i">124</v>
    <v t="i">125</v>
    <v t="i">126</v>
    <v t="i">127</v>
    <v t="i">128</v>
    <v t="i">131</v>
    <v t="i">132</v>
    <v t="i">133</v>
    <v t="i">134</v>
    <v t="i">135</v>
    <v t="i">138</v>
    <v t="i">139</v>
    <v t="i">140</v>
    <v t="i">141</v>
    <v t="i">142</v>
    <v t="i">145</v>
    <v t="i">146</v>
    <v t="i">147</v>
    <v t="i">148</v>
    <v t="i">149</v>
    <v t="i">152</v>
    <v t="i">153</v>
    <v t="i">154</v>
    <v t="i">155</v>
    <v t="i">156</v>
    <v t="i">159</v>
    <v t="i">160</v>
    <v t="i">161</v>
    <v t="i">162</v>
    <v t="i">163</v>
    <v t="i">166</v>
    <v t="i">167</v>
    <v t="i">168</v>
    <v t="i">169</v>
    <v t="i">170</v>
    <v t="i">173</v>
    <v t="i">174</v>
    <v t="i">175</v>
    <v t="i">176</v>
    <v t="i">177</v>
    <v t="i">180</v>
    <v t="i">181</v>
    <v t="i">182</v>
    <v t="i">183</v>
    <v t="i">184</v>
    <v t="i">187</v>
    <v t="i">188</v>
    <v t="i">189</v>
    <v t="i">190</v>
    <v t="i">191</v>
    <v t="i">194</v>
    <v t="i">195</v>
    <v t="i">196</v>
    <v t="i">197</v>
    <v t="i">198</v>
    <v t="i">201</v>
    <v t="i">202</v>
    <v t="i">203</v>
    <v t="i">204</v>
    <v t="i">205</v>
    <v t="i">208</v>
    <v t="i">209</v>
    <v t="i">210</v>
    <v t="i">211</v>
    <v t="i">212</v>
    <v t="i">215</v>
    <v t="i">216</v>
    <v t="i">217</v>
    <v t="i">218</v>
    <v t="i">219</v>
    <v t="i">222</v>
    <v t="i">223</v>
    <v t="i">224</v>
    <v t="i">225</v>
    <v t="i">226</v>
    <v t="i">229</v>
    <v t="i">230</v>
    <v t="i">231</v>
    <v t="i">232</v>
    <v t="i">233</v>
    <v t="i">236</v>
    <v t="i">237</v>
    <v t="i">238</v>
    <v t="i">239</v>
    <v t="i">240</v>
    <v t="i">243</v>
    <v t="i">244</v>
    <v t="i">245</v>
    <v t="i">246</v>
    <v t="i">247</v>
    <v t="i">250</v>
    <v t="i">251</v>
    <v t="i">252</v>
    <v t="i">253</v>
    <v t="i">254</v>
    <v t="i">257</v>
    <v t="i">258</v>
    <v t="i">259</v>
    <v t="i">260</v>
    <v t="i">261</v>
    <v t="i">264</v>
    <v t="i">265</v>
    <v t="i">266</v>
    <v t="i">267</v>
    <v t="i">268</v>
    <v t="i">271</v>
    <v t="i">272</v>
    <v t="i">273</v>
    <v t="i">274</v>
    <v t="i">275</v>
    <v t="i">278</v>
    <v t="i">279</v>
    <v t="i">280</v>
    <v t="i">281</v>
    <v t="i">282</v>
    <v t="i">285</v>
    <v t="i">286</v>
    <v t="i">287</v>
    <v t="i">288</v>
    <v t="i">289</v>
    <v t="i">292</v>
    <v t="i">293</v>
    <v t="i">294</v>
    <v t="i">295</v>
    <v t="i">296</v>
  </a>
  <a r="1" c="210">
    <v>12.977</v>
    <v>13.714</v>
    <v>14.31</v>
    <v>14.76</v>
    <v>14.76</v>
    <v>14.84</v>
    <v>15.194000000000001</v>
    <v>15.077999999999999</v>
    <v>15.12</v>
    <v>15.478</v>
    <v>16.013999999999999</v>
    <v>16.244</v>
    <v>16.97</v>
    <v>17.058</v>
    <v>17.38</v>
    <v>17.55</v>
    <v>17.814</v>
    <v>17.614000000000001</v>
    <v>18.134</v>
    <v>19.006</v>
    <v>18.574000000000002</v>
    <v>18.27</v>
    <v>17.288</v>
    <v>18.212</v>
    <v>16.545999999999999</v>
    <v>15.772</v>
    <v>15.776999999999999</v>
    <v>17.347999999999999</v>
    <v>17.372</v>
    <v>17.312000000000001</v>
    <v>16.95</v>
    <v>16.553999999999998</v>
    <v>16.818000000000001</v>
    <v>16.46</v>
    <v>17.05</v>
    <v>17.614000000000001</v>
    <v>17.512</v>
    <v>17.465</v>
    <v>17.404</v>
    <v>18.170000000000002</v>
    <v>17.236000000000001</v>
    <v>17.332000000000001</v>
    <v>17.952999999999999</v>
    <v>17.071999999999999</v>
    <v>16.928999999999998</v>
    <v>16.373999999999999</v>
    <v>15.95</v>
    <v>15.836</v>
    <v>16.994</v>
    <v>16.501000000000001</v>
    <v>16.398</v>
    <v>15.789</v>
    <v>15.308</v>
    <v>15.608000000000001</v>
    <v>15.268000000000001</v>
    <v>14.667999999999999</v>
    <v>14.362</v>
    <v>14.65</v>
    <v>14.904</v>
    <v>15.522</v>
    <v>14.936</v>
    <v>14.91</v>
    <v>15.012</v>
    <v>15.03</v>
    <v>16.055</v>
    <v>15.596</v>
    <v>15.166</v>
    <v>15.885</v>
    <v>15.768000000000001</v>
    <v>16.125</v>
    <v>15.821999999999999</v>
    <v>16.353000000000002</v>
    <v>16.931999999999999</v>
    <v>17.05</v>
    <v>17.309999999999999</v>
    <v>17.236000000000001</v>
    <v>16.744</v>
    <v>17.064</v>
    <v>17.510000000000002</v>
    <v>16.763999999999999</v>
    <v>16.722000000000001</v>
    <v>16.308</v>
    <v>16.012</v>
    <v>16.37</v>
    <v>16.306999999999999</v>
    <v>-99999901</v>
    <v>16.411999999999999</v>
    <v>16.648</v>
    <v>16.908000000000001</v>
    <v>16.103999999999999</v>
    <v>16.545999999999999</v>
    <v>15.664999999999999</v>
    <v>15.61</v>
    <v>15.066000000000001</v>
    <v>14.82</v>
    <v>14.488</v>
    <v>14.087999999999999</v>
    <v>14.162000000000001</v>
    <v>14.045999999999999</v>
    <v>14.414999999999999</v>
    <v>-99999901</v>
    <v>14.696</v>
    <v>14.811999999999999</v>
    <v>14.907999999999999</v>
    <v>14.97</v>
    <v>14.914</v>
    <v>15.672000000000001</v>
    <v>15.079000000000001</v>
    <v>14.941000000000001</v>
    <v>14.092000000000001</v>
    <v>13.9</v>
    <v>13.28</v>
    <v>12.85</v>
    <v>13.146000000000001</v>
    <v>13.584</v>
    <v>14.369</v>
    <v>14.183999999999999</v>
    <v>14.516</v>
    <v>14.311999999999999</v>
    <v>14.118</v>
    <v>14.066000000000001</v>
    <v>13.945</v>
    <v>13.65</v>
    <v>13.28</v>
    <v>13.41</v>
    <v>13.09</v>
    <v>13.238</v>
    <v>13.456</v>
    <v>13.462999999999999</v>
    <v>13.535</v>
    <v>13.49</v>
    <v>12.784000000000001</v>
    <v>12.672000000000001</v>
    <v>13.084</v>
    <v>13.285</v>
    <v>12.95</v>
    <v>13.032999999999999</v>
    <v>12.926</v>
    <v>12.602</v>
    <v>12.182</v>
    <v>12.311999999999999</v>
    <v>12.631</v>
    <v>13.065</v>
    <v>12.842000000000001</v>
    <v>12.795</v>
    <v>12.662000000000001</v>
    <v>12.366</v>
    <v>12.15</v>
    <v>12.494</v>
    <v>12.414</v>
    <v>12.788</v>
    <v>13.054</v>
    <v>13.22</v>
    <v>13.452</v>
    <v>13.664</v>
    <v>13.667999999999999</v>
    <v>13.95</v>
    <v>13.95</v>
    <v>13.836</v>
    <v>13.866</v>
    <v>14.111000000000001</v>
    <v>13.53</v>
    <v>13.826000000000001</v>
    <v>13.644</v>
    <v>14.224</v>
    <v>14.721</v>
    <v>15.167999999999999</v>
    <v>15.242000000000001</v>
    <v>15.292999999999999</v>
    <v>14.61</v>
    <v>-99999901</v>
    <v>14.012</v>
    <v>13.863</v>
    <v>14.478999999999999</v>
    <v>14.428000000000001</v>
    <v>14.365</v>
    <v>14.728999999999999</v>
    <v>14.371</v>
    <v>14.02</v>
    <v>13.542</v>
    <v>12.974</v>
    <v>12.816000000000001</v>
    <v>12.933</v>
    <v>13.146000000000001</v>
    <v>12.898</v>
    <v>13.04</v>
    <v>13.215999999999999</v>
    <v>12.965999999999999</v>
    <v>12.52</v>
    <v>12.467000000000001</v>
    <v>12.18</v>
    <v>12.154</v>
    <v>12.119</v>
    <v>11.731999999999999</v>
    <v>11.984</v>
    <v>12.044</v>
    <v>12.598000000000001</v>
    <v>12.092000000000001</v>
    <v>11.724</v>
    <v>11.667999999999999</v>
    <v>11.622</v>
    <v>11.25</v>
    <v>10.842000000000001</v>
    <v>11.064</v>
    <v>11.098000000000001</v>
    <v>10.901</v>
    <v>10.946</v>
    <v>11.071999999999999</v>
    <v>10.55</v>
    <v>10.481999999999999</v>
  </a>
  <a r="1" c="254">
    <v>163.63</v>
    <v>163.37</v>
    <v>163.35</v>
    <v>163.36000000000001</v>
    <v>163.44999999999999</v>
    <v>163.38999999999999</v>
    <v>163.53</v>
    <v>163.33000000000001</v>
    <v>163.35</v>
    <v>163.30000000000001</v>
    <v>163.36000000000001</v>
    <v>163.34</v>
    <v>163.34</v>
    <v>163.43</v>
    <v>163.54</v>
    <v>161.33000000000001</v>
    <v>161.24</v>
    <v>161.24</v>
    <v>161.31</v>
    <v>161.35</v>
    <v>161.36000000000001</v>
    <v>161.46</v>
    <v>161.34</v>
    <v>161.55000000000001</v>
    <v>161.58000000000001</v>
    <v>161.54</v>
    <v>161.52000000000001</v>
    <v>161.25</v>
    <v>161.25</v>
    <v>161.37</v>
    <v>161.18</v>
    <v>161.08000000000001</v>
    <v>160.63999999999999</v>
    <v>160.75</v>
    <v>160.69</v>
    <v>160.75</v>
    <v>160.80000000000001</v>
    <v>160.83000000000001</v>
    <v>160.96</v>
    <v>160.94</v>
    <v>161.02000000000001</v>
    <v>160.83000000000001</v>
    <v>160.81</v>
    <v>161.03</v>
    <v>161.35</v>
    <v>161.18</v>
    <v>161.13999999999999</v>
    <v>161.24</v>
    <v>161.41</v>
    <v>161.63</v>
    <v>161.58000000000001</v>
    <v>161.49</v>
    <v>161.63</v>
    <v>161.62</v>
    <v>161.75</v>
    <v>161.69</v>
    <v>161.61000000000001</v>
    <v>161.79</v>
    <v>161.75</v>
    <v>161.63999999999999</v>
    <v>161.66</v>
    <v>161.63</v>
    <v>161.77000000000001</v>
    <v>161.77000000000001</v>
    <v>161.97999999999999</v>
    <v>162.11000000000001</v>
    <v>162.05000000000001</v>
    <v>162</v>
    <v>161.85</v>
    <v>162.05000000000001</v>
    <v>162.09</v>
    <v>162.13</v>
    <v>162.19</v>
    <v>162.38</v>
    <v>162.38</v>
    <v>162.47999999999999</v>
    <v>162.62</v>
    <v>162.6</v>
    <v>162.72</v>
    <v>162.65</v>
    <v>162.66999999999999</v>
    <v>162.72999999999999</v>
    <v>162.84</v>
    <v>162.86000000000001</v>
    <v>162.88999999999999</v>
    <v>162.94</v>
    <v>163.24</v>
    <v>162.78</v>
    <v>162.07</v>
    <v>162.35</v>
    <v>161.54</v>
    <v>161.19</v>
    <v>161.1</v>
    <v>161.69999999999999</v>
    <v>161.02000000000001</v>
    <v>160.71</v>
    <v>160.55000000000001</v>
    <v>160.81</v>
    <v>161.09</v>
    <v>160.69999999999999</v>
    <v>160.15</v>
    <v>159.54</v>
    <v>159.91</v>
    <v>159.72999999999999</v>
    <v>160</v>
    <v>159.31</v>
    <v>159.27000000000001</v>
    <v>159.71</v>
    <v>159.87</v>
    <v>160.08000000000001</v>
    <v>160.22</v>
    <v>159.5</v>
    <v>160.88999999999999</v>
    <v>160.63999999999999</v>
    <v>160.27000000000001</v>
    <v>160.1</v>
    <v>160.56</v>
    <v>160.63999999999999</v>
    <v>160.6</v>
    <v>161.41</v>
    <v>161.22999999999999</v>
    <v>160.78</v>
    <v>160.69</v>
    <v>160.68</v>
    <v>160.68</v>
    <v>160.53</v>
    <v>160.33000000000001</v>
    <v>159.97</v>
    <v>160.54</v>
    <v>160.11000000000001</v>
    <v>160.33000000000001</v>
    <v>160.94999999999999</v>
    <v>161</v>
    <v>160.96</v>
    <v>160.69</v>
    <v>160.31</v>
    <v>160.24</v>
    <v>160.68</v>
    <v>160</v>
    <v>160.18</v>
    <v>159.87</v>
    <v>160.56</v>
    <v>158.58000000000001</v>
    <v>158.91999999999999</v>
    <v>159.41</v>
    <v>159.29</v>
    <v>159.34</v>
    <v>159.47999999999999</v>
    <v>159.74</v>
    <v>159.22999999999999</v>
    <v>159.34</v>
    <v>158.96</v>
    <v>159.08000000000001</v>
    <v>158.88</v>
    <v>158.81</v>
    <v>158.83000000000001</v>
    <v>158.72</v>
    <v>158.99</v>
    <v>159.37</v>
    <v>159.66999999999999</v>
    <v>159.77000000000001</v>
    <v>159.76</v>
    <v>159.71</v>
    <v>159.43</v>
    <v>159.72</v>
    <v>159.81</v>
    <v>160.1</v>
    <v>160.12</v>
    <v>160.25</v>
    <v>160.11000000000001</v>
    <v>160.16999999999999</v>
    <v>160.18</v>
    <v>160.22</v>
    <v>159.97999999999999</v>
    <v>159.94</v>
    <v>159.69999999999999</v>
    <v>158.97</v>
    <v>159.29</v>
    <v>159.37</v>
    <v>159.09</v>
    <v>159.03</v>
    <v>158.97999999999999</v>
    <v>158.86000000000001</v>
    <v>158.78</v>
    <v>158.75</v>
    <v>158.61000000000001</v>
    <v>158.47</v>
    <v>158.11000000000001</v>
    <v>158.56</v>
    <v>158.83000000000001</v>
    <v>159.08000000000001</v>
    <v>158.72999999999999</v>
    <v>158.94</v>
    <v>158.69</v>
    <v>159.05000000000001</v>
    <v>159.36000000000001</v>
    <v>159.35</v>
    <v>159.22</v>
    <v>159.30000000000001</v>
    <v>158.96</v>
    <v>158.99</v>
    <v>159.06</v>
    <v>159.24</v>
    <v>158.94</v>
    <v>158.86000000000001</v>
    <v>158.5</v>
    <v>158.49</v>
    <v>158.6</v>
    <v>158.6</v>
    <v>158.61000000000001</v>
    <v>159</v>
    <v>158.85</v>
    <v>158.72</v>
    <v>158.49</v>
    <v>158.26</v>
    <v>158.13999999999999</v>
    <v>157.87</v>
    <v>158.22</v>
    <v>158.30000000000001</v>
    <v>157.96</v>
    <v>158.11000000000001</v>
    <v>157.59</v>
    <v>156.83000000000001</v>
    <v>156.94</v>
    <v>156.56</v>
    <v>156.61000000000001</v>
    <v>156.79</v>
    <v>156.85</v>
    <v>156.34</v>
    <v>156.88999999999999</v>
    <v>156.84</v>
    <v>156.06</v>
    <v>155.93</v>
    <v>156.09</v>
    <v>155.94</v>
    <v>155.9</v>
    <v>156.24</v>
    <v>156.16999999999999</v>
    <v>156.19999999999999</v>
    <v>156.41</v>
    <v>156.76</v>
    <v>156.66999999999999</v>
    <v>156.46</v>
    <v>156.47999999999999</v>
    <v>156.4</v>
    <v>156.59</v>
    <v>156.59</v>
    <v>156.93</v>
    <v>156.97</v>
    <v>156.55000000000001</v>
    <v>156.72</v>
    <v>156.37</v>
    <v>156.38</v>
    <v>156.51</v>
  </a>
  <a r="1" c="208">
    <v>161.13999999999999</v>
    <v>161.24</v>
    <v>161.41</v>
    <v>161.63</v>
    <v>161.58000000000001</v>
    <v>161.49</v>
    <v>161.63</v>
    <v>161.62</v>
    <v>161.75</v>
    <v>161.69</v>
    <v>161.61000000000001</v>
    <v>161.79</v>
    <v>161.75</v>
    <v>161.63999999999999</v>
    <v>161.66</v>
    <v>161.63</v>
    <v>161.77000000000001</v>
    <v>161.77000000000001</v>
    <v>161.97999999999999</v>
    <v>162.11000000000001</v>
    <v>162.05000000000001</v>
    <v>162</v>
    <v>161.85</v>
    <v>162.05000000000001</v>
    <v>162.09</v>
    <v>162.13</v>
    <v>162.19</v>
    <v>162.38</v>
    <v>162.38</v>
    <v>162.47999999999999</v>
    <v>162.62</v>
    <v>162.6</v>
    <v>162.72</v>
    <v>162.65</v>
    <v>162.66999999999999</v>
    <v>162.72999999999999</v>
    <v>162.84</v>
    <v>162.86000000000001</v>
    <v>162.88999999999999</v>
    <v>162.94</v>
    <v>163.24</v>
    <v>162.78</v>
    <v>162.07</v>
    <v>162.35</v>
    <v>161.54</v>
    <v>161.19</v>
    <v>161.1</v>
    <v>161.69999999999999</v>
    <v>161.02000000000001</v>
    <v>160.71</v>
    <v>160.55000000000001</v>
    <v>160.81</v>
    <v>161.09</v>
    <v>160.69999999999999</v>
    <v>160.15</v>
    <v>159.54</v>
    <v>159.91</v>
    <v>159.72999999999999</v>
    <v>160</v>
    <v>159.31</v>
    <v>159.27000000000001</v>
    <v>159.71</v>
    <v>159.87</v>
    <v>160.08000000000001</v>
    <v>160.22</v>
    <v>159.5</v>
    <v>160.88999999999999</v>
    <v>160.63999999999999</v>
    <v>160.27000000000001</v>
    <v>160.1</v>
    <v>160.56</v>
    <v>160.63999999999999</v>
    <v>160.6</v>
    <v>161.41</v>
    <v>161.22999999999999</v>
    <v>160.78</v>
    <v>160.69</v>
    <v>160.68</v>
    <v>160.68</v>
    <v>160.53</v>
    <v>160.33000000000001</v>
    <v>159.97</v>
    <v>160.54</v>
    <v>160.11000000000001</v>
    <v>160.33000000000001</v>
    <v>160.94999999999999</v>
    <v>161</v>
    <v>160.96</v>
    <v>160.69</v>
    <v>160.31</v>
    <v>160.24</v>
    <v>160.68</v>
    <v>160</v>
    <v>160.18</v>
    <v>159.87</v>
    <v>160.56</v>
    <v>158.58000000000001</v>
    <v>158.91999999999999</v>
    <v>159.41</v>
    <v>159.29</v>
    <v>159.34</v>
    <v>159.47999999999999</v>
    <v>159.74</v>
    <v>159.22999999999999</v>
    <v>159.34</v>
    <v>158.96</v>
    <v>159.08000000000001</v>
    <v>158.88</v>
    <v>158.81</v>
    <v>158.83000000000001</v>
    <v>158.72</v>
    <v>158.99</v>
    <v>159.37</v>
    <v>159.66999999999999</v>
    <v>159.77000000000001</v>
    <v>159.76</v>
    <v>159.71</v>
    <v>159.43</v>
    <v>159.72</v>
    <v>159.81</v>
    <v>160.1</v>
    <v>160.12</v>
    <v>160.25</v>
    <v>160.11000000000001</v>
    <v>160.16999999999999</v>
    <v>160.18</v>
    <v>160.22</v>
    <v>159.97999999999999</v>
    <v>159.94</v>
    <v>159.69999999999999</v>
    <v>158.97</v>
    <v>159.29</v>
    <v>159.37</v>
    <v>159.09</v>
    <v>159.03</v>
    <v>158.97999999999999</v>
    <v>158.86000000000001</v>
    <v>158.78</v>
    <v>158.75</v>
    <v>158.61000000000001</v>
    <v>158.47</v>
    <v>158.11000000000001</v>
    <v>158.56</v>
    <v>158.83000000000001</v>
    <v>159.08000000000001</v>
    <v>158.72999999999999</v>
    <v>158.94</v>
    <v>158.69</v>
    <v>159.05000000000001</v>
    <v>159.36000000000001</v>
    <v>159.35</v>
    <v>159.22</v>
    <v>159.30000000000001</v>
    <v>158.96</v>
    <v>158.99</v>
    <v>159.06</v>
    <v>159.24</v>
    <v>158.94</v>
    <v>158.86000000000001</v>
    <v>158.5</v>
    <v>158.49</v>
    <v>158.6</v>
    <v>158.6</v>
    <v>158.61000000000001</v>
    <v>159</v>
    <v>158.85</v>
    <v>158.72</v>
    <v>158.49</v>
    <v>158.26</v>
    <v>158.13999999999999</v>
    <v>157.87</v>
    <v>158.22</v>
    <v>158.30000000000001</v>
    <v>157.96</v>
    <v>158.11000000000001</v>
    <v>157.59</v>
    <v>156.83000000000001</v>
    <v>156.94</v>
    <v>156.56</v>
    <v>156.61000000000001</v>
    <v>156.79</v>
    <v>156.85</v>
    <v>156.34</v>
    <v>156.88999999999999</v>
    <v>156.84</v>
    <v>156.06</v>
    <v>155.93</v>
    <v>156.09</v>
    <v>155.94</v>
    <v>155.9</v>
    <v>156.24</v>
    <v>156.16999999999999</v>
    <v>156.19999999999999</v>
    <v>156.41</v>
    <v>156.76</v>
    <v>156.66999999999999</v>
    <v>156.46</v>
    <v>156.47999999999999</v>
    <v>156.4</v>
    <v>156.59</v>
    <v>156.59</v>
    <v>156.93</v>
    <v>156.97</v>
    <v>156.55000000000001</v>
    <v>156.72</v>
    <v>156.37</v>
    <v>156.38</v>
    <v>156.51</v>
  </a>
  <a r="1" c="761">
    <v>156.88999999999999</v>
    <v>157.03</v>
    <v>156.82</v>
    <v>157.19</v>
    <v>157.41999999999999</v>
    <v>157.69</v>
    <v>157.79</v>
    <v>158.1</v>
    <v>158.28</v>
    <v>158.63</v>
    <v>158.11000000000001</v>
    <v>158.37</v>
    <v>158.52000000000001</v>
    <v>158.43</v>
    <v>158.11000000000001</v>
    <v>158.07</v>
    <v>158.80000000000001</v>
    <v>158.68</v>
    <v>157.87</v>
    <v>157.77000000000001</v>
    <v>157.61000000000001</v>
    <v>157.94</v>
    <v>157.75</v>
    <v>157.51</v>
    <v>157.43</v>
    <v>157.99</v>
    <v>158.41</v>
    <v>158.99</v>
    <v>158.86000000000001</v>
    <v>159.69</v>
    <v>159.63</v>
    <v>160.08000000000001</v>
    <v>160.19999999999999</v>
    <v>160.44999999999999</v>
    <v>159.85</v>
    <v>159.81</v>
    <v>159.97999999999999</v>
    <v>160.27000000000001</v>
    <v>160.94</v>
    <v>161.47999999999999</v>
    <v>161.19999999999999</v>
    <v>161.59</v>
    <v>161.88999999999999</v>
    <v>162.11000000000001</v>
    <v>162.41</v>
    <v>162.58000000000001</v>
    <v>162.44</v>
    <v>162.06</v>
    <v>161.74</v>
    <v>161.97999999999999</v>
    <v>161.34</v>
    <v>161.16</v>
    <v>161.32</v>
    <v>160.94999999999999</v>
    <v>160.82</v>
    <v>160.81</v>
    <v>161.5</v>
    <v>161.11000000000001</v>
    <v>161.08000000000001</v>
    <v>160.46</v>
    <v>160.47999999999999</v>
    <v>160.4</v>
    <v>160.69999999999999</v>
    <v>160.51</v>
    <v>160.5</v>
    <v>161.01</v>
    <v>160.96</v>
    <v>161.41</v>
    <v>161.1</v>
    <v>161.77000000000001</v>
    <v>161.72999999999999</v>
    <v>161.05000000000001</v>
    <v>160.65</v>
    <v>160.72999999999999</v>
    <v>160.65</v>
    <v>160.33000000000001</v>
    <v>159.97</v>
    <v>160.22999999999999</v>
    <v>159.93</v>
    <v>160.16999999999999</v>
    <v>160.16999999999999</v>
    <v>159.94999999999999</v>
    <v>159.91999999999999</v>
    <v>160.16</v>
    <v>159.66999999999999</v>
    <v>159.56</v>
    <v>160.06</v>
    <v>159.66</v>
    <v>159.52000000000001</v>
    <v>159.55000000000001</v>
    <v>159.86000000000001</v>
    <v>159.72999999999999</v>
    <v>159.81</v>
    <v>160.35</v>
    <v>160.38</v>
    <v>160.69999999999999</v>
    <v>161.04</v>
    <v>160.84</v>
    <v>160.69</v>
    <v>160.6</v>
    <v>160.21</v>
    <v>160.09</v>
    <v>160.07</v>
    <v>160.22999999999999</v>
    <v>160.21</v>
    <v>160.51</v>
    <v>160.82</v>
    <v>160.4</v>
    <v>160.57</v>
    <v>160.91999999999999</v>
    <v>160.78</v>
    <v>160.47999999999999</v>
    <v>160.36000000000001</v>
    <v>160.66</v>
    <v>160.44999999999999</v>
    <v>160.22</v>
    <v>160.55000000000001</v>
    <v>160.11000000000001</v>
    <v>159.88999999999999</v>
    <v>160.63</v>
    <v>160.28</v>
    <v>159.9</v>
    <v>159.94</v>
    <v>159.83000000000001</v>
    <v>159.68</v>
    <v>159.96</v>
    <v>159.91</v>
    <v>159.47999999999999</v>
    <v>159.30000000000001</v>
    <v>159.58000000000001</v>
    <v>159.87</v>
    <v>159.53</v>
    <v>159.63999999999999</v>
    <v>160.24</v>
    <v>160.29</v>
    <v>160.46</v>
    <v>160.19999999999999</v>
    <v>160.16</v>
    <v>159.97</v>
    <v>160.16999999999999</v>
    <v>159.83000000000001</v>
    <v>160.56</v>
    <v>158.44999999999999</v>
    <v>157.97999999999999</v>
    <v>158.1</v>
    <v>158.16</v>
    <v>158</v>
    <v>157.55000000000001</v>
    <v>157.62</v>
    <v>157.86000000000001</v>
    <v>157.71</v>
    <v>157.33000000000001</v>
    <v>157.52000000000001</v>
    <v>157.52000000000001</v>
    <v>157.85</v>
    <v>158.15</v>
    <v>158.04</v>
    <v>158.06</v>
    <v>157.49</v>
    <v>157.25</v>
    <v>157.37</v>
    <v>158.06</v>
    <v>158.27000000000001</v>
    <v>158.59</v>
    <v>158.46</v>
    <v>158.63999999999999</v>
    <v>158.51</v>
    <v>158.5</v>
    <v>158.57</v>
    <v>158.66999999999999</v>
    <v>158.65</v>
    <v>158.4</v>
    <v>158.41999999999999</v>
    <v>158.29</v>
    <v>157.97</v>
    <v>158</v>
    <v>158.19999999999999</v>
    <v>158.16</v>
    <v>158.6</v>
    <v>158.66</v>
    <v>158.41999999999999</v>
    <v>158.75</v>
    <v>159.30000000000001</v>
    <v>159.25</v>
    <v>159.5</v>
    <v>159.65</v>
    <v>159.62</v>
    <v>159.78</v>
    <v>159.56</v>
    <v>159.4</v>
    <v>159.63</v>
    <v>159.76</v>
    <v>159.97</v>
    <v>160.06</v>
    <v>160.24</v>
    <v>160.44</v>
    <v>160.72</v>
    <v>160.88999999999999</v>
    <v>161.55000000000001</v>
    <v>161.34</v>
    <v>161.27000000000001</v>
    <v>161</v>
    <v>161.09</v>
    <v>161.30000000000001</v>
    <v>161.29</v>
    <v>161.66</v>
    <v>161.66999999999999</v>
    <v>161.15</v>
    <v>161.13</v>
    <v>161.44</v>
    <v>161.66999999999999</v>
    <v>161.44999999999999</v>
    <v>161.74</v>
    <v>161.51</v>
    <v>161.33000000000001</v>
    <v>161.47999999999999</v>
    <v>161.51</v>
    <v>161.51</v>
    <v>161.26</v>
    <v>161.5</v>
    <v>161.9</v>
    <v>162.09</v>
    <v>162.43</v>
    <v>162.37</v>
    <v>162.52000000000001</v>
    <v>162.99</v>
    <v>162.63999999999999</v>
    <v>162.86000000000001</v>
    <v>162.84</v>
    <v>162.66999999999999</v>
    <v>162.34</v>
    <v>162.66</v>
    <v>162.51</v>
    <v>162.94</v>
    <v>163.27000000000001</v>
    <v>162.91</v>
    <v>163.29</v>
    <v>163.38999999999999</v>
    <v>163.35</v>
    <v>163.74</v>
    <v>163.49</v>
    <v>163.38</v>
    <v>162.80000000000001</v>
    <v>162.46</v>
    <v>162.54</v>
    <v>162.46</v>
    <v>162.63</v>
    <v>162.51</v>
    <v>162.47999999999999</v>
    <v>162.91999999999999</v>
    <v>163.21</v>
    <v>163.22999999999999</v>
    <v>163.57</v>
    <v>162.94999999999999</v>
    <v>162.76</v>
    <v>163.05000000000001</v>
    <v>163.16999999999999</v>
    <v>162.94</v>
    <v>163.09</v>
    <v>162.84</v>
    <v>162.16999999999999</v>
    <v>162.05000000000001</v>
    <v>162.13</v>
    <v>162.03</v>
    <v>161.93</v>
    <v>162.4</v>
    <v>162.16</v>
    <v>162.37</v>
    <v>162.91999999999999</v>
    <v>162.72</v>
    <v>162.52000000000001</v>
    <v>160.82</v>
    <v>160.79</v>
    <v>160.57</v>
    <v>160.62</v>
    <v>160.81</v>
    <v>160.94999999999999</v>
    <v>161.41</v>
    <v>161.43</v>
    <v>161.51</v>
    <v>161.41999999999999</v>
    <v>161.94999999999999</v>
    <v>162.1</v>
    <v>162.36000000000001</v>
    <v>162.30000000000001</v>
    <v>162.32</v>
    <v>162.15</v>
    <v>162.19999999999999</v>
    <v>162.38999999999999</v>
    <v>162.44999999999999</v>
    <v>162.47999999999999</v>
    <v>161.99</v>
    <v>161.81</v>
    <v>161.82</v>
    <v>161.71</v>
    <v>161.80000000000001</v>
    <v>161.43</v>
    <v>161.63999999999999</v>
    <v>161.36000000000001</v>
    <v>161.36000000000001</v>
    <v>161.43</v>
    <v>161.43</v>
    <v>160.93</v>
    <v>160.86000000000001</v>
    <v>160.85</v>
    <v>160.69</v>
    <v>160.37</v>
    <v>160.32</v>
    <v>160.1</v>
    <v>159.93</v>
    <v>160.6</v>
    <v>160.72999999999999</v>
    <v>160.88</v>
    <v>160.96</v>
    <v>160.97999999999999</v>
    <v>160.91999999999999</v>
    <v>160.91</v>
    <v>160.61000000000001</v>
    <v>160.77000000000001</v>
    <v>160.69999999999999</v>
    <v>160.63999999999999</v>
    <v>161.13999999999999</v>
    <v>161.5</v>
    <v>162.15</v>
    <v>162.02000000000001</v>
    <v>162.22</v>
    <v>162.22</v>
    <v>162</v>
    <v>162.32</v>
    <v>161.75</v>
    <v>161.51</v>
    <v>162.01</v>
    <v>161.91</v>
    <v>161.83000000000001</v>
    <v>161.86000000000001</v>
    <v>161.43</v>
    <v>161.65</v>
    <v>161.86000000000001</v>
    <v>162</v>
    <v>162.06</v>
    <v>162.21</v>
    <v>162.5</v>
    <v>162.61000000000001</v>
    <v>162.21</v>
    <v>162.36000000000001</v>
    <v>160.87</v>
    <v>160.5</v>
    <v>160.72</v>
    <v>160.86000000000001</v>
    <v>160.85</v>
    <v>160.72999999999999</v>
    <v>160.94999999999999</v>
    <v>161.11000000000001</v>
    <v>161.25</v>
    <v>161.19999999999999</v>
    <v>161.25</v>
    <v>161.36000000000001</v>
    <v>161.57</v>
    <v>161.65</v>
    <v>161.57</v>
    <v>161.72</v>
    <v>161.84</v>
    <v>162.19999999999999</v>
    <v>162.16</v>
    <v>162.33000000000001</v>
    <v>162.21</v>
    <v>162.82</v>
    <v>163.27000000000001</v>
    <v>162.94999999999999</v>
    <v>163.11000000000001</v>
    <v>163.08000000000001</v>
    <v>162.96</v>
    <v>163.35</v>
    <v>163.41999999999999</v>
    <v>163.52000000000001</v>
    <v>163.84</v>
    <v>164.2</v>
    <v>164.26</v>
    <v>163.99</v>
    <v>164.5</v>
    <v>164.24</v>
    <v>164.19</v>
    <v>164.22</v>
    <v>164.41</v>
    <v>164.15</v>
    <v>164.16</v>
    <v>164.14</v>
    <v>164.4</v>
    <v>164.17</v>
    <v>164.13</v>
    <v>163.46</v>
    <v>163.25</v>
    <v>163.22999999999999</v>
    <v>161.51</v>
    <v>161.72999999999999</v>
    <v>161.83000000000001</v>
    <v>161.76</v>
    <v>161.71</v>
    <v>161.63</v>
    <v>162.11000000000001</v>
    <v>162.16</v>
    <v>162.16999999999999</v>
    <v>162.16</v>
    <v>162.41999999999999</v>
    <v>162.41999999999999</v>
    <v>162.38</v>
    <v>162.49</v>
    <v>162.43</v>
    <v>161.88999999999999</v>
    <v>161.97</v>
    <v>162.05000000000001</v>
    <v>162.22999999999999</v>
    <v>162.21</v>
    <v>162.54</v>
    <v>162.13999999999999</v>
    <v>162.11000000000001</v>
    <v>162.16</v>
    <v>162.25</v>
    <v>162.11000000000001</v>
    <v>162.22999999999999</v>
    <v>162.28</v>
    <v>162.33000000000001</v>
    <v>162.27000000000001</v>
    <v>162.47</v>
    <v>162.30000000000001</v>
    <v>162.21</v>
    <v>162.41</v>
    <v>162.22999999999999</v>
    <v>162.37</v>
    <v>162.41999999999999</v>
    <v>162.31</v>
    <v>162.12</v>
    <v>162.22999999999999</v>
    <v>161.9</v>
    <v>161.93</v>
    <v>162.07</v>
    <v>162.1</v>
    <v>162.26</v>
    <v>162.35</v>
    <v>162.31</v>
    <v>162.74</v>
    <v>162.91</v>
    <v>162.96</v>
    <v>162.27000000000001</v>
    <v>162.03</v>
    <v>162.29</v>
    <v>162.28</v>
    <v>162.11000000000001</v>
    <v>162.16</v>
    <v>162.4</v>
    <v>162.59</v>
    <v>162.63999999999999</v>
    <v>162.61000000000001</v>
    <v>162.6</v>
    <v>162.31</v>
    <v>162.32</v>
    <v>162.13999999999999</v>
    <v>162.5</v>
    <v>162.49</v>
    <v>162.15</v>
    <v>162.32</v>
    <v>162.47999999999999</v>
    <v>162.19</v>
    <v>162.44999999999999</v>
    <v>162.19999999999999</v>
    <v>162.30000000000001</v>
    <v>162.57</v>
    <v>162.46</v>
    <v>162.35</v>
    <v>162.35</v>
    <v>162.04</v>
    <v>162.35</v>
    <v>162.59</v>
    <v>162.80000000000001</v>
    <v>162.94999999999999</v>
    <v>162.88999999999999</v>
    <v>162.9</v>
    <v>162.72999999999999</v>
    <v>162.52000000000001</v>
    <v>162.65</v>
    <v>162.62</v>
    <v>162.63999999999999</v>
    <v>162.57</v>
    <v>162.46</v>
    <v>162.49</v>
    <v>162.36000000000001</v>
    <v>162.46</v>
    <v>162.35</v>
    <v>162.41</v>
    <v>162.58000000000001</v>
    <v>162.59</v>
    <v>162.72</v>
    <v>162.71</v>
    <v>162.77000000000001</v>
    <v>162.66999999999999</v>
    <v>162.69</v>
    <v>162.88999999999999</v>
    <v>162.82</v>
    <v>163.13999999999999</v>
    <v>163.21</v>
    <v>163.31</v>
    <v>163.63</v>
    <v>163.72</v>
    <v>163.66999999999999</v>
    <v>163.63999999999999</v>
    <v>163.61000000000001</v>
    <v>163.76</v>
    <v>163.63</v>
    <v>163.37</v>
    <v>163.35</v>
    <v>163.36000000000001</v>
    <v>163.44999999999999</v>
    <v>163.38999999999999</v>
    <v>163.53</v>
    <v>163.33000000000001</v>
    <v>163.35</v>
    <v>163.30000000000001</v>
    <v>163.36000000000001</v>
    <v>163.34</v>
    <v>163.34</v>
    <v>163.43</v>
    <v>163.54</v>
    <v>161.33000000000001</v>
    <v>161.24</v>
    <v>161.24</v>
    <v>161.31</v>
    <v>161.35</v>
    <v>161.36000000000001</v>
    <v>161.46</v>
    <v>161.34</v>
    <v>161.55000000000001</v>
    <v>161.58000000000001</v>
    <v>161.54</v>
    <v>161.52000000000001</v>
    <v>161.25</v>
    <v>161.25</v>
    <v>161.37</v>
    <v>161.18</v>
    <v>161.08000000000001</v>
    <v>160.63999999999999</v>
    <v>160.75</v>
    <v>160.69</v>
    <v>160.75</v>
    <v>160.80000000000001</v>
    <v>160.83000000000001</v>
    <v>160.96</v>
    <v>160.94</v>
    <v>161.02000000000001</v>
    <v>160.83000000000001</v>
    <v>160.81</v>
    <v>161.03</v>
    <v>161.35</v>
    <v>161.18</v>
    <v>161.13999999999999</v>
    <v>161.24</v>
    <v>161.41</v>
    <v>161.63</v>
    <v>161.58000000000001</v>
    <v>161.49</v>
    <v>161.63</v>
    <v>161.62</v>
    <v>161.75</v>
    <v>161.69</v>
    <v>161.61000000000001</v>
    <v>161.79</v>
    <v>161.75</v>
    <v>161.63999999999999</v>
    <v>161.66</v>
    <v>161.63</v>
    <v>161.77000000000001</v>
    <v>161.77000000000001</v>
    <v>161.97999999999999</v>
    <v>162.11000000000001</v>
    <v>162.05000000000001</v>
    <v>162</v>
    <v>161.85</v>
    <v>162.05000000000001</v>
    <v>162.09</v>
    <v>162.13</v>
    <v>162.19</v>
    <v>162.38</v>
    <v>162.38</v>
    <v>162.47999999999999</v>
    <v>162.62</v>
    <v>162.6</v>
    <v>162.72</v>
    <v>162.65</v>
    <v>162.66999999999999</v>
    <v>162.72999999999999</v>
    <v>162.84</v>
    <v>162.86000000000001</v>
    <v>162.88999999999999</v>
    <v>162.94</v>
    <v>163.24</v>
    <v>162.78</v>
    <v>162.07</v>
    <v>162.35</v>
    <v>161.54</v>
    <v>161.19</v>
    <v>161.1</v>
    <v>161.69999999999999</v>
    <v>161.02000000000001</v>
    <v>160.71</v>
    <v>160.55000000000001</v>
    <v>160.81</v>
    <v>161.09</v>
    <v>160.69999999999999</v>
    <v>160.15</v>
    <v>159.54</v>
    <v>159.91</v>
    <v>159.72999999999999</v>
    <v>160</v>
    <v>159.31</v>
    <v>159.27000000000001</v>
    <v>159.71</v>
    <v>159.87</v>
    <v>160.08000000000001</v>
    <v>160.22</v>
    <v>159.5</v>
    <v>160.88999999999999</v>
    <v>160.63999999999999</v>
    <v>160.27000000000001</v>
    <v>160.1</v>
    <v>160.56</v>
    <v>160.63999999999999</v>
    <v>160.6</v>
    <v>161.41</v>
    <v>161.22999999999999</v>
    <v>160.78</v>
    <v>160.69</v>
    <v>160.68</v>
    <v>160.68</v>
    <v>160.53</v>
    <v>160.33000000000001</v>
    <v>159.97</v>
    <v>160.54</v>
    <v>160.11000000000001</v>
    <v>160.33000000000001</v>
    <v>160.94999999999999</v>
    <v>161</v>
    <v>160.96</v>
    <v>160.69</v>
    <v>160.31</v>
    <v>160.24</v>
    <v>160.68</v>
    <v>160</v>
    <v>160.18</v>
    <v>159.87</v>
    <v>160.56</v>
    <v>158.58000000000001</v>
    <v>158.91999999999999</v>
    <v>159.41</v>
    <v>159.29</v>
    <v>159.34</v>
    <v>159.47999999999999</v>
    <v>159.74</v>
    <v>159.22999999999999</v>
    <v>159.34</v>
    <v>158.96</v>
    <v>159.08000000000001</v>
    <v>158.88</v>
    <v>158.81</v>
    <v>158.83000000000001</v>
    <v>158.72</v>
    <v>158.99</v>
    <v>159.37</v>
    <v>159.66999999999999</v>
    <v>159.77000000000001</v>
    <v>159.76</v>
    <v>159.71</v>
    <v>159.43</v>
    <v>159.72</v>
    <v>159.81</v>
    <v>160.1</v>
    <v>160.12</v>
    <v>160.25</v>
    <v>160.11000000000001</v>
    <v>160.16999999999999</v>
    <v>160.18</v>
    <v>160.22</v>
    <v>159.97999999999999</v>
    <v>159.94</v>
    <v>159.69999999999999</v>
    <v>158.97</v>
    <v>159.29</v>
    <v>159.37</v>
    <v>159.09</v>
    <v>159.03</v>
    <v>158.97999999999999</v>
    <v>158.86000000000001</v>
    <v>158.78</v>
    <v>158.75</v>
    <v>158.61000000000001</v>
    <v>158.47</v>
    <v>158.11000000000001</v>
    <v>158.56</v>
    <v>158.83000000000001</v>
    <v>159.08000000000001</v>
    <v>158.72999999999999</v>
    <v>158.94</v>
    <v>158.69</v>
    <v>159.05000000000001</v>
    <v>159.36000000000001</v>
    <v>159.35</v>
    <v>159.22</v>
    <v>159.30000000000001</v>
    <v>158.96</v>
    <v>158.99</v>
    <v>159.06</v>
    <v>159.24</v>
    <v>158.94</v>
    <v>158.86000000000001</v>
    <v>158.5</v>
    <v>158.49</v>
    <v>158.6</v>
    <v>158.6</v>
    <v>158.61000000000001</v>
    <v>159</v>
    <v>158.85</v>
    <v>158.72</v>
    <v>158.49</v>
    <v>158.26</v>
    <v>158.13999999999999</v>
    <v>157.87</v>
    <v>158.22</v>
    <v>158.30000000000001</v>
    <v>157.96</v>
    <v>158.11000000000001</v>
    <v>157.59</v>
    <v>156.83000000000001</v>
    <v>156.94</v>
    <v>156.56</v>
    <v>156.61000000000001</v>
    <v>156.79</v>
    <v>156.85</v>
    <v>156.34</v>
    <v>156.88999999999999</v>
    <v>156.84</v>
    <v>156.06</v>
    <v>155.93</v>
    <v>156.09</v>
    <v>155.94</v>
    <v>155.9</v>
    <v>156.24</v>
    <v>156.16999999999999</v>
    <v>156.19999999999999</v>
    <v>156.41</v>
    <v>156.76</v>
    <v>156.66999999999999</v>
    <v>156.46</v>
    <v>156.47999999999999</v>
    <v>156.4</v>
    <v>156.59</v>
    <v>156.59</v>
    <v>156.93</v>
    <v>156.97</v>
    <v>156.55000000000001</v>
    <v>156.72</v>
    <v>156.37</v>
    <v>156.38</v>
    <v>156.51</v>
  </a>
  <a r="1" c="205">
    <v>271.86</v>
    <v>271.01</v>
    <v>267.26</v>
    <v>262.36</v>
    <v>260.33</v>
    <v>259.04000000000002</v>
    <v>259.37</v>
    <v>260.25</v>
    <v>261.05</v>
    <v>259.95999999999998</v>
    <v>258.20999999999998</v>
    <v>255.53</v>
    <v>246.7</v>
    <v>247.65</v>
    <v>248.35</v>
    <v>248.04</v>
    <v>255.41</v>
    <v>258.27</v>
    <v>256.44</v>
    <v>258.27999999999997</v>
    <v>259.48</v>
    <v>270.01</v>
    <v>269.48</v>
    <v>276.49</v>
    <v>275.91000000000003</v>
    <v>278.12</v>
    <v>274.62</v>
    <v>273.68</v>
    <v>275.5</v>
    <v>261.73</v>
    <v>255.78</v>
    <v>263.88</v>
    <v>264.35000000000002</v>
    <v>260.58</v>
    <v>264.58</v>
    <v>266.18</v>
    <v>272.14</v>
    <v>274.23</v>
    <v>272.95</v>
    <v>264.18</v>
    <v>264.72000000000003</v>
    <v>263.75</v>
    <v>262.52</v>
    <v>260.29000000000002</v>
    <v>257.45999999999998</v>
    <v>259.88</v>
    <v>260.83</v>
    <v>260.81</v>
    <v>255.76</v>
    <v>250.12</v>
    <v>252.82</v>
    <v>254.23</v>
    <v>249.94</v>
    <v>248.96</v>
    <v>247.99</v>
    <v>251.49</v>
    <v>251.64</v>
    <v>252.62</v>
    <v>252.89</v>
    <v>248.8</v>
    <v>246.63</v>
    <v>253.79</v>
    <v>255.63</v>
    <v>255.92</v>
    <v>258.86</v>
    <v>253.5</v>
    <v>258.89999999999998</v>
    <v>260.49</v>
    <v>260.48</v>
    <v>259.2</v>
    <v>258.83</v>
    <v>266.43</v>
    <v>263.39999999999998</v>
    <v>270.23</v>
    <v>273.05</v>
    <v>266.17</v>
    <v>273.17</v>
    <v>273.43</v>
    <v>271.06</v>
    <v>267.61</v>
    <v>270.70999999999998</v>
    <v>270.17</v>
    <v>271.35000000000002</v>
    <v>280.14</v>
    <v>276.83</v>
    <v>284.18</v>
    <v>287.51</v>
    <v>287.44</v>
    <v>293.32</v>
    <v>292.68</v>
    <v>294.8</v>
    <v>298.87</v>
    <v>298.20999999999998</v>
    <v>300.23</v>
    <v>297.83999999999997</v>
    <v>298.97000000000003</v>
    <v>302.25</v>
    <v>304.99</v>
    <v>308.82</v>
    <v>308.33</v>
    <v>310.85000000000002</v>
    <v>312.51</v>
    <v>312.06</v>
    <v>306.31</v>
    <v>315.2</v>
    <v>310.26</v>
    <v>311.23</v>
    <v>307.33999999999997</v>
    <v>301.54000000000002</v>
    <v>290.55</v>
    <v>291.58</v>
    <v>295.63</v>
    <v>291.13</v>
    <v>296.42</v>
    <v>299.24</v>
    <v>295.95</v>
    <v>298.01</v>
    <v>297.01</v>
    <v>294.3</v>
    <v>293.08</v>
    <v>275.14999999999998</v>
    <v>283.77999999999997</v>
    <v>281.74</v>
    <v>289.36</v>
    <v>294.38</v>
    <v>308.63</v>
    <v>312.66000000000003</v>
    <v>310.66000000000003</v>
    <v>313.39</v>
    <v>316.22000000000003</v>
    <v>315.32</v>
    <v>317.31</v>
    <v>314.86</v>
    <v>327.5</v>
    <v>333.26</v>
    <v>333.74</v>
    <v>326.58999999999997</v>
    <v>327.74</v>
    <v>325.89</v>
    <v>321.66000000000003</v>
    <v>333.02</v>
    <v>336.91</v>
    <v>340.08</v>
    <v>338.19</v>
    <v>333.43</v>
    <v>308.91000000000003</v>
    <v>303.42</v>
    <v>309.38</v>
    <v>311</v>
    <v>312.41000000000003</v>
    <v>313.33</v>
    <v>308.26</v>
    <v>304.91000000000003</v>
    <v>302.25</v>
    <v>305.26</v>
    <v>305.93</v>
    <v>305.58999999999997</v>
    <v>310.02999999999997</v>
    <v>316.83</v>
    <v>311.3</v>
    <v>309.35000000000002</v>
    <v>310.33999999999997</v>
    <v>309.89999999999998</v>
    <v>313.45</v>
    <v>314.58</v>
    <v>319.7</v>
    <v>316.85000000000002</v>
    <v>325.13</v>
    <v>324.95999999999998</v>
    <v>328.21</v>
    <v>319.97000000000003</v>
    <v>316.22000000000003</v>
    <v>315.33999999999997</v>
    <v>326.57</v>
    <v>332.27</v>
    <v>333.08</v>
    <v>331.34</v>
    <v>332.41</v>
    <v>337</v>
    <v>336.13</v>
    <v>338.98</v>
    <v>339.75</v>
    <v>337.02</v>
    <v>335.92</v>
    <v>341.07</v>
    <v>338.4</v>
    <v>329.4</v>
    <v>333.02</v>
    <v>330.32</v>
    <v>333.69</v>
    <v>332.89</v>
    <v>333.63</v>
    <v>336.67</v>
    <v>340.42</v>
    <v>336.64</v>
    <v>340.97</v>
    <v>341.27</v>
    <v>342.96</v>
    <v>342</v>
    <v>343.46</v>
    <v>342.94</v>
    <v>339.5</v>
    <v>343.99</v>
    <v>348.22</v>
    <v>347.72500000000002</v>
  </a>
  <a r="1" c="252">
    <v>259.58</v>
    <v>262.82</v>
    <v>268.81</v>
    <v>269</v>
    <v>269.7</v>
    <v>271.39999999999998</v>
    <v>270.37</v>
    <v>269.05</v>
    <v>270.04000000000002</v>
    <v>270.14</v>
    <v>269.77</v>
    <v>268.47000000000003</v>
    <v>269.43</v>
    <v>275.25</v>
    <v>273.47000000000003</v>
    <v>272.95</v>
    <v>272.41000000000003</v>
    <v>267.45999999999998</v>
    <v>267.44</v>
    <v>268.56</v>
    <v>266.25</v>
    <v>271.49</v>
    <v>275.92</v>
    <v>276.97000000000003</v>
    <v>277.55</v>
    <v>278.85000000000002</v>
    <v>283.10000000000002</v>
    <v>286.19</v>
    <v>284.14999999999998</v>
    <v>280.7</v>
    <v>278.77999999999997</v>
    <v>277.89</v>
    <v>277.18</v>
    <v>278.77999999999997</v>
    <v>278.02999999999997</v>
    <v>278.27999999999997</v>
    <v>274.11</v>
    <v>274.61</v>
    <v>271.83999999999997</v>
    <v>272.19</v>
    <v>273.67</v>
    <v>270.97000000000003</v>
    <v>272.36</v>
    <v>273.81</v>
    <v>273.39999999999998</v>
    <v>273.76</v>
    <v>273.08</v>
    <v>271.86</v>
    <v>271.01</v>
    <v>267.26</v>
    <v>262.36</v>
    <v>260.33</v>
    <v>259.04000000000002</v>
    <v>259.37</v>
    <v>260.25</v>
    <v>261.05</v>
    <v>259.95999999999998</v>
    <v>258.20999999999998</v>
    <v>255.53</v>
    <v>246.7</v>
    <v>247.65</v>
    <v>248.35</v>
    <v>248.04</v>
    <v>255.41</v>
    <v>258.27</v>
    <v>256.44</v>
    <v>258.27999999999997</v>
    <v>259.48</v>
    <v>270.01</v>
    <v>269.48</v>
    <v>276.49</v>
    <v>275.91000000000003</v>
    <v>278.12</v>
    <v>274.62</v>
    <v>273.68</v>
    <v>275.5</v>
    <v>261.73</v>
    <v>255.78</v>
    <v>263.88</v>
    <v>264.35000000000002</v>
    <v>260.58</v>
    <v>264.58</v>
    <v>266.18</v>
    <v>272.14</v>
    <v>274.23</v>
    <v>272.95</v>
    <v>264.18</v>
    <v>264.72000000000003</v>
    <v>263.75</v>
    <v>262.52</v>
    <v>260.29000000000002</v>
    <v>257.45999999999998</v>
    <v>259.88</v>
    <v>260.83</v>
    <v>260.81</v>
    <v>255.76</v>
    <v>250.12</v>
    <v>252.82</v>
    <v>254.23</v>
    <v>249.94</v>
    <v>248.96</v>
    <v>247.99</v>
    <v>251.49</v>
    <v>251.64</v>
    <v>252.62</v>
    <v>252.89</v>
    <v>248.8</v>
    <v>246.63</v>
    <v>253.79</v>
    <v>255.63</v>
    <v>255.92</v>
    <v>258.86</v>
    <v>253.5</v>
    <v>258.89999999999998</v>
    <v>260.49</v>
    <v>260.48</v>
    <v>259.2</v>
    <v>258.83</v>
    <v>266.43</v>
    <v>263.39999999999998</v>
    <v>270.23</v>
    <v>273.05</v>
    <v>266.17</v>
    <v>273.17</v>
    <v>273.43</v>
    <v>271.06</v>
    <v>267.61</v>
    <v>270.70999999999998</v>
    <v>270.17</v>
    <v>271.35000000000002</v>
    <v>280.14</v>
    <v>276.83</v>
    <v>284.18</v>
    <v>287.51</v>
    <v>287.44</v>
    <v>293.32</v>
    <v>292.68</v>
    <v>294.8</v>
    <v>298.87</v>
    <v>298.20999999999998</v>
    <v>300.23</v>
    <v>297.83999999999997</v>
    <v>298.97000000000003</v>
    <v>302.25</v>
    <v>304.99</v>
    <v>308.82</v>
    <v>308.33</v>
    <v>310.85000000000002</v>
    <v>312.51</v>
    <v>312.06</v>
    <v>306.31</v>
    <v>315.2</v>
    <v>310.26</v>
    <v>311.23</v>
    <v>307.33999999999997</v>
    <v>301.54000000000002</v>
    <v>290.55</v>
    <v>291.58</v>
    <v>295.63</v>
    <v>291.13</v>
    <v>296.42</v>
    <v>299.24</v>
    <v>295.95</v>
    <v>298.01</v>
    <v>297.01</v>
    <v>294.3</v>
    <v>293.08</v>
    <v>275.14999999999998</v>
    <v>283.77999999999997</v>
    <v>281.74</v>
    <v>289.36</v>
    <v>294.38</v>
    <v>308.63</v>
    <v>312.66000000000003</v>
    <v>310.66000000000003</v>
    <v>313.39</v>
    <v>316.22000000000003</v>
    <v>315.32</v>
    <v>317.31</v>
    <v>314.86</v>
    <v>327.5</v>
    <v>333.26</v>
    <v>333.74</v>
    <v>326.58999999999997</v>
    <v>327.74</v>
    <v>325.89</v>
    <v>321.66000000000003</v>
    <v>333.02</v>
    <v>336.91</v>
    <v>340.08</v>
    <v>338.19</v>
    <v>333.43</v>
    <v>308.91000000000003</v>
    <v>303.42</v>
    <v>309.38</v>
    <v>311</v>
    <v>312.41000000000003</v>
    <v>313.33</v>
    <v>308.26</v>
    <v>304.91000000000003</v>
    <v>302.25</v>
    <v>305.26</v>
    <v>305.93</v>
    <v>305.58999999999997</v>
    <v>310.02999999999997</v>
    <v>316.83</v>
    <v>311.3</v>
    <v>309.35000000000002</v>
    <v>310.33999999999997</v>
    <v>309.89999999999998</v>
    <v>313.45</v>
    <v>314.58</v>
    <v>319.7</v>
    <v>316.85000000000002</v>
    <v>325.13</v>
    <v>324.95999999999998</v>
    <v>328.21</v>
    <v>319.97000000000003</v>
    <v>316.22000000000003</v>
    <v>315.33999999999997</v>
    <v>326.57</v>
    <v>332.27</v>
    <v>333.08</v>
    <v>331.34</v>
    <v>332.41</v>
    <v>337</v>
    <v>336.13</v>
    <v>338.98</v>
    <v>339.75</v>
    <v>337.02</v>
    <v>335.92</v>
    <v>341.07</v>
    <v>338.4</v>
    <v>329.4</v>
    <v>333.02</v>
    <v>330.32</v>
    <v>333.69</v>
    <v>332.89</v>
    <v>333.63</v>
    <v>336.67</v>
    <v>340.42</v>
    <v>336.64</v>
    <v>340.97</v>
    <v>341.27</v>
    <v>342.96</v>
    <v>342</v>
    <v>343.46</v>
    <v>342.94</v>
    <v>339.5</v>
    <v>343.99</v>
    <v>348.22</v>
    <v>347.72500000000002</v>
  </a>
  <a r="1" c="754">
    <v>173</v>
    <v>173.44</v>
    <v>171.1</v>
    <v>166.89</v>
    <v>168.22</v>
    <v>170.29</v>
    <v>170.77</v>
    <v>173.97</v>
    <v>177.57</v>
    <v>176.65</v>
    <v>179.23</v>
    <v>181.82</v>
    <v>182.89</v>
    <v>182.41</v>
    <v>186.4</v>
    <v>184.8</v>
    <v>187.44</v>
    <v>188.01</v>
    <v>189.71</v>
    <v>189.69</v>
    <v>191.45</v>
    <v>190.64</v>
    <v>191.31</v>
    <v>189.97</v>
    <v>189.79</v>
    <v>190.4</v>
    <v>189.37</v>
    <v>189.95</v>
    <v>191.24</v>
    <v>189.43</v>
    <v>193.42</v>
    <v>192.32</v>
    <v>194.27</v>
    <v>195.71</v>
    <v>193.18</v>
    <v>194.71</v>
    <v>197.96</v>
    <v>198.11</v>
    <v>197.57</v>
    <v>195.89</v>
    <v>196.94</v>
    <v>194.83</v>
    <v>194.68</v>
    <v>193.6</v>
    <v>193.05</v>
    <v>193.15</v>
    <v>193.58</v>
    <v>192.53</v>
    <v>185.64</v>
    <v>184.25</v>
    <v>181.91</v>
    <v>181.18</v>
    <v>185.56</v>
    <v>185.14</v>
    <v>186.19</v>
    <v>185.59</v>
    <v>185.92</v>
    <v>183.63</v>
    <v>182.68</v>
    <v>188.63</v>
    <v>191.56</v>
    <v>193.89</v>
    <v>195.18</v>
    <v>194.5</v>
    <v>194.17</v>
    <v>192.42</v>
    <v>191.73</v>
    <v>188.04</v>
    <v>184.4</v>
    <v>186.86</v>
    <v>185.85</v>
    <v>187.68</v>
    <v>189.3</v>
    <v>189.41</v>
    <v>188.32</v>
    <v>188.85</v>
    <v>187.15</v>
    <v>185.04</v>
    <v>184.15</v>
    <v>183.86</v>
    <v>182.31</v>
    <v>181.56</v>
    <v>182.32</v>
    <v>184.37</v>
    <v>182.52</v>
    <v>181.16</v>
    <v>182.63</v>
    <v>181.42</v>
    <v>180.75</v>
    <v>179.66</v>
    <v>175.1</v>
    <v>170.12</v>
    <v>169.12</v>
    <v>169</v>
    <v>170.73</v>
    <v>172.75</v>
    <v>173.23</v>
    <v>171.13</v>
    <v>173</v>
    <v>172.62</v>
    <v>173.72</v>
    <v>176.08</v>
    <v>178.67</v>
    <v>171.37</v>
    <v>172.28</v>
    <v>170.85</v>
    <v>169.71</v>
    <v>173.31</v>
    <v>171.48</v>
    <v>170.03</v>
    <v>168.84</v>
    <v>169.65</v>
    <v>168.82</v>
    <v>169.58</v>
    <v>168.45</v>
    <v>169.67</v>
    <v>167.78</v>
    <v>175.04</v>
    <v>176.55</v>
    <v>172.69</v>
    <v>169.38</v>
    <v>168</v>
    <v>167.04</v>
    <v>165</v>
    <v>165.84</v>
    <v>166.9</v>
    <v>169.02</v>
    <v>169.89</v>
    <v>169.3</v>
    <v>173.5</v>
    <v>170.33</v>
    <v>169.3</v>
    <v>173.03</v>
    <v>183.38</v>
    <v>181.71</v>
    <v>182.4</v>
    <v>182.74</v>
    <v>184.57</v>
    <v>183.05</v>
    <v>186.28</v>
    <v>187.43</v>
    <v>189.72</v>
    <v>189.84</v>
    <v>189.87</v>
    <v>191.04</v>
    <v>192.35</v>
    <v>190.9</v>
    <v>186.88</v>
    <v>189.98</v>
    <v>189.99</v>
    <v>190.29</v>
    <v>191.29</v>
    <v>192.25</v>
    <v>194.03</v>
    <v>194.35</v>
    <v>195.87</v>
    <v>194.48</v>
    <v>196.89</v>
    <v>193.12</v>
    <v>207.15</v>
    <v>213.07</v>
    <v>214.24</v>
    <v>212.49</v>
    <v>216.67</v>
    <v>214.29</v>
    <v>209.68</v>
    <v>207.49</v>
    <v>208.14</v>
    <v>209.07</v>
    <v>213.25</v>
    <v>214.1</v>
    <v>210.62</v>
    <v>216.75</v>
    <v>220.27</v>
    <v>221.55</v>
    <v>226.34</v>
    <v>227.82</v>
    <v>228.68</v>
    <v>232.98</v>
    <v>227.57</v>
    <v>230.54</v>
    <v>234.4</v>
    <v>234.82</v>
    <v>228.88</v>
    <v>224.18</v>
    <v>224.31</v>
    <v>223.96</v>
    <v>225.01</v>
    <v>218.54</v>
    <v>217.49</v>
    <v>217.96</v>
    <v>218.24</v>
    <v>218.8</v>
    <v>222.08</v>
    <v>218.36</v>
    <v>219.86</v>
    <v>209.27</v>
    <v>207.23</v>
    <v>209.82</v>
    <v>213.31</v>
    <v>216.24</v>
    <v>217.53</v>
    <v>221.27</v>
    <v>221.72</v>
    <v>224.72</v>
    <v>226.05</v>
    <v>225.89</v>
    <v>226.51</v>
    <v>226.4</v>
    <v>224.53</v>
    <v>226.84</v>
    <v>227.18</v>
    <v>228.03</v>
    <v>226.49</v>
    <v>229.79</v>
    <v>229</v>
    <v>222.77</v>
    <v>220.85</v>
    <v>222.38</v>
    <v>220.82</v>
    <v>220.91</v>
    <v>220.11</v>
    <v>222.66</v>
    <v>222.77</v>
    <v>222.5</v>
    <v>216.32</v>
    <v>216.79</v>
    <v>220.69</v>
    <v>228.87</v>
    <v>228.2</v>
    <v>226.47</v>
    <v>227.37</v>
    <v>226.37</v>
    <v>227.52</v>
    <v>227.79</v>
    <v>233</v>
    <v>226.21</v>
    <v>226.78</v>
    <v>225.67</v>
    <v>226.8</v>
    <v>221.69</v>
    <v>225.77</v>
    <v>229.54</v>
    <v>229.04</v>
    <v>227.55</v>
    <v>231.3</v>
    <v>233.85</v>
    <v>231.78</v>
    <v>232.15</v>
    <v>235</v>
    <v>236.48</v>
    <v>235.86</v>
    <v>230.76</v>
    <v>230.57</v>
    <v>231.41</v>
    <v>233.4</v>
    <v>233.67</v>
    <v>230.1</v>
    <v>225.91</v>
    <v>222.91</v>
    <v>222.01</v>
    <v>223.45</v>
    <v>222.72</v>
    <v>227.48</v>
    <v>226.96</v>
    <v>224.23</v>
    <v>224.23</v>
    <v>225.12</v>
    <v>228.22</v>
    <v>225</v>
    <v>228.02</v>
    <v>228.28</v>
    <v>229</v>
    <v>228.52</v>
    <v>229.87</v>
    <v>232.87</v>
    <v>235.06</v>
    <v>234.93</v>
    <v>237.33</v>
    <v>239.59</v>
    <v>242.65</v>
    <v>243.01</v>
    <v>243.04</v>
    <v>242.84</v>
    <v>246.75</v>
    <v>247.77</v>
    <v>246.49</v>
    <v>247.96</v>
    <v>248.13</v>
    <v>251.04</v>
    <v>253.48</v>
    <v>248.05</v>
    <v>249.79</v>
    <v>254.49</v>
    <v>255.27</v>
    <v>258.2</v>
    <v>259.02</v>
    <v>255.59</v>
    <v>252.2</v>
    <v>250.42</v>
    <v>243.85</v>
    <v>243.36</v>
    <v>245</v>
    <v>242.21</v>
    <v>242.7</v>
    <v>236.85</v>
    <v>234.4</v>
    <v>233.28</v>
    <v>237.87</v>
    <v>228.26</v>
    <v>229.98</v>
    <v>222.64</v>
    <v>223.83</v>
    <v>223.66</v>
    <v>222.78</v>
    <v>229.86</v>
    <v>238.26</v>
    <v>239.36</v>
    <v>237.59</v>
    <v>236</v>
    <v>228.01</v>
    <v>232.8</v>
    <v>232.47</v>
    <v>233.22</v>
    <v>227.63</v>
    <v>227.65</v>
    <v>232.62</v>
    <v>236.87</v>
    <v>241.53</v>
    <v>244.6</v>
    <v>244.47</v>
    <v>244.87</v>
    <v>245.83</v>
    <v>245.55</v>
    <v>247.1</v>
    <v>247.04</v>
    <v>240.36</v>
    <v>237.3</v>
    <v>241.84</v>
    <v>238.03</v>
    <v>235.93</v>
    <v>235.74</v>
    <v>235.33</v>
    <v>239.07</v>
    <v>227.48</v>
    <v>220.84</v>
    <v>216.98</v>
    <v>209.68</v>
    <v>213.49</v>
    <v>214</v>
    <v>212.69</v>
    <v>215.24</v>
    <v>214.1</v>
    <v>218.27</v>
    <v>220.73</v>
    <v>223.75</v>
    <v>221.53</v>
    <v>223.85</v>
    <v>217.9</v>
    <v>222.13</v>
    <v>223.19</v>
    <v>223.89</v>
    <v>203.19</v>
    <v>188.38</v>
    <v>181.46</v>
    <v>172.42</v>
    <v>198.85</v>
    <v>190.42</v>
    <v>198.15</v>
    <v>202.52</v>
    <v>202.14</v>
    <v>194.27</v>
    <v>196.98</v>
    <v>193.16</v>
    <v>199.74</v>
    <v>204.6</v>
    <v>208.37</v>
    <v>209.28</v>
    <v>210.14</v>
    <v>211.21</v>
    <v>212.5</v>
    <v>213.32</v>
    <v>205.35</v>
    <v>198.89</v>
    <v>198.51</v>
    <v>196.25</v>
    <v>197.49</v>
    <v>198.53</v>
    <v>210.79</v>
    <v>212.93</v>
    <v>212.33</v>
    <v>211.45</v>
    <v>211.26</v>
    <v>208.78</v>
    <v>206.86</v>
    <v>202.09</v>
    <v>201.36</v>
    <v>195.27</v>
    <v>200.21</v>
    <v>200.42</v>
    <v>199.95</v>
    <v>200.85</v>
    <v>201.7</v>
    <v>203.27</v>
    <v>202.82</v>
    <v>200.63</v>
    <v>203.92</v>
    <v>201.45</v>
    <v>202.67</v>
    <v>198.78</v>
    <v>199.2</v>
    <v>196.45</v>
    <v>198.42</v>
    <v>195.64</v>
    <v>196.58</v>
    <v>201</v>
    <v>201.5</v>
    <v>200.3</v>
    <v>201.56</v>
    <v>201</v>
    <v>201.08</v>
    <v>205.17</v>
    <v>207.82</v>
    <v>212.44</v>
    <v>213.55</v>
    <v>209.95</v>
    <v>210.01</v>
    <v>211.14</v>
    <v>212.41</v>
    <v>211.16</v>
    <v>208.62</v>
    <v>209.11</v>
    <v>210.16</v>
    <v>210.02</v>
    <v>211.18</v>
    <v>212.48</v>
    <v>214.4</v>
    <v>214.15</v>
    <v>213.76</v>
    <v>213.88</v>
    <v>214.05</v>
    <v>211.27</v>
    <v>209.05</v>
    <v>207.57</v>
    <v>202.38</v>
    <v>203.35</v>
    <v>202.92</v>
    <v>213.25</v>
    <v>220.03</v>
    <v>229.35</v>
    <v>227.18</v>
    <v>229.65</v>
    <v>233.33</v>
    <v>232.78</v>
    <v>231.59</v>
    <v>230.89</v>
    <v>230.56</v>
    <v>226.01</v>
    <v>224.9</v>
    <v>227.76</v>
    <v>227.16</v>
    <v>229.31</v>
    <v>230.49</v>
    <v>232.56</v>
    <v>232.14</v>
    <v>229.72</v>
    <v>238.47</v>
    <v>239.78</v>
    <v>239.69</v>
    <v>237.88</v>
    <v>234.35</v>
    <v>226.79</v>
    <v>230.03</v>
    <v>234.07</v>
    <v>236.7</v>
    <v>238.15</v>
    <v>238.99</v>
    <v>237.88</v>
    <v>245.5</v>
    <v>256.08</v>
    <v>254.43</v>
    <v>252.31</v>
    <v>256.87</v>
    <v>255.46</v>
    <v>254.43</v>
    <v>254.63</v>
    <v>255.45</v>
    <v>257.13</v>
    <v>258.02</v>
    <v>256.69</v>
    <v>256.48</v>
    <v>258.06</v>
    <v>254.04</v>
    <v>245.27</v>
    <v>247.66</v>
    <v>247.77</v>
    <v>249.34</v>
    <v>247.45</v>
    <v>252.29</v>
    <v>262.24</v>
    <v>262.77</v>
    <v>258.45</v>
    <v>259.58</v>
    <v>262.82</v>
    <v>268.81</v>
    <v>269</v>
    <v>269.7</v>
    <v>271.39999999999998</v>
    <v>270.37</v>
    <v>269.05</v>
    <v>270.04000000000002</v>
    <v>270.14</v>
    <v>269.77</v>
    <v>268.47000000000003</v>
    <v>269.43</v>
    <v>275.25</v>
    <v>273.47000000000003</v>
    <v>272.95</v>
    <v>272.41000000000003</v>
    <v>267.45999999999998</v>
    <v>267.44</v>
    <v>268.56</v>
    <v>266.25</v>
    <v>271.49</v>
    <v>275.92</v>
    <v>276.97000000000003</v>
    <v>277.55</v>
    <v>278.85000000000002</v>
    <v>283.10000000000002</v>
    <v>286.19</v>
    <v>284.14999999999998</v>
    <v>280.7</v>
    <v>278.77999999999997</v>
    <v>277.89</v>
    <v>277.18</v>
    <v>278.77999999999997</v>
    <v>278.02999999999997</v>
    <v>278.27999999999997</v>
    <v>274.11</v>
    <v>274.61</v>
    <v>271.83999999999997</v>
    <v>272.19</v>
    <v>273.67</v>
    <v>270.97000000000003</v>
    <v>272.36</v>
    <v>273.81</v>
    <v>273.39999999999998</v>
    <v>273.76</v>
    <v>273.08</v>
    <v>271.86</v>
    <v>271.01</v>
    <v>267.26</v>
    <v>262.36</v>
    <v>260.33</v>
    <v>259.04000000000002</v>
    <v>259.37</v>
    <v>260.25</v>
    <v>261.05</v>
    <v>259.95999999999998</v>
    <v>258.20999999999998</v>
    <v>255.53</v>
    <v>246.7</v>
    <v>247.65</v>
    <v>248.35</v>
    <v>248.04</v>
    <v>255.41</v>
    <v>258.27</v>
    <v>256.44</v>
    <v>258.27999999999997</v>
    <v>259.48</v>
    <v>270.01</v>
    <v>269.48</v>
    <v>276.49</v>
    <v>275.91000000000003</v>
    <v>278.12</v>
    <v>274.62</v>
    <v>273.68</v>
    <v>275.5</v>
    <v>261.73</v>
    <v>255.78</v>
    <v>263.88</v>
    <v>264.35000000000002</v>
    <v>260.58</v>
    <v>264.58</v>
    <v>266.18</v>
    <v>272.14</v>
    <v>274.23</v>
    <v>272.95</v>
    <v>264.18</v>
    <v>264.72000000000003</v>
    <v>263.75</v>
    <v>262.52</v>
    <v>260.29000000000002</v>
    <v>257.45999999999998</v>
    <v>259.88</v>
    <v>260.83</v>
    <v>260.81</v>
    <v>255.76</v>
    <v>250.12</v>
    <v>252.82</v>
    <v>254.23</v>
    <v>249.94</v>
    <v>248.96</v>
    <v>247.99</v>
    <v>251.49</v>
    <v>251.64</v>
    <v>252.62</v>
    <v>252.89</v>
    <v>248.8</v>
    <v>246.63</v>
    <v>253.79</v>
    <v>255.63</v>
    <v>255.92</v>
    <v>258.86</v>
    <v>253.5</v>
    <v>258.89999999999998</v>
    <v>260.49</v>
    <v>260.48</v>
    <v>259.2</v>
    <v>258.83</v>
    <v>266.43</v>
    <v>263.39999999999998</v>
    <v>270.23</v>
    <v>273.05</v>
    <v>266.17</v>
    <v>273.17</v>
    <v>273.43</v>
    <v>271.06</v>
    <v>267.61</v>
    <v>270.70999999999998</v>
    <v>270.17</v>
    <v>271.35000000000002</v>
    <v>280.14</v>
    <v>276.83</v>
    <v>284.18</v>
    <v>287.51</v>
    <v>287.44</v>
    <v>293.32</v>
    <v>292.68</v>
    <v>294.8</v>
    <v>298.87</v>
    <v>298.20999999999998</v>
    <v>300.23</v>
    <v>297.83999999999997</v>
    <v>298.97000000000003</v>
    <v>302.25</v>
    <v>304.99</v>
    <v>308.82</v>
    <v>308.33</v>
    <v>310.85000000000002</v>
    <v>312.51</v>
    <v>312.06</v>
    <v>306.31</v>
    <v>315.2</v>
    <v>310.26</v>
    <v>311.23</v>
    <v>307.33999999999997</v>
    <v>301.54000000000002</v>
    <v>290.55</v>
    <v>291.58</v>
    <v>295.63</v>
    <v>291.13</v>
    <v>296.42</v>
    <v>299.24</v>
    <v>295.95</v>
    <v>298.01</v>
    <v>297.01</v>
    <v>294.3</v>
    <v>293.08</v>
    <v>275.14999999999998</v>
    <v>283.77999999999997</v>
    <v>281.74</v>
    <v>289.36</v>
    <v>294.38</v>
    <v>308.63</v>
    <v>312.66000000000003</v>
    <v>310.66000000000003</v>
    <v>313.39</v>
    <v>316.22000000000003</v>
    <v>315.32</v>
    <v>317.31</v>
    <v>314.86</v>
    <v>327.5</v>
    <v>333.26</v>
    <v>333.74</v>
    <v>326.58999999999997</v>
    <v>327.74</v>
    <v>325.89</v>
    <v>321.66000000000003</v>
    <v>333.02</v>
    <v>336.91</v>
    <v>340.08</v>
    <v>338.19</v>
    <v>333.43</v>
    <v>308.91000000000003</v>
    <v>303.42</v>
    <v>309.38</v>
    <v>311</v>
    <v>312.41000000000003</v>
    <v>313.33</v>
    <v>308.26</v>
    <v>304.91000000000003</v>
    <v>302.25</v>
    <v>305.26</v>
    <v>305.93</v>
    <v>305.58999999999997</v>
    <v>310.02999999999997</v>
    <v>316.83</v>
    <v>311.3</v>
    <v>309.35000000000002</v>
    <v>310.33999999999997</v>
    <v>309.89999999999998</v>
    <v>313.45</v>
    <v>314.58</v>
    <v>319.7</v>
    <v>316.85000000000002</v>
    <v>325.13</v>
    <v>324.95999999999998</v>
    <v>328.21</v>
    <v>319.97000000000003</v>
    <v>316.22000000000003</v>
    <v>315.33999999999997</v>
    <v>326.57</v>
    <v>332.27</v>
    <v>333.08</v>
    <v>331.34</v>
    <v>332.41</v>
    <v>337</v>
    <v>336.13</v>
    <v>338.98</v>
    <v>339.75</v>
    <v>337.02</v>
    <v>335.92</v>
    <v>341.07</v>
    <v>338.4</v>
    <v>329.4</v>
    <v>333.02</v>
    <v>330.32</v>
    <v>333.69</v>
    <v>332.89</v>
    <v>333.63</v>
    <v>336.67</v>
    <v>340.42</v>
    <v>336.64</v>
    <v>340.97</v>
    <v>341.27</v>
    <v>342.96</v>
    <v>342</v>
    <v>343.46</v>
    <v>342.94</v>
    <v>339.5</v>
    <v>343.99</v>
    <v>348.22</v>
    <v>347.72500000000002</v>
  </a>
  <a r="1" c="205">
    <v>83.704999999999998</v>
    <v>89.95</v>
    <v>92.83</v>
    <v>100.24</v>
    <v>96.21</v>
    <v>97.3</v>
    <v>97.93</v>
    <v>107.33</v>
    <v>105.43</v>
    <v>101.98</v>
    <v>103.88500000000001</v>
    <v>108.73</v>
    <v>99.29</v>
    <v>98.87</v>
    <v>96.85</v>
    <v>94.5</v>
    <v>91.46</v>
    <v>97.87</v>
    <v>100.43</v>
    <v>94.91</v>
    <v>85.19</v>
    <v>88.16</v>
    <v>89.95</v>
    <v>82.39</v>
    <v>73.87</v>
    <v>86.1</v>
    <v>92.88</v>
    <v>91.79</v>
    <v>88.61</v>
    <v>89.73</v>
    <v>98.01</v>
    <v>97.52</v>
    <v>101.8</v>
    <v>107.61</v>
    <v>97.92</v>
    <v>100.61</v>
    <v>102.58</v>
    <v>106.12</v>
    <v>104.88</v>
    <v>91.19</v>
    <v>91.01</v>
    <v>86.8</v>
    <v>97.78</v>
    <v>95.65</v>
    <v>89.33</v>
    <v>94.94</v>
    <v>96.43</v>
    <v>111.995</v>
    <v>108.04</v>
    <v>112.95</v>
    <v>129.85</v>
    <v>116.33</v>
    <v>118.56</v>
    <v>121.52</v>
    <v>117.62</v>
    <v>114.15</v>
    <v>114.91</v>
    <v>115.09</v>
    <v>105.97</v>
    <v>100.82</v>
    <v>92.26</v>
    <v>103.76</v>
    <v>101.95</v>
    <v>108.82</v>
    <v>112.54</v>
    <v>117.4</v>
    <v>125</v>
    <v>136.33000000000001</v>
    <v>144.97</v>
    <v>154.56</v>
    <v>161.94</v>
    <v>166.77</v>
    <v>165.34</v>
    <v>157.13999999999999</v>
    <v>159.16</v>
    <v>156.55000000000001</v>
    <v>156.13999999999999</v>
    <v>157.08000000000001</v>
    <v>147.16</v>
    <v>144.96</v>
    <v>135.51</v>
    <v>141.19</v>
    <v>138.22999999999999</v>
    <v>154.49</v>
    <v>176.42</v>
    <v>175.92</v>
    <v>195.09</v>
    <v>184.77</v>
    <v>177.05</v>
    <v>186.1</v>
    <v>179.11</v>
    <v>207.27</v>
    <v>221.15</v>
    <v>219.94</v>
    <v>199.86</v>
    <v>197.73</v>
    <v>191.82</v>
    <v>219.93</v>
    <v>214.77</v>
    <v>208.06</v>
    <v>208.37</v>
    <v>226.34</v>
    <v>231.09</v>
    <v>264.51</v>
    <v>260.58</v>
    <v>251.68</v>
    <v>259.67</v>
    <v>227.81</v>
    <v>218</v>
    <v>220.12</v>
    <v>211.69</v>
    <v>222.24</v>
    <v>232.36</v>
    <v>260.07</v>
    <v>265.10000000000002</v>
    <v>280.91000000000003</v>
    <v>286.69</v>
    <v>283.61</v>
    <v>275.25</v>
    <v>259.66000000000003</v>
    <v>256.63</v>
    <v>240.3</v>
    <v>261.14999999999998</v>
    <v>276.17</v>
    <v>229.18</v>
    <v>215.62</v>
    <v>213.02</v>
    <v>195.19</v>
    <v>216.48</v>
    <v>216.2</v>
    <v>219.65</v>
    <v>210.51</v>
    <v>194.09</v>
    <v>199.51</v>
    <v>171.77</v>
    <v>177.71</v>
    <v>182.62</v>
    <v>216.92</v>
    <v>218.16</v>
    <v>220.97</v>
    <v>187.77</v>
    <v>187.88</v>
    <v>169.69</v>
    <v>148.22</v>
    <v>188.43</v>
    <v>190.41</v>
    <v>212.58</v>
    <v>225.74</v>
    <v>218.99</v>
    <v>189.88</v>
    <v>187.97</v>
    <v>184.11</v>
    <v>193.23</v>
    <v>259.2</v>
    <v>255.04</v>
    <v>277.68</v>
    <v>268.85000000000002</v>
    <v>248.43</v>
    <v>223.9</v>
    <v>220.11</v>
    <v>219.13</v>
    <v>210.91</v>
    <v>221.97</v>
    <v>213.93</v>
    <v>218.48</v>
    <v>209.18</v>
    <v>206.32</v>
    <v>199.54</v>
    <v>204.09</v>
    <v>210.63</v>
    <v>226.39</v>
    <v>243.88</v>
    <v>240.35</v>
    <v>228.11</v>
    <v>224.55</v>
    <v>212.19</v>
    <v>207.37</v>
    <v>209.37</v>
    <v>217.99</v>
    <v>223.54</v>
    <v>232.8</v>
    <v>236.12</v>
    <v>226.61</v>
    <v>243.48</v>
    <v>237.33</v>
    <v>231.88</v>
    <v>237.35499999999999</v>
    <v>235.88</v>
    <v>232.28</v>
    <v>242.81</v>
    <v>232.57</v>
    <v>249.87</v>
    <v>237.15</v>
    <v>219.71</v>
    <v>221.07</v>
    <v>210.06</v>
    <v>206.86</v>
    <v>186.01</v>
    <v>188.41</v>
    <v>165.47</v>
    <v>170.24</v>
    <v>171.45</v>
    <v>171.57</v>
    <v>159.16999999999999</v>
    <v>158.74</v>
  </a>
  <a r="1" c="754">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20</v>
    <v>18.73</v>
    <v>17.16</v>
    <v>17.63</v>
    <v>19.57</v>
    <v>23.75</v>
    <v>23.65</v>
    <v>22.06</v>
    <v>21.38</v>
    <v>20.14</v>
    <v>20.75</v>
    <v>19</v>
    <v>19.3</v>
    <v>20.68</v>
    <v>19.920000000000002</v>
    <v>20.94</v>
    <v>19.600000000000001</v>
    <v>18.57</v>
    <v>18.09</v>
    <v>17.600000000000001</v>
    <v>18.52</v>
    <v>20.65</v>
    <v>20.58</v>
    <v>22</v>
    <v>23.49</v>
    <v>23.49</v>
    <v>22.12</v>
    <v>21.43</v>
    <v>21.99</v>
    <v>25.75</v>
    <v>29.33</v>
    <v>32.31</v>
    <v>31.16</v>
    <v>36.770000000000003</v>
    <v>31.96</v>
    <v>33.700000000000003</v>
    <v>32.78</v>
    <v>31.33</v>
    <v>30.75</v>
    <v>33.4</v>
    <v>29.34</v>
    <v>27.09</v>
    <v>27.05</v>
    <v>26.71</v>
    <v>28.64</v>
    <v>28.245000000000001</v>
    <v>28.06</v>
    <v>27.31</v>
    <v>26.92</v>
    <v>27.7</v>
    <v>30.51</v>
    <v>31.18</v>
    <v>31.22</v>
    <v>31.54</v>
    <v>30.74</v>
    <v>33.18</v>
    <v>35.72</v>
    <v>36.89</v>
    <v>37.020000000000003</v>
    <v>37.590000000000003</v>
    <v>36.04</v>
    <v>37.6</v>
    <v>39.520000000000003</v>
    <v>38.64</v>
    <v>41.69</v>
    <v>26.08</v>
    <v>30.09</v>
    <v>29.73</v>
    <v>31.8</v>
    <v>32.659999999999997</v>
    <v>33.31</v>
    <v>34.5</v>
    <v>33.93</v>
    <v>34.549999999999997</v>
    <v>38.130000000000003</v>
    <v>40.97</v>
    <v>41.42</v>
    <v>39.299999999999997</v>
    <v>41.7</v>
    <v>44.49</v>
    <v>48.07</v>
    <v>44.83</v>
    <v>46.25</v>
    <v>39.835000000000001</v>
    <v>36.22</v>
    <v>34.21</v>
    <v>35.979999999999997</v>
    <v>32.049999999999997</v>
    <v>32.49</v>
    <v>28.1</v>
    <v>29.61</v>
    <v>30.17</v>
    <v>26.8</v>
    <v>27.99</v>
    <v>26.21</v>
    <v>25.45</v>
    <v>28.4</v>
    <v>26.17</v>
    <v>28.75</v>
    <v>28.29</v>
    <v>25.67</v>
    <v>27.58</v>
    <v>26.175000000000001</v>
    <v>26.98</v>
    <v>29.19</v>
    <v>27.17</v>
    <v>24.71</v>
    <v>25.41</v>
    <v>22.31</v>
    <v>21.11</v>
    <v>22.69</v>
    <v>24.45</v>
    <v>21.77</v>
    <v>20.29</v>
    <v>21.05</v>
    <v>20.059999999999999</v>
    <v>23.46</v>
    <v>21.04</v>
    <v>21.51</v>
    <v>20.73</v>
    <v>21.33</v>
    <v>21.08</v>
    <v>21.53</v>
    <v>20.72</v>
    <v>21.86</v>
    <v>22.96</v>
    <v>24.46</v>
    <v>24.48</v>
    <v>24.11</v>
    <v>23.86</v>
    <v>22.73</v>
    <v>23.925000000000001</v>
    <v>25.4</v>
    <v>23.8</v>
    <v>25.04</v>
    <v>27.45</v>
    <v>28.22</v>
    <v>28.27</v>
    <v>33.340000000000003</v>
    <v>35.270000000000003</v>
    <v>36.119999999999997</v>
    <v>35.79</v>
    <v>37.32</v>
    <v>37.56</v>
    <v>39.14</v>
    <v>38.92</v>
    <v>37.799999999999997</v>
    <v>38.590000000000003</v>
    <v>39.82</v>
    <v>39.6</v>
    <v>38.04</v>
    <v>36.75</v>
    <v>36.020000000000003</v>
    <v>37.270000000000003</v>
    <v>39.39</v>
    <v>46.3</v>
    <v>48.28</v>
    <v>52.58</v>
    <v>52.51</v>
    <v>50.57</v>
    <v>50.28</v>
    <v>47.13</v>
    <v>50.46</v>
    <v>48.33</v>
    <v>48.32</v>
    <v>47.97</v>
    <v>47.48</v>
    <v>51.02</v>
    <v>48.52</v>
    <v>52.6</v>
    <v>51.84</v>
    <v>55.33</v>
    <v>50.31</v>
    <v>49.97</v>
    <v>50.25</v>
    <v>47.84</v>
    <v>47.1</v>
    <v>46.05</v>
    <v>46.43</v>
    <v>44.3</v>
    <v>51.95</v>
    <v>53.53</v>
    <v>53.31</v>
    <v>53.69</v>
    <v>52.79</v>
    <v>52.37</v>
    <v>51.01</v>
    <v>51.88</v>
    <v>52.16</v>
    <v>51.37</v>
    <v>52.75</v>
    <v>50.4</v>
    <v>51.29</v>
    <v>54.43</v>
    <v>52</v>
    <v>54.17</v>
    <v>55.17</v>
    <v>55.09</v>
    <v>65.31</v>
    <v>68.78</v>
    <v>70.239999999999995</v>
    <v>75.33</v>
    <v>70.63</v>
    <v>68.459999999999994</v>
    <v>71.62</v>
    <v>72.540000000000006</v>
    <v>67.19</v>
    <v>67.47</v>
    <v>66.180000000000007</v>
    <v>68.98</v>
    <v>70.02</v>
    <v>70.48</v>
    <v>70.099999999999994</v>
    <v>72.040000000000006</v>
    <v>68.319999999999993</v>
    <v>65.72</v>
    <v>65.650000000000006</v>
    <v>64.91</v>
    <v>65.47</v>
    <v>64.06</v>
    <v>95.72</v>
    <v>93.39</v>
    <v>89.19</v>
    <v>90.41</v>
    <v>90.96</v>
    <v>89.43</v>
    <v>94.08</v>
    <v>94.12</v>
    <v>99.31</v>
    <v>106.6</v>
    <v>107.8</v>
    <v>113.23</v>
    <v>107.94</v>
    <v>107.7</v>
    <v>110.22</v>
    <v>112.27</v>
    <v>115.61</v>
    <v>125.87</v>
    <v>127.98</v>
    <v>124.94</v>
    <v>117.7</v>
    <v>122</v>
    <v>132.63999999999999</v>
    <v>129.58000000000001</v>
    <v>135.46</v>
    <v>128.15</v>
    <v>125.83</v>
    <v>123.04</v>
    <v>113.44</v>
    <v>109</v>
    <v>104.28</v>
    <v>98.62</v>
    <v>106.16</v>
    <v>117.26</v>
    <v>125.43</v>
    <v>121.83</v>
    <v>125.1</v>
    <v>124.18</v>
    <v>130.82</v>
    <v>120.47</v>
    <v>110.54</v>
    <v>117</v>
    <v>109.44</v>
    <v>111.28</v>
    <v>109.95</v>
    <v>102.22</v>
    <v>94.36</v>
    <v>88.63</v>
    <v>83.54</v>
    <v>85.98</v>
    <v>90.54</v>
    <v>95.07</v>
    <v>84.64</v>
    <v>83.26</v>
    <v>91.9</v>
    <v>88.88</v>
    <v>94.69</v>
    <v>94.87</v>
    <v>100.15</v>
    <v>96.45</v>
    <v>98.92</v>
    <v>102.8</v>
    <v>98.04</v>
    <v>100.33</v>
    <v>96.41</v>
    <v>93.59</v>
    <v>94.28</v>
    <v>87.69</v>
    <v>81.14</v>
    <v>80.95</v>
    <v>75.45</v>
    <v>78.09</v>
    <v>89.46</v>
    <v>93.23</v>
    <v>90.03</v>
    <v>91.13</v>
    <v>87.59</v>
    <v>86.04</v>
    <v>85.17</v>
    <v>83.704999999999998</v>
    <v>89.95</v>
    <v>92.83</v>
    <v>100.24</v>
    <v>96.21</v>
    <v>97.3</v>
    <v>97.93</v>
    <v>107.33</v>
    <v>105.43</v>
    <v>101.98</v>
    <v>103.88500000000001</v>
    <v>108.73</v>
    <v>99.29</v>
    <v>98.87</v>
    <v>96.85</v>
    <v>94.5</v>
    <v>91.46</v>
    <v>97.87</v>
    <v>100.43</v>
    <v>94.91</v>
    <v>85.19</v>
    <v>88.16</v>
    <v>89.95</v>
    <v>82.39</v>
    <v>73.87</v>
    <v>86.1</v>
    <v>92.88</v>
    <v>91.79</v>
    <v>88.61</v>
    <v>89.73</v>
    <v>98.01</v>
    <v>97.52</v>
    <v>101.8</v>
    <v>107.61</v>
    <v>97.92</v>
    <v>100.61</v>
    <v>102.58</v>
    <v>106.12</v>
    <v>104.88</v>
    <v>91.19</v>
    <v>91.01</v>
    <v>86.8</v>
    <v>97.78</v>
    <v>95.65</v>
    <v>89.33</v>
    <v>94.94</v>
    <v>96.43</v>
    <v>111.995</v>
    <v>108.04</v>
    <v>112.95</v>
    <v>129.85</v>
    <v>116.33</v>
    <v>118.56</v>
    <v>121.52</v>
    <v>117.62</v>
    <v>114.15</v>
    <v>114.91</v>
    <v>115.09</v>
    <v>105.97</v>
    <v>100.82</v>
    <v>92.26</v>
    <v>103.76</v>
    <v>101.95</v>
    <v>108.82</v>
    <v>112.54</v>
    <v>117.4</v>
    <v>125</v>
    <v>136.33000000000001</v>
    <v>144.97</v>
    <v>154.56</v>
    <v>161.94</v>
    <v>166.77</v>
    <v>165.34</v>
    <v>157.13999999999999</v>
    <v>159.16</v>
    <v>156.55000000000001</v>
    <v>156.13999999999999</v>
    <v>157.08000000000001</v>
    <v>147.16</v>
    <v>144.96</v>
    <v>135.51</v>
    <v>141.19</v>
    <v>138.22999999999999</v>
    <v>154.49</v>
    <v>176.42</v>
    <v>175.92</v>
    <v>195.09</v>
    <v>184.77</v>
    <v>177.05</v>
    <v>186.1</v>
    <v>179.11</v>
    <v>207.27</v>
    <v>221.15</v>
    <v>219.94</v>
    <v>199.86</v>
    <v>197.73</v>
    <v>191.82</v>
    <v>219.93</v>
    <v>214.77</v>
    <v>208.06</v>
    <v>208.37</v>
    <v>226.34</v>
    <v>231.09</v>
    <v>264.51</v>
    <v>260.58</v>
    <v>251.68</v>
    <v>259.67</v>
    <v>227.81</v>
    <v>218</v>
    <v>220.12</v>
    <v>211.69</v>
    <v>222.24</v>
    <v>232.36</v>
    <v>260.07</v>
    <v>265.10000000000002</v>
    <v>280.91000000000003</v>
    <v>286.69</v>
    <v>283.61</v>
    <v>275.25</v>
    <v>259.66000000000003</v>
    <v>256.63</v>
    <v>240.3</v>
    <v>261.14999999999998</v>
    <v>276.17</v>
    <v>229.18</v>
    <v>215.62</v>
    <v>213.02</v>
    <v>195.19</v>
    <v>216.48</v>
    <v>216.2</v>
    <v>219.65</v>
    <v>210.51</v>
    <v>194.09</v>
    <v>199.51</v>
    <v>171.77</v>
    <v>177.71</v>
    <v>182.62</v>
    <v>216.92</v>
    <v>218.16</v>
    <v>220.97</v>
    <v>187.77</v>
    <v>187.88</v>
    <v>169.69</v>
    <v>148.22</v>
    <v>188.43</v>
    <v>190.41</v>
    <v>212.58</v>
    <v>225.74</v>
    <v>218.99</v>
    <v>189.88</v>
    <v>187.97</v>
    <v>184.11</v>
    <v>193.23</v>
    <v>259.2</v>
    <v>255.04</v>
    <v>277.68</v>
    <v>268.85000000000002</v>
    <v>248.43</v>
    <v>223.9</v>
    <v>220.11</v>
    <v>219.13</v>
    <v>210.91</v>
    <v>221.97</v>
    <v>213.93</v>
    <v>218.48</v>
    <v>209.18</v>
    <v>206.32</v>
    <v>199.54</v>
    <v>204.09</v>
    <v>210.63</v>
    <v>226.39</v>
    <v>243.88</v>
    <v>240.35</v>
    <v>228.11</v>
    <v>224.55</v>
    <v>212.19</v>
    <v>207.37</v>
    <v>209.37</v>
    <v>217.99</v>
    <v>223.54</v>
    <v>232.8</v>
    <v>236.12</v>
    <v>226.61</v>
    <v>243.48</v>
    <v>237.33</v>
    <v>231.88</v>
    <v>237.35499999999999</v>
    <v>235.88</v>
    <v>232.28</v>
    <v>242.81</v>
    <v>232.57</v>
    <v>249.87</v>
    <v>237.15</v>
    <v>219.71</v>
    <v>221.07</v>
    <v>210.06</v>
    <v>206.86</v>
    <v>186.01</v>
    <v>188.41</v>
    <v>165.47</v>
    <v>170.24</v>
    <v>171.45</v>
    <v>171.57</v>
    <v>159.16999999999999</v>
    <v>158.74</v>
  </a>
  <a r="1" c="252">
    <v>106.16</v>
    <v>117.26</v>
    <v>125.43</v>
    <v>121.83</v>
    <v>125.1</v>
    <v>124.18</v>
    <v>130.82</v>
    <v>120.47</v>
    <v>110.54</v>
    <v>117</v>
    <v>109.44</v>
    <v>111.28</v>
    <v>109.95</v>
    <v>102.22</v>
    <v>94.36</v>
    <v>88.63</v>
    <v>83.54</v>
    <v>85.98</v>
    <v>90.54</v>
    <v>95.07</v>
    <v>84.64</v>
    <v>83.26</v>
    <v>91.9</v>
    <v>88.88</v>
    <v>94.69</v>
    <v>94.87</v>
    <v>100.15</v>
    <v>96.45</v>
    <v>98.92</v>
    <v>102.8</v>
    <v>98.04</v>
    <v>100.33</v>
    <v>96.41</v>
    <v>93.59</v>
    <v>94.28</v>
    <v>87.69</v>
    <v>81.14</v>
    <v>80.95</v>
    <v>75.45</v>
    <v>78.09</v>
    <v>89.46</v>
    <v>93.23</v>
    <v>90.03</v>
    <v>91.13</v>
    <v>87.59</v>
    <v>86.04</v>
    <v>85.17</v>
    <v>83.704999999999998</v>
    <v>89.95</v>
    <v>92.83</v>
    <v>100.24</v>
    <v>96.21</v>
    <v>97.3</v>
    <v>97.93</v>
    <v>107.33</v>
    <v>105.43</v>
    <v>101.98</v>
    <v>103.88500000000001</v>
    <v>108.73</v>
    <v>99.29</v>
    <v>98.87</v>
    <v>96.85</v>
    <v>94.5</v>
    <v>91.46</v>
    <v>97.87</v>
    <v>100.43</v>
    <v>94.91</v>
    <v>85.19</v>
    <v>88.16</v>
    <v>89.95</v>
    <v>82.39</v>
    <v>73.87</v>
    <v>86.1</v>
    <v>92.88</v>
    <v>91.79</v>
    <v>88.61</v>
    <v>89.73</v>
    <v>98.01</v>
    <v>97.52</v>
    <v>101.8</v>
    <v>107.61</v>
    <v>97.92</v>
    <v>100.61</v>
    <v>102.58</v>
    <v>106.12</v>
    <v>104.88</v>
    <v>91.19</v>
    <v>91.01</v>
    <v>86.8</v>
    <v>97.78</v>
    <v>95.65</v>
    <v>89.33</v>
    <v>94.94</v>
    <v>96.43</v>
    <v>111.995</v>
    <v>108.04</v>
    <v>112.95</v>
    <v>129.85</v>
    <v>116.33</v>
    <v>118.56</v>
    <v>121.52</v>
    <v>117.62</v>
    <v>114.15</v>
    <v>114.91</v>
    <v>115.09</v>
    <v>105.97</v>
    <v>100.82</v>
    <v>92.26</v>
    <v>103.76</v>
    <v>101.95</v>
    <v>108.82</v>
    <v>112.54</v>
    <v>117.4</v>
    <v>125</v>
    <v>136.33000000000001</v>
    <v>144.97</v>
    <v>154.56</v>
    <v>161.94</v>
    <v>166.77</v>
    <v>165.34</v>
    <v>157.13999999999999</v>
    <v>159.16</v>
    <v>156.55000000000001</v>
    <v>156.13999999999999</v>
    <v>157.08000000000001</v>
    <v>147.16</v>
    <v>144.96</v>
    <v>135.51</v>
    <v>141.19</v>
    <v>138.22999999999999</v>
    <v>154.49</v>
    <v>176.42</v>
    <v>175.92</v>
    <v>195.09</v>
    <v>184.77</v>
    <v>177.05</v>
    <v>186.1</v>
    <v>179.11</v>
    <v>207.27</v>
    <v>221.15</v>
    <v>219.94</v>
    <v>199.86</v>
    <v>197.73</v>
    <v>191.82</v>
    <v>219.93</v>
    <v>214.77</v>
    <v>208.06</v>
    <v>208.37</v>
    <v>226.34</v>
    <v>231.09</v>
    <v>264.51</v>
    <v>260.58</v>
    <v>251.68</v>
    <v>259.67</v>
    <v>227.81</v>
    <v>218</v>
    <v>220.12</v>
    <v>211.69</v>
    <v>222.24</v>
    <v>232.36</v>
    <v>260.07</v>
    <v>265.10000000000002</v>
    <v>280.91000000000003</v>
    <v>286.69</v>
    <v>283.61</v>
    <v>275.25</v>
    <v>259.66000000000003</v>
    <v>256.63</v>
    <v>240.3</v>
    <v>261.14999999999998</v>
    <v>276.17</v>
    <v>229.18</v>
    <v>215.62</v>
    <v>213.02</v>
    <v>195.19</v>
    <v>216.48</v>
    <v>216.2</v>
    <v>219.65</v>
    <v>210.51</v>
    <v>194.09</v>
    <v>199.51</v>
    <v>171.77</v>
    <v>177.71</v>
    <v>182.62</v>
    <v>216.92</v>
    <v>218.16</v>
    <v>220.97</v>
    <v>187.77</v>
    <v>187.88</v>
    <v>169.69</v>
    <v>148.22</v>
    <v>188.43</v>
    <v>190.41</v>
    <v>212.58</v>
    <v>225.74</v>
    <v>218.99</v>
    <v>189.88</v>
    <v>187.97</v>
    <v>184.11</v>
    <v>193.23</v>
    <v>259.2</v>
    <v>255.04</v>
    <v>277.68</v>
    <v>268.85000000000002</v>
    <v>248.43</v>
    <v>223.9</v>
    <v>220.11</v>
    <v>219.13</v>
    <v>210.91</v>
    <v>221.97</v>
    <v>213.93</v>
    <v>218.48</v>
    <v>209.18</v>
    <v>206.32</v>
    <v>199.54</v>
    <v>204.09</v>
    <v>210.63</v>
    <v>226.39</v>
    <v>243.88</v>
    <v>240.35</v>
    <v>228.11</v>
    <v>224.55</v>
    <v>212.19</v>
    <v>207.37</v>
    <v>209.37</v>
    <v>217.99</v>
    <v>223.54</v>
    <v>232.8</v>
    <v>236.12</v>
    <v>226.61</v>
    <v>243.48</v>
    <v>237.33</v>
    <v>231.88</v>
    <v>237.35499999999999</v>
    <v>235.88</v>
    <v>232.28</v>
    <v>242.81</v>
    <v>232.57</v>
    <v>249.87</v>
    <v>237.15</v>
    <v>219.71</v>
    <v>221.07</v>
    <v>210.06</v>
    <v>206.86</v>
    <v>186.01</v>
    <v>188.41</v>
    <v>165.47</v>
    <v>170.24</v>
    <v>171.45</v>
    <v>171.57</v>
    <v>159.16999999999999</v>
    <v>158.74</v>
  </a>
  <a r="1" c="761">
    <v>21.39</v>
    <v>21.414999999999999</v>
    <v>21.37</v>
    <v>21.4</v>
    <v>21.434999999999999</v>
    <v>21.4</v>
    <v>21.45</v>
    <v>21.524999999999999</v>
    <v>21.645</v>
    <v>21.8</v>
    <v>21.704999999999998</v>
    <v>21.77</v>
    <v>21.85</v>
    <v>21.815000000000001</v>
    <v>21.785</v>
    <v>21.725000000000001</v>
    <v>21.95</v>
    <v>21.9</v>
    <v>21.98</v>
    <v>21.99</v>
    <v>21.98</v>
    <v>22.065000000000001</v>
    <v>22.045000000000002</v>
    <v>22.01</v>
    <v>21.95</v>
    <v>22</v>
    <v>22.094999999999999</v>
    <v>22.23</v>
    <v>22.195</v>
    <v>22.295000000000002</v>
    <v>22.28</v>
    <v>22.425000000000001</v>
    <v>22.47</v>
    <v>22.48</v>
    <v>22.395</v>
    <v>22.385000000000002</v>
    <v>22.445</v>
    <v>22.52</v>
    <v>22.765000000000001</v>
    <v>22.815000000000001</v>
    <v>22.795000000000002</v>
    <v>22.85</v>
    <v>22.875</v>
    <v>22.93</v>
    <v>22.91</v>
    <v>23.01</v>
    <v>22.984999999999999</v>
    <v>22.914999999999999</v>
    <v>22.855</v>
    <v>22.81</v>
    <v>22.77</v>
    <v>22.734999999999999</v>
    <v>22.78</v>
    <v>22.72</v>
    <v>22.745000000000001</v>
    <v>22.72</v>
    <v>22.82</v>
    <v>22.79</v>
    <v>22.745000000000001</v>
    <v>22.64</v>
    <v>22.614999999999998</v>
    <v>22.585000000000001</v>
    <v>22.645</v>
    <v>22.594999999999999</v>
    <v>22.585000000000001</v>
    <v>22.63</v>
    <v>22.635000000000002</v>
    <v>22.664999999999999</v>
    <v>22.67</v>
    <v>22.805</v>
    <v>22.925000000000001</v>
    <v>22.74</v>
    <v>22.594999999999999</v>
    <v>22.66</v>
    <v>22.645</v>
    <v>22.585000000000001</v>
    <v>22.555</v>
    <v>22.574999999999999</v>
    <v>22.51</v>
    <v>22.52</v>
    <v>22.555</v>
    <v>22.5</v>
    <v>22.49</v>
    <v>22.59</v>
    <v>22.535</v>
    <v>22.504999999999999</v>
    <v>22.545000000000002</v>
    <v>22.545000000000002</v>
    <v>22.535</v>
    <v>22.515000000000001</v>
    <v>22.57</v>
    <v>22.6</v>
    <v>22.605</v>
    <v>22.71</v>
    <v>22.72</v>
    <v>22.754999999999999</v>
    <v>22.774999999999999</v>
    <v>22.754999999999999</v>
    <v>22.725000000000001</v>
    <v>22.704999999999998</v>
    <v>22.63</v>
    <v>22.605</v>
    <v>22.56</v>
    <v>22.594999999999999</v>
    <v>22.63</v>
    <v>22.65</v>
    <v>22.72</v>
    <v>22.67</v>
    <v>22.69</v>
    <v>22.754999999999999</v>
    <v>22.76</v>
    <v>22.635000000000002</v>
    <v>22.58</v>
    <v>22.64</v>
    <v>22.61</v>
    <v>22.56</v>
    <v>22.63</v>
    <v>22.475000000000001</v>
    <v>22.405000000000001</v>
    <v>22.5</v>
    <v>22.38</v>
    <v>22.32</v>
    <v>22.355</v>
    <v>22.364999999999998</v>
    <v>22.35</v>
    <v>22.34</v>
    <v>22.39</v>
    <v>22.31</v>
    <v>22.245000000000001</v>
    <v>22.295000000000002</v>
    <v>22.34</v>
    <v>22.324999999999999</v>
    <v>22.385000000000002</v>
    <v>22.484999999999999</v>
    <v>22.515000000000001</v>
    <v>22.614999999999998</v>
    <v>22.52</v>
    <v>22.52</v>
    <v>22.49</v>
    <v>22.51</v>
    <v>22.515000000000001</v>
    <v>22.635000000000002</v>
    <v>22.66</v>
    <v>22.6</v>
    <v>22.56</v>
    <v>22.585000000000001</v>
    <v>22.594999999999999</v>
    <v>22.515000000000001</v>
    <v>22.515000000000001</v>
    <v>22.53</v>
    <v>22.504999999999999</v>
    <v>22.37</v>
    <v>22.43</v>
    <v>22.465</v>
    <v>22.574999999999999</v>
    <v>22.645</v>
    <v>22.695</v>
    <v>22.684999999999999</v>
    <v>22.57</v>
    <v>22.5</v>
    <v>22.56</v>
    <v>22.71</v>
    <v>22.71</v>
    <v>22.79</v>
    <v>22.715</v>
    <v>22.785</v>
    <v>22.765000000000001</v>
    <v>22.74</v>
    <v>22.725000000000001</v>
    <v>22.74</v>
    <v>22.75</v>
    <v>22.684999999999999</v>
    <v>22.695</v>
    <v>22.66</v>
    <v>22.53</v>
    <v>22.55</v>
    <v>22.664999999999999</v>
    <v>22.645</v>
    <v>22.725000000000001</v>
    <v>22.73</v>
    <v>22.704999999999998</v>
    <v>22.734999999999999</v>
    <v>22.855</v>
    <v>22.855</v>
    <v>22.86</v>
    <v>22.895</v>
    <v>22.91</v>
    <v>22.93</v>
    <v>22.864999999999998</v>
    <v>22.824999999999999</v>
    <v>22.855</v>
    <v>22.844999999999999</v>
    <v>22.87</v>
    <v>22.895</v>
    <v>22.954999999999998</v>
    <v>22.96</v>
    <v>23.024999999999999</v>
    <v>23.14</v>
    <v>23.31</v>
    <v>23.26</v>
    <v>23.26</v>
    <v>23.175000000000001</v>
    <v>23.135000000000002</v>
    <v>23.204999999999998</v>
    <v>23.215</v>
    <v>23.3</v>
    <v>23.35</v>
    <v>23.25</v>
    <v>23.295000000000002</v>
    <v>23.34</v>
    <v>23.39</v>
    <v>23.31</v>
    <v>23.385000000000002</v>
    <v>23.395</v>
    <v>23.324999999999999</v>
    <v>23.355</v>
    <v>23.31</v>
    <v>23.35</v>
    <v>23.25</v>
    <v>23.324999999999999</v>
    <v>23.414999999999999</v>
    <v>23.445</v>
    <v>23.57</v>
    <v>23.51</v>
    <v>23.56</v>
    <v>23.61</v>
    <v>23.56</v>
    <v>23.6</v>
    <v>23.64</v>
    <v>23.635000000000002</v>
    <v>23.6</v>
    <v>23.555</v>
    <v>23.515000000000001</v>
    <v>23.52</v>
    <v>23.56</v>
    <v>23.52</v>
    <v>23.51</v>
    <v>23.535</v>
    <v>23.53</v>
    <v>23.62</v>
    <v>23.56</v>
    <v>23.53</v>
    <v>23.375</v>
    <v>23.295000000000002</v>
    <v>23.295000000000002</v>
    <v>23.295000000000002</v>
    <v>23.29</v>
    <v>23.27</v>
    <v>23.22</v>
    <v>23.344999999999999</v>
    <v>23.405000000000001</v>
    <v>23.335000000000001</v>
    <v>23.375</v>
    <v>23.24</v>
    <v>23.195</v>
    <v>23.19</v>
    <v>23.225000000000001</v>
    <v>23.215</v>
    <v>23.15</v>
    <v>23.114999999999998</v>
    <v>23.16</v>
    <v>23.12</v>
    <v>23.074999999999999</v>
    <v>23.114999999999998</v>
    <v>23.08</v>
    <v>23.02</v>
    <v>23.085000000000001</v>
    <v>23.175000000000001</v>
    <v>23.16</v>
    <v>23.114999999999998</v>
    <v>23.09</v>
    <v>23.114999999999998</v>
    <v>23.07</v>
    <v>23.065000000000001</v>
    <v>23.105</v>
    <v>23.1</v>
    <v>23.09</v>
    <v>23.12</v>
    <v>23.26</v>
    <v>23.204999999999998</v>
    <v>23.28</v>
    <v>23.335000000000001</v>
    <v>23.425000000000001</v>
    <v>23.43</v>
    <v>23.414999999999999</v>
    <v>23.425000000000001</v>
    <v>23.425000000000001</v>
    <v>23.46</v>
    <v>23.44</v>
    <v>23.45</v>
    <v>23.44</v>
    <v>23.35</v>
    <v>23.265000000000001</v>
    <v>23.234999999999999</v>
    <v>23.254999999999999</v>
    <v>23.25</v>
    <v>23.09</v>
    <v>23.13</v>
    <v>23.085000000000001</v>
    <v>23.07</v>
    <v>23.125</v>
    <v>23.11</v>
    <v>23.085000000000001</v>
    <v>23.024999999999999</v>
    <v>22.954999999999998</v>
    <v>22.94</v>
    <v>22.98</v>
    <v>22.844999999999999</v>
    <v>22.815000000000001</v>
    <v>22.81</v>
    <v>22.96</v>
    <v>22.98</v>
    <v>23.03</v>
    <v>23.055</v>
    <v>23.135000000000002</v>
    <v>23.074999999999999</v>
    <v>23.03</v>
    <v>23.04</v>
    <v>23.13</v>
    <v>23.11</v>
    <v>23.105</v>
    <v>23.155000000000001</v>
    <v>23.184999999999999</v>
    <v>23.215</v>
    <v>23.19</v>
    <v>23.305</v>
    <v>23.29</v>
    <v>23.234999999999999</v>
    <v>23.25</v>
    <v>23.195</v>
    <v>23.09</v>
    <v>23.21</v>
    <v>23.265000000000001</v>
    <v>23.21</v>
    <v>23.204999999999998</v>
    <v>23.15</v>
    <v>23.18</v>
    <v>23.25</v>
    <v>23.274999999999999</v>
    <v>23.37</v>
    <v>23.39</v>
    <v>23.38</v>
    <v>23.465</v>
    <v>23.414999999999999</v>
    <v>23.46</v>
    <v>23.29</v>
    <v>23.215</v>
    <v>23.245000000000001</v>
    <v>23.274999999999999</v>
    <v>23.204999999999998</v>
    <v>23.175000000000001</v>
    <v>23.18</v>
    <v>23.2</v>
    <v>23.254999999999999</v>
    <v>23.23</v>
    <v>23.234999999999999</v>
    <v>23.335000000000001</v>
    <v>23.3</v>
    <v>23.24</v>
    <v>23.24</v>
    <v>23.204999999999998</v>
    <v>23.195</v>
    <v>23.29</v>
    <v>23.315000000000001</v>
    <v>23.38</v>
    <v>23.36</v>
    <v>23.545000000000002</v>
    <v>23.59</v>
    <v>23.27</v>
    <v>23.305</v>
    <v>23.04</v>
    <v>23.25</v>
    <v>23.09</v>
    <v>23.234999999999999</v>
    <v>23.204999999999998</v>
    <v>23.305</v>
    <v>23.35</v>
    <v>23.29</v>
    <v>23.33</v>
    <v>23.385000000000002</v>
    <v>23.405000000000001</v>
    <v>23.43</v>
    <v>23.465</v>
    <v>23.504999999999999</v>
    <v>23.35</v>
    <v>23.35</v>
    <v>23.34</v>
    <v>23.414999999999999</v>
    <v>23.385000000000002</v>
    <v>23.34</v>
    <v>23.27</v>
    <v>23.204999999999998</v>
    <v>23.195</v>
    <v>23.254999999999999</v>
    <v>23.305</v>
    <v>23.26</v>
    <v>23.254999999999999</v>
    <v>23.19</v>
    <v>23.15</v>
    <v>23.225000000000001</v>
    <v>23.245000000000001</v>
    <v>23.33</v>
    <v>23.245000000000001</v>
    <v>23.35</v>
    <v>23.41</v>
    <v>23.31</v>
    <v>23.36</v>
    <v>23.39</v>
    <v>23.375</v>
    <v>23.33</v>
    <v>23.33</v>
    <v>23.35</v>
    <v>23.41</v>
    <v>23.49</v>
    <v>23.395</v>
    <v>23.405000000000001</v>
    <v>23.39</v>
    <v>23.45</v>
    <v>23.46</v>
    <v>23.43</v>
    <v>23.484999999999999</v>
    <v>23.5</v>
    <v>23.475000000000001</v>
    <v>23.515000000000001</v>
    <v>23.52</v>
    <v>23.52</v>
    <v>23.55</v>
    <v>23.51</v>
    <v>23.49</v>
    <v>23.484999999999999</v>
    <v>23.454999999999998</v>
    <v>23.414999999999999</v>
    <v>23.395</v>
    <v>23.4</v>
    <v>23.38</v>
    <v>23.36</v>
    <v>23.335000000000001</v>
    <v>23.335000000000001</v>
    <v>23.395</v>
    <v>23.385000000000002</v>
    <v>23.504999999999999</v>
    <v>23.51</v>
    <v>23.465</v>
    <v>23.41</v>
    <v>23.42</v>
    <v>23.434999999999999</v>
    <v>23.484999999999999</v>
    <v>23.45</v>
    <v>23.49</v>
    <v>23.565000000000001</v>
    <v>23.62</v>
    <v>23.64</v>
    <v>23.614999999999998</v>
    <v>23.64</v>
    <v>23.54</v>
    <v>23.574999999999999</v>
    <v>23.54</v>
    <v>23.63</v>
    <v>23.545000000000002</v>
    <v>23.515000000000001</v>
    <v>23.524999999999999</v>
    <v>23.56</v>
    <v>23.484999999999999</v>
    <v>23.59</v>
    <v>23.53</v>
    <v>23.55</v>
    <v>23.58</v>
    <v>23.574999999999999</v>
    <v>23.594999999999999</v>
    <v>23.515000000000001</v>
    <v>23.5</v>
    <v>23.57</v>
    <v>23.65</v>
    <v>23.725000000000001</v>
    <v>23.795000000000002</v>
    <v>23.73</v>
    <v>23.754999999999999</v>
    <v>23.805</v>
    <v>23.73</v>
    <v>23.79</v>
    <v>23.79</v>
    <v>23.81</v>
    <v>23.715</v>
    <v>23.71</v>
    <v>23.704999999999998</v>
    <v>23.71</v>
    <v>23.734999999999999</v>
    <v>23.68</v>
    <v>23.684999999999999</v>
    <v>23.725000000000001</v>
    <v>23.704999999999998</v>
    <v>23.75</v>
    <v>23.76</v>
    <v>23.765000000000001</v>
    <v>23.72</v>
    <v>23.704999999999998</v>
    <v>23.774999999999999</v>
    <v>23.734999999999999</v>
    <v>23.805</v>
    <v>23.81</v>
    <v>23.84</v>
    <v>23.914999999999999</v>
    <v>23.89</v>
    <v>23.914999999999999</v>
    <v>23.93</v>
    <v>23.965</v>
    <v>23.96</v>
    <v>23.934999999999999</v>
    <v>23.93</v>
    <v>23.914999999999999</v>
    <v>23.95</v>
    <v>23.945</v>
    <v>23.88</v>
    <v>23.86</v>
    <v>23.815000000000001</v>
    <v>23.835000000000001</v>
    <v>23.8</v>
    <v>23.844999999999999</v>
    <v>23.83</v>
    <v>23.844999999999999</v>
    <v>23.85</v>
    <v>23.875</v>
    <v>23.82</v>
    <v>23.795000000000002</v>
    <v>23.774999999999999</v>
    <v>23.745000000000001</v>
    <v>23.78</v>
    <v>23.774999999999999</v>
    <v>23.835000000000001</v>
    <v>23.79</v>
    <v>23.875</v>
    <v>23.885000000000002</v>
    <v>23.875</v>
    <v>23.895</v>
    <v>23.8</v>
    <v>23.81</v>
    <v>23.82</v>
    <v>23.8</v>
    <v>23.765000000000001</v>
    <v>23.7</v>
    <v>23.754999999999999</v>
    <v>23.725000000000001</v>
    <v>23.77</v>
    <v>23.74</v>
    <v>23.76</v>
    <v>23.72</v>
    <v>23.745000000000001</v>
    <v>23.795000000000002</v>
    <v>23.73</v>
    <v>23.74</v>
    <v>23.785</v>
    <v>23.855</v>
    <v>23.84</v>
    <v>23.76</v>
    <v>23.75</v>
    <v>23.754999999999999</v>
    <v>23.82</v>
    <v>23.815000000000001</v>
    <v>23.8</v>
    <v>23.81</v>
    <v>23.795000000000002</v>
    <v>23.86</v>
    <v>23.84</v>
    <v>23.85</v>
    <v>23.754999999999999</v>
    <v>23.74</v>
    <v>23.75</v>
    <v>23.78</v>
    <v>23.78</v>
    <v>23.824999999999999</v>
    <v>23.79</v>
    <v>23.81</v>
    <v>23.815000000000001</v>
    <v>23.815000000000001</v>
    <v>23.785</v>
    <v>23.754999999999999</v>
    <v>23.77</v>
    <v>23.795000000000002</v>
    <v>23.824999999999999</v>
    <v>23.82</v>
    <v>23.91</v>
    <v>23.885000000000002</v>
    <v>23.95</v>
    <v>23.99</v>
    <v>24.004999999999999</v>
    <v>24.015000000000001</v>
    <v>24.03</v>
    <v>24.01</v>
    <v>24.02</v>
    <v>24.05</v>
    <v>24.055</v>
    <v>24.055</v>
    <v>24.07</v>
    <v>24.155000000000001</v>
    <v>24.015000000000001</v>
    <v>23.95</v>
    <v>23.984999999999999</v>
    <v>23.885000000000002</v>
    <v>23.84</v>
    <v>23.864999999999998</v>
    <v>23.91</v>
    <v>23.754999999999999</v>
    <v>23.675000000000001</v>
    <v>23.625</v>
    <v>23.675000000000001</v>
    <v>23.734999999999999</v>
    <v>23.715</v>
    <v>23.62</v>
    <v>23.524999999999999</v>
    <v>23.515000000000001</v>
    <v>23.555</v>
    <v>23.625</v>
    <v>23.52</v>
    <v>23.43</v>
    <v>23.524999999999999</v>
    <v>23.55</v>
    <v>23.65</v>
    <v>23.65</v>
    <v>23.57</v>
    <v>23.725000000000001</v>
    <v>23.725000000000001</v>
    <v>23.68</v>
    <v>23.645</v>
    <v>23.734999999999999</v>
    <v>23.725000000000001</v>
    <v>23.725000000000001</v>
    <v>23.8</v>
    <v>23.754999999999999</v>
    <v>23.745000000000001</v>
    <v>23.76</v>
    <v>23.725000000000001</v>
    <v>23.7</v>
    <v>23.65</v>
    <v>23.62</v>
    <v>23.594999999999999</v>
    <v>23.64</v>
    <v>23.6</v>
    <v>23.675000000000001</v>
    <v>23.71</v>
    <v>23.72</v>
    <v>23.715</v>
    <v>23.67</v>
    <v>23.585000000000001</v>
    <v>23.565000000000001</v>
    <v>23.65</v>
    <v>23.45</v>
    <v>23.425000000000001</v>
    <v>23.36</v>
    <v>23.495000000000001</v>
    <v>23.484999999999999</v>
    <v>23.56</v>
    <v>23.67</v>
    <v>23.614999999999998</v>
    <v>23.7</v>
    <v>23.725000000000001</v>
    <v>23.74</v>
    <v>23.62</v>
    <v>23.73</v>
    <v>23.61</v>
    <v>23.67</v>
    <v>23.61</v>
    <v>23.585000000000001</v>
    <v>23.594999999999999</v>
    <v>23.6</v>
    <v>23.625</v>
    <v>23.704999999999998</v>
    <v>23.754999999999999</v>
    <v>23.785</v>
    <v>23.79</v>
    <v>23.754999999999999</v>
    <v>23.664999999999999</v>
    <v>23.725000000000001</v>
    <v>23.734999999999999</v>
    <v>23.85</v>
    <v>23.844999999999999</v>
    <v>23.835000000000001</v>
    <v>23.85</v>
    <v>23.795000000000002</v>
    <v>23.774999999999999</v>
    <v>23.77</v>
    <v>23.75</v>
    <v>23.734999999999999</v>
    <v>23.68</v>
    <v>23.57</v>
    <v>23.635000000000002</v>
    <v>23.66</v>
    <v>23.545000000000002</v>
    <v>23.65</v>
    <v>23.63</v>
    <v>23.6</v>
    <v>23.6</v>
    <v>23.585000000000001</v>
    <v>23.51</v>
    <v>23.48</v>
    <v>23.4</v>
    <v>23.52</v>
    <v>23.55</v>
    <v>23.57</v>
    <v>23.54</v>
    <v>23.524999999999999</v>
    <v>23.46</v>
    <v>23.545000000000002</v>
    <v>23.61</v>
    <v>23.614999999999998</v>
    <v>23.58</v>
    <v>23.574999999999999</v>
    <v>23.53</v>
    <v>23.55</v>
    <v>23.52</v>
    <v>23.6</v>
    <v>23.524999999999999</v>
    <v>23.504999999999999</v>
    <v>23.47</v>
    <v>23.52</v>
    <v>23.504999999999999</v>
    <v>23.48</v>
    <v>23.524999999999999</v>
    <v>23.56</v>
    <v>23.574999999999999</v>
    <v>23.574999999999999</v>
    <v>23.53</v>
    <v>23.41</v>
    <v>23.45</v>
    <v>23.385000000000002</v>
    <v>23.44</v>
    <v>23.46</v>
    <v>23.41</v>
    <v>23.42</v>
    <v>23.32</v>
    <v>23.254999999999999</v>
    <v>23.254999999999999</v>
    <v>23.19</v>
    <v>23.155000000000001</v>
    <v>23.2</v>
    <v>23.265000000000001</v>
    <v>23.21</v>
    <v>23.27</v>
    <v>23.204999999999998</v>
    <v>23.16</v>
    <v>23.1</v>
    <v>23.074999999999999</v>
    <v>22.954999999999998</v>
    <v>22.95</v>
    <v>22.95</v>
    <v>23.03</v>
    <v>23.085000000000001</v>
    <v>22.95</v>
    <v>22.995000000000001</v>
    <v>22.96</v>
    <v>23.024999999999999</v>
    <v>23.045000000000002</v>
    <v>23.09</v>
    <v>23.065000000000001</v>
    <v>23.02</v>
    <v>23.19</v>
    <v>23.24</v>
    <v>23.164999999999999</v>
    <v>23.2</v>
    <v>23.155000000000001</v>
    <v>23.25</v>
    <v>23.295000000000002</v>
  </a>
  <a r="1" c="208">
    <v>23.76</v>
    <v>23.75</v>
    <v>23.754999999999999</v>
    <v>23.82</v>
    <v>23.815000000000001</v>
    <v>23.8</v>
    <v>23.81</v>
    <v>23.795000000000002</v>
    <v>23.86</v>
    <v>23.84</v>
    <v>23.85</v>
    <v>23.754999999999999</v>
    <v>23.74</v>
    <v>23.75</v>
    <v>23.78</v>
    <v>23.78</v>
    <v>23.824999999999999</v>
    <v>23.79</v>
    <v>23.81</v>
    <v>23.815000000000001</v>
    <v>23.815000000000001</v>
    <v>23.785</v>
    <v>23.754999999999999</v>
    <v>23.77</v>
    <v>23.795000000000002</v>
    <v>23.824999999999999</v>
    <v>23.82</v>
    <v>23.91</v>
    <v>23.885000000000002</v>
    <v>23.95</v>
    <v>23.99</v>
    <v>24.004999999999999</v>
    <v>24.015000000000001</v>
    <v>24.03</v>
    <v>24.01</v>
    <v>24.02</v>
    <v>24.05</v>
    <v>24.055</v>
    <v>24.055</v>
    <v>24.07</v>
    <v>24.155000000000001</v>
    <v>24.015000000000001</v>
    <v>23.95</v>
    <v>23.984999999999999</v>
    <v>23.885000000000002</v>
    <v>23.84</v>
    <v>23.864999999999998</v>
    <v>23.91</v>
    <v>23.754999999999999</v>
    <v>23.675000000000001</v>
    <v>23.625</v>
    <v>23.675000000000001</v>
    <v>23.734999999999999</v>
    <v>23.715</v>
    <v>23.62</v>
    <v>23.524999999999999</v>
    <v>23.515000000000001</v>
    <v>23.555</v>
    <v>23.625</v>
    <v>23.52</v>
    <v>23.43</v>
    <v>23.524999999999999</v>
    <v>23.55</v>
    <v>23.65</v>
    <v>23.65</v>
    <v>23.57</v>
    <v>23.725000000000001</v>
    <v>23.725000000000001</v>
    <v>23.68</v>
    <v>23.645</v>
    <v>23.734999999999999</v>
    <v>23.725000000000001</v>
    <v>23.725000000000001</v>
    <v>23.8</v>
    <v>23.754999999999999</v>
    <v>23.745000000000001</v>
    <v>23.76</v>
    <v>23.725000000000001</v>
    <v>23.7</v>
    <v>23.65</v>
    <v>23.62</v>
    <v>23.594999999999999</v>
    <v>23.64</v>
    <v>23.6</v>
    <v>23.675000000000001</v>
    <v>23.71</v>
    <v>23.72</v>
    <v>23.715</v>
    <v>23.67</v>
    <v>23.585000000000001</v>
    <v>23.565000000000001</v>
    <v>23.65</v>
    <v>23.45</v>
    <v>23.425000000000001</v>
    <v>23.36</v>
    <v>23.495000000000001</v>
    <v>23.484999999999999</v>
    <v>23.56</v>
    <v>23.67</v>
    <v>23.614999999999998</v>
    <v>23.7</v>
    <v>23.725000000000001</v>
    <v>23.74</v>
    <v>23.62</v>
    <v>23.73</v>
    <v>23.61</v>
    <v>23.67</v>
    <v>23.61</v>
    <v>23.585000000000001</v>
    <v>23.594999999999999</v>
    <v>23.6</v>
    <v>23.625</v>
    <v>23.704999999999998</v>
    <v>23.754999999999999</v>
    <v>23.785</v>
    <v>23.79</v>
    <v>23.754999999999999</v>
    <v>23.664999999999999</v>
    <v>23.725000000000001</v>
    <v>23.734999999999999</v>
    <v>23.85</v>
    <v>23.844999999999999</v>
    <v>23.835000000000001</v>
    <v>23.85</v>
    <v>23.795000000000002</v>
    <v>23.774999999999999</v>
    <v>23.77</v>
    <v>23.75</v>
    <v>23.734999999999999</v>
    <v>23.68</v>
    <v>23.57</v>
    <v>23.635000000000002</v>
    <v>23.66</v>
    <v>23.545000000000002</v>
    <v>23.65</v>
    <v>23.63</v>
    <v>23.6</v>
    <v>23.6</v>
    <v>23.585000000000001</v>
    <v>23.51</v>
    <v>23.48</v>
    <v>23.4</v>
    <v>23.52</v>
    <v>23.55</v>
    <v>23.57</v>
    <v>23.54</v>
    <v>23.524999999999999</v>
    <v>23.46</v>
    <v>23.545000000000002</v>
    <v>23.61</v>
    <v>23.614999999999998</v>
    <v>23.58</v>
    <v>23.574999999999999</v>
    <v>23.53</v>
    <v>23.55</v>
    <v>23.52</v>
    <v>23.6</v>
    <v>23.524999999999999</v>
    <v>23.504999999999999</v>
    <v>23.47</v>
    <v>23.52</v>
    <v>23.504999999999999</v>
    <v>23.48</v>
    <v>23.524999999999999</v>
    <v>23.56</v>
    <v>23.574999999999999</v>
    <v>23.574999999999999</v>
    <v>23.53</v>
    <v>23.41</v>
    <v>23.45</v>
    <v>23.385000000000002</v>
    <v>23.44</v>
    <v>23.46</v>
    <v>23.41</v>
    <v>23.42</v>
    <v>23.32</v>
    <v>23.254999999999999</v>
    <v>23.254999999999999</v>
    <v>23.19</v>
    <v>23.155000000000001</v>
    <v>23.2</v>
    <v>23.265000000000001</v>
    <v>23.21</v>
    <v>23.27</v>
    <v>23.204999999999998</v>
    <v>23.16</v>
    <v>23.1</v>
    <v>23.074999999999999</v>
    <v>22.954999999999998</v>
    <v>22.95</v>
    <v>22.95</v>
    <v>23.03</v>
    <v>23.085000000000001</v>
    <v>22.95</v>
    <v>22.995000000000001</v>
    <v>22.96</v>
    <v>23.024999999999999</v>
    <v>23.045000000000002</v>
    <v>23.09</v>
    <v>23.065000000000001</v>
    <v>23.02</v>
    <v>23.19</v>
    <v>23.24</v>
    <v>23.164999999999999</v>
    <v>23.2</v>
    <v>23.155000000000001</v>
    <v>23.25</v>
    <v>23.295000000000002</v>
  </a>
  <a r="1" c="254">
    <v>23.934999999999999</v>
    <v>23.93</v>
    <v>23.914999999999999</v>
    <v>23.95</v>
    <v>23.945</v>
    <v>23.88</v>
    <v>23.86</v>
    <v>23.815000000000001</v>
    <v>23.835000000000001</v>
    <v>23.8</v>
    <v>23.844999999999999</v>
    <v>23.83</v>
    <v>23.844999999999999</v>
    <v>23.85</v>
    <v>23.875</v>
    <v>23.82</v>
    <v>23.795000000000002</v>
    <v>23.774999999999999</v>
    <v>23.745000000000001</v>
    <v>23.78</v>
    <v>23.774999999999999</v>
    <v>23.835000000000001</v>
    <v>23.79</v>
    <v>23.875</v>
    <v>23.885000000000002</v>
    <v>23.875</v>
    <v>23.895</v>
    <v>23.8</v>
    <v>23.81</v>
    <v>23.82</v>
    <v>23.8</v>
    <v>23.765000000000001</v>
    <v>23.7</v>
    <v>23.754999999999999</v>
    <v>23.725000000000001</v>
    <v>23.77</v>
    <v>23.74</v>
    <v>23.76</v>
    <v>23.72</v>
    <v>23.745000000000001</v>
    <v>23.795000000000002</v>
    <v>23.73</v>
    <v>23.74</v>
    <v>23.785</v>
    <v>23.855</v>
    <v>23.84</v>
    <v>23.76</v>
    <v>23.75</v>
    <v>23.754999999999999</v>
    <v>23.82</v>
    <v>23.815000000000001</v>
    <v>23.8</v>
    <v>23.81</v>
    <v>23.795000000000002</v>
    <v>23.86</v>
    <v>23.84</v>
    <v>23.85</v>
    <v>23.754999999999999</v>
    <v>23.74</v>
    <v>23.75</v>
    <v>23.78</v>
    <v>23.78</v>
    <v>23.824999999999999</v>
    <v>23.79</v>
    <v>23.81</v>
    <v>23.815000000000001</v>
    <v>23.815000000000001</v>
    <v>23.785</v>
    <v>23.754999999999999</v>
    <v>23.77</v>
    <v>23.795000000000002</v>
    <v>23.824999999999999</v>
    <v>23.82</v>
    <v>23.91</v>
    <v>23.885000000000002</v>
    <v>23.95</v>
    <v>23.99</v>
    <v>24.004999999999999</v>
    <v>24.015000000000001</v>
    <v>24.03</v>
    <v>24.01</v>
    <v>24.02</v>
    <v>24.05</v>
    <v>24.055</v>
    <v>24.055</v>
    <v>24.07</v>
    <v>24.155000000000001</v>
    <v>24.015000000000001</v>
    <v>23.95</v>
    <v>23.984999999999999</v>
    <v>23.885000000000002</v>
    <v>23.84</v>
    <v>23.864999999999998</v>
    <v>23.91</v>
    <v>23.754999999999999</v>
    <v>23.675000000000001</v>
    <v>23.625</v>
    <v>23.675000000000001</v>
    <v>23.734999999999999</v>
    <v>23.715</v>
    <v>23.62</v>
    <v>23.524999999999999</v>
    <v>23.515000000000001</v>
    <v>23.555</v>
    <v>23.625</v>
    <v>23.52</v>
    <v>23.43</v>
    <v>23.524999999999999</v>
    <v>23.55</v>
    <v>23.65</v>
    <v>23.65</v>
    <v>23.57</v>
    <v>23.725000000000001</v>
    <v>23.725000000000001</v>
    <v>23.68</v>
    <v>23.645</v>
    <v>23.734999999999999</v>
    <v>23.725000000000001</v>
    <v>23.725000000000001</v>
    <v>23.8</v>
    <v>23.754999999999999</v>
    <v>23.745000000000001</v>
    <v>23.76</v>
    <v>23.725000000000001</v>
    <v>23.7</v>
    <v>23.65</v>
    <v>23.62</v>
    <v>23.594999999999999</v>
    <v>23.64</v>
    <v>23.6</v>
    <v>23.675000000000001</v>
    <v>23.71</v>
    <v>23.72</v>
    <v>23.715</v>
    <v>23.67</v>
    <v>23.585000000000001</v>
    <v>23.565000000000001</v>
    <v>23.65</v>
    <v>23.45</v>
    <v>23.425000000000001</v>
    <v>23.36</v>
    <v>23.495000000000001</v>
    <v>23.484999999999999</v>
    <v>23.56</v>
    <v>23.67</v>
    <v>23.614999999999998</v>
    <v>23.7</v>
    <v>23.725000000000001</v>
    <v>23.74</v>
    <v>23.62</v>
    <v>23.73</v>
    <v>23.61</v>
    <v>23.67</v>
    <v>23.61</v>
    <v>23.585000000000001</v>
    <v>23.594999999999999</v>
    <v>23.6</v>
    <v>23.625</v>
    <v>23.704999999999998</v>
    <v>23.754999999999999</v>
    <v>23.785</v>
    <v>23.79</v>
    <v>23.754999999999999</v>
    <v>23.664999999999999</v>
    <v>23.725000000000001</v>
    <v>23.734999999999999</v>
    <v>23.85</v>
    <v>23.844999999999999</v>
    <v>23.835000000000001</v>
    <v>23.85</v>
    <v>23.795000000000002</v>
    <v>23.774999999999999</v>
    <v>23.77</v>
    <v>23.75</v>
    <v>23.734999999999999</v>
    <v>23.68</v>
    <v>23.57</v>
    <v>23.635000000000002</v>
    <v>23.66</v>
    <v>23.545000000000002</v>
    <v>23.65</v>
    <v>23.63</v>
    <v>23.6</v>
    <v>23.6</v>
    <v>23.585000000000001</v>
    <v>23.51</v>
    <v>23.48</v>
    <v>23.4</v>
    <v>23.52</v>
    <v>23.55</v>
    <v>23.57</v>
    <v>23.54</v>
    <v>23.524999999999999</v>
    <v>23.46</v>
    <v>23.545000000000002</v>
    <v>23.61</v>
    <v>23.614999999999998</v>
    <v>23.58</v>
    <v>23.574999999999999</v>
    <v>23.53</v>
    <v>23.55</v>
    <v>23.52</v>
    <v>23.6</v>
    <v>23.524999999999999</v>
    <v>23.504999999999999</v>
    <v>23.47</v>
    <v>23.52</v>
    <v>23.504999999999999</v>
    <v>23.48</v>
    <v>23.524999999999999</v>
    <v>23.56</v>
    <v>23.574999999999999</v>
    <v>23.574999999999999</v>
    <v>23.53</v>
    <v>23.41</v>
    <v>23.45</v>
    <v>23.385000000000002</v>
    <v>23.44</v>
    <v>23.46</v>
    <v>23.41</v>
    <v>23.42</v>
    <v>23.32</v>
    <v>23.254999999999999</v>
    <v>23.254999999999999</v>
    <v>23.19</v>
    <v>23.155000000000001</v>
    <v>23.2</v>
    <v>23.265000000000001</v>
    <v>23.21</v>
    <v>23.27</v>
    <v>23.204999999999998</v>
    <v>23.16</v>
    <v>23.1</v>
    <v>23.074999999999999</v>
    <v>22.954999999999998</v>
    <v>22.95</v>
    <v>22.95</v>
    <v>23.03</v>
    <v>23.085000000000001</v>
    <v>22.95</v>
    <v>22.995000000000001</v>
    <v>22.96</v>
    <v>23.024999999999999</v>
    <v>23.045000000000002</v>
    <v>23.09</v>
    <v>23.065000000000001</v>
    <v>23.02</v>
    <v>23.19</v>
    <v>23.24</v>
    <v>23.164999999999999</v>
    <v>23.2</v>
    <v>23.155000000000001</v>
    <v>23.25</v>
    <v>23.295000000000002</v>
  </a>
  <a r="1" c="208">
    <v>9</v>
    <v>9.0649999999999995</v>
    <v>9.1999999999999993</v>
    <v>9.27</v>
    <v>9.2710000000000008</v>
    <v>9.2520000000000007</v>
    <v>9.2729999999999997</v>
    <v>9.17</v>
    <v>9.3209999999999997</v>
    <v>9.2949999999999999</v>
    <v>9.4049999999999994</v>
    <v>9.06</v>
    <v>8.9369999999999994</v>
    <v>8.8379999999999992</v>
    <v>9.0329999999999995</v>
    <v>9.0169999999999995</v>
    <v>9.1140000000000008</v>
    <v>9.2520000000000007</v>
    <v>9.2270000000000003</v>
    <v>9.25</v>
    <v>9.3079999999999998</v>
    <v>9.3179999999999996</v>
    <v>9.41</v>
    <v>9.5289999999999999</v>
    <v>9.4860000000000007</v>
    <v>9.4779999999999998</v>
    <v>9.4949999999999992</v>
    <v>9.5850000000000009</v>
    <v>9.7509999999999994</v>
    <v>9.5839999999999996</v>
    <v>9.3059999999999992</v>
    <v>9.18</v>
    <v>9.2260000000000009</v>
    <v>9.2910000000000004</v>
    <v>8.9570000000000007</v>
    <v>9.0820000000000007</v>
    <v>9.6999999999999993</v>
    <v>9.7989999999999995</v>
    <v>9.9949999999999992</v>
    <v>10.164</v>
    <v>10.194000000000001</v>
    <v>9.9849999999999994</v>
    <v>9.4710000000000001</v>
    <v>9.5690000000000008</v>
    <v>9.4619999999999997</v>
    <v>9.4049999999999994</v>
    <v>9.39</v>
    <v>9.6010000000000009</v>
    <v>9.4559999999999995</v>
    <v>9.4860000000000007</v>
    <v>9.7100000000000009</v>
    <v>9.6519999999999992</v>
    <v>9.9160000000000004</v>
    <v>9.5839999999999996</v>
    <v>9.4369999999999994</v>
    <v>9.1349999999999998</v>
    <v>9.0670000000000002</v>
    <v>9.2080000000000002</v>
    <v>9.2949999999999999</v>
    <v>9.2089999999999996</v>
    <v>9.1460000000000008</v>
    <v>9.4039999999999999</v>
    <v>9.375</v>
    <v>9.6920000000000002</v>
    <v>9.7530000000000001</v>
    <v>9.7669999999999995</v>
    <v>9.8510000000000009</v>
    <v>9.8759999999999994</v>
    <v>9.8659999999999997</v>
    <v>9.8230000000000004</v>
    <v>9.8810000000000002</v>
    <v>9.7390000000000008</v>
    <v>9.6959999999999997</v>
    <v>9.7270000000000003</v>
    <v>9.7309999999999999</v>
    <v>9.6940000000000008</v>
    <v>9.782</v>
    <v>9.8840000000000003</v>
    <v>9.8209999999999997</v>
    <v>9.7910000000000004</v>
    <v>9.9450000000000003</v>
    <v>9.6679999999999993</v>
    <v>9.9239999999999995</v>
    <v>9.6739999999999995</v>
    <v>9.7100000000000009</v>
    <v>9.8460000000000001</v>
    <v>9.65</v>
    <v>9.625</v>
    <v>9.8829999999999991</v>
    <v>9.7219999999999995</v>
    <v>9.7370000000000001</v>
    <v>9.7170000000000005</v>
    <v>9.484</v>
    <v>9.6159999999999997</v>
    <v>9.5579999999999998</v>
    <v>9.6690000000000005</v>
    <v>9.76</v>
    <v>9.6980000000000004</v>
    <v>9.7989999999999995</v>
    <v>9.8260000000000005</v>
    <v>9.59</v>
    <v>9.5969999999999995</v>
    <v>9.625</v>
    <v>9.56</v>
    <v>9.577</v>
    <v>9.48</v>
    <v>9.5670000000000002</v>
    <v>9.6379999999999999</v>
    <v>9.57</v>
    <v>9.7010000000000005</v>
    <v>9.6069999999999993</v>
    <v>9.66</v>
    <v>9.7940000000000005</v>
    <v>9.7989999999999995</v>
    <v>9.9350000000000005</v>
    <v>9.8829999999999991</v>
    <v>9.9120000000000008</v>
    <v>9.9390000000000001</v>
    <v>9.8209999999999997</v>
    <v>9.9</v>
    <v>9.8670000000000009</v>
    <v>10.064</v>
    <v>10.098000000000001</v>
    <v>10.102</v>
    <v>10.054</v>
    <v>9.9619999999999997</v>
    <v>10.118</v>
    <v>10.26</v>
    <v>10.146000000000001</v>
    <v>10.134</v>
    <v>10.102</v>
    <v>10.08</v>
    <v>10.119999999999999</v>
    <v>10.218</v>
    <v>10.28</v>
    <v>10.164</v>
    <v>10.004</v>
    <v>10.167999999999999</v>
    <v>9.9</v>
    <v>9.8490000000000002</v>
    <v>10.036</v>
    <v>9.8179999999999996</v>
    <v>9.9269999999999996</v>
    <v>9.9659999999999993</v>
    <v>9.8699999999999992</v>
    <v>9.8290000000000006</v>
    <v>9.8420000000000005</v>
    <v>9.7989999999999995</v>
    <v>9.9120000000000008</v>
    <v>9.9949999999999992</v>
    <v>9.9499999999999993</v>
    <v>9.9710000000000001</v>
    <v>10.044</v>
    <v>9.9369999999999994</v>
    <v>9.8469999999999995</v>
    <v>9.7210000000000001</v>
    <v>9.6890000000000001</v>
    <v>9.4949999999999992</v>
    <v>9.4670000000000005</v>
    <v>9.4819999999999993</v>
    <v>9.4749999999999996</v>
    <v>9.4990000000000006</v>
    <v>9.5030000000000001</v>
    <v>9.52</v>
    <v>9.5519999999999996</v>
    <v>9.5129999999999999</v>
    <v>9.3680000000000003</v>
    <v>9.4600000000000009</v>
    <v>9.4209999999999994</v>
    <v>9.24</v>
    <v>9.0009999999999994</v>
    <v>9.02</v>
    <v>9.0660000000000007</v>
    <v>8.9969999999999999</v>
    <v>8.9499999999999993</v>
    <v>8.8949999999999996</v>
    <v>8.9329999999999998</v>
    <v>8.9570000000000007</v>
    <v>8.7420000000000009</v>
    <v>8.7409999999999997</v>
    <v>8.8979999999999997</v>
    <v>9.0500000000000007</v>
    <v>8.8689999999999998</v>
    <v>8.9480000000000004</v>
    <v>8.9179999999999993</v>
    <v>8.8260000000000005</v>
    <v>8.8209999999999997</v>
    <v>8.9130000000000003</v>
    <v>8.7129999999999992</v>
    <v>8.7789999999999999</v>
    <v>8.7469999999999999</v>
    <v>8.6679999999999993</v>
    <v>8.7989999999999995</v>
    <v>8.75</v>
    <v>8.8360000000000003</v>
    <v>8.7260000000000009</v>
    <v>8.7579999999999991</v>
    <v>8.8670000000000009</v>
    <v>8.9179999999999993</v>
    <v>9.0069999999999997</v>
    <v>9.0229999999999997</v>
    <v>9.0960000000000001</v>
    <v>9.1869999999999994</v>
    <v>9.0120000000000005</v>
    <v>9.1920000000000002</v>
    <v>9.1989999999999998</v>
    <v>9.1969999999999992</v>
    <v>9.218</v>
  </a>
  <a r="1" c="254">
    <v>8.5220000000000002</v>
    <v>8.4879999999999995</v>
    <v>8.5559999999999992</v>
    <v>8.6649999999999991</v>
    <v>8.7100000000000009</v>
    <v>8.7959999999999994</v>
    <v>8.7720000000000002</v>
    <v>8.8140000000000001</v>
    <v>8.9570000000000007</v>
    <v>8.9359999999999999</v>
    <v>8.8919999999999995</v>
    <v>8.8640000000000008</v>
    <v>8.9030000000000005</v>
    <v>8.9550000000000001</v>
    <v>8.9380000000000006</v>
    <v>8.9559999999999995</v>
    <v>8.9789999999999992</v>
    <v>9.0820000000000007</v>
    <v>9.0050000000000008</v>
    <v>8.7319999999999993</v>
    <v>8.7889999999999997</v>
    <v>8.7840000000000007</v>
    <v>8.86</v>
    <v>8.7769999999999992</v>
    <v>8.83</v>
    <v>8.9</v>
    <v>8.9079999999999995</v>
    <v>8.9090000000000007</v>
    <v>8.9529999999999994</v>
    <v>8.843</v>
    <v>8.8219999999999992</v>
    <v>8.7729999999999997</v>
    <v>8.7620000000000005</v>
    <v>8.7210000000000001</v>
    <v>8.6809999999999992</v>
    <v>8.7149999999999999</v>
    <v>8.7200000000000006</v>
    <v>8.8640000000000008</v>
    <v>8.7780000000000005</v>
    <v>8.6210000000000004</v>
    <v>8.6219999999999999</v>
    <v>8.7379999999999995</v>
    <v>8.7029999999999994</v>
    <v>8.7690000000000001</v>
    <v>8.8140000000000001</v>
    <v>8.8770000000000007</v>
    <v>9</v>
    <v>9.0649999999999995</v>
    <v>9.1999999999999993</v>
    <v>9.27</v>
    <v>9.2710000000000008</v>
    <v>9.2520000000000007</v>
    <v>9.2729999999999997</v>
    <v>9.17</v>
    <v>9.3209999999999997</v>
    <v>9.2949999999999999</v>
    <v>9.4049999999999994</v>
    <v>9.06</v>
    <v>8.9369999999999994</v>
    <v>8.8379999999999992</v>
    <v>9.0329999999999995</v>
    <v>9.0169999999999995</v>
    <v>9.1140000000000008</v>
    <v>9.2520000000000007</v>
    <v>9.2270000000000003</v>
    <v>9.25</v>
    <v>9.3079999999999998</v>
    <v>9.3179999999999996</v>
    <v>9.41</v>
    <v>9.5289999999999999</v>
    <v>9.4860000000000007</v>
    <v>9.4779999999999998</v>
    <v>9.4949999999999992</v>
    <v>9.5850000000000009</v>
    <v>9.7509999999999994</v>
    <v>9.5839999999999996</v>
    <v>9.3059999999999992</v>
    <v>9.18</v>
    <v>9.2260000000000009</v>
    <v>9.2910000000000004</v>
    <v>8.9570000000000007</v>
    <v>9.0820000000000007</v>
    <v>9.6999999999999993</v>
    <v>9.7989999999999995</v>
    <v>9.9949999999999992</v>
    <v>10.164</v>
    <v>10.194000000000001</v>
    <v>9.9849999999999994</v>
    <v>9.4710000000000001</v>
    <v>9.5690000000000008</v>
    <v>9.4619999999999997</v>
    <v>9.4049999999999994</v>
    <v>9.39</v>
    <v>9.6010000000000009</v>
    <v>9.4559999999999995</v>
    <v>9.4860000000000007</v>
    <v>9.7100000000000009</v>
    <v>9.6519999999999992</v>
    <v>9.9160000000000004</v>
    <v>9.5839999999999996</v>
    <v>9.4369999999999994</v>
    <v>9.1349999999999998</v>
    <v>9.0670000000000002</v>
    <v>9.2080000000000002</v>
    <v>9.2949999999999999</v>
    <v>9.2089999999999996</v>
    <v>9.1460000000000008</v>
    <v>9.4039999999999999</v>
    <v>9.375</v>
    <v>9.6920000000000002</v>
    <v>9.7530000000000001</v>
    <v>9.7669999999999995</v>
    <v>9.8510000000000009</v>
    <v>9.8759999999999994</v>
    <v>9.8659999999999997</v>
    <v>9.8230000000000004</v>
    <v>9.8810000000000002</v>
    <v>9.7390000000000008</v>
    <v>9.6959999999999997</v>
    <v>9.7270000000000003</v>
    <v>9.7309999999999999</v>
    <v>9.6940000000000008</v>
    <v>9.782</v>
    <v>9.8840000000000003</v>
    <v>9.8209999999999997</v>
    <v>9.7910000000000004</v>
    <v>9.9450000000000003</v>
    <v>9.6679999999999993</v>
    <v>9.9239999999999995</v>
    <v>9.6739999999999995</v>
    <v>9.7100000000000009</v>
    <v>9.8460000000000001</v>
    <v>9.65</v>
    <v>9.625</v>
    <v>9.8829999999999991</v>
    <v>9.7219999999999995</v>
    <v>9.7370000000000001</v>
    <v>9.7170000000000005</v>
    <v>9.484</v>
    <v>9.6159999999999997</v>
    <v>9.5579999999999998</v>
    <v>9.6690000000000005</v>
    <v>9.76</v>
    <v>9.6980000000000004</v>
    <v>9.7989999999999995</v>
    <v>9.8260000000000005</v>
    <v>9.59</v>
    <v>9.5969999999999995</v>
    <v>9.625</v>
    <v>9.56</v>
    <v>9.577</v>
    <v>9.48</v>
    <v>9.5670000000000002</v>
    <v>9.6379999999999999</v>
    <v>9.57</v>
    <v>9.7010000000000005</v>
    <v>9.6069999999999993</v>
    <v>9.66</v>
    <v>9.7940000000000005</v>
    <v>9.7989999999999995</v>
    <v>9.9350000000000005</v>
    <v>9.8829999999999991</v>
    <v>9.9120000000000008</v>
    <v>9.9390000000000001</v>
    <v>9.8209999999999997</v>
    <v>9.9</v>
    <v>9.8670000000000009</v>
    <v>10.064</v>
    <v>10.098000000000001</v>
    <v>10.102</v>
    <v>10.054</v>
    <v>9.9619999999999997</v>
    <v>10.118</v>
    <v>10.26</v>
    <v>10.146000000000001</v>
    <v>10.134</v>
    <v>10.102</v>
    <v>10.08</v>
    <v>10.119999999999999</v>
    <v>10.218</v>
    <v>10.28</v>
    <v>10.164</v>
    <v>10.004</v>
    <v>10.167999999999999</v>
    <v>9.9</v>
    <v>9.8490000000000002</v>
    <v>10.036</v>
    <v>9.8179999999999996</v>
    <v>9.9269999999999996</v>
    <v>9.9659999999999993</v>
    <v>9.8699999999999992</v>
    <v>9.8290000000000006</v>
    <v>9.8420000000000005</v>
    <v>9.7989999999999995</v>
    <v>9.9120000000000008</v>
    <v>9.9949999999999992</v>
    <v>9.9499999999999993</v>
    <v>9.9710000000000001</v>
    <v>10.044</v>
    <v>9.9369999999999994</v>
    <v>9.8469999999999995</v>
    <v>9.7210000000000001</v>
    <v>9.6890000000000001</v>
    <v>9.4949999999999992</v>
    <v>9.4670000000000005</v>
    <v>9.4819999999999993</v>
    <v>9.4749999999999996</v>
    <v>9.4990000000000006</v>
    <v>9.5030000000000001</v>
    <v>9.52</v>
    <v>9.5519999999999996</v>
    <v>9.5129999999999999</v>
    <v>9.3680000000000003</v>
    <v>9.4600000000000009</v>
    <v>9.4209999999999994</v>
    <v>9.24</v>
    <v>9.0009999999999994</v>
    <v>9.02</v>
    <v>9.0660000000000007</v>
    <v>8.9969999999999999</v>
    <v>8.9499999999999993</v>
    <v>8.8949999999999996</v>
    <v>8.9329999999999998</v>
    <v>8.9570000000000007</v>
    <v>8.7420000000000009</v>
    <v>8.7409999999999997</v>
    <v>8.8979999999999997</v>
    <v>9.0500000000000007</v>
    <v>8.8689999999999998</v>
    <v>8.9480000000000004</v>
    <v>8.9179999999999993</v>
    <v>8.8260000000000005</v>
    <v>8.8209999999999997</v>
    <v>8.9130000000000003</v>
    <v>8.7129999999999992</v>
    <v>8.7789999999999999</v>
    <v>8.7469999999999999</v>
    <v>8.6679999999999993</v>
    <v>8.7989999999999995</v>
    <v>8.75</v>
    <v>8.8360000000000003</v>
    <v>8.7260000000000009</v>
    <v>8.7579999999999991</v>
    <v>8.8670000000000009</v>
    <v>8.9179999999999993</v>
    <v>9.0069999999999997</v>
    <v>9.0229999999999997</v>
    <v>9.0960000000000001</v>
    <v>9.1869999999999994</v>
    <v>9.0120000000000005</v>
    <v>9.1920000000000002</v>
    <v>9.1989999999999998</v>
    <v>9.1969999999999992</v>
    <v>9.218</v>
  </a>
  <a r="1" c="761">
    <v>5.6909999999999998</v>
    <v>5.7729999999999997</v>
    <v>5.7519999999999998</v>
    <v>5.7789999999999999</v>
    <v>5.7549999999999999</v>
    <v>5.8860000000000001</v>
    <v>5.9880000000000004</v>
    <v>6.0330000000000004</v>
    <v>6.1139999999999999</v>
    <v>6.16</v>
    <v>6.1459999999999999</v>
    <v>6.1189999999999998</v>
    <v>6.0880000000000001</v>
    <v>6.1559999999999997</v>
    <v>6.1289999999999996</v>
    <v>6.1840000000000002</v>
    <v>6.2750000000000004</v>
    <v>6.2489999999999997</v>
    <v>6.3019999999999996</v>
    <v>6.4050000000000002</v>
    <v>6.49</v>
    <v>6.4160000000000004</v>
    <v>6.391</v>
    <v>6.3819999999999997</v>
    <v>6.4139999999999997</v>
    <v>6.4320000000000004</v>
    <v>6.4420000000000002</v>
    <v>6.4329999999999998</v>
    <v>6.4859999999999998</v>
    <v>6.5069999999999997</v>
    <v>6.5350000000000001</v>
    <v>6.55</v>
    <v>6.548</v>
    <v>6.5419999999999998</v>
    <v>6.5659999999999998</v>
    <v>6.5170000000000003</v>
    <v>6.55</v>
    <v>6.6120000000000001</v>
    <v>6.7220000000000004</v>
    <v>6.67</v>
    <v>6.6630000000000003</v>
    <v>6.7</v>
    <v>6.6680000000000001</v>
    <v>6.6740000000000004</v>
    <v>6.7190000000000003</v>
    <v>6.7210000000000001</v>
    <v>6.7089999999999996</v>
    <v>6.73</v>
    <v>6.7089999999999996</v>
    <v>6.6260000000000003</v>
    <v>6.7240000000000002</v>
    <v>6.6909999999999998</v>
    <v>6.7089999999999996</v>
    <v>6.6989999999999998</v>
    <v>6.7370000000000001</v>
    <v>6.6719999999999997</v>
    <v>6.79</v>
    <v>6.8070000000000004</v>
    <v>6.75</v>
    <v>6.6360000000000001</v>
    <v>6.6219999999999999</v>
    <v>6.6619999999999999</v>
    <v>6.383</v>
    <v>6.3339999999999996</v>
    <v>6.3159999999999998</v>
    <v>6.2960000000000003</v>
    <v>6.2709999999999999</v>
    <v>6.2229999999999999</v>
    <v>6.2560000000000002</v>
    <v>6.3410000000000002</v>
    <v>6.2039999999999997</v>
    <v>6.1820000000000004</v>
    <v>6.1269999999999998</v>
    <v>6.0759999999999996</v>
    <v>6.03</v>
    <v>5.9530000000000003</v>
    <v>5.8739999999999997</v>
    <v>5.9169999999999998</v>
    <v>5.883</v>
    <v>5.9139999999999997</v>
    <v>5.9249999999999998</v>
    <v>5.8739999999999997</v>
    <v>5.8609999999999998</v>
    <v>5.9029999999999996</v>
    <v>5.9569999999999999</v>
    <v>5.9329999999999998</v>
    <v>5.9580000000000002</v>
    <v>5.8760000000000003</v>
    <v>5.94</v>
    <v>5.8529999999999998</v>
    <v>5.883</v>
    <v>5.8920000000000003</v>
    <v>5.9029999999999996</v>
    <v>6.0380000000000003</v>
    <v>6.101</v>
    <v>6.1390000000000002</v>
    <v>6.13</v>
    <v>6.1559999999999997</v>
    <v>6.1509999999999998</v>
    <v>6.2089999999999996</v>
    <v>6.1289999999999996</v>
    <v>6.1310000000000002</v>
    <v>6.0739999999999998</v>
    <v>6.0759999999999996</v>
    <v>6.1029999999999998</v>
    <v>6.07</v>
    <v>6.0810000000000004</v>
    <v>6.0670000000000002</v>
    <v>6.0839999999999996</v>
    <v>6.1680000000000001</v>
    <v>6.1189999999999998</v>
    <v>5.9880000000000004</v>
    <v>5.99</v>
    <v>6.0460000000000003</v>
    <v>5.907</v>
    <v>5.899</v>
    <v>5.8250000000000002</v>
    <v>5.6989999999999998</v>
    <v>5.7069999999999999</v>
    <v>5.8730000000000002</v>
    <v>5.8479999999999999</v>
    <v>5.7939999999999996</v>
    <v>5.7859999999999996</v>
    <v>5.8719999999999999</v>
    <v>5.9550000000000001</v>
    <v>6.0490000000000004</v>
    <v>6.12</v>
    <v>6.0880000000000001</v>
    <v>6.06</v>
    <v>6.13</v>
    <v>6.2</v>
    <v>6.181</v>
    <v>6.242</v>
    <v>6.25</v>
    <v>6.3250000000000002</v>
    <v>6.3840000000000003</v>
    <v>6.4459999999999997</v>
    <v>6.508</v>
    <v>6.7549999999999999</v>
    <v>6.7519999999999998</v>
    <v>6.7140000000000004</v>
    <v>6.8419999999999996</v>
    <v>6.819</v>
    <v>6.8</v>
    <v>6.7610000000000001</v>
    <v>6.7350000000000003</v>
    <v>6.6740000000000004</v>
    <v>6.6059999999999999</v>
    <v>6.556</v>
    <v>6.6609999999999996</v>
    <v>6.66</v>
    <v>6.57</v>
    <v>6.62</v>
    <v>6.6559999999999997</v>
    <v>6.75</v>
    <v>6.7359999999999998</v>
    <v>6.8129999999999997</v>
    <v>6.798</v>
    <v>6.71</v>
    <v>6.6790000000000003</v>
    <v>6.5679999999999996</v>
    <v>6.641</v>
    <v>6.5540000000000003</v>
    <v>6.3369999999999997</v>
    <v>6.319</v>
    <v>6.45</v>
    <v>6.4</v>
    <v>6.4889999999999999</v>
    <v>6.4690000000000003</v>
    <v>6.5419999999999998</v>
    <v>6.5780000000000003</v>
    <v>6.548</v>
    <v>6.4969999999999999</v>
    <v>6.4939999999999998</v>
    <v>6.6070000000000002</v>
    <v>6.585</v>
    <v>6.633</v>
    <v>6.649</v>
    <v>6.7060000000000004</v>
    <v>6.6740000000000004</v>
    <v>6.649</v>
    <v>6.7320000000000002</v>
    <v>6.7889999999999997</v>
    <v>6.8849999999999998</v>
    <v>6.7910000000000004</v>
    <v>6.7409999999999997</v>
    <v>6.7679999999999998</v>
    <v>6.8</v>
    <v>6.7460000000000004</v>
    <v>6.5640000000000001</v>
    <v>6.585</v>
    <v>6.6310000000000002</v>
    <v>6.66</v>
    <v>6.67</v>
    <v>6.65</v>
    <v>6.63</v>
    <v>6.5940000000000003</v>
    <v>6.5179999999999998</v>
    <v>6.4859999999999998</v>
    <v>6.2969999999999997</v>
    <v>6.298</v>
    <v>6.43</v>
    <v>6.4279999999999999</v>
    <v>6.4089999999999998</v>
    <v>6.4379999999999997</v>
    <v>6.5049999999999999</v>
    <v>6.4889999999999999</v>
    <v>6.57</v>
    <v>6.5910000000000002</v>
    <v>6.5789999999999997</v>
    <v>6.6029999999999998</v>
    <v>6.6070000000000002</v>
    <v>6.7140000000000004</v>
    <v>6.7089999999999996</v>
    <v>6.7709999999999999</v>
    <v>6.83</v>
    <v>6.8460000000000001</v>
    <v>6.8639999999999999</v>
    <v>6.8879999999999999</v>
    <v>6.8929999999999998</v>
    <v>6.8819999999999997</v>
    <v>6.9950000000000001</v>
    <v>7.0510000000000002</v>
    <v>7.0540000000000003</v>
    <v>7.0819999999999999</v>
    <v>7.0540000000000003</v>
    <v>7.0819999999999999</v>
    <v>7.1180000000000003</v>
    <v>7.1319999999999997</v>
    <v>7.1840000000000002</v>
    <v>7.0940000000000003</v>
    <v>6.9729999999999999</v>
    <v>6.99</v>
    <v>7.06</v>
    <v>7.1130000000000004</v>
    <v>7.0979999999999999</v>
    <v>7.1559999999999997</v>
    <v>7.2130000000000001</v>
    <v>7.1749999999999998</v>
    <v>7.2210000000000001</v>
    <v>7.1120000000000001</v>
    <v>6.984</v>
    <v>6.9550000000000001</v>
    <v>6.94</v>
    <v>6.9770000000000003</v>
    <v>7.0010000000000003</v>
    <v>6.9820000000000002</v>
    <v>7.0659999999999998</v>
    <v>7.1760000000000002</v>
    <v>7.2089999999999996</v>
    <v>7.2850000000000001</v>
    <v>7.32</v>
    <v>7.3319999999999999</v>
    <v>7.3369999999999997</v>
    <v>7.17</v>
    <v>7.1769999999999996</v>
    <v>7.2009999999999996</v>
    <v>7.1879999999999997</v>
    <v>7.2080000000000002</v>
    <v>7.1379999999999999</v>
    <v>7.0810000000000004</v>
    <v>6.97</v>
    <v>7.0119999999999996</v>
    <v>7.0309999999999997</v>
    <v>6.9980000000000002</v>
    <v>6.8150000000000004</v>
    <v>6.6959999999999997</v>
    <v>6.6779999999999999</v>
    <v>6.7549999999999999</v>
    <v>6.5910000000000002</v>
    <v>6.62</v>
    <v>6.7709999999999999</v>
    <v>6.7880000000000003</v>
    <v>6.6989999999999998</v>
    <v>6.6429999999999998</v>
    <v>6.5640000000000001</v>
    <v>6.58</v>
    <v>6.7229999999999999</v>
    <v>6.742</v>
    <v>6.7119999999999997</v>
    <v>6.7389999999999999</v>
    <v>6.77</v>
    <v>6.81</v>
    <v>6.8310000000000004</v>
    <v>6.9119999999999999</v>
    <v>6.9429999999999996</v>
    <v>7.0119999999999996</v>
    <v>6.9859999999999998</v>
    <v>6.923</v>
    <v>6.9359999999999999</v>
    <v>6.9180000000000001</v>
    <v>6.9089999999999998</v>
    <v>6.9429999999999996</v>
    <v>7.0190000000000001</v>
    <v>6.9550000000000001</v>
    <v>6.9160000000000004</v>
    <v>6.8010000000000002</v>
    <v>6.806</v>
    <v>6.7990000000000004</v>
    <v>6.8470000000000004</v>
    <v>6.8860000000000001</v>
    <v>7.0250000000000004</v>
    <v>7.0129999999999999</v>
    <v>7.03</v>
    <v>6.9939999999999998</v>
    <v>6.9870000000000001</v>
    <v>7.0330000000000004</v>
    <v>6.97</v>
    <v>6.8849999999999998</v>
    <v>6.9210000000000003</v>
    <v>7.0490000000000004</v>
    <v>7.1040000000000001</v>
    <v>7.1559999999999997</v>
    <v>6.7910000000000004</v>
    <v>6.7930000000000001</v>
    <v>6.6879999999999997</v>
    <v>6.6680000000000001</v>
    <v>6.681</v>
    <v>6.7590000000000003</v>
    <v>6.79</v>
    <v>6.77</v>
    <v>6.8659999999999997</v>
    <v>6.8689999999999998</v>
    <v>6.8860000000000001</v>
    <v>6.9169999999999998</v>
    <v>6.952</v>
    <v>6.8920000000000003</v>
    <v>6.8940000000000001</v>
    <v>6.9210000000000003</v>
    <v>6.87</v>
    <v>6.806</v>
    <v>6.91</v>
    <v>6.8760000000000003</v>
    <v>6.8339999999999996</v>
    <v>6.8170000000000002</v>
    <v>6.8250000000000002</v>
    <v>6.7949999999999999</v>
    <v>6.8470000000000004</v>
    <v>6.94</v>
    <v>6.9850000000000003</v>
    <v>6.992</v>
    <v>6.9870000000000001</v>
    <v>7.0590000000000002</v>
    <v>6.9850000000000003</v>
    <v>6.8559999999999999</v>
    <v>6.7140000000000004</v>
    <v>6.6509999999999998</v>
    <v>6.7880000000000003</v>
    <v>6.94</v>
    <v>6.9630000000000001</v>
    <v>6.968</v>
    <v>6.9950000000000001</v>
    <v>7.0389999999999997</v>
    <v>7.0659999999999998</v>
    <v>7.0759999999999996</v>
    <v>7.1779999999999999</v>
    <v>7.2489999999999997</v>
    <v>7.306</v>
    <v>7.2080000000000002</v>
    <v>7.2510000000000003</v>
    <v>7.2869999999999999</v>
    <v>7.3710000000000004</v>
    <v>7.5350000000000001</v>
    <v>7.4969999999999999</v>
    <v>7.5170000000000003</v>
    <v>7.577</v>
    <v>7.7839999999999998</v>
    <v>7.42</v>
    <v>6.8579999999999997</v>
    <v>6.9630000000000001</v>
    <v>6.7910000000000004</v>
    <v>6.9710000000000001</v>
    <v>6.9939999999999998</v>
    <v>7.08</v>
    <v>7.2140000000000004</v>
    <v>7.2930000000000001</v>
    <v>7.3719999999999999</v>
    <v>7.4969999999999999</v>
    <v>7.4539999999999997</v>
    <v>7.5</v>
    <v>7.53</v>
    <v>7.55</v>
    <v>7.64</v>
    <v>7.6440000000000001</v>
    <v>7.6760000000000002</v>
    <v>7.72</v>
    <v>7.6959999999999997</v>
    <v>7.7430000000000003</v>
    <v>7.5830000000000002</v>
    <v>7.74</v>
    <v>7.6870000000000003</v>
    <v>7.73</v>
    <v>7.7439999999999998</v>
    <v>7.8689999999999998</v>
    <v>7.9560000000000004</v>
    <v>8.0139999999999993</v>
    <v>8.0909999999999993</v>
    <v>8.0809999999999995</v>
    <v>8.1240000000000006</v>
    <v>8.0790000000000006</v>
    <v>8.1300000000000008</v>
    <v>8.07</v>
    <v>8.0350000000000001</v>
    <v>8.0259999999999998</v>
    <v>8.0850000000000009</v>
    <v>8.0760000000000005</v>
    <v>8.0670000000000002</v>
    <v>8.077</v>
    <v>8.0129999999999999</v>
    <v>8.0299999999999994</v>
    <v>7.94</v>
    <v>7.9569999999999999</v>
    <v>7.9720000000000004</v>
    <v>8.0250000000000004</v>
    <v>7.9820000000000002</v>
    <v>7.9850000000000003</v>
    <v>7.968</v>
    <v>7.9589999999999996</v>
    <v>7.95</v>
    <v>7.9930000000000003</v>
    <v>8.0860000000000003</v>
    <v>8.1219999999999999</v>
    <v>8.0350000000000001</v>
    <v>8.06</v>
    <v>8.0649999999999995</v>
    <v>8.0559999999999992</v>
    <v>8.2420000000000009</v>
    <v>8.1999999999999993</v>
    <v>8.16</v>
    <v>8.1449999999999996</v>
    <v>8.0850000000000009</v>
    <v>8.0340000000000007</v>
    <v>8.1189999999999998</v>
    <v>8.0139999999999993</v>
    <v>7.9859999999999998</v>
    <v>7.9589999999999996</v>
    <v>7.9</v>
    <v>7.8639999999999999</v>
    <v>7.8879999999999999</v>
    <v>7.92</v>
    <v>7.7119999999999997</v>
    <v>7.8179999999999996</v>
    <v>7.734</v>
    <v>7.6619999999999999</v>
    <v>7.7149999999999999</v>
    <v>7.7</v>
    <v>7.6840000000000002</v>
    <v>7.7629999999999999</v>
    <v>7.7329999999999997</v>
    <v>7.69</v>
    <v>7.8540000000000001</v>
    <v>7.79</v>
    <v>7.8140000000000001</v>
    <v>7.7569999999999997</v>
    <v>7.782</v>
    <v>7.8120000000000003</v>
    <v>7.8419999999999996</v>
    <v>7.944</v>
    <v>8.0190000000000001</v>
    <v>7.9790000000000001</v>
    <v>8.0370000000000008</v>
    <v>8.0980000000000008</v>
    <v>8.1270000000000007</v>
    <v>8.1120000000000001</v>
    <v>8.0670000000000002</v>
    <v>8.0120000000000005</v>
    <v>7.9820000000000002</v>
    <v>7.968</v>
    <v>7.8840000000000003</v>
    <v>7.8659999999999997</v>
    <v>7.7759999999999998</v>
    <v>7.8150000000000004</v>
    <v>7.8490000000000002</v>
    <v>7.8410000000000002</v>
    <v>7.8120000000000003</v>
    <v>7.76</v>
    <v>7.8179999999999996</v>
    <v>7.8179999999999996</v>
    <v>7.859</v>
    <v>7.92</v>
    <v>7.8259999999999996</v>
    <v>7.7960000000000003</v>
    <v>7.7480000000000002</v>
    <v>7.7560000000000002</v>
    <v>7.8470000000000004</v>
    <v>7.8639999999999999</v>
    <v>7.96</v>
    <v>7.9569999999999999</v>
    <v>7.9740000000000002</v>
    <v>7.9820000000000002</v>
    <v>8.0660000000000007</v>
    <v>8.1489999999999991</v>
    <v>8.157</v>
    <v>8.2080000000000002</v>
    <v>8.1940000000000008</v>
    <v>8.1669999999999998</v>
    <v>8.2249999999999996</v>
    <v>8.2639999999999993</v>
    <v>8.3260000000000005</v>
    <v>8.3490000000000002</v>
    <v>8.4459999999999997</v>
    <v>8.4369999999999994</v>
    <v>8.5389999999999997</v>
    <v>8.5180000000000007</v>
    <v>8.548</v>
    <v>8.5649999999999995</v>
    <v>8.4809999999999999</v>
    <v>8.5220000000000002</v>
    <v>8.4879999999999995</v>
    <v>8.5559999999999992</v>
    <v>8.6649999999999991</v>
    <v>8.7100000000000009</v>
    <v>8.7959999999999994</v>
    <v>8.7720000000000002</v>
    <v>8.8140000000000001</v>
    <v>8.9570000000000007</v>
    <v>8.9359999999999999</v>
    <v>8.8919999999999995</v>
    <v>8.8640000000000008</v>
    <v>8.9030000000000005</v>
    <v>8.9550000000000001</v>
    <v>8.9380000000000006</v>
    <v>8.9559999999999995</v>
    <v>8.9789999999999992</v>
    <v>9.0820000000000007</v>
    <v>9.0050000000000008</v>
    <v>8.7319999999999993</v>
    <v>8.7889999999999997</v>
    <v>8.7840000000000007</v>
    <v>8.86</v>
    <v>8.7769999999999992</v>
    <v>8.83</v>
    <v>8.9</v>
    <v>8.9079999999999995</v>
    <v>8.9090000000000007</v>
    <v>8.9529999999999994</v>
    <v>8.843</v>
    <v>8.8219999999999992</v>
    <v>8.7729999999999997</v>
    <v>8.7620000000000005</v>
    <v>8.7210000000000001</v>
    <v>8.6809999999999992</v>
    <v>8.7149999999999999</v>
    <v>8.7200000000000006</v>
    <v>8.8640000000000008</v>
    <v>8.7780000000000005</v>
    <v>8.6210000000000004</v>
    <v>8.6219999999999999</v>
    <v>8.7379999999999995</v>
    <v>8.7029999999999994</v>
    <v>8.7690000000000001</v>
    <v>8.8140000000000001</v>
    <v>8.8770000000000007</v>
    <v>9</v>
    <v>9.0649999999999995</v>
    <v>9.1999999999999993</v>
    <v>9.27</v>
    <v>9.2710000000000008</v>
    <v>9.2520000000000007</v>
    <v>9.2729999999999997</v>
    <v>9.17</v>
    <v>9.3209999999999997</v>
    <v>9.2949999999999999</v>
    <v>9.4049999999999994</v>
    <v>9.06</v>
    <v>8.9369999999999994</v>
    <v>8.8379999999999992</v>
    <v>9.0329999999999995</v>
    <v>9.0169999999999995</v>
    <v>9.1140000000000008</v>
    <v>9.2520000000000007</v>
    <v>9.2270000000000003</v>
    <v>9.25</v>
    <v>9.3079999999999998</v>
    <v>9.3179999999999996</v>
    <v>9.41</v>
    <v>9.5289999999999999</v>
    <v>9.4860000000000007</v>
    <v>9.4779999999999998</v>
    <v>9.4949999999999992</v>
    <v>9.5850000000000009</v>
    <v>9.7509999999999994</v>
    <v>9.5839999999999996</v>
    <v>9.3059999999999992</v>
    <v>9.18</v>
    <v>9.2260000000000009</v>
    <v>9.2910000000000004</v>
    <v>8.9570000000000007</v>
    <v>9.0820000000000007</v>
    <v>9.6999999999999993</v>
    <v>9.7989999999999995</v>
    <v>9.9949999999999992</v>
    <v>10.164</v>
    <v>10.194000000000001</v>
    <v>9.9849999999999994</v>
    <v>9.4710000000000001</v>
    <v>9.5690000000000008</v>
    <v>9.4619999999999997</v>
    <v>9.4049999999999994</v>
    <v>9.39</v>
    <v>9.6010000000000009</v>
    <v>9.4559999999999995</v>
    <v>9.4860000000000007</v>
    <v>9.7100000000000009</v>
    <v>9.6519999999999992</v>
    <v>9.9160000000000004</v>
    <v>9.5839999999999996</v>
    <v>9.4369999999999994</v>
    <v>9.1349999999999998</v>
    <v>9.0670000000000002</v>
    <v>9.2080000000000002</v>
    <v>9.2949999999999999</v>
    <v>9.2089999999999996</v>
    <v>9.1460000000000008</v>
    <v>9.4039999999999999</v>
    <v>9.375</v>
    <v>9.6920000000000002</v>
    <v>9.7530000000000001</v>
    <v>9.7669999999999995</v>
    <v>9.8510000000000009</v>
    <v>9.8759999999999994</v>
    <v>9.8659999999999997</v>
    <v>9.8230000000000004</v>
    <v>9.8810000000000002</v>
    <v>9.7390000000000008</v>
    <v>9.6959999999999997</v>
    <v>9.7270000000000003</v>
    <v>9.7309999999999999</v>
    <v>9.6940000000000008</v>
    <v>9.782</v>
    <v>9.8840000000000003</v>
    <v>9.8209999999999997</v>
    <v>9.7910000000000004</v>
    <v>9.9450000000000003</v>
    <v>9.6679999999999993</v>
    <v>9.9239999999999995</v>
    <v>9.6739999999999995</v>
    <v>9.7100000000000009</v>
    <v>9.8460000000000001</v>
    <v>9.65</v>
    <v>9.625</v>
    <v>9.8829999999999991</v>
    <v>9.7219999999999995</v>
    <v>9.7370000000000001</v>
    <v>9.7170000000000005</v>
    <v>9.484</v>
    <v>9.6159999999999997</v>
    <v>9.5579999999999998</v>
    <v>9.6690000000000005</v>
    <v>9.76</v>
    <v>9.6980000000000004</v>
    <v>9.7989999999999995</v>
    <v>9.8260000000000005</v>
    <v>9.59</v>
    <v>9.5969999999999995</v>
    <v>9.625</v>
    <v>9.56</v>
    <v>9.577</v>
    <v>9.48</v>
    <v>9.5670000000000002</v>
    <v>9.6379999999999999</v>
    <v>9.57</v>
    <v>9.7010000000000005</v>
    <v>9.6069999999999993</v>
    <v>9.66</v>
    <v>9.7940000000000005</v>
    <v>9.7989999999999995</v>
    <v>9.9350000000000005</v>
    <v>9.8829999999999991</v>
    <v>9.9120000000000008</v>
    <v>9.9390000000000001</v>
    <v>9.8209999999999997</v>
    <v>9.9</v>
    <v>9.8670000000000009</v>
    <v>10.064</v>
    <v>10.098000000000001</v>
    <v>10.102</v>
    <v>10.054</v>
    <v>9.9619999999999997</v>
    <v>10.118</v>
    <v>10.26</v>
    <v>10.146000000000001</v>
    <v>10.134</v>
    <v>10.102</v>
    <v>10.08</v>
    <v>10.119999999999999</v>
    <v>10.218</v>
    <v>10.28</v>
    <v>10.164</v>
    <v>10.004</v>
    <v>10.167999999999999</v>
    <v>9.9</v>
    <v>9.8490000000000002</v>
    <v>10.036</v>
    <v>9.8179999999999996</v>
    <v>9.9269999999999996</v>
    <v>9.9659999999999993</v>
    <v>9.8699999999999992</v>
    <v>9.8290000000000006</v>
    <v>9.8420000000000005</v>
    <v>9.7989999999999995</v>
    <v>9.9120000000000008</v>
    <v>9.9949999999999992</v>
    <v>9.9499999999999993</v>
    <v>9.9710000000000001</v>
    <v>10.044</v>
    <v>9.9369999999999994</v>
    <v>9.8469999999999995</v>
    <v>9.7210000000000001</v>
    <v>9.6890000000000001</v>
    <v>9.4949999999999992</v>
    <v>9.4670000000000005</v>
    <v>9.4819999999999993</v>
    <v>9.4749999999999996</v>
    <v>9.4990000000000006</v>
    <v>9.5030000000000001</v>
    <v>9.52</v>
    <v>9.5519999999999996</v>
    <v>9.5129999999999999</v>
    <v>9.3680000000000003</v>
    <v>9.4600000000000009</v>
    <v>9.4209999999999994</v>
    <v>9.24</v>
    <v>9.0009999999999994</v>
    <v>9.02</v>
    <v>9.0660000000000007</v>
    <v>8.9969999999999999</v>
    <v>8.9499999999999993</v>
    <v>8.8949999999999996</v>
    <v>8.9329999999999998</v>
    <v>8.9570000000000007</v>
    <v>8.7420000000000009</v>
    <v>8.7409999999999997</v>
    <v>8.8979999999999997</v>
    <v>9.0500000000000007</v>
    <v>8.8689999999999998</v>
    <v>8.9480000000000004</v>
    <v>8.9179999999999993</v>
    <v>8.8260000000000005</v>
    <v>8.8209999999999997</v>
    <v>8.9130000000000003</v>
    <v>8.7129999999999992</v>
    <v>8.7789999999999999</v>
    <v>8.7469999999999999</v>
    <v>8.6679999999999993</v>
    <v>8.7989999999999995</v>
    <v>8.75</v>
    <v>8.8360000000000003</v>
    <v>8.7260000000000009</v>
    <v>8.7579999999999991</v>
    <v>8.8670000000000009</v>
    <v>8.9179999999999993</v>
    <v>9.0069999999999997</v>
    <v>9.0229999999999997</v>
    <v>9.0960000000000001</v>
    <v>9.1869999999999994</v>
    <v>9.0120000000000005</v>
    <v>9.1920000000000002</v>
    <v>9.1989999999999998</v>
    <v>9.1969999999999992</v>
    <v>9.218</v>
  </a>
  <a r="1" c="208">
    <v>44.78</v>
    <v>43.89</v>
    <v>44.84</v>
    <v>44.16</v>
    <v>44.32</v>
    <v>44.94</v>
    <v>44.77</v>
    <v>44.58</v>
    <v>45.82</v>
    <v>46.29</v>
    <v>44.59</v>
    <v>44.07</v>
    <v>43.62</v>
    <v>45.35</v>
    <v>46.52</v>
    <v>46.1</v>
    <v>46.34</v>
    <v>46.1</v>
    <v>45.94</v>
    <v>45.96</v>
    <v>45.96</v>
    <v>46.63</v>
    <v>47.4</v>
    <v>49.76</v>
    <v>49.1</v>
    <v>48.18</v>
    <v>48.66</v>
    <v>50.92</v>
    <v>51.62</v>
    <v>51.36</v>
    <v>51.08</v>
    <v>50.76</v>
    <v>50.62</v>
    <v>49.91</v>
    <v>48.69</v>
    <v>48.89</v>
    <v>48.87</v>
    <v>48.87</v>
    <v>48.93</v>
    <v>49.66</v>
    <v>48.7</v>
    <v>47.33</v>
    <v>45.43</v>
    <v>46.15</v>
    <v>46.43</v>
    <v>45.27</v>
    <v>44.79</v>
    <v>45.85</v>
    <v>46.31</v>
    <v>48.45</v>
    <v>48.35</v>
    <v>48.3</v>
    <v>48.86</v>
    <v>48.29</v>
    <v>46.13</v>
    <v>46</v>
    <v>46.89</v>
    <v>48.85</v>
    <v>50.02</v>
    <v>50.74</v>
    <v>52.1</v>
    <v>53</v>
    <v>52.4</v>
    <v>50.94</v>
    <v>50.94</v>
    <v>51.93</v>
    <v>52.21</v>
    <v>53.58</v>
    <v>54.7</v>
    <v>54.65</v>
    <v>53.73</v>
    <v>52.9</v>
    <v>53.41</v>
    <v>52.77</v>
    <v>52.9</v>
    <v>53.49</v>
    <v>53.51</v>
    <v>54.24</v>
    <v>54.32</v>
    <v>54.28</v>
    <v>54.44</v>
    <v>54.05</v>
    <v>54.74</v>
    <v>52.85</v>
    <v>53.45</v>
    <v>52.52</v>
    <v>50.91</v>
    <v>51.65</v>
    <v>53.46</v>
    <v>53.2</v>
    <v>54</v>
    <v>53.39</v>
    <v>52.63</v>
    <v>52.96</v>
    <v>52.3</v>
    <v>51.1</v>
    <v>51.89</v>
    <v>51.67</v>
    <v>51.35</v>
    <v>51.32</v>
    <v>51.09</v>
    <v>50.72</v>
    <v>50.82</v>
    <v>50.84</v>
    <v>51.07</v>
    <v>50.78</v>
    <v>50.65</v>
    <v>50.98</v>
    <v>48.85</v>
    <v>48.524999999999999</v>
    <v>47.98</v>
    <v>48.875</v>
    <v>49.5</v>
    <v>49.225000000000001</v>
    <v>49.11</v>
    <v>49.884999999999998</v>
    <v>48.534999999999997</v>
    <v>49.005000000000003</v>
    <v>49.17</v>
    <v>48.905000000000001</v>
    <v>48.89</v>
    <v>48.274999999999999</v>
    <v>47.76</v>
    <v>46.93</v>
    <v>46.78</v>
    <v>46.795000000000002</v>
    <v>47.64</v>
    <v>47.78</v>
    <v>47.33</v>
    <v>47.354999999999997</v>
    <v>47.62</v>
    <v>47.44</v>
    <v>47.55</v>
    <v>48.85</v>
    <v>49.42</v>
    <v>47.94</v>
    <v>48.414999999999999</v>
    <v>48.545000000000002</v>
    <v>48.07</v>
    <v>48.244999999999997</v>
    <v>48.97</v>
    <v>48.87</v>
    <v>48.57</v>
    <v>48.21</v>
    <v>48.965000000000003</v>
    <v>50.86</v>
    <v>51.24</v>
    <v>50.4</v>
    <v>51.06</v>
    <v>50.44</v>
    <v>50.7</v>
    <v>51.32</v>
    <v>51.5</v>
    <v>51.63</v>
    <v>51.26</v>
    <v>51.27</v>
    <v>50.17</v>
    <v>51.15</v>
    <v>50.51</v>
    <v>50.99</v>
    <v>51.79</v>
    <v>51.5</v>
    <v>51.67</v>
    <v>52.43</v>
    <v>51.68</v>
    <v>51.78</v>
    <v>51.51</v>
    <v>52.52</v>
    <v>52.98</v>
    <v>53.03</v>
    <v>53.38</v>
    <v>53.51</v>
    <v>53.36</v>
    <v>53.03</v>
    <v>53.67</v>
    <v>52.7</v>
    <v>53.34</v>
    <v>51.83</v>
    <v>52.38</v>
    <v>51.84</v>
    <v>52.13</v>
    <v>52.37</v>
    <v>51.62</v>
    <v>51.36</v>
    <v>51.79</v>
    <v>52.18</v>
    <v>52.3</v>
    <v>50.42</v>
    <v>50.28</v>
    <v>49.94</v>
    <v>50.18</v>
    <v>49.4</v>
    <v>49.924999999999997</v>
    <v>50.24</v>
    <v>51.08</v>
    <v>51.18</v>
    <v>51.77</v>
    <v>51.68</v>
    <v>51.27</v>
    <v>51.42</v>
    <v>52.46</v>
    <v>52.62</v>
    <v>53.23</v>
    <v>52.67</v>
    <v>52.63</v>
    <v>52.58</v>
    <v>52.37</v>
    <v>52.45</v>
  </a>
  <a r="1" c="763">
    <v t="i">0</v>
    <v t="i">1</v>
    <v t="i">2</v>
    <v t="i">3</v>
    <v t="i">4</v>
    <v t="i">7</v>
    <v t="i">8</v>
    <v t="i">9</v>
    <v t="i">10</v>
    <v t="i">11</v>
    <v t="i">14</v>
    <v t="i">15</v>
    <v t="i">16</v>
    <v t="i">17</v>
    <v t="i">18</v>
    <v t="i">21</v>
    <v t="i">22</v>
    <v t="i">23</v>
    <v t="i">24</v>
    <v t="i">25</v>
    <v t="i">28</v>
    <v t="i">29</v>
    <v t="i">30</v>
    <v t="i">31</v>
    <v t="i">32</v>
    <v t="i">35</v>
    <v t="i">36</v>
    <v t="i">37</v>
    <v t="i">38</v>
    <v t="i">39</v>
    <v t="i">42</v>
    <v t="i">43</v>
    <v t="i">44</v>
    <v t="i">45</v>
    <v t="i">46</v>
    <v t="i">49</v>
    <v t="i">50</v>
    <v t="i">51</v>
    <v t="i">52</v>
    <v t="i">53</v>
    <v t="i">56</v>
    <v t="i">57</v>
    <v t="i">58</v>
    <v t="i">59</v>
    <v t="i">60</v>
    <v t="i">65</v>
    <v t="i">66</v>
    <v t="i">67</v>
    <v t="i">71</v>
    <v t="i">72</v>
    <v t="i">73</v>
    <v t="i">74</v>
    <v t="i">77</v>
    <v t="i">78</v>
    <v t="i">79</v>
    <v t="i">80</v>
    <v t="i">81</v>
    <v t="i">84</v>
    <v t="i">85</v>
    <v t="i">86</v>
    <v t="i">87</v>
    <v t="i">88</v>
    <v t="i">91</v>
    <v t="i">92</v>
    <v t="i">93</v>
    <v t="i">94</v>
    <v t="i">95</v>
    <v t="i">98</v>
    <v t="i">99</v>
    <v t="i">100</v>
    <v t="i">101</v>
    <v t="i">102</v>
    <v t="i">105</v>
    <v t="i">106</v>
    <v t="i">107</v>
    <v t="i">108</v>
    <v t="i">109</v>
    <v t="i">112</v>
    <v t="i">113</v>
    <v t="i">114</v>
    <v t="i">115</v>
    <v t="i">116</v>
    <v t="i">119</v>
    <v t="i">120</v>
    <v t="i">121</v>
    <v t="i">122</v>
    <v t="i">123</v>
    <v t="i">126</v>
    <v t="i">127</v>
    <v t="i">128</v>
    <v t="i">129</v>
    <v t="i">130</v>
    <v t="i">133</v>
    <v t="i">134</v>
    <v t="i">135</v>
    <v t="i">136</v>
    <v t="i">137</v>
    <v t="i">140</v>
    <v t="i">141</v>
    <v t="i">142</v>
    <v t="i">143</v>
    <v t="i">144</v>
    <v t="i">147</v>
    <v t="i">148</v>
    <v t="i">149</v>
    <v t="i">150</v>
    <v t="i">151</v>
    <v t="i">154</v>
    <v t="i">155</v>
    <v t="i">156</v>
    <v t="i">157</v>
    <v t="i">162</v>
    <v t="i">163</v>
    <v t="i">164</v>
    <v t="i">165</v>
    <v t="i">168</v>
    <v t="i">169</v>
    <v t="i">170</v>
    <v t="i">171</v>
    <v t="i">172</v>
    <v t="i">175</v>
    <v t="i">176</v>
    <v t="i">177</v>
    <v t="i">178</v>
    <v t="i">179</v>
    <v t="i">182</v>
    <v t="i">183</v>
    <v t="i">184</v>
    <v t="i">185</v>
    <v t="i">186</v>
    <v t="i">189</v>
    <v t="i">190</v>
    <v t="i">192</v>
    <v t="i">193</v>
    <v t="i">196</v>
    <v t="i">197</v>
    <v t="i">198</v>
    <v t="i">199</v>
    <v t="i">200</v>
    <v t="i">203</v>
    <v t="i">204</v>
    <v t="i">205</v>
    <v t="i">206</v>
    <v t="i">207</v>
    <v t="i">210</v>
    <v t="i">211</v>
    <v t="i">212</v>
    <v t="i">213</v>
    <v t="i">214</v>
    <v t="i">217</v>
    <v t="i">218</v>
    <v t="i">219</v>
    <v t="i">220</v>
    <v t="i">221</v>
    <v t="i">224</v>
    <v t="i">225</v>
    <v t="i">226</v>
    <v t="i">227</v>
    <v t="i">228</v>
    <v t="i">231</v>
    <v t="i">232</v>
    <v t="i">233</v>
    <v t="i">234</v>
    <v t="i">235</v>
    <v t="i">238</v>
    <v t="i">239</v>
    <v t="i">240</v>
    <v t="i">241</v>
    <v t="i">242</v>
    <v t="i">245</v>
    <v t="i">246</v>
    <v t="i">247</v>
    <v t="i">248</v>
    <v t="i">249</v>
    <v t="i">252</v>
    <v t="i">253</v>
    <v t="i">254</v>
    <v t="i">255</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v t="i">365</v>
    <v t="i">366</v>
    <v t="i">367</v>
    <v t="i">368</v>
    <v t="i">371</v>
    <v t="i">372</v>
    <v t="i">373</v>
    <v t="i">374</v>
    <v t="i">375</v>
    <v t="i">378</v>
    <v t="i">379</v>
    <v t="i">380</v>
    <v t="i">381</v>
    <v t="i">382</v>
    <v t="i">385</v>
    <v t="i">386</v>
    <v t="i">387</v>
    <v t="i">388</v>
    <v t="i">389</v>
    <v t="i">392</v>
    <v t="i">393</v>
    <v t="i">394</v>
    <v t="i">395</v>
    <v t="i">396</v>
    <v t="i">399</v>
    <v t="i">400</v>
    <v t="i">401</v>
    <v t="i">402</v>
    <v t="i">403</v>
    <v t="i">406</v>
    <v t="i">407</v>
    <v t="i">408</v>
    <v t="i">409</v>
    <v t="i">410</v>
    <v t="i">413</v>
    <v t="i">414</v>
    <v t="i">415</v>
    <v t="i">416</v>
    <v t="i">417</v>
    <v t="i">420</v>
    <v t="i">421</v>
    <v t="i">422</v>
    <v t="i">423</v>
    <v t="i">424</v>
    <v t="i">427</v>
    <v t="i">431</v>
    <v t="i">434</v>
    <v t="i">437</v>
    <v t="i">438</v>
    <v t="i">441</v>
    <v t="i">442</v>
    <v t="i">443</v>
    <v t="i">444</v>
    <v t="i">445</v>
    <v t="i">448</v>
    <v t="i">449</v>
    <v t="i">450</v>
    <v t="i">451</v>
    <v t="i">452</v>
    <v t="i">455</v>
    <v t="i">456</v>
    <v t="i">457</v>
    <v t="i">458</v>
    <v t="i">459</v>
    <v t="i">462</v>
    <v t="i">463</v>
    <v t="i">464</v>
    <v t="i">465</v>
    <v t="i">466</v>
    <v t="i">469</v>
    <v t="i">470</v>
    <v t="i">471</v>
    <v t="i">472</v>
    <v t="i">473</v>
    <v t="i">476</v>
    <v t="i">477</v>
    <v t="i">478</v>
    <v t="i">479</v>
    <v t="i">480</v>
    <v t="i">483</v>
    <v t="i">484</v>
    <v t="i">485</v>
    <v t="i">486</v>
    <v t="i">487</v>
    <v t="i">490</v>
    <v t="i">491</v>
    <v t="i">492</v>
    <v t="i">493</v>
    <v t="i">494</v>
    <v t="i">497</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547</v>
    <v t="i">548</v>
    <v t="i">549</v>
    <v t="i">550</v>
    <v t="i">553</v>
    <v t="i">554</v>
    <v t="i">555</v>
    <v t="i">557</v>
    <v t="i">560</v>
    <v t="i">561</v>
    <v t="i">562</v>
    <v t="i">563</v>
    <v t="i">564</v>
    <v t="i">567</v>
    <v t="i">568</v>
    <v t="i">569</v>
    <v t="i">570</v>
    <v t="i">571</v>
    <v t="i">574</v>
    <v t="i">575</v>
    <v t="i">576</v>
    <v t="i">577</v>
    <v t="i">578</v>
    <v t="i">581</v>
    <v t="i">582</v>
    <v t="i">583</v>
    <v t="i">584</v>
    <v t="i">585</v>
    <v t="i">588</v>
    <v t="i">589</v>
    <v t="i">590</v>
    <v t="i">591</v>
    <v t="i">592</v>
    <v t="i">595</v>
    <v t="i">596</v>
    <v t="i">597</v>
    <v t="i">598</v>
    <v t="i">599</v>
    <v t="i">602</v>
    <v t="i">603</v>
    <v t="i">604</v>
    <v t="i">605</v>
    <v t="i">606</v>
    <v t="i">609</v>
    <v t="i">610</v>
    <v t="i">611</v>
    <v t="i">612</v>
    <v t="i">613</v>
    <v t="i">616</v>
    <v t="i">617</v>
    <v t="i">618</v>
    <v t="i">619</v>
    <v t="i">620</v>
    <v t="i">623</v>
    <v t="i">624</v>
    <v t="i">625</v>
    <v t="i">626</v>
    <v t="i">627</v>
    <v t="i">630</v>
    <v t="i">631</v>
    <v t="i">632</v>
    <v t="i">633</v>
    <v t="i">634</v>
    <v t="i">637</v>
    <v t="i">638</v>
    <v t="i">639</v>
    <v t="i">640</v>
    <v t="i">641</v>
    <v t="i">644</v>
    <v t="i">645</v>
    <v t="i">646</v>
    <v t="i">647</v>
    <v t="i">648</v>
    <v t="i">651</v>
    <v t="i">652</v>
    <v t="i">653</v>
    <v t="i">654</v>
    <v t="i">655</v>
    <v t="i">658</v>
    <v t="i">659</v>
    <v t="i">660</v>
    <v t="i">661</v>
    <v t="i">662</v>
    <v t="i">665</v>
    <v t="i">666</v>
    <v t="i">667</v>
    <v t="i">668</v>
    <v t="i">669</v>
    <v t="i">672</v>
    <v t="i">673</v>
    <v t="i">674</v>
    <v t="i">675</v>
    <v t="i">676</v>
    <v t="i">679</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750</v>
    <v t="i">751</v>
    <v t="i">752</v>
    <v t="i">753</v>
    <v t="i">756</v>
    <v t="i">757</v>
    <v t="i">758</v>
    <v t="i">759</v>
    <v t="i">760</v>
    <v t="i">763</v>
    <v t="i">764</v>
    <v t="i">765</v>
    <v t="i">766</v>
    <v t="i">767</v>
    <v t="i">770</v>
    <v t="i">771</v>
    <v t="i">772</v>
    <v t="i">773</v>
    <v t="i">774</v>
    <v t="i">777</v>
    <v t="i">778</v>
    <v t="i">779</v>
    <v t="i">780</v>
    <v t="i">781</v>
    <v t="i">784</v>
    <v t="i">785</v>
    <v t="i">786</v>
    <v t="i">787</v>
    <v t="i">788</v>
    <v t="i">791</v>
    <v t="i">792</v>
    <v t="i">798</v>
    <v t="i">799</v>
    <v t="i">802</v>
    <v t="i">805</v>
    <v t="i">806</v>
    <v t="i">807</v>
    <v t="i">808</v>
    <v t="i">809</v>
    <v t="i">812</v>
    <v t="i">813</v>
    <v t="i">814</v>
    <v t="i">815</v>
    <v t="i">816</v>
    <v t="i">819</v>
    <v t="i">820</v>
    <v t="i">821</v>
    <v t="i">822</v>
    <v t="i">823</v>
    <v t="i">826</v>
    <v t="i">827</v>
    <v t="i">828</v>
    <v t="i">829</v>
    <v t="i">830</v>
    <v t="i">833</v>
    <v t="i">834</v>
    <v t="i">835</v>
    <v t="i">836</v>
    <v t="i">837</v>
    <v t="i">840</v>
    <v t="i">841</v>
    <v t="i">842</v>
    <v t="i">843</v>
    <v t="i">844</v>
    <v t="i">847</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897</v>
    <v t="i">898</v>
    <v t="i">899</v>
    <v t="i">900</v>
    <v t="i">903</v>
    <v t="i">904</v>
    <v t="i">905</v>
    <v t="i">906</v>
    <v t="i">907</v>
    <v t="i">910</v>
    <v t="i">911</v>
    <v t="i">912</v>
    <v t="i">913</v>
    <v t="i">914</v>
    <v t="i">917</v>
    <v t="i">918</v>
    <v t="i">919</v>
    <v t="i">920</v>
    <v t="i">924</v>
    <v t="i">925</v>
    <v t="i">926</v>
    <v t="i">927</v>
    <v t="i">928</v>
    <v t="i">931</v>
    <v t="i">932</v>
    <v t="i">933</v>
    <v t="i">934</v>
    <v t="i">935</v>
    <v t="i">938</v>
    <v t="i">939</v>
    <v t="i">940</v>
    <v t="i">941</v>
    <v t="i">942</v>
    <v t="i">945</v>
    <v t="i">946</v>
    <v t="i">947</v>
    <v t="i">948</v>
    <v t="i">949</v>
    <v t="i">952</v>
    <v t="i">953</v>
    <v t="i">954</v>
    <v t="i">955</v>
    <v t="i">956</v>
    <v t="i">959</v>
    <v t="i">960</v>
    <v t="i">961</v>
    <v t="i">962</v>
    <v t="i">963</v>
    <v t="i">966</v>
    <v t="i">967</v>
    <v t="i">968</v>
    <v t="i">969</v>
    <v t="i">970</v>
    <v t="i">973</v>
    <v t="i">974</v>
    <v t="i">975</v>
    <v t="i">976</v>
    <v t="i">977</v>
    <v t="i">980</v>
    <v t="i">981</v>
    <v t="i">982</v>
    <v t="i">983</v>
    <v t="i">984</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1050</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763">
    <v>40.92</v>
    <v>40.950000000000003</v>
    <v>40.585000000000001</v>
    <v>41.185000000000002</v>
    <v>41.46</v>
    <v>41.68</v>
    <v>43.534999999999997</v>
    <v>42.284999999999997</v>
    <v>43.52</v>
    <v>43.87</v>
    <v>43.16</v>
    <v>43.475000000000001</v>
    <v>43.575000000000003</v>
    <v>44.48</v>
    <v>43.715000000000003</v>
    <v>44.085000000000001</v>
    <v>44.75</v>
    <v>45.045000000000002</v>
    <v>43.93</v>
    <v>44.284999999999997</v>
    <v>44.204999999999998</v>
    <v>43.81</v>
    <v>43.72</v>
    <v>43.81</v>
    <v>44.58</v>
    <v>43.195</v>
    <v>42.704999999999998</v>
    <v>42.975000000000001</v>
    <v>42.685000000000002</v>
    <v>43.24</v>
    <v>43.41</v>
    <v>43.6</v>
    <v>44.44</v>
    <v>45.094999999999999</v>
    <v>45.19</v>
    <v>45.43</v>
    <v>45.585000000000001</v>
    <v>47.604999999999997</v>
    <v>48.14</v>
    <v>48.174999999999997</v>
    <v>48.27</v>
    <v>48.564999999999998</v>
    <v>48.45</v>
    <v>48.47</v>
    <v>48.54</v>
    <v>48.65</v>
    <v>48.58</v>
    <v>48.78</v>
    <v>49.07</v>
    <v>47.76</v>
    <v>47.695</v>
    <v>46.8</v>
    <v>46.755000000000003</v>
    <v>45.51</v>
    <v>45.02</v>
    <v>44.83</v>
    <v>44.78</v>
    <v>44.524999999999999</v>
    <v>44.255000000000003</v>
    <v>43.16</v>
    <v>43.66</v>
    <v>43.05</v>
    <v>42.814999999999998</v>
    <v>43.62</v>
    <v>43.78</v>
    <v>44.954999999999998</v>
    <v>45.655000000000001</v>
    <v>45.06</v>
    <v>44.47</v>
    <v>44.46</v>
    <v>44.134999999999998</v>
    <v>44.68</v>
    <v>44.604999999999997</v>
    <v>45.35</v>
    <v>44.59</v>
    <v>44.704999999999998</v>
    <v>44.02</v>
    <v>44.82</v>
    <v>45.06</v>
    <v>45.57</v>
    <v>46.085000000000001</v>
    <v>46.59</v>
    <v>45.774999999999999</v>
    <v>46.045000000000002</v>
    <v>46.405000000000001</v>
    <v>46.844999999999999</v>
    <v>46.6</v>
    <v>46.33</v>
    <v>47.454999999999998</v>
    <v>46.97</v>
    <v>47.075000000000003</v>
    <v>47.984999999999999</v>
    <v>47.1</v>
    <v>47.25</v>
    <v>48.53</v>
    <v>49.06</v>
    <v>48.805</v>
    <v>49.06</v>
    <v>49.5</v>
    <v>49.59</v>
    <v>48.805</v>
    <v>49.31</v>
    <v>49.005000000000003</v>
    <v>50.6</v>
    <v>51.88</v>
    <v>52.65</v>
    <v>52.72</v>
    <v>52.93</v>
    <v>52.63</v>
    <v>53.25</v>
    <v>52.93</v>
    <v>53.82</v>
    <v>54.51</v>
    <v>54.92</v>
    <v>53.83</v>
    <v>53.88</v>
    <v>53.6</v>
    <v>54</v>
    <v>52.09</v>
    <v>51.65</v>
    <v>51.75</v>
    <v>50.53</v>
    <v>50.97</v>
    <v>51.07</v>
    <v>50.44</v>
    <v>51.11</v>
    <v>51.08</v>
    <v>51.32</v>
    <v>50.99</v>
    <v>48.825000000000003</v>
    <v>49.055</v>
    <v>49.155000000000001</v>
    <v>48.645000000000003</v>
    <v>49.07</v>
    <v>49.48</v>
    <v>50.08</v>
    <v>49.51</v>
    <v>49.84</v>
    <v>48.805</v>
    <v>49.04</v>
    <v>49.36</v>
    <v>49.64</v>
    <v>49.075000000000003</v>
    <v>48.875</v>
    <v>49.255000000000003</v>
    <v>49.155000000000001</v>
    <v>48.4</v>
    <v>48.44</v>
    <v>48.22</v>
    <v>48.76</v>
    <v>48.215000000000003</v>
    <v>47.24</v>
    <v>48.08</v>
    <v>48.41</v>
    <v>47.935000000000002</v>
    <v>47.354999999999997</v>
    <v>47.18</v>
    <v>46.98</v>
    <v>46.8</v>
    <v>46.15</v>
    <v>46.44</v>
    <v>46.48</v>
    <v>45.62</v>
    <v>44.585000000000001</v>
    <v>44.84</v>
    <v>45.04</v>
    <v>44.945</v>
    <v>45.54</v>
    <v>45.15</v>
    <v>46.16</v>
    <v>46.41</v>
    <v>45.204999999999998</v>
    <v>45.344999999999999</v>
    <v>45.185000000000002</v>
    <v>44.39</v>
    <v>44.72</v>
    <v>45.255000000000003</v>
    <v>45.45</v>
    <v>45.12</v>
    <v>44.945</v>
    <v>44.204999999999998</v>
    <v>43.674999999999997</v>
    <v>44.115000000000002</v>
    <v>44.655000000000001</v>
    <v>43.64</v>
    <v>43.814999999999998</v>
    <v>45.11</v>
    <v>45.23</v>
    <v>44.094999999999999</v>
    <v>44.82</v>
    <v>44.755000000000003</v>
    <v>44.8</v>
    <v>44.77</v>
    <v>43.734999999999999</v>
    <v>43</v>
    <v>42.77</v>
    <v>43.1</v>
    <v>42.32</v>
    <v>41.77</v>
    <v>40.840000000000003</v>
    <v>40.869999999999997</v>
    <v>41.604999999999997</v>
    <v>41.585000000000001</v>
    <v>41.37</v>
    <v>41.28</v>
    <v>41.46</v>
    <v>41.204999999999998</v>
    <v>42.125</v>
    <v>42.55</v>
    <v>43.08</v>
    <v>43.35</v>
    <v>44.16</v>
    <v>44.445</v>
    <v>44.95</v>
    <v>44.965000000000003</v>
    <v>45.2</v>
    <v>45.185000000000002</v>
    <v>45.725000000000001</v>
    <v>45.85</v>
    <v>45.58</v>
    <v>44.49</v>
    <v>44.52</v>
    <v>44.704999999999998</v>
    <v>43.414999999999999</v>
    <v>43.58</v>
    <v>42.49</v>
    <v>42.77</v>
    <v>42.7</v>
    <v>43.6</v>
    <v>43.555</v>
    <v>44.384999999999998</v>
    <v>45.435000000000002</v>
    <v>46.8</v>
    <v>46.02</v>
    <v>45.15</v>
    <v>45.7</v>
    <v>45.33</v>
    <v>45.295000000000002</v>
    <v>48.28</v>
    <v>47.555</v>
    <v>46.91</v>
    <v>47.24</v>
    <v>47.475000000000001</v>
    <v>48.234999999999999</v>
    <v>48.325000000000003</v>
    <v>46.585000000000001</v>
    <v>47.384999999999998</v>
    <v>47.335000000000001</v>
    <v>47.24</v>
    <v>46.55</v>
    <v>45.92</v>
    <v>46.32</v>
    <v>46.204999999999998</v>
    <v>46.99</v>
    <v>46.53</v>
    <v>46.395000000000003</v>
    <v>46.04</v>
    <v>46.034999999999997</v>
    <v>46.17</v>
    <v>45.844999999999999</v>
    <v>45.274999999999999</v>
    <v>44.52</v>
    <v>44.645000000000003</v>
    <v>45.555</v>
    <v>45.01</v>
    <v>44.05</v>
    <v>44.02</v>
    <v>45.76</v>
    <v>43.384999999999998</v>
    <v>44.274999999999999</v>
    <v>42.38</v>
    <v>42.215000000000003</v>
    <v>42.48</v>
    <v>43.145000000000003</v>
    <v>43.115000000000002</v>
    <v>42.81</v>
    <v>42.37</v>
    <v>42.11</v>
    <v>42.58</v>
    <v>43.01</v>
    <v>42.3</v>
    <v>42.134999999999998</v>
    <v>42.06</v>
    <v>42.42</v>
    <v>43.25</v>
    <v>43.945</v>
    <v>43.655000000000001</v>
    <v>43.615000000000002</v>
    <v>43.965000000000003</v>
    <v>45.134999999999998</v>
    <v>44.93</v>
    <v>44.884999999999998</v>
    <v>45.064999999999998</v>
    <v>44.604999999999997</v>
    <v>43.78</v>
    <v>43.63</v>
    <v>43.39</v>
    <v>42.685000000000002</v>
    <v>42.54</v>
    <v>42.34</v>
    <v>42.715000000000003</v>
    <v>42.46</v>
    <v>42.6</v>
    <v>41.53</v>
    <v>42.265000000000001</v>
    <v>42.445</v>
    <v>41.96</v>
    <v>41.91</v>
    <v>41.524999999999999</v>
    <v>41.83</v>
    <v>42.505000000000003</v>
    <v>44.274999999999999</v>
    <v>44.14</v>
    <v>44.44</v>
    <v>45.484999999999999</v>
    <v>45.61</v>
    <v>45.28</v>
    <v>45.704999999999998</v>
    <v>47</v>
    <v>46.905000000000001</v>
    <v>47.22</v>
    <v>46.844999999999999</v>
    <v>47.255000000000003</v>
    <v>46.61</v>
    <v>44.835000000000001</v>
    <v>45.13</v>
    <v>45.085000000000001</v>
    <v>48.35</v>
    <v>47.52</v>
    <v>47.314999999999998</v>
    <v>46.96</v>
    <v>48.29</v>
    <v>50.85</v>
    <v>50.92</v>
    <v>50.87</v>
    <v>50.26</v>
    <v>48.09</v>
    <v>47.95</v>
    <v>48.91</v>
    <v>49</v>
    <v>48.75</v>
    <v>49.704999999999998</v>
    <v>48.765000000000001</v>
    <v>49.21</v>
    <v>50.01</v>
    <v>48.47</v>
    <v>53.66</v>
    <v>54.55</v>
    <v>53.63</v>
    <v>52.93</v>
    <v>50.81</v>
    <v>51.01</v>
    <v>51.43</v>
    <v>52.57</v>
    <v>52.47</v>
    <v>53.16</v>
    <v>52.18</v>
    <v>50.72</v>
    <v>50.5</v>
    <v>50.02</v>
    <v>50.26</v>
    <v>49.7</v>
    <v>47.975000000000001</v>
    <v>47.44</v>
    <v>45.895000000000003</v>
    <v>46.645000000000003</v>
    <v>46.134999999999998</v>
    <v>43.375</v>
    <v>41.505000000000003</v>
    <v>40.69</v>
    <v>40.89</v>
    <v>39.72</v>
    <v>40.89</v>
    <v>40.74</v>
    <v>42.01</v>
    <v>41.95</v>
    <v>42</v>
    <v>41.95</v>
    <v>43.14</v>
    <v>44.19</v>
    <v>44.54</v>
    <v>44.92</v>
    <v>45.48</v>
    <v>45.24</v>
    <v>44.63</v>
    <v>44.39</v>
    <v>42.48</v>
    <v>42.38</v>
    <v>42.24</v>
    <v>42.86</v>
    <v>43.25</v>
    <v>44.63</v>
    <v>45.29</v>
    <v>44.53</v>
    <v>44.4</v>
    <v>43.4</v>
    <v>43.62</v>
    <v>43.36</v>
    <v>42.94</v>
    <v>42.42</v>
    <v>41.41</v>
    <v>42.36</v>
    <v>42.87</v>
    <v>42.52</v>
    <v>42.62</v>
    <v>42.4</v>
    <v>42.07</v>
    <v>41.98</v>
    <v>42.09</v>
    <v>42</v>
    <v>41.85</v>
    <v>42.3</v>
    <v>43.49</v>
    <v>43.04</v>
    <v>42.69</v>
    <v>42.12</v>
    <v>42.42</v>
    <v>42.57</v>
    <v>42.08</v>
    <v>41.45</v>
    <v>41.48</v>
    <v>41.28</v>
    <v>42.54</v>
    <v>41.55</v>
    <v>41.85</v>
    <v>42.88</v>
    <v>41.86</v>
    <v>42.08</v>
    <v>43.14</v>
    <v>42.2</v>
    <v>41.68</v>
    <v>41.34</v>
    <v>42.41</v>
    <v>43.52</v>
    <v>44.12</v>
    <v>43.33</v>
    <v>42.77</v>
    <v>43.35</v>
    <v>42.02</v>
    <v>42.53</v>
    <v>42.5</v>
    <v>43.49</v>
    <v>43.51</v>
    <v>45</v>
    <v>45.74</v>
    <v>45.65</v>
    <v>44.87</v>
    <v>43.9</v>
    <v>43.95</v>
    <v>43.16</v>
    <v>41.77</v>
    <v>41.68</v>
    <v>42.5</v>
    <v>42.74</v>
    <v>44.76</v>
    <v>45.48</v>
    <v>44.75</v>
    <v>44.82</v>
    <v>45.69</v>
    <v>45.87</v>
    <v>46.16</v>
    <v>46.35</v>
    <v>47.57</v>
    <v>48.13</v>
    <v>47.48</v>
    <v>48.06</v>
    <v>47.32</v>
    <v>47.37</v>
    <v>46.16</v>
    <v>45.89</v>
    <v>45.36</v>
    <v>45.32</v>
    <v>44.91</v>
    <v>44.63</v>
    <v>44</v>
    <v>43.81</v>
    <v>44.18</v>
    <v>43.51</v>
    <v>43.68</v>
    <v>43.95</v>
    <v>43.86</v>
    <v>44</v>
    <v>43.66</v>
    <v>43.49</v>
    <v>42.96</v>
    <v>42.82</v>
    <v>42.19</v>
    <v>42.85</v>
    <v>42.44</v>
    <v>42.09</v>
    <v>42.49</v>
    <v>42.59</v>
    <v>42.39</v>
    <v>42.81</v>
    <v>43.66</v>
    <v>44.27</v>
    <v>43.93</v>
    <v>44</v>
    <v>43.15</v>
    <v>42.97</v>
    <v>42.2</v>
    <v>42.68</v>
    <v>41.59</v>
    <v>42.54</v>
    <v>43.19</v>
    <v>43.5</v>
    <v>43.78</v>
    <v>43.18</v>
    <v>43.11</v>
    <v>43.71</v>
    <v>43.72</v>
    <v>43.4</v>
    <v>43.01</v>
    <v>43.72</v>
    <v>43.02</v>
    <v>42.79</v>
    <v>42.93</v>
    <v>41.85</v>
    <v>43.02</v>
    <v>42.9</v>
    <v>42.52</v>
    <v>43.02</v>
    <v>43.57</v>
    <v>43.74</v>
    <v>44.11</v>
    <v>43.47</v>
    <v>42.57</v>
    <v>41.9</v>
    <v>43.1</v>
    <v>42.77</v>
    <v>43.79</v>
    <v>44.33</v>
    <v>44.71</v>
    <v>44.62</v>
    <v>44.62</v>
    <v>44.9</v>
    <v>44.74</v>
    <v>45.16</v>
    <v>44.22</v>
    <v>42.77</v>
    <v>43.73</v>
    <v>43.31</v>
    <v>43.25</v>
    <v>43.14</v>
    <v>44.56</v>
    <v>44.84</v>
    <v>44.25</v>
    <v>44.52</v>
    <v>44.32</v>
    <v>44.04</v>
    <v>43.76</v>
    <v>43.73</v>
    <v>43.64</v>
    <v>44.21</v>
    <v>44.43</v>
    <v>44.78</v>
    <v>43.89</v>
    <v>44.84</v>
    <v>44.16</v>
    <v>44.32</v>
    <v>44.94</v>
    <v>44.77</v>
    <v>44.58</v>
    <v>45.82</v>
    <v>46.29</v>
    <v>44.59</v>
    <v>44.07</v>
    <v>43.62</v>
    <v>45.35</v>
    <v>46.52</v>
    <v>46.1</v>
    <v>46.34</v>
    <v>46.1</v>
    <v>45.94</v>
    <v>45.96</v>
    <v>45.96</v>
    <v>46.63</v>
    <v>47.4</v>
    <v>49.76</v>
    <v>49.1</v>
    <v>48.18</v>
    <v>48.66</v>
    <v>50.92</v>
    <v>51.62</v>
    <v>51.36</v>
    <v>51.08</v>
    <v>50.76</v>
    <v>50.62</v>
    <v>49.91</v>
    <v>48.69</v>
    <v>48.89</v>
    <v>48.87</v>
    <v>48.87</v>
    <v>48.93</v>
    <v>49.66</v>
    <v>48.7</v>
    <v>47.33</v>
    <v>45.43</v>
    <v>46.15</v>
    <v>46.43</v>
    <v>45.27</v>
    <v>44.79</v>
    <v>45.85</v>
    <v>46.31</v>
    <v>48.45</v>
    <v>48.35</v>
    <v>48.3</v>
    <v>48.86</v>
    <v>48.29</v>
    <v>46.13</v>
    <v>46</v>
    <v>46.89</v>
    <v>48.85</v>
    <v>50.02</v>
    <v>50.74</v>
    <v>52.1</v>
    <v>53</v>
    <v>52.4</v>
    <v>50.94</v>
    <v>50.94</v>
    <v>51.93</v>
    <v>52.21</v>
    <v>53.58</v>
    <v>54.7</v>
    <v>54.65</v>
    <v>53.73</v>
    <v>52.9</v>
    <v>53.41</v>
    <v>52.77</v>
    <v>52.9</v>
    <v>53.49</v>
    <v>53.51</v>
    <v>54.24</v>
    <v>54.32</v>
    <v>54.28</v>
    <v>54.44</v>
    <v>54.05</v>
    <v>54.74</v>
    <v>52.85</v>
    <v>53.45</v>
    <v>52.52</v>
    <v>50.91</v>
    <v>51.65</v>
    <v>53.46</v>
    <v>53.2</v>
    <v>54</v>
    <v>53.39</v>
    <v>52.63</v>
    <v>52.96</v>
    <v>52.3</v>
    <v>51.1</v>
    <v>51.89</v>
    <v>51.67</v>
    <v>51.35</v>
    <v>51.32</v>
    <v>51.09</v>
    <v>50.72</v>
    <v>50.82</v>
    <v>50.84</v>
    <v>51.07</v>
    <v>50.78</v>
    <v>50.65</v>
    <v>50.98</v>
    <v>48.85</v>
    <v>48.524999999999999</v>
    <v>47.98</v>
    <v>48.875</v>
    <v>49.5</v>
    <v>49.225000000000001</v>
    <v>49.11</v>
    <v>49.884999999999998</v>
    <v>48.534999999999997</v>
    <v>49.005000000000003</v>
    <v>49.17</v>
    <v>48.905000000000001</v>
    <v>48.89</v>
    <v>48.274999999999999</v>
    <v>47.76</v>
    <v>46.93</v>
    <v>46.78</v>
    <v>46.795000000000002</v>
    <v>47.64</v>
    <v>47.78</v>
    <v>47.33</v>
    <v>47.354999999999997</v>
    <v>47.62</v>
    <v>47.44</v>
    <v>47.55</v>
    <v>48.85</v>
    <v>49.42</v>
    <v>47.94</v>
    <v>48.414999999999999</v>
    <v>48.545000000000002</v>
    <v>48.07</v>
    <v>48.244999999999997</v>
    <v>48.97</v>
    <v>48.87</v>
    <v>48.57</v>
    <v>48.21</v>
    <v>48.965000000000003</v>
    <v>50.86</v>
    <v>51.24</v>
    <v>50.4</v>
    <v>51.06</v>
    <v>50.44</v>
    <v>50.7</v>
    <v>51.32</v>
    <v>51.5</v>
    <v>51.63</v>
    <v>51.26</v>
    <v>51.27</v>
    <v>50.17</v>
    <v>51.15</v>
    <v>50.51</v>
    <v>50.99</v>
    <v>51.79</v>
    <v>51.5</v>
    <v>51.67</v>
    <v>52.43</v>
    <v>51.68</v>
    <v>51.78</v>
    <v>51.51</v>
    <v>52.52</v>
    <v>52.98</v>
    <v>53.03</v>
    <v>53.38</v>
    <v>53.51</v>
    <v>53.36</v>
    <v>53.03</v>
    <v>53.67</v>
    <v>52.7</v>
    <v>53.34</v>
    <v>51.83</v>
    <v>52.38</v>
    <v>51.84</v>
    <v>52.13</v>
    <v>52.37</v>
    <v>51.62</v>
    <v>51.36</v>
    <v>51.79</v>
    <v>52.18</v>
    <v>52.3</v>
    <v>50.42</v>
    <v>50.28</v>
    <v>49.94</v>
    <v>50.18</v>
    <v>49.4</v>
    <v>49.924999999999997</v>
    <v>50.24</v>
    <v>51.08</v>
    <v>51.18</v>
    <v>51.77</v>
    <v>51.68</v>
    <v>51.27</v>
    <v>51.42</v>
    <v>52.46</v>
    <v>52.62</v>
    <v>53.23</v>
    <v>52.67</v>
    <v>52.63</v>
    <v>52.58</v>
    <v>52.37</v>
    <v>52.45</v>
  </a>
  <a r="1" c="254">
    <v>43.71</v>
    <v>43.72</v>
    <v>43.4</v>
    <v>43.01</v>
    <v>43.72</v>
    <v>43.02</v>
    <v>42.79</v>
    <v>42.93</v>
    <v>41.85</v>
    <v>43.02</v>
    <v>42.9</v>
    <v>42.52</v>
    <v>43.02</v>
    <v>43.57</v>
    <v>43.74</v>
    <v>44.11</v>
    <v>43.47</v>
    <v>42.57</v>
    <v>41.9</v>
    <v>43.1</v>
    <v>42.77</v>
    <v>43.79</v>
    <v>44.33</v>
    <v>44.71</v>
    <v>44.62</v>
    <v>44.62</v>
    <v>44.9</v>
    <v>44.74</v>
    <v>45.16</v>
    <v>44.22</v>
    <v>42.77</v>
    <v>43.73</v>
    <v>43.31</v>
    <v>43.25</v>
    <v>43.14</v>
    <v>44.56</v>
    <v>44.84</v>
    <v>44.25</v>
    <v>44.52</v>
    <v>44.32</v>
    <v>44.04</v>
    <v>43.76</v>
    <v>43.73</v>
    <v>43.64</v>
    <v>44.21</v>
    <v>44.43</v>
    <v>44.78</v>
    <v>43.89</v>
    <v>44.84</v>
    <v>44.16</v>
    <v>44.32</v>
    <v>44.94</v>
    <v>44.77</v>
    <v>44.58</v>
    <v>45.82</v>
    <v>46.29</v>
    <v>44.59</v>
    <v>44.07</v>
    <v>43.62</v>
    <v>45.35</v>
    <v>46.52</v>
    <v>46.1</v>
    <v>46.34</v>
    <v>46.1</v>
    <v>45.94</v>
    <v>45.96</v>
    <v>45.96</v>
    <v>46.63</v>
    <v>47.4</v>
    <v>49.76</v>
    <v>49.1</v>
    <v>48.18</v>
    <v>48.66</v>
    <v>50.92</v>
    <v>51.62</v>
    <v>51.36</v>
    <v>51.08</v>
    <v>50.76</v>
    <v>50.62</v>
    <v>49.91</v>
    <v>48.69</v>
    <v>48.89</v>
    <v>48.87</v>
    <v>48.87</v>
    <v>48.93</v>
    <v>49.66</v>
    <v>48.7</v>
    <v>47.33</v>
    <v>45.43</v>
    <v>46.15</v>
    <v>46.43</v>
    <v>45.27</v>
    <v>44.79</v>
    <v>45.85</v>
    <v>46.31</v>
    <v>48.45</v>
    <v>48.35</v>
    <v>48.3</v>
    <v>48.86</v>
    <v>48.29</v>
    <v>46.13</v>
    <v>46</v>
    <v>46.89</v>
    <v>48.85</v>
    <v>50.02</v>
    <v>50.74</v>
    <v>52.1</v>
    <v>53</v>
    <v>52.4</v>
    <v>50.94</v>
    <v>50.94</v>
    <v>51.93</v>
    <v>52.21</v>
    <v>53.58</v>
    <v>54.7</v>
    <v>54.65</v>
    <v>53.73</v>
    <v>52.9</v>
    <v>53.41</v>
    <v>52.77</v>
    <v>52.9</v>
    <v>53.49</v>
    <v>53.51</v>
    <v>54.24</v>
    <v>54.32</v>
    <v>54.28</v>
    <v>54.44</v>
    <v>54.05</v>
    <v>54.74</v>
    <v>52.85</v>
    <v>53.45</v>
    <v>52.52</v>
    <v>50.91</v>
    <v>51.65</v>
    <v>53.46</v>
    <v>53.2</v>
    <v>54</v>
    <v>53.39</v>
    <v>52.63</v>
    <v>52.96</v>
    <v>52.3</v>
    <v>51.1</v>
    <v>51.89</v>
    <v>51.67</v>
    <v>51.35</v>
    <v>51.32</v>
    <v>51.09</v>
    <v>50.72</v>
    <v>50.82</v>
    <v>50.84</v>
    <v>51.07</v>
    <v>50.78</v>
    <v>50.65</v>
    <v>50.98</v>
    <v>48.85</v>
    <v>48.524999999999999</v>
    <v>47.98</v>
    <v>48.875</v>
    <v>49.5</v>
    <v>49.225000000000001</v>
    <v>49.11</v>
    <v>49.884999999999998</v>
    <v>48.534999999999997</v>
    <v>49.005000000000003</v>
    <v>49.17</v>
    <v>48.905000000000001</v>
    <v>48.89</v>
    <v>48.274999999999999</v>
    <v>47.76</v>
    <v>46.93</v>
    <v>46.78</v>
    <v>46.795000000000002</v>
    <v>47.64</v>
    <v>47.78</v>
    <v>47.33</v>
    <v>47.354999999999997</v>
    <v>47.62</v>
    <v>47.44</v>
    <v>47.55</v>
    <v>48.85</v>
    <v>49.42</v>
    <v>47.94</v>
    <v>48.414999999999999</v>
    <v>48.545000000000002</v>
    <v>48.07</v>
    <v>48.244999999999997</v>
    <v>48.97</v>
    <v>48.87</v>
    <v>48.57</v>
    <v>48.21</v>
    <v>48.965000000000003</v>
    <v>50.86</v>
    <v>51.24</v>
    <v>50.4</v>
    <v>51.06</v>
    <v>50.44</v>
    <v>50.7</v>
    <v>51.32</v>
    <v>51.5</v>
    <v>51.63</v>
    <v>51.26</v>
    <v>51.27</v>
    <v>50.17</v>
    <v>51.15</v>
    <v>50.51</v>
    <v>50.99</v>
    <v>51.79</v>
    <v>51.5</v>
    <v>51.67</v>
    <v>52.43</v>
    <v>51.68</v>
    <v>51.78</v>
    <v>51.51</v>
    <v>52.52</v>
    <v>52.98</v>
    <v>53.03</v>
    <v>53.38</v>
    <v>53.51</v>
    <v>53.36</v>
    <v>53.03</v>
    <v>53.67</v>
    <v>52.7</v>
    <v>53.34</v>
    <v>51.83</v>
    <v>52.38</v>
    <v>51.84</v>
    <v>52.13</v>
    <v>52.37</v>
    <v>51.62</v>
    <v>51.36</v>
    <v>51.79</v>
    <v>52.18</v>
    <v>52.3</v>
    <v>50.42</v>
    <v>50.28</v>
    <v>49.94</v>
    <v>50.18</v>
    <v>49.4</v>
    <v>49.924999999999997</v>
    <v>50.24</v>
    <v>51.08</v>
    <v>51.18</v>
    <v>51.77</v>
    <v>51.68</v>
    <v>51.27</v>
    <v>51.42</v>
    <v>52.46</v>
    <v>52.62</v>
    <v>53.23</v>
    <v>52.67</v>
    <v>52.63</v>
    <v>52.58</v>
    <v>52.37</v>
    <v>52.45</v>
  </a>
  <a r="1" c="205">
    <v t="i">5</v>
    <v t="i">6</v>
    <v t="i">7</v>
    <v t="i">8</v>
    <v t="i">9</v>
    <v t="i">12</v>
    <v t="i">13</v>
    <v t="i">14</v>
    <v t="i">15</v>
    <v t="i">16</v>
    <v t="i">19</v>
    <v t="i">20</v>
    <v t="i">21</v>
    <v t="i">22</v>
    <v t="i">23</v>
    <v t="i">26</v>
    <v t="i">27</v>
    <v t="i">28</v>
    <v t="i">29</v>
    <v t="i">30</v>
    <v t="i">33</v>
    <v t="i">34</v>
    <v t="i">35</v>
    <v t="i">36</v>
    <v t="i">37</v>
    <v t="i">40</v>
    <v t="i">41</v>
    <v t="i">42</v>
    <v t="i">43</v>
    <v t="i">44</v>
    <v t="i">47</v>
    <v t="i">48</v>
    <v t="i">49</v>
    <v t="i">50</v>
    <v t="i">51</v>
    <v t="i">54</v>
    <v t="i">55</v>
    <v t="i">56</v>
    <v t="i">57</v>
    <v t="i">58</v>
    <v t="i">61</v>
    <v t="i">62</v>
    <v t="i">63</v>
    <v t="i">64</v>
    <v t="i">65</v>
    <v t="i">68</v>
    <v t="i">69</v>
    <v t="i">70</v>
    <v t="i">71</v>
    <v t="i">72</v>
    <v t="i">75</v>
    <v t="i">76</v>
    <v t="i">77</v>
    <v t="i">78</v>
    <v t="i">79</v>
    <v t="i">82</v>
    <v t="i">83</v>
    <v t="i">84</v>
    <v t="i">85</v>
    <v t="i">86</v>
    <v t="i">89</v>
    <v t="i">90</v>
    <v t="i">91</v>
    <v t="i">92</v>
    <v t="i">97</v>
    <v t="i">98</v>
    <v t="i">99</v>
    <v t="i">100</v>
    <v t="i">103</v>
    <v t="i">104</v>
    <v t="i">105</v>
    <v t="i">106</v>
    <v t="i">107</v>
    <v t="i">110</v>
    <v t="i">111</v>
    <v t="i">112</v>
    <v t="i">113</v>
    <v t="i">114</v>
    <v t="i">117</v>
    <v t="i">118</v>
    <v t="i">119</v>
    <v t="i">120</v>
    <v t="i">124</v>
    <v t="i">125</v>
    <v t="i">126</v>
    <v t="i">127</v>
    <v t="i">128</v>
    <v t="i">131</v>
    <v t="i">132</v>
    <v t="i">133</v>
    <v t="i">135</v>
    <v t="i">138</v>
    <v t="i">139</v>
    <v t="i">140</v>
    <v t="i">141</v>
    <v t="i">142</v>
    <v t="i">146</v>
    <v t="i">147</v>
    <v t="i">148</v>
    <v t="i">149</v>
    <v t="i">152</v>
    <v t="i">153</v>
    <v t="i">154</v>
    <v t="i">155</v>
    <v t="i">156</v>
    <v t="i">159</v>
    <v t="i">160</v>
    <v t="i">161</v>
    <v t="i">162</v>
    <v t="i">163</v>
    <v t="i">166</v>
    <v t="i">167</v>
    <v t="i">168</v>
    <v t="i">169</v>
    <v t="i">170</v>
    <v t="i">173</v>
    <v t="i">174</v>
    <v t="i">175</v>
    <v t="i">176</v>
    <v t="i">177</v>
    <v t="i">180</v>
    <v t="i">181</v>
    <v t="i">182</v>
    <v t="i">183</v>
    <v t="i">184</v>
    <v t="i">187</v>
    <v t="i">188</v>
    <v t="i">189</v>
    <v t="i">190</v>
    <v t="i">191</v>
    <v t="i">194</v>
    <v t="i">195</v>
    <v t="i">196</v>
    <v t="i">197</v>
    <v t="i">198</v>
    <v t="i">201</v>
    <v t="i">202</v>
    <v t="i">203</v>
    <v t="i">204</v>
    <v t="i">205</v>
    <v t="i">208</v>
    <v t="i">209</v>
    <v t="i">210</v>
    <v t="i">211</v>
    <v t="i">212</v>
    <v t="i">215</v>
    <v t="i">216</v>
    <v t="i">217</v>
    <v t="i">218</v>
    <v t="i">219</v>
    <v t="i">222</v>
    <v t="i">223</v>
    <v t="i">224</v>
    <v t="i">225</v>
    <v t="i">226</v>
    <v t="i">229</v>
    <v t="i">230</v>
    <v t="i">231</v>
    <v t="i">232</v>
    <v t="i">233</v>
    <v t="i">236</v>
    <v t="i">237</v>
    <v t="i">238</v>
    <v t="i">239</v>
    <v t="i">240</v>
    <v t="i">243</v>
    <v t="i">244</v>
    <v t="i">245</v>
    <v t="i">246</v>
    <v t="i">247</v>
    <v t="i">250</v>
    <v t="i">251</v>
    <v t="i">252</v>
    <v t="i">253</v>
    <v t="i">254</v>
    <v t="i">257</v>
    <v t="i">258</v>
    <v t="i">259</v>
    <v t="i">260</v>
    <v t="i">261</v>
    <v t="i">264</v>
    <v t="i">265</v>
    <v t="i">266</v>
    <v t="i">267</v>
    <v t="i">268</v>
    <v t="i">271</v>
    <v t="i">272</v>
    <v t="i">273</v>
    <v t="i">274</v>
    <v t="i">275</v>
    <v t="i">278</v>
    <v t="i">279</v>
    <v t="i">280</v>
    <v t="i">281</v>
    <v t="i">282</v>
    <v t="i">285</v>
    <v t="i">286</v>
    <v t="i">287</v>
    <v t="i">288</v>
    <v t="i">289</v>
    <v t="i">292</v>
    <v t="i">293</v>
    <v t="i">294</v>
    <v t="i">295</v>
    <v t="i">296</v>
  </a>
  <a r="1" c="205">
    <v>61.24</v>
    <v>60.66</v>
    <v>61.14</v>
    <v>59.24</v>
    <v>60.16</v>
    <v>60.64</v>
    <v>60.88</v>
    <v>60.2</v>
    <v>61.74</v>
    <v>61.6</v>
    <v>60.28</v>
    <v>59.9</v>
    <v>59.76</v>
    <v>59.5</v>
    <v>59.76</v>
    <v>60.4</v>
    <v>61.46</v>
    <v>61.2</v>
    <v>66.38</v>
    <v>66.66</v>
    <v>67.599999999999994</v>
    <v>68.040000000000006</v>
    <v>67.16</v>
    <v>66.44</v>
    <v>66.900000000000006</v>
    <v>68.34</v>
    <v>68.62</v>
    <v>69.52</v>
    <v>69.5</v>
    <v>69.98</v>
    <v>70.62</v>
    <v>69.8</v>
    <v>70.599999999999994</v>
    <v>69.92</v>
    <v>70.28</v>
    <v>69.8</v>
    <v>70.62</v>
    <v>71.400000000000006</v>
    <v>71.040000000000006</v>
    <v>71.819999999999993</v>
    <v>70.64</v>
    <v>67.2</v>
    <v>67.959999999999994</v>
    <v>66.58</v>
    <v>66.42</v>
    <v>65.28</v>
    <v>68.02</v>
    <v>67.66</v>
    <v>67.72</v>
    <v>66.44</v>
    <v>66.44</v>
    <v>66.58</v>
    <v>67.5</v>
    <v>65.84</v>
    <v>64.459999999999994</v>
    <v>64.78</v>
    <v>65.44</v>
    <v>67.040000000000006</v>
    <v>64.64</v>
    <v>63.14</v>
    <v>62.18</v>
    <v>63.24</v>
    <v>66.28</v>
    <v>65.84</v>
    <v>64.92</v>
    <v>70.099999999999994</v>
    <v>70.8</v>
    <v>71.84</v>
    <v>71.58</v>
    <v>72.2</v>
    <v>72.400000000000006</v>
    <v>72.44</v>
    <v>75.48</v>
    <v>74.260000000000005</v>
    <v>74.2</v>
    <v>76.72</v>
    <v>78.099999999999994</v>
    <v>77.900000000000006</v>
    <v>77.62</v>
    <v>76.42</v>
    <v>76.680000000000007</v>
    <v>78.44</v>
    <v>78.42</v>
    <v>80.58</v>
    <v>82.4</v>
    <v>81.22</v>
    <v>82.02</v>
    <v>83.56</v>
    <v>81.16</v>
    <v>82.86</v>
    <v>82.04</v>
    <v>81.06</v>
    <v>79.680000000000007</v>
    <v>81.34</v>
    <v>82.22</v>
    <v>83.8</v>
    <v>84.92</v>
    <v>83.68</v>
    <v>83.44</v>
    <v>83.62</v>
    <v>83.42</v>
    <v>86.1</v>
    <v>85.56</v>
    <v>84.66</v>
    <v>83.1</v>
    <v>82.68</v>
    <v>80.52</v>
    <v>79.599999999999994</v>
    <v>81.28</v>
    <v>81.62</v>
    <v>82.58</v>
    <v>84.02</v>
    <v>85.38</v>
    <v>86.86</v>
    <v>87.1</v>
    <v>88.56</v>
    <v>86.1</v>
    <v>86.58</v>
    <v>86.72</v>
    <v>84.52</v>
    <v>85.44</v>
    <v>87.58</v>
    <v>86.18</v>
    <v>84.92</v>
    <v>87.38</v>
    <v>87.1</v>
    <v>83.36</v>
    <v>82.36</v>
    <v>84.68</v>
    <v>83.58</v>
    <v>83.82</v>
    <v>85.48</v>
    <v>83.18</v>
    <v>78.260000000000005</v>
    <v>79.2</v>
    <v>79.28</v>
    <v>80.88</v>
    <v>80.7</v>
    <v>79.86</v>
    <v>80</v>
    <v>79</v>
    <v>77.42</v>
    <v>76.3</v>
    <v>78.66</v>
    <v>79.52</v>
    <v>80.08</v>
    <v>81.66</v>
    <v>82.34</v>
    <v>82.32</v>
    <v>81.760000000000005</v>
    <v>81.8</v>
    <v>82.64</v>
    <v>83.48</v>
    <v>83.24</v>
    <v>82.78</v>
    <v>83</v>
    <v>80.56</v>
    <v>80.38</v>
    <v>79.599999999999994</v>
    <v>80.2</v>
    <v>78.180000000000007</v>
    <v>79.62</v>
    <v>79.7</v>
    <v>79.28</v>
    <v>80.099999999999994</v>
    <v>79</v>
    <v>77.88</v>
    <v>77.459999999999994</v>
    <v>77.22</v>
    <v>77.760000000000005</v>
    <v>79</v>
    <v>80.98</v>
    <v>78.319999999999993</v>
    <v>77.86</v>
    <v>78.66</v>
    <v>75.44</v>
    <v>76.680000000000007</v>
    <v>78.260000000000005</v>
    <v>79.52</v>
    <v>80.02</v>
    <v>82.14</v>
    <v>83.1</v>
    <v>82.42</v>
    <v>80.5</v>
    <v>80.180000000000007</v>
    <v>79.78</v>
    <v>80.78</v>
    <v>79.42</v>
    <v>79.62</v>
    <v>81.900000000000006</v>
    <v>81.7</v>
    <v>82.58</v>
    <v>79.88</v>
    <v>78.8</v>
    <v>79.64</v>
    <v>80.02</v>
    <v>79.72</v>
    <v>78.88</v>
    <v>76.2</v>
    <v>75.680000000000007</v>
    <v>74.7</v>
    <v>70.959999999999994</v>
    <v>71.84</v>
    <v>68.92</v>
    <v>67.78</v>
  </a>
  <a r="1" c="752">
    <v t="i">0</v>
    <v t="i">1</v>
    <v t="i">2</v>
    <v t="i">3</v>
    <v t="i">4</v>
    <v t="i">7</v>
    <v t="i">8</v>
    <v t="i">9</v>
    <v t="i">10</v>
    <v t="i">11</v>
    <v t="i">14</v>
    <v t="i">15</v>
    <v t="i">16</v>
    <v t="i">17</v>
    <v t="i">18</v>
    <v t="i">21</v>
    <v t="i">22</v>
    <v t="i">23</v>
    <v t="i">24</v>
    <v t="i">25</v>
    <v t="i">28</v>
    <v t="i">29</v>
    <v t="i">30</v>
    <v t="i">31</v>
    <v t="i">32</v>
    <v t="i">35</v>
    <v t="i">36</v>
    <v t="i">37</v>
    <v t="i">38</v>
    <v t="i">39</v>
    <v t="i">42</v>
    <v t="i">43</v>
    <v t="i">44</v>
    <v t="i">45</v>
    <v t="i">46</v>
    <v t="i">49</v>
    <v t="i">50</v>
    <v t="i">51</v>
    <v t="i">52</v>
    <v t="i">53</v>
    <v t="i">56</v>
    <v t="i">57</v>
    <v t="i">58</v>
    <v t="i">59</v>
    <v t="i">60</v>
    <v t="i">65</v>
    <v t="i">66</v>
    <v t="i">67</v>
    <v t="i">72</v>
    <v t="i">73</v>
    <v t="i">74</v>
    <v t="i">77</v>
    <v t="i">78</v>
    <v t="i">79</v>
    <v t="i">80</v>
    <v t="i">81</v>
    <v t="i">84</v>
    <v t="i">85</v>
    <v t="i">86</v>
    <v t="i">87</v>
    <v t="i">88</v>
    <v t="i">91</v>
    <v t="i">92</v>
    <v t="i">93</v>
    <v t="i">94</v>
    <v t="i">95</v>
    <v t="i">98</v>
    <v t="i">99</v>
    <v t="i">100</v>
    <v t="i">101</v>
    <v t="i">102</v>
    <v t="i">105</v>
    <v t="i">106</v>
    <v t="i">107</v>
    <v t="i">108</v>
    <v t="i">109</v>
    <v t="i">112</v>
    <v t="i">113</v>
    <v t="i">114</v>
    <v t="i">115</v>
    <v t="i">116</v>
    <v t="i">119</v>
    <v t="i">120</v>
    <v t="i">121</v>
    <v t="i">122</v>
    <v t="i">123</v>
    <v t="i">126</v>
    <v t="i">127</v>
    <v t="i">128</v>
    <v t="i">129</v>
    <v t="i">130</v>
    <v t="i">133</v>
    <v t="i">134</v>
    <v t="i">135</v>
    <v t="i">136</v>
    <v t="i">137</v>
    <v t="i">140</v>
    <v t="i">141</v>
    <v t="i">142</v>
    <v t="i">143</v>
    <v t="i">144</v>
    <v t="i">147</v>
    <v t="i">148</v>
    <v t="i">149</v>
    <v t="i">150</v>
    <v t="i">151</v>
    <v t="i">154</v>
    <v t="i">155</v>
    <v t="i">156</v>
    <v t="i">157</v>
    <v t="i">162</v>
    <v t="i">163</v>
    <v t="i">164</v>
    <v t="i">165</v>
    <v t="i">168</v>
    <v t="i">169</v>
    <v t="i">170</v>
    <v t="i">171</v>
    <v t="i">172</v>
    <v t="i">175</v>
    <v t="i">176</v>
    <v t="i">177</v>
    <v t="i">178</v>
    <v t="i">179</v>
    <v t="i">182</v>
    <v t="i">183</v>
    <v t="i">184</v>
    <v t="i">185</v>
    <v t="i">186</v>
    <v t="i">189</v>
    <v t="i">190</v>
    <v t="i">192</v>
    <v t="i">193</v>
    <v t="i">196</v>
    <v t="i">197</v>
    <v t="i">198</v>
    <v t="i">200</v>
    <v t="i">203</v>
    <v t="i">204</v>
    <v t="i">205</v>
    <v t="i">206</v>
    <v t="i">207</v>
    <v t="i">211</v>
    <v t="i">212</v>
    <v t="i">213</v>
    <v t="i">214</v>
    <v t="i">217</v>
    <v t="i">218</v>
    <v t="i">219</v>
    <v t="i">220</v>
    <v t="i">221</v>
    <v t="i">224</v>
    <v t="i">225</v>
    <v t="i">226</v>
    <v t="i">227</v>
    <v t="i">228</v>
    <v t="i">231</v>
    <v t="i">232</v>
    <v t="i">233</v>
    <v t="i">234</v>
    <v t="i">235</v>
    <v t="i">238</v>
    <v t="i">239</v>
    <v t="i">240</v>
    <v t="i">241</v>
    <v t="i">242</v>
    <v t="i">245</v>
    <v t="i">246</v>
    <v t="i">247</v>
    <v t="i">248</v>
    <v t="i">249</v>
    <v t="i">252</v>
    <v t="i">253</v>
    <v t="i">254</v>
    <v t="i">255</v>
    <v t="i">256</v>
    <v t="i">259</v>
    <v t="i">260</v>
    <v t="i">261</v>
    <v t="i">262</v>
    <v t="i">263</v>
    <v t="i">266</v>
    <v t="i">267</v>
    <v t="i">268</v>
    <v t="i">269</v>
    <v t="i">270</v>
    <v t="i">273</v>
    <v t="i">274</v>
    <v t="i">275</v>
    <v t="i">276</v>
    <v t="i">277</v>
    <v t="i">280</v>
    <v t="i">281</v>
    <v t="i">282</v>
    <v t="i">284</v>
    <v t="i">287</v>
    <v t="i">288</v>
    <v t="i">289</v>
    <v t="i">290</v>
    <v t="i">291</v>
    <v t="i">294</v>
    <v t="i">295</v>
    <v t="i">296</v>
    <v t="i">297</v>
    <v t="i">298</v>
    <v t="i">301</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v t="i">365</v>
    <v t="i">366</v>
    <v t="i">367</v>
    <v t="i">368</v>
    <v t="i">371</v>
    <v t="i">372</v>
    <v t="i">373</v>
    <v t="i">374</v>
    <v t="i">375</v>
    <v t="i">378</v>
    <v t="i">379</v>
    <v t="i">380</v>
    <v t="i">381</v>
    <v t="i">382</v>
    <v t="i">385</v>
    <v t="i">386</v>
    <v t="i">387</v>
    <v t="i">388</v>
    <v t="i">389</v>
    <v t="i">392</v>
    <v t="i">393</v>
    <v t="i">394</v>
    <v t="i">395</v>
    <v t="i">396</v>
    <v t="i">399</v>
    <v t="i">400</v>
    <v t="i">401</v>
    <v t="i">402</v>
    <v t="i">403</v>
    <v t="i">406</v>
    <v t="i">407</v>
    <v t="i">408</v>
    <v t="i">409</v>
    <v t="i">410</v>
    <v t="i">413</v>
    <v t="i">414</v>
    <v t="i">415</v>
    <v t="i">416</v>
    <v t="i">417</v>
    <v t="i">420</v>
    <v t="i">421</v>
    <v t="i">422</v>
    <v t="i">423</v>
    <v t="i">424</v>
    <v t="i">427</v>
    <v t="i">431</v>
    <v t="i">434</v>
    <v t="i">438</v>
    <v t="i">441</v>
    <v t="i">442</v>
    <v t="i">443</v>
    <v t="i">444</v>
    <v t="i">445</v>
    <v t="i">448</v>
    <v t="i">449</v>
    <v t="i">450</v>
    <v t="i">451</v>
    <v t="i">452</v>
    <v t="i">455</v>
    <v t="i">456</v>
    <v t="i">457</v>
    <v t="i">458</v>
    <v t="i">459</v>
    <v t="i">462</v>
    <v t="i">463</v>
    <v t="i">464</v>
    <v t="i">465</v>
    <v t="i">466</v>
    <v t="i">469</v>
    <v t="i">470</v>
    <v t="i">471</v>
    <v t="i">472</v>
    <v t="i">473</v>
    <v t="i">476</v>
    <v t="i">477</v>
    <v t="i">478</v>
    <v t="i">479</v>
    <v t="i">480</v>
    <v t="i">483</v>
    <v t="i">484</v>
    <v t="i">485</v>
    <v t="i">486</v>
    <v t="i">487</v>
    <v t="i">490</v>
    <v t="i">491</v>
    <v t="i">492</v>
    <v t="i">493</v>
    <v t="i">494</v>
    <v t="i">497</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547</v>
    <v t="i">548</v>
    <v t="i">549</v>
    <v t="i">550</v>
    <v t="i">553</v>
    <v t="i">554</v>
    <v t="i">555</v>
    <v t="i">557</v>
    <v t="i">560</v>
    <v t="i">561</v>
    <v t="i">562</v>
    <v t="i">563</v>
    <v t="i">564</v>
    <v t="i">567</v>
    <v t="i">568</v>
    <v t="i">569</v>
    <v t="i">570</v>
    <v t="i">571</v>
    <v t="i">574</v>
    <v t="i">575</v>
    <v t="i">576</v>
    <v t="i">577</v>
    <v t="i">578</v>
    <v t="i">581</v>
    <v t="i">582</v>
    <v t="i">583</v>
    <v t="i">585</v>
    <v t="i">588</v>
    <v t="i">589</v>
    <v t="i">590</v>
    <v t="i">591</v>
    <v t="i">592</v>
    <v t="i">596</v>
    <v t="i">597</v>
    <v t="i">598</v>
    <v t="i">599</v>
    <v t="i">602</v>
    <v t="i">603</v>
    <v t="i">604</v>
    <v t="i">605</v>
    <v t="i">606</v>
    <v t="i">609</v>
    <v t="i">610</v>
    <v t="i">611</v>
    <v t="i">612</v>
    <v t="i">613</v>
    <v t="i">616</v>
    <v t="i">617</v>
    <v t="i">618</v>
    <v t="i">619</v>
    <v t="i">620</v>
    <v t="i">623</v>
    <v t="i">624</v>
    <v t="i">625</v>
    <v t="i">626</v>
    <v t="i">627</v>
    <v t="i">630</v>
    <v t="i">631</v>
    <v t="i">632</v>
    <v t="i">633</v>
    <v t="i">634</v>
    <v t="i">637</v>
    <v t="i">638</v>
    <v t="i">639</v>
    <v t="i">640</v>
    <v t="i">641</v>
    <v t="i">644</v>
    <v t="i">645</v>
    <v t="i">646</v>
    <v t="i">647</v>
    <v t="i">651</v>
    <v t="i">652</v>
    <v t="i">653</v>
    <v t="i">654</v>
    <v t="i">655</v>
    <v t="i">658</v>
    <v t="i">659</v>
    <v t="i">660</v>
    <v t="i">661</v>
    <v t="i">662</v>
    <v t="i">665</v>
    <v t="i">666</v>
    <v t="i">667</v>
    <v t="i">668</v>
    <v t="i">669</v>
    <v t="i">672</v>
    <v t="i">673</v>
    <v t="i">674</v>
    <v t="i">675</v>
    <v t="i">676</v>
    <v t="i">679</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750</v>
    <v t="i">751</v>
    <v t="i">752</v>
    <v t="i">753</v>
    <v t="i">756</v>
    <v t="i">757</v>
    <v t="i">758</v>
    <v t="i">759</v>
    <v t="i">760</v>
    <v t="i">763</v>
    <v t="i">764</v>
    <v t="i">765</v>
    <v t="i">766</v>
    <v t="i">767</v>
    <v t="i">770</v>
    <v t="i">771</v>
    <v t="i">772</v>
    <v t="i">773</v>
    <v t="i">774</v>
    <v t="i">777</v>
    <v t="i">778</v>
    <v t="i">779</v>
    <v t="i">780</v>
    <v t="i">781</v>
    <v t="i">784</v>
    <v t="i">785</v>
    <v t="i">786</v>
    <v t="i">787</v>
    <v t="i">788</v>
    <v t="i">791</v>
    <v t="i">792</v>
    <v t="i">798</v>
    <v t="i">799</v>
    <v t="i">805</v>
    <v t="i">806</v>
    <v t="i">807</v>
    <v t="i">808</v>
    <v t="i">809</v>
    <v t="i">812</v>
    <v t="i">813</v>
    <v t="i">814</v>
    <v t="i">815</v>
    <v t="i">816</v>
    <v t="i">819</v>
    <v t="i">820</v>
    <v t="i">821</v>
    <v t="i">822</v>
    <v t="i">823</v>
    <v t="i">826</v>
    <v t="i">827</v>
    <v t="i">828</v>
    <v t="i">829</v>
    <v t="i">830</v>
    <v t="i">833</v>
    <v t="i">834</v>
    <v t="i">835</v>
    <v t="i">836</v>
    <v t="i">837</v>
    <v t="i">840</v>
    <v t="i">841</v>
    <v t="i">842</v>
    <v t="i">843</v>
    <v t="i">844</v>
    <v t="i">847</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897</v>
    <v t="i">898</v>
    <v t="i">899</v>
    <v t="i">900</v>
    <v t="i">903</v>
    <v t="i">904</v>
    <v t="i">905</v>
    <v t="i">906</v>
    <v t="i">907</v>
    <v t="i">910</v>
    <v t="i">911</v>
    <v t="i">912</v>
    <v t="i">913</v>
    <v t="i">914</v>
    <v t="i">917</v>
    <v t="i">918</v>
    <v t="i">919</v>
    <v t="i">920</v>
    <v t="i">924</v>
    <v t="i">925</v>
    <v t="i">926</v>
    <v t="i">927</v>
    <v t="i">928</v>
    <v t="i">931</v>
    <v t="i">932</v>
    <v t="i">933</v>
    <v t="i">935</v>
    <v t="i">938</v>
    <v t="i">939</v>
    <v t="i">940</v>
    <v t="i">941</v>
    <v t="i">942</v>
    <v t="i">946</v>
    <v t="i">947</v>
    <v t="i">948</v>
    <v t="i">949</v>
    <v t="i">952</v>
    <v t="i">953</v>
    <v t="i">954</v>
    <v t="i">955</v>
    <v t="i">956</v>
    <v t="i">959</v>
    <v t="i">960</v>
    <v t="i">961</v>
    <v t="i">962</v>
    <v t="i">963</v>
    <v t="i">966</v>
    <v t="i">967</v>
    <v t="i">968</v>
    <v t="i">969</v>
    <v t="i">970</v>
    <v t="i">973</v>
    <v t="i">974</v>
    <v t="i">975</v>
    <v t="i">976</v>
    <v t="i">977</v>
    <v t="i">980</v>
    <v t="i">981</v>
    <v t="i">982</v>
    <v t="i">983</v>
    <v t="i">984</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1050</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752">
    <v>29.89</v>
    <v>29.61</v>
    <v>29.8</v>
    <v>29.81</v>
    <v>29.96</v>
    <v>29.93</v>
    <v>30.44</v>
    <v>30.49</v>
    <v>30.95</v>
    <v>31.12</v>
    <v>31.09</v>
    <v>31.02</v>
    <v>31.29</v>
    <v>32.450000000000003</v>
    <v>32.14</v>
    <v>32.53</v>
    <v>33.35</v>
    <v>33.54</v>
    <v>33.6</v>
    <v>33.78</v>
    <v>33.64</v>
    <v>33.76</v>
    <v>33.96</v>
    <v>33.89</v>
    <v>34.130000000000003</v>
    <v>33.89</v>
    <v>33.880000000000003</v>
    <v>34.090000000000003</v>
    <v>34.71</v>
    <v>35.18</v>
    <v>34.86</v>
    <v>35.380000000000003</v>
    <v>35.46</v>
    <v>35.5</v>
    <v>35.97</v>
    <v>36.97</v>
    <v>36.909999999999997</v>
    <v>36.96</v>
    <v>37.450000000000003</v>
    <v>37.770000000000003</v>
    <v>37.450000000000003</v>
    <v>37.57</v>
    <v>37.51</v>
    <v>37.29</v>
    <v>37.26</v>
    <v>37.299999999999997</v>
    <v>37.049999999999997</v>
    <v>37.299999999999997</v>
    <v>36.119999999999997</v>
    <v>36.47</v>
    <v>35.979999999999997</v>
    <v>36.299999999999997</v>
    <v>36.200000000000003</v>
    <v>36.35</v>
    <v>36.28</v>
    <v>36.619999999999997</v>
    <v>36.42</v>
    <v>36.31</v>
    <v>36.1</v>
    <v>36.619999999999997</v>
    <v>35.28</v>
    <v>36.26</v>
    <v>35.94</v>
    <v>36.28</v>
    <v>36.58</v>
    <v>36.76</v>
    <v>36.950000000000003</v>
    <v>37.31</v>
    <v>36.69</v>
    <v>37.299999999999997</v>
    <v>37.770000000000003</v>
    <v>37.299999999999997</v>
    <v>37.56</v>
    <v>37.89</v>
    <v>38.04</v>
    <v>38.14</v>
    <v>38.43</v>
    <v>38.14</v>
    <v>38.92</v>
    <v>39.39</v>
    <v>40.04</v>
    <v>40.03</v>
    <v>40.15</v>
    <v>40.18</v>
    <v>40.619999999999997</v>
    <v>40.369999999999997</v>
    <v>40.340000000000003</v>
    <v>40.19</v>
    <v>40.35</v>
    <v>40.72</v>
    <v>40.74</v>
    <v>40.82</v>
    <v>40.380000000000003</v>
    <v>40.700000000000003</v>
    <v>40.840000000000003</v>
    <v>40.99</v>
    <v>40.950000000000003</v>
    <v>41.52</v>
    <v>42.05</v>
    <v>42.31</v>
    <v>42.4</v>
    <v>42.3</v>
    <v>41.93</v>
    <v>42.19</v>
    <v>42.87</v>
    <v>42.81</v>
    <v>41.81</v>
    <v>42.22</v>
    <v>42.03</v>
    <v>41.89</v>
    <v>41.65</v>
    <v>41.96</v>
    <v>42.33</v>
    <v>41.8</v>
    <v>42.09</v>
    <v>41.93</v>
    <v>42.4</v>
    <v>42.12</v>
    <v>41.87</v>
    <v>42.2</v>
    <v>41.45</v>
    <v>41.72</v>
    <v>44.33</v>
    <v>44.64</v>
    <v>44.08</v>
    <v>44.47</v>
    <v>44.55</v>
    <v>44.51</v>
    <v>44.94</v>
    <v>45.31</v>
    <v>44.89</v>
    <v>45.06</v>
    <v>45.02</v>
    <v>45.47</v>
    <v>45.73</v>
    <v>46.57</v>
    <v>47.16</v>
    <v>47.81</v>
    <v>47.56</v>
    <v>48.2</v>
    <v>47.65</v>
    <v>47.41</v>
    <v>48.46</v>
    <v>48.11</v>
    <v>48.97</v>
    <v>49.32</v>
    <v>49.82</v>
    <v>49.6</v>
    <v>49.37</v>
    <v>49.32</v>
    <v>49.4</v>
    <v>49.79</v>
    <v>49.13</v>
    <v>50.22</v>
    <v>50.62</v>
    <v>50.44</v>
    <v>50.36</v>
    <v>50.08</v>
    <v>51.52</v>
    <v>50.68</v>
    <v>49.89</v>
    <v>50.32</v>
    <v>51.16</v>
    <v>50.84</v>
    <v>51.24</v>
    <v>49.79</v>
    <v>50.12</v>
    <v>49.67</v>
    <v>49.66</v>
    <v>49.8</v>
    <v>49.92</v>
    <v>50.38</v>
    <v>49.78</v>
    <v>50.3</v>
    <v>50.52</v>
    <v>49.73</v>
    <v>50.18</v>
    <v>49.94</v>
    <v>50.38</v>
    <v>50.8</v>
    <v>51.84</v>
    <v>51.7</v>
    <v>51.7</v>
    <v>51.18</v>
    <v>48.3</v>
    <v>48.29</v>
    <v>48.61</v>
    <v>49.39</v>
    <v>48.37</v>
    <v>47.24</v>
    <v>48.22</v>
    <v>47.77</v>
    <v>48.07</v>
    <v>48.78</v>
    <v>44.69</v>
    <v>43.65</v>
    <v>43.62</v>
    <v>44.97</v>
    <v>45.23</v>
    <v>45.26</v>
    <v>45.51</v>
    <v>45.98</v>
    <v>46.47</v>
    <v>47.25</v>
    <v>47.28</v>
    <v>47.81</v>
    <v>47.92</v>
    <v>47.88</v>
    <v>47.91</v>
    <v>48.08</v>
    <v>47.95</v>
    <v>47.83</v>
    <v>47.99</v>
    <v>48.43</v>
    <v>48.63</v>
    <v>48.97</v>
    <v>48.29</v>
    <v>47.23</v>
    <v>46.32</v>
    <v>45.17</v>
    <v>46.07</v>
    <v>46.09</v>
    <v>46.02</v>
    <v>46.86</v>
    <v>47.04</v>
    <v>46.89</v>
    <v>47.8</v>
    <v>47.54</v>
    <v>48.57</v>
    <v>48.04</v>
    <v>48.09</v>
    <v>48.59</v>
    <v>49.73</v>
    <v>50.22</v>
    <v>49.37</v>
    <v>48.99</v>
    <v>48.99</v>
    <v>49.35</v>
    <v>48.98</v>
    <v>49.15</v>
    <v>49.03</v>
    <v>49.41</v>
    <v>49.95</v>
    <v>49.17</v>
    <v>49.82</v>
    <v>50.52</v>
    <v>49.58</v>
    <v>49.15</v>
    <v>50.34</v>
    <v>49.54</v>
    <v>49.12</v>
    <v>49.1</v>
    <v>48.39</v>
    <v>48.37</v>
    <v>48.75</v>
    <v>49.16</v>
    <v>48.8</v>
    <v>48.57</v>
    <v>47.9</v>
    <v>48.41</v>
    <v>48.26</v>
    <v>49.47</v>
    <v>50.2</v>
    <v>50.14</v>
    <v>50</v>
    <v>50.66</v>
    <v>49.5</v>
    <v>49.71</v>
    <v>50.24</v>
    <v>49.85</v>
    <v>49.28</v>
    <v>49.01</v>
    <v>49.05</v>
    <v>49.58</v>
    <v>50.16</v>
    <v>49.96</v>
    <v>49.54</v>
    <v>49.02</v>
    <v>49.48</v>
    <v>50.28</v>
    <v>51.02</v>
    <v>51.26</v>
    <v>52.12</v>
    <v>52.06</v>
    <v>52</v>
    <v>51.94</v>
    <v>51.28</v>
    <v>51.94</v>
    <v>51.82</v>
    <v>51.6</v>
    <v>51.98</v>
    <v>51.88</v>
    <v>51.52</v>
    <v>48.73</v>
    <v>48.86</v>
    <v>49.19</v>
    <v>49.54</v>
    <v>49.07</v>
    <v>49.16</v>
    <v>49.61</v>
    <v>49.48</v>
    <v>49.88</v>
    <v>49.97</v>
    <v>49.25</v>
    <v>48.63</v>
    <v>48.95</v>
    <v>49.57</v>
    <v>49.66</v>
    <v>50.7</v>
    <v>50.98</v>
    <v>51.64</v>
    <v>53.56</v>
    <v>53.58</v>
    <v>54</v>
    <v>50.84</v>
    <v>50</v>
    <v>51.08</v>
    <v>50.14</v>
    <v>49.95</v>
    <v>49.03</v>
    <v>49.35</v>
    <v>49.03</v>
    <v>49.6</v>
    <v>49.68</v>
    <v>50.08</v>
    <v>50.6</v>
    <v>50.52</v>
    <v>51.3</v>
    <v>51.22</v>
    <v>51.86</v>
    <v>52.9</v>
    <v>52.02</v>
    <v>52.36</v>
    <v>52.26</v>
    <v>49.81</v>
    <v>48.97</v>
    <v>49.5</v>
    <v>48.96</v>
    <v>48.31</v>
    <v>48.74</v>
    <v>46.89</v>
    <v>48.66</v>
    <v>48.92</v>
    <v>49.23</v>
    <v>48.2</v>
    <v>48.85</v>
    <v>49.37</v>
    <v>48.18</v>
    <v>48.9</v>
    <v>49.33</v>
    <v>49.58</v>
    <v>50.98</v>
    <v>50.82</v>
    <v>49.99</v>
    <v>50</v>
    <v>49.61</v>
    <v>48.74</v>
    <v>48.26</v>
    <v>46.96</v>
    <v>45.22</v>
    <v>45.86</v>
    <v>45.73</v>
    <v>42.88</v>
    <v>41.05</v>
    <v>39.409999999999997</v>
    <v>41.05</v>
    <v>39.14</v>
    <v>41.18</v>
    <v>40.270000000000003</v>
    <v>41.37</v>
    <v>41.77</v>
    <v>41.6</v>
    <v>42.2</v>
    <v>41.3</v>
    <v>42.17</v>
    <v>42.31</v>
    <v>43.25</v>
    <v>43.39</v>
    <v>42.54</v>
    <v>43.19</v>
    <v>45.19</v>
    <v>45.39</v>
    <v>44.69</v>
    <v>44.32</v>
    <v>45.05</v>
    <v>45.07</v>
    <v>46.63</v>
    <v>47.16</v>
    <v>47.29</v>
    <v>47.62</v>
    <v>47.6</v>
    <v>47.53</v>
    <v>47.84</v>
    <v>47.59</v>
    <v>47.33</v>
    <v>46.76</v>
    <v>47.32</v>
    <v>47.84</v>
    <v>47.3</v>
    <v>46.54</v>
    <v>46.12</v>
    <v>46.68</v>
    <v>47.22</v>
    <v>47.24</v>
    <v>47.27</v>
    <v>47.69</v>
    <v>47.3</v>
    <v>47.69</v>
    <v>47.62</v>
    <v>48.73</v>
    <v>47.69</v>
    <v>47.42</v>
    <v>47</v>
    <v>46.99</v>
    <v>46.12</v>
    <v>46.31</v>
    <v>45.86</v>
    <v>45.83</v>
    <v>47.79</v>
    <v>47.31</v>
    <v>46.69</v>
    <v>47.06</v>
    <v>47.47</v>
    <v>46.78</v>
    <v>47.09</v>
    <v>47.07</v>
    <v>47.25</v>
    <v>47.92</v>
    <v>47.54</v>
    <v>47.54</v>
    <v>48.18</v>
    <v>47.41</v>
    <v>52.1</v>
    <v>52.24</v>
    <v>52.58</v>
    <v>51.52</v>
    <v>52.72</v>
    <v>53.38</v>
    <v>53.16</v>
    <v>52.9</v>
    <v>53</v>
    <v>53.48</v>
    <v>53.52</v>
    <v>53.1</v>
    <v>53.02</v>
    <v>52.48</v>
    <v>53.28</v>
    <v>53.78</v>
    <v>53.26</v>
    <v>54.12</v>
    <v>53.86</v>
    <v>54.1</v>
    <v>53.86</v>
    <v>53.74</v>
    <v>54.28</v>
    <v>53.6</v>
    <v>53.42</v>
    <v>54.18</v>
    <v>53.88</v>
    <v>54.08</v>
    <v>53.8</v>
    <v>54.38</v>
    <v>53.68</v>
    <v>53.74</v>
    <v>52.76</v>
    <v>53.54</v>
    <v>55.06</v>
    <v>55.08</v>
    <v>55.94</v>
    <v>55.7</v>
    <v>56.62</v>
    <v>56.72</v>
    <v>56.8</v>
    <v>56.72</v>
    <v>55.78</v>
    <v>55.22</v>
    <v>55.86</v>
    <v>56.06</v>
    <v>56.64</v>
    <v>57.1</v>
    <v>56.66</v>
    <v>56.22</v>
    <v>56.72</v>
    <v>57</v>
    <v>57.32</v>
    <v>57.5</v>
    <v>58.34</v>
    <v>58.64</v>
    <v>58.86</v>
    <v>58.46</v>
    <v>58.94</v>
    <v>58.86</v>
    <v>58.3</v>
    <v>58.72</v>
    <v>58.56</v>
    <v>59.56</v>
    <v>59.18</v>
    <v>58.4</v>
    <v>58.98</v>
    <v>58.5</v>
    <v>57.66</v>
    <v>58.56</v>
    <v>59.2</v>
    <v>59.48</v>
    <v>59.64</v>
    <v>59.6</v>
    <v>59.96</v>
    <v>59.66</v>
    <v>59.4</v>
    <v>58.14</v>
    <v>57.86</v>
    <v>56.58</v>
    <v>56.12</v>
    <v>56.82</v>
    <v>57.08</v>
    <v>57.42</v>
    <v>56.16</v>
    <v>56.42</v>
    <v>56.4</v>
    <v>54.1</v>
    <v>54.46</v>
    <v>55.64</v>
    <v>54.62</v>
    <v>55.76</v>
    <v>55.76</v>
    <v>56.78</v>
    <v>57.12</v>
    <v>57.72</v>
    <v>57.22</v>
    <v>57.44</v>
    <v>57.02</v>
    <v>58.32</v>
    <v>58.68</v>
    <v>59.28</v>
    <v>58.68</v>
    <v>58.84</v>
    <v>58.62</v>
    <v>58.26</v>
    <v>58.94</v>
    <v>58.4</v>
    <v>57.3</v>
    <v>58.12</v>
    <v>58.62</v>
    <v>58.84</v>
    <v>59.14</v>
    <v>59</v>
    <v>59.22</v>
    <v>61.24</v>
    <v>60.66</v>
    <v>61.14</v>
    <v>59.24</v>
    <v>60.16</v>
    <v>60.64</v>
    <v>60.88</v>
    <v>60.2</v>
    <v>61.74</v>
    <v>61.6</v>
    <v>60.28</v>
    <v>59.9</v>
    <v>59.76</v>
    <v>59.5</v>
    <v>59.76</v>
    <v>60.4</v>
    <v>61.46</v>
    <v>61.2</v>
    <v>66.38</v>
    <v>66.66</v>
    <v>67.599999999999994</v>
    <v>68.040000000000006</v>
    <v>67.16</v>
    <v>66.44</v>
    <v>66.900000000000006</v>
    <v>68.34</v>
    <v>68.62</v>
    <v>69.52</v>
    <v>69.5</v>
    <v>69.98</v>
    <v>70.62</v>
    <v>69.8</v>
    <v>70.599999999999994</v>
    <v>69.92</v>
    <v>70.28</v>
    <v>69.8</v>
    <v>70.62</v>
    <v>71.400000000000006</v>
    <v>71.040000000000006</v>
    <v>71.819999999999993</v>
    <v>70.64</v>
    <v>67.2</v>
    <v>67.959999999999994</v>
    <v>66.58</v>
    <v>66.42</v>
    <v>65.28</v>
    <v>68.02</v>
    <v>67.66</v>
    <v>67.72</v>
    <v>66.44</v>
    <v>66.44</v>
    <v>66.58</v>
    <v>67.5</v>
    <v>65.84</v>
    <v>64.459999999999994</v>
    <v>64.78</v>
    <v>65.44</v>
    <v>67.040000000000006</v>
    <v>64.64</v>
    <v>63.14</v>
    <v>62.18</v>
    <v>63.24</v>
    <v>66.28</v>
    <v>65.84</v>
    <v>64.92</v>
    <v>70.099999999999994</v>
    <v>70.8</v>
    <v>71.84</v>
    <v>71.58</v>
    <v>72.2</v>
    <v>72.400000000000006</v>
    <v>72.44</v>
    <v>75.48</v>
    <v>74.260000000000005</v>
    <v>74.2</v>
    <v>76.72</v>
    <v>78.099999999999994</v>
    <v>77.900000000000006</v>
    <v>77.62</v>
    <v>76.42</v>
    <v>76.680000000000007</v>
    <v>78.44</v>
    <v>78.42</v>
    <v>80.58</v>
    <v>82.4</v>
    <v>81.22</v>
    <v>82.02</v>
    <v>83.56</v>
    <v>81.16</v>
    <v>82.86</v>
    <v>82.04</v>
    <v>81.06</v>
    <v>79.680000000000007</v>
    <v>81.34</v>
    <v>82.22</v>
    <v>83.8</v>
    <v>84.92</v>
    <v>83.68</v>
    <v>83.44</v>
    <v>83.62</v>
    <v>83.42</v>
    <v>86.1</v>
    <v>85.56</v>
    <v>84.66</v>
    <v>83.1</v>
    <v>82.68</v>
    <v>80.52</v>
    <v>79.599999999999994</v>
    <v>81.28</v>
    <v>81.62</v>
    <v>82.58</v>
    <v>84.02</v>
    <v>85.38</v>
    <v>86.86</v>
    <v>87.1</v>
    <v>88.56</v>
    <v>86.1</v>
    <v>86.58</v>
    <v>86.72</v>
    <v>84.52</v>
    <v>85.44</v>
    <v>87.58</v>
    <v>86.18</v>
    <v>84.92</v>
    <v>87.38</v>
    <v>87.1</v>
    <v>83.36</v>
    <v>82.36</v>
    <v>84.68</v>
    <v>83.58</v>
    <v>83.82</v>
    <v>85.48</v>
    <v>83.18</v>
    <v>78.260000000000005</v>
    <v>79.2</v>
    <v>79.28</v>
    <v>80.88</v>
    <v>80.7</v>
    <v>79.86</v>
    <v>80</v>
    <v>79</v>
    <v>77.42</v>
    <v>76.3</v>
    <v>78.66</v>
    <v>79.52</v>
    <v>80.08</v>
    <v>81.66</v>
    <v>82.34</v>
    <v>82.32</v>
    <v>81.760000000000005</v>
    <v>81.8</v>
    <v>82.64</v>
    <v>83.48</v>
    <v>83.24</v>
    <v>82.78</v>
    <v>83</v>
    <v>80.56</v>
    <v>80.38</v>
    <v>79.599999999999994</v>
    <v>80.2</v>
    <v>78.180000000000007</v>
    <v>79.62</v>
    <v>79.7</v>
    <v>79.28</v>
    <v>80.099999999999994</v>
    <v>79</v>
    <v>77.88</v>
    <v>77.459999999999994</v>
    <v>77.22</v>
    <v>77.760000000000005</v>
    <v>79</v>
    <v>80.98</v>
    <v>78.319999999999993</v>
    <v>77.86</v>
    <v>78.66</v>
    <v>75.44</v>
    <v>76.680000000000007</v>
    <v>78.260000000000005</v>
    <v>79.52</v>
    <v>80.02</v>
    <v>82.14</v>
    <v>83.1</v>
    <v>82.42</v>
    <v>80.5</v>
    <v>80.180000000000007</v>
    <v>79.78</v>
    <v>80.78</v>
    <v>79.42</v>
    <v>79.62</v>
    <v>81.900000000000006</v>
    <v>81.7</v>
    <v>82.58</v>
    <v>79.88</v>
    <v>78.8</v>
    <v>79.64</v>
    <v>80.02</v>
    <v>79.72</v>
    <v>78.88</v>
    <v>76.2</v>
    <v>75.680000000000007</v>
    <v>74.7</v>
    <v>70.959999999999994</v>
    <v>71.84</v>
    <v>68.92</v>
    <v>67.78</v>
  </a>
  <a r="1" c="251">
    <v t="i">0</v>
    <v t="i">1</v>
    <v t="i">4</v>
    <v t="i">5</v>
    <v t="i">6</v>
    <v t="i">7</v>
    <v t="i">8</v>
    <v t="i">11</v>
    <v t="i">12</v>
    <v t="i">13</v>
    <v t="i">14</v>
    <v t="i">15</v>
    <v t="i">18</v>
    <v t="i">19</v>
    <v t="i">20</v>
    <v t="i">21</v>
    <v t="i">22</v>
    <v t="i">25</v>
    <v t="i">26</v>
    <v t="i">27</v>
    <v t="i">28</v>
    <v t="i">29</v>
    <v t="i">32</v>
    <v t="i">33</v>
    <v t="i">34</v>
    <v t="i">35</v>
    <v t="i">36</v>
    <v t="i">39</v>
    <v t="i">40</v>
    <v t="i">41</v>
    <v t="i">42</v>
    <v t="i">43</v>
    <v t="i">46</v>
    <v t="i">47</v>
    <v t="i">48</v>
    <v t="i">49</v>
    <v t="i">50</v>
    <v t="i">53</v>
    <v t="i">54</v>
    <v t="i">55</v>
    <v t="i">56</v>
    <v t="i">57</v>
    <v t="i">60</v>
    <v t="i">61</v>
    <v t="i">67</v>
    <v t="i">68</v>
    <v t="i">74</v>
    <v t="i">75</v>
    <v t="i">76</v>
    <v t="i">77</v>
    <v t="i">78</v>
    <v t="i">81</v>
    <v t="i">82</v>
    <v t="i">83</v>
    <v t="i">84</v>
    <v t="i">85</v>
    <v t="i">88</v>
    <v t="i">89</v>
    <v t="i">90</v>
    <v t="i">91</v>
    <v t="i">92</v>
    <v t="i">95</v>
    <v t="i">96</v>
    <v t="i">97</v>
    <v t="i">98</v>
    <v t="i">99</v>
    <v t="i">102</v>
    <v t="i">103</v>
    <v t="i">104</v>
    <v t="i">105</v>
    <v t="i">106</v>
    <v t="i">109</v>
    <v t="i">110</v>
    <v t="i">111</v>
    <v t="i">112</v>
    <v t="i">113</v>
    <v t="i">116</v>
    <v t="i">117</v>
    <v t="i">118</v>
    <v t="i">119</v>
    <v t="i">120</v>
    <v t="i">123</v>
    <v t="i">124</v>
    <v t="i">125</v>
    <v t="i">126</v>
    <v t="i">127</v>
    <v t="i">130</v>
    <v t="i">131</v>
    <v t="i">132</v>
    <v t="i">133</v>
    <v t="i">134</v>
    <v t="i">137</v>
    <v t="i">138</v>
    <v t="i">139</v>
    <v t="i">140</v>
    <v t="i">141</v>
    <v t="i">144</v>
    <v t="i">145</v>
    <v t="i">146</v>
    <v t="i">147</v>
    <v t="i">148</v>
    <v t="i">151</v>
    <v t="i">152</v>
    <v t="i">153</v>
    <v t="i">154</v>
    <v t="i">155</v>
    <v t="i">158</v>
    <v t="i">159</v>
    <v t="i">160</v>
    <v t="i">161</v>
    <v t="i">166</v>
    <v t="i">167</v>
    <v t="i">168</v>
    <v t="i">169</v>
    <v t="i">172</v>
    <v t="i">173</v>
    <v t="i">174</v>
    <v t="i">175</v>
    <v t="i">176</v>
    <v t="i">179</v>
    <v t="i">180</v>
    <v t="i">181</v>
    <v t="i">182</v>
    <v t="i">183</v>
    <v t="i">186</v>
    <v t="i">187</v>
    <v t="i">188</v>
    <v t="i">189</v>
    <v t="i">193</v>
    <v t="i">194</v>
    <v t="i">195</v>
    <v t="i">196</v>
    <v t="i">197</v>
    <v t="i">200</v>
    <v t="i">201</v>
    <v t="i">202</v>
    <v t="i">204</v>
    <v t="i">207</v>
    <v t="i">208</v>
    <v t="i">209</v>
    <v t="i">210</v>
    <v t="i">211</v>
    <v t="i">215</v>
    <v t="i">216</v>
    <v t="i">217</v>
    <v t="i">218</v>
    <v t="i">221</v>
    <v t="i">222</v>
    <v t="i">223</v>
    <v t="i">224</v>
    <v t="i">225</v>
    <v t="i">228</v>
    <v t="i">229</v>
    <v t="i">230</v>
    <v t="i">231</v>
    <v t="i">232</v>
    <v t="i">235</v>
    <v t="i">236</v>
    <v t="i">237</v>
    <v t="i">238</v>
    <v t="i">239</v>
    <v t="i">242</v>
    <v t="i">243</v>
    <v t="i">244</v>
    <v t="i">245</v>
    <v t="i">246</v>
    <v t="i">249</v>
    <v t="i">250</v>
    <v t="i">251</v>
    <v t="i">252</v>
    <v t="i">253</v>
    <v t="i">256</v>
    <v t="i">257</v>
    <v t="i">258</v>
    <v t="i">259</v>
    <v t="i">260</v>
    <v t="i">263</v>
    <v t="i">264</v>
    <v t="i">265</v>
    <v t="i">266</v>
    <v t="i">267</v>
    <v t="i">270</v>
    <v t="i">271</v>
    <v t="i">272</v>
    <v t="i">273</v>
    <v t="i">274</v>
    <v t="i">277</v>
    <v t="i">278</v>
    <v t="i">279</v>
    <v t="i">280</v>
    <v t="i">281</v>
    <v t="i">284</v>
    <v t="i">285</v>
    <v t="i">286</v>
    <v t="i">287</v>
    <v t="i">288</v>
    <v t="i">291</v>
    <v t="i">292</v>
    <v t="i">293</v>
    <v t="i">294</v>
    <v t="i">295</v>
    <v t="i">298</v>
    <v t="i">299</v>
    <v t="i">300</v>
    <v t="i">301</v>
    <v t="i">302</v>
    <v t="i">305</v>
    <v t="i">306</v>
    <v t="i">307</v>
    <v t="i">308</v>
    <v t="i">309</v>
    <v t="i">312</v>
    <v t="i">313</v>
    <v t="i">314</v>
    <v t="i">315</v>
    <v t="i">316</v>
    <v t="i">319</v>
    <v t="i">320</v>
    <v t="i">321</v>
    <v t="i">322</v>
    <v t="i">323</v>
    <v t="i">326</v>
    <v t="i">327</v>
    <v t="i">328</v>
    <v t="i">329</v>
    <v t="i">330</v>
    <v t="i">333</v>
    <v t="i">334</v>
    <v t="i">335</v>
    <v t="i">336</v>
    <v t="i">337</v>
    <v t="i">340</v>
    <v t="i">341</v>
    <v t="i">342</v>
    <v t="i">343</v>
    <v t="i">344</v>
    <v t="i">347</v>
    <v t="i">348</v>
    <v t="i">349</v>
    <v t="i">350</v>
    <v t="i">351</v>
    <v t="i">354</v>
    <v t="i">355</v>
    <v t="i">356</v>
    <v t="i">357</v>
    <v t="i">358</v>
    <v t="i">361</v>
    <v t="i">362</v>
    <v t="i">363</v>
    <v t="i">364</v>
    <v t="i">365</v>
  </a>
  <a r="1" c="251">
    <v>58.56</v>
    <v>59.2</v>
    <v>59.48</v>
    <v>59.64</v>
    <v>59.6</v>
    <v>59.96</v>
    <v>59.66</v>
    <v>59.4</v>
    <v>58.14</v>
    <v>57.86</v>
    <v>56.58</v>
    <v>56.12</v>
    <v>56.82</v>
    <v>57.08</v>
    <v>57.42</v>
    <v>56.16</v>
    <v>56.42</v>
    <v>56.4</v>
    <v>54.1</v>
    <v>54.46</v>
    <v>55.64</v>
    <v>54.62</v>
    <v>55.76</v>
    <v>55.76</v>
    <v>56.78</v>
    <v>57.12</v>
    <v>57.72</v>
    <v>57.22</v>
    <v>57.44</v>
    <v>57.02</v>
    <v>58.32</v>
    <v>58.68</v>
    <v>59.28</v>
    <v>58.68</v>
    <v>58.84</v>
    <v>58.62</v>
    <v>58.26</v>
    <v>58.94</v>
    <v>58.4</v>
    <v>57.3</v>
    <v>58.12</v>
    <v>58.62</v>
    <v>58.84</v>
    <v>59.14</v>
    <v>59</v>
    <v>59.22</v>
    <v>61.24</v>
    <v>60.66</v>
    <v>61.14</v>
    <v>59.24</v>
    <v>60.16</v>
    <v>60.64</v>
    <v>60.88</v>
    <v>60.2</v>
    <v>61.74</v>
    <v>61.6</v>
    <v>60.28</v>
    <v>59.9</v>
    <v>59.76</v>
    <v>59.5</v>
    <v>59.76</v>
    <v>60.4</v>
    <v>61.46</v>
    <v>61.2</v>
    <v>66.38</v>
    <v>66.66</v>
    <v>67.599999999999994</v>
    <v>68.040000000000006</v>
    <v>67.16</v>
    <v>66.44</v>
    <v>66.900000000000006</v>
    <v>68.34</v>
    <v>68.62</v>
    <v>69.52</v>
    <v>69.5</v>
    <v>69.98</v>
    <v>70.62</v>
    <v>69.8</v>
    <v>70.599999999999994</v>
    <v>69.92</v>
    <v>70.28</v>
    <v>69.8</v>
    <v>70.62</v>
    <v>71.400000000000006</v>
    <v>71.040000000000006</v>
    <v>71.819999999999993</v>
    <v>70.64</v>
    <v>67.2</v>
    <v>67.959999999999994</v>
    <v>66.58</v>
    <v>66.42</v>
    <v>65.28</v>
    <v>68.02</v>
    <v>67.66</v>
    <v>67.72</v>
    <v>66.44</v>
    <v>66.44</v>
    <v>66.58</v>
    <v>67.5</v>
    <v>65.84</v>
    <v>64.459999999999994</v>
    <v>64.78</v>
    <v>65.44</v>
    <v>67.040000000000006</v>
    <v>64.64</v>
    <v>63.14</v>
    <v>62.18</v>
    <v>63.24</v>
    <v>66.28</v>
    <v>65.84</v>
    <v>64.92</v>
    <v>70.099999999999994</v>
    <v>70.8</v>
    <v>71.84</v>
    <v>71.58</v>
    <v>72.2</v>
    <v>72.400000000000006</v>
    <v>72.44</v>
    <v>75.48</v>
    <v>74.260000000000005</v>
    <v>74.2</v>
    <v>76.72</v>
    <v>78.099999999999994</v>
    <v>77.900000000000006</v>
    <v>77.62</v>
    <v>76.42</v>
    <v>76.680000000000007</v>
    <v>78.44</v>
    <v>78.42</v>
    <v>80.58</v>
    <v>82.4</v>
    <v>81.22</v>
    <v>82.02</v>
    <v>83.56</v>
    <v>81.16</v>
    <v>82.86</v>
    <v>82.04</v>
    <v>81.06</v>
    <v>79.680000000000007</v>
    <v>81.34</v>
    <v>82.22</v>
    <v>83.8</v>
    <v>84.92</v>
    <v>83.68</v>
    <v>83.44</v>
    <v>83.62</v>
    <v>83.42</v>
    <v>86.1</v>
    <v>85.56</v>
    <v>84.66</v>
    <v>83.1</v>
    <v>82.68</v>
    <v>80.52</v>
    <v>79.599999999999994</v>
    <v>81.28</v>
    <v>81.62</v>
    <v>82.58</v>
    <v>84.02</v>
    <v>85.38</v>
    <v>86.86</v>
    <v>87.1</v>
    <v>88.56</v>
    <v>86.1</v>
    <v>86.58</v>
    <v>86.72</v>
    <v>84.52</v>
    <v>85.44</v>
    <v>87.58</v>
    <v>86.18</v>
    <v>84.92</v>
    <v>87.38</v>
    <v>87.1</v>
    <v>83.36</v>
    <v>82.36</v>
    <v>84.68</v>
    <v>83.58</v>
    <v>83.82</v>
    <v>85.48</v>
    <v>83.18</v>
    <v>78.260000000000005</v>
    <v>79.2</v>
    <v>79.28</v>
    <v>80.88</v>
    <v>80.7</v>
    <v>79.86</v>
    <v>80</v>
    <v>79</v>
    <v>77.42</v>
    <v>76.3</v>
    <v>78.66</v>
    <v>79.52</v>
    <v>80.08</v>
    <v>81.66</v>
    <v>82.34</v>
    <v>82.32</v>
    <v>81.760000000000005</v>
    <v>81.8</v>
    <v>82.64</v>
    <v>83.48</v>
    <v>83.24</v>
    <v>82.78</v>
    <v>83</v>
    <v>80.56</v>
    <v>80.38</v>
    <v>79.599999999999994</v>
    <v>80.2</v>
    <v>78.180000000000007</v>
    <v>79.62</v>
    <v>79.7</v>
    <v>79.28</v>
    <v>80.099999999999994</v>
    <v>79</v>
    <v>77.88</v>
    <v>77.459999999999994</v>
    <v>77.22</v>
    <v>77.760000000000005</v>
    <v>79</v>
    <v>80.98</v>
    <v>78.319999999999993</v>
    <v>77.86</v>
    <v>78.66</v>
    <v>75.44</v>
    <v>76.680000000000007</v>
    <v>78.260000000000005</v>
    <v>79.52</v>
    <v>80.02</v>
    <v>82.14</v>
    <v>83.1</v>
    <v>82.42</v>
    <v>80.5</v>
    <v>80.180000000000007</v>
    <v>79.78</v>
    <v>80.78</v>
    <v>79.42</v>
    <v>79.62</v>
    <v>81.900000000000006</v>
    <v>81.7</v>
    <v>82.58</v>
    <v>79.88</v>
    <v>78.8</v>
    <v>79.64</v>
    <v>80.02</v>
    <v>79.72</v>
    <v>78.88</v>
    <v>76.2</v>
    <v>75.680000000000007</v>
    <v>74.7</v>
    <v>70.959999999999994</v>
    <v>71.84</v>
    <v>68.92</v>
    <v>67.78</v>
  </a>
  <a r="1" c="208">
    <v>81.709999999999994</v>
    <v>82.2</v>
    <v>82.32</v>
    <v>82.48</v>
    <v>82.6</v>
    <v>82.89</v>
    <v>82.59</v>
    <v>82.82</v>
    <v>82.65</v>
    <v>83.16</v>
    <v>83.2</v>
    <v>82.74</v>
    <v>82.06</v>
    <v>82.48</v>
    <v>82.27</v>
    <v>82.01</v>
    <v>81.260000000000005</v>
    <v>80.66</v>
    <v>80.91</v>
    <v>80.78</v>
    <v>81.180000000000007</v>
    <v>81.86</v>
    <v>81.709999999999994</v>
    <v>81.849999999999994</v>
    <v>81.75</v>
    <v>81.709999999999994</v>
    <v>81.349999999999994</v>
    <v>81.34</v>
    <v>81.41</v>
    <v>81.459999999999994</v>
    <v>81.59</v>
    <v>81.8</v>
    <v>81.84</v>
    <v>82.06</v>
    <v>81.08</v>
    <v>81.099999999999994</v>
    <v>80.94</v>
    <v>80.89</v>
    <v>80.88</v>
    <v>80.930000000000007</v>
    <v>80.66</v>
    <v>81.5</v>
    <v>81.760000000000005</v>
    <v>81.650000000000006</v>
    <v>82.22</v>
    <v>81.36</v>
    <v>81.64</v>
    <v>81.510000000000005</v>
    <v>81.66</v>
    <v>81.819999999999993</v>
    <v>82.01</v>
    <v>82.02</v>
    <v>81.819999999999993</v>
    <v>81.87</v>
    <v>81.34</v>
    <v>81.2</v>
    <v>80.849999999999994</v>
    <v>80.819999999999993</v>
    <v>81.31</v>
    <v>81.209999999999994</v>
    <v>80.64</v>
    <v>81.69</v>
    <v>81.42</v>
    <v>81.31</v>
    <v>81.72</v>
    <v>81.510000000000005</v>
    <v>81.45</v>
    <v>81.45</v>
    <v>81.260000000000005</v>
    <v>81.25</v>
    <v>81.010000000000005</v>
    <v>81.03</v>
    <v>81.06</v>
    <v>81.23</v>
    <v>81.28</v>
    <v>81.25</v>
    <v>81.69</v>
    <v>81.83</v>
    <v>81.63</v>
    <v>81.45</v>
    <v>81.599999999999994</v>
    <v>81.569999999999993</v>
    <v>81.44</v>
    <v>81.569999999999993</v>
    <v>81.52</v>
    <v>81.45</v>
    <v>81.349999999999994</v>
    <v>81.099999999999994</v>
    <v>81.22</v>
    <v>81.16</v>
    <v>81.319999999999993</v>
    <v>81.92</v>
    <v>81.77</v>
    <v>81.69</v>
    <v>81.739999999999995</v>
    <v>81.739999999999995</v>
    <v>80.819999999999993</v>
    <v>81</v>
    <v>80.94</v>
    <v>80.97</v>
    <v>80.900000000000006</v>
    <v>80.900000000000006</v>
    <v>80.8</v>
    <v>81.099999999999994</v>
    <v>81.16</v>
    <v>81.040000000000006</v>
    <v>81.209999999999994</v>
    <v>81.37</v>
    <v>81.47</v>
    <v>81.3</v>
    <v>81.39</v>
    <v>81.62</v>
    <v>81.5</v>
    <v>81.569999999999993</v>
    <v>81.41</v>
    <v>81.64</v>
    <v>82.29</v>
    <v>82.52</v>
    <v>82.61</v>
    <v>82.96</v>
    <v>83.19</v>
    <v>83</v>
    <v>82.98</v>
    <v>82.82</v>
    <v>82.83</v>
    <v>83.23</v>
    <v>82.93</v>
    <v>82.98</v>
    <v>83.16</v>
    <v>82.95</v>
    <v>82.87</v>
    <v>82.95</v>
    <v>82.83</v>
    <v>82.97</v>
    <v>82.72</v>
    <v>82.87</v>
    <v>82.99</v>
    <v>82.84</v>
    <v>82.96</v>
    <v>83</v>
    <v>82.84</v>
    <v>82.89</v>
    <v>82.83</v>
    <v>82.92</v>
    <v>82.77</v>
    <v>82.82</v>
    <v>82.05</v>
    <v>82</v>
    <v>82.22</v>
    <v>82.45</v>
    <v>82.25</v>
    <v>82.51</v>
    <v>82.37</v>
    <v>82.28</v>
    <v>82.17</v>
    <v>82.23</v>
    <v>82.51</v>
    <v>82.26</v>
    <v>82.15</v>
    <v>81.99</v>
    <v>81.599999999999994</v>
    <v>80.11</v>
    <v>80.13</v>
    <v>80.260000000000005</v>
    <v>80.45</v>
    <v>80.489999999999995</v>
    <v>80.56</v>
    <v>80.89</v>
    <v>80.48</v>
    <v>80.7</v>
    <v>80.599999999999994</v>
    <v>80.510000000000005</v>
    <v>80.48</v>
    <v>80.39</v>
    <v>80.459999999999994</v>
    <v>80.36</v>
    <v>80.099999999999994</v>
    <v>80.28</v>
    <v>80.319999999999993</v>
    <v>80.27</v>
    <v>80.489999999999995</v>
    <v>80.930000000000007</v>
    <v>80.88</v>
    <v>81.03</v>
    <v>81.150000000000006</v>
    <v>81.3</v>
    <v>81.010000000000005</v>
    <v>80.61</v>
    <v>80.599999999999994</v>
    <v>80.540000000000006</v>
    <v>80.400000000000006</v>
    <v>81</v>
    <v>81.209999999999994</v>
    <v>81.42</v>
    <v>81.48</v>
    <v>81.81</v>
    <v>81.78</v>
    <v>81.819999999999993</v>
    <v>82.05</v>
    <v>81.95</v>
    <v>81.99</v>
    <v>81.83</v>
    <v>81.42</v>
    <v>81.36</v>
    <v>81.290000000000006</v>
    <v>81.45</v>
    <v>81.52</v>
    <v>81.540000000000006</v>
  </a>
  <a r="1" c="761">
    <v>83.25</v>
    <v>83.82</v>
    <v>83.83</v>
    <v>84.2</v>
    <v>83.97</v>
    <v>83.72</v>
    <v>84.5</v>
    <v>85.1</v>
    <v>85.48</v>
    <v>85.28</v>
    <v>85.38</v>
    <v>85.56</v>
    <v>85.49</v>
    <v>85.21</v>
    <v>85.48</v>
    <v>85.34</v>
    <v>85.01</v>
    <v>84.59</v>
    <v>81.96</v>
    <v>82.01</v>
    <v>81.650000000000006</v>
    <v>81.87</v>
    <v>82.44</v>
    <v>82.18</v>
    <v>81.96</v>
    <v>82.08</v>
    <v>81.84</v>
    <v>82.49</v>
    <v>82.8</v>
    <v>83.66</v>
    <v>83.93</v>
    <v>84.18</v>
    <v>84.42</v>
    <v>84.41</v>
    <v>84.49</v>
    <v>84.23</v>
    <v>84.12</v>
    <v>84.5</v>
    <v>84.47</v>
    <v>85.06</v>
    <v>84.64</v>
    <v>84.55</v>
    <v>84.88</v>
    <v>84.77</v>
    <v>84.62</v>
    <v>83.98</v>
    <v>84.18</v>
    <v>84.51</v>
    <v>84.63</v>
    <v>84.56</v>
    <v>84.21</v>
    <v>84.15</v>
    <v>84.2</v>
    <v>84.71</v>
    <v>84.7</v>
    <v>84.64</v>
    <v>84.93</v>
    <v>84.9</v>
    <v>85.18</v>
    <v>84.91</v>
    <v>84.94</v>
    <v>84.72</v>
    <v>85.13</v>
    <v>85.26</v>
    <v>85.03</v>
    <v>85.73</v>
    <v>85.63</v>
    <v>86.04</v>
    <v>85.68</v>
    <v>85.61</v>
    <v>85.79</v>
    <v>86.01</v>
    <v>86.13</v>
    <v>86.37</v>
    <v>86.25</v>
    <v>86.41</v>
    <v>86.28</v>
    <v>86.38</v>
    <v>86.26</v>
    <v>86.36</v>
    <v>86.24</v>
    <v>85.91</v>
    <v>85.84</v>
    <v>85.66</v>
    <v>85.64</v>
    <v>85.85</v>
    <v>85.91</v>
    <v>85.41</v>
    <v>85.32</v>
    <v>85.62</v>
    <v>85.9</v>
    <v>85.92</v>
    <v>85.89</v>
    <v>85.91</v>
    <v>85.66</v>
    <v>85.49</v>
    <v>85.63</v>
    <v>85.68</v>
    <v>85.7</v>
    <v>85.63</v>
    <v>85.56</v>
    <v>85.7</v>
    <v>85.74</v>
    <v>86.14</v>
    <v>86.23</v>
    <v>86.65</v>
    <v>87.11</v>
    <v>86.7</v>
    <v>86.67</v>
    <v>86.89</v>
    <v>87.25</v>
    <v>86.95</v>
    <v>86.53</v>
    <v>86.47</v>
    <v>86.55</v>
    <v>86.37</v>
    <v>86.5</v>
    <v>86.84</v>
    <v>86.66</v>
    <v>87.38</v>
    <v>87.18</v>
    <v>86.68</v>
    <v>86.71</v>
    <v>86.76</v>
    <v>86.94</v>
    <v>87.18</v>
    <v>87.17</v>
    <v>87.01</v>
    <v>86.45</v>
    <v>87.3</v>
    <v>87.17</v>
    <v>87.15</v>
    <v>87.61</v>
    <v>87.57</v>
    <v>87.62</v>
    <v>87.61</v>
    <v>87.68</v>
    <v>87.3</v>
    <v>87.32</v>
    <v>87.21</v>
    <v>86.96</v>
    <v>87.01</v>
    <v>84.2</v>
    <v>84.06</v>
    <v>84.14</v>
    <v>84.33</v>
    <v>84.17</v>
    <v>84.06</v>
    <v>83.9</v>
    <v>83.96</v>
    <v>83.74</v>
    <v>83.78</v>
    <v>83.88</v>
    <v>84.01</v>
    <v>83.97</v>
    <v>84.11</v>
    <v>84.47</v>
    <v>84.31</v>
    <v>84.64</v>
    <v>84.97</v>
    <v>85.09</v>
    <v>84.77</v>
    <v>85.36</v>
    <v>85.67</v>
    <v>85.34</v>
    <v>85.57</v>
    <v>85.44</v>
    <v>85.63</v>
    <v>85.92</v>
    <v>85.7</v>
    <v>85.87</v>
    <v>85.87</v>
    <v>85.74</v>
    <v>85.67</v>
    <v>85.59</v>
    <v>85.43</v>
    <v>85.17</v>
    <v>85.25</v>
    <v>85.4</v>
    <v>85.23</v>
    <v>85.38</v>
    <v>85.34</v>
    <v>85.39</v>
    <v>85.46</v>
    <v>85.27</v>
    <v>85.5</v>
    <v>85.29</v>
    <v>85.38</v>
    <v>85.44</v>
    <v>85.72</v>
    <v>86.03</v>
    <v>85.97</v>
    <v>85.88</v>
    <v>86.05</v>
    <v>86.19</v>
    <v>86.23</v>
    <v>86.25</v>
    <v>86.72</v>
    <v>85.02</v>
    <v>84.25</v>
    <v>85.11</v>
    <v>85.48</v>
    <v>85.49</v>
    <v>85.49</v>
    <v>85.31</v>
    <v>85.48</v>
    <v>85.21</v>
    <v>85.73</v>
    <v>85.42</v>
    <v>85.09</v>
    <v>84.95</v>
    <v>85.08</v>
    <v>85.05</v>
    <v>85.04</v>
    <v>85.12</v>
    <v>85.34</v>
    <v>85.83</v>
    <v>85.93</v>
    <v>85.88</v>
    <v>85.99</v>
    <v>85.84</v>
    <v>85.89</v>
    <v>85.95</v>
    <v>86.51</v>
    <v>86.58</v>
    <v>86.44</v>
    <v>86.56</v>
    <v>86.5</v>
    <v>86.45</v>
    <v>86.65</v>
    <v>86.61</v>
    <v>86.8</v>
    <v>86.52</v>
    <v>86.68</v>
    <v>86.49</v>
    <v>86.49</v>
    <v>86.3</v>
    <v>86.63</v>
    <v>87</v>
    <v>87.71</v>
    <v>87.7</v>
    <v>87.74</v>
    <v>88.16</v>
    <v>87.88</v>
    <v>87.77</v>
    <v>87.93</v>
    <v>88.15</v>
    <v>87.98</v>
    <v>88.19</v>
    <v>88.53</v>
    <v>88.99</v>
    <v>89.07</v>
    <v>89.06</v>
    <v>89.01</v>
    <v>88.97</v>
    <v>89.06</v>
    <v>89.06</v>
    <v>89.02</v>
    <v>89.03</v>
    <v>89.08</v>
    <v>88.64</v>
    <v>88.5</v>
    <v>88.48</v>
    <v>88.06</v>
    <v>87.93</v>
    <v>89.9</v>
    <v>89.69</v>
    <v>90.47</v>
    <v>91.09</v>
    <v>91.19</v>
    <v>91.41</v>
    <v>88.61</v>
    <v>88.43</v>
    <v>88.29</v>
    <v>88.5</v>
    <v>89.06</v>
    <v>89.5</v>
    <v>90.01</v>
    <v>89.63</v>
    <v>89.68</v>
    <v>88.96</v>
    <v>89.24</v>
    <v>89.47</v>
    <v>90.04</v>
    <v>89.81</v>
    <v>89.62</v>
    <v>89.25</v>
    <v>89.43</v>
    <v>89.07</v>
    <v>89.83</v>
    <v>90.02</v>
    <v>89.82</v>
    <v>89.62</v>
    <v>89.58</v>
    <v>89.47</v>
    <v>89.67</v>
    <v>89.65</v>
    <v>89.73</v>
    <v>89.69</v>
    <v>89.72</v>
    <v>89.81</v>
    <v>91.43</v>
    <v>91.11</v>
    <v>90.41</v>
    <v>90.42</v>
    <v>90.84</v>
    <v>90.86</v>
    <v>91.16</v>
    <v>91.21</v>
    <v>90.56</v>
    <v>91.27</v>
    <v>91.31</v>
    <v>91.6</v>
    <v>90.86</v>
    <v>90.74</v>
    <v>90.7</v>
    <v>90.74</v>
    <v>90.04</v>
    <v>90.18</v>
    <v>90.62</v>
    <v>90.94</v>
    <v>90.9</v>
    <v>91.19</v>
    <v>91.86</v>
    <v>91.12</v>
    <v>91.05</v>
    <v>91.54</v>
    <v>91.51</v>
    <v>91.98</v>
    <v>91.64</v>
    <v>91.18</v>
    <v>90.74</v>
    <v>90.54</v>
    <v>90.66</v>
    <v>90.71</v>
    <v>91.07</v>
    <v>90.81</v>
    <v>90.94</v>
    <v>90.92</v>
    <v>90.63</v>
    <v>90.77</v>
    <v>91.76</v>
    <v>91.82</v>
    <v>91.01</v>
    <v>90.41</v>
    <v>88.59</v>
    <v>88.07</v>
    <v>87.96</v>
    <v>87.93</v>
    <v>86.96</v>
    <v>86.96</v>
    <v>87.03</v>
    <v>87.27</v>
    <v>87.01</v>
    <v>86.92</v>
    <v>87.5</v>
    <v>88.13</v>
    <v>88.15</v>
    <v>88.4</v>
    <v>88.3</v>
    <v>88.3</v>
    <v>88.1</v>
    <v>87.45</v>
    <v>87.93</v>
    <v>88.07</v>
    <v>87.76</v>
    <v>85.34</v>
    <v>84.86</v>
    <v>83.93</v>
    <v>85.11</v>
    <v>82.45</v>
    <v>82.64</v>
    <v>81.38</v>
    <v>81.91</v>
    <v>82.75</v>
    <v>82.57</v>
    <v>82.61</v>
    <v>81.93</v>
    <v>83</v>
    <v>83.42</v>
    <v>83.77</v>
    <v>83.7</v>
    <v>83.73</v>
    <v>83.98</v>
    <v>84.21</v>
    <v>84.38</v>
    <v>84.18</v>
    <v>84.21</v>
    <v>84.84</v>
    <v>84.9</v>
    <v>86.6</v>
    <v>86.19</v>
    <v>85.78</v>
    <v>83.47</v>
    <v>83.79</v>
    <v>82.89</v>
    <v>82.87</v>
    <v>82.27</v>
    <v>82.25</v>
    <v>81.81</v>
    <v>81.91</v>
    <v>82.22</v>
    <v>82.59</v>
    <v>82.33</v>
    <v>82.23</v>
    <v>81.72</v>
    <v>82.28</v>
    <v>81.98</v>
    <v>81.849999999999994</v>
    <v>82.13</v>
    <v>82.06</v>
    <v>81.97</v>
    <v>81.61</v>
    <v>81.16</v>
    <v>81.14</v>
    <v>81.25</v>
    <v>81.510000000000005</v>
    <v>81.69</v>
    <v>81.96</v>
    <v>81.790000000000006</v>
    <v>81.8</v>
    <v>81.45</v>
    <v>81.47</v>
    <v>80.959999999999994</v>
    <v>81.040000000000006</v>
    <v>81.040000000000006</v>
    <v>80.88</v>
    <v>80.8</v>
    <v>81.05</v>
    <v>80.81</v>
    <v>81.06</v>
    <v>81.13</v>
    <v>81.16</v>
    <v>81.37</v>
    <v>81.11</v>
    <v>81.33</v>
    <v>81.680000000000007</v>
    <v>80.930000000000007</v>
    <v>81.96</v>
    <v>81.56</v>
    <v>81.290000000000006</v>
    <v>81.16</v>
    <v>81.23</v>
    <v>81.08</v>
    <v>81.290000000000006</v>
    <v>82.07</v>
    <v>82.6</v>
    <v>82.96</v>
    <v>83.44</v>
    <v>82.65</v>
    <v>82.58</v>
    <v>82.43</v>
    <v>82.14</v>
    <v>82.2</v>
    <v>82.02</v>
    <v>82.49</v>
    <v>81.89</v>
    <v>81.84</v>
    <v>82.26</v>
    <v>82.07</v>
    <v>82.07</v>
    <v>82.13</v>
    <v>82.35</v>
    <v>82.09</v>
    <v>82.4</v>
    <v>82.79</v>
    <v>83.24</v>
    <v>82.87</v>
    <v>82.68</v>
    <v>82.59</v>
    <v>82.61</v>
    <v>82.8</v>
    <v>83.26</v>
    <v>82.81</v>
    <v>82.96</v>
    <v>82.79</v>
    <v>83.04</v>
    <v>83.16</v>
    <v>83.17</v>
    <v>83.11</v>
    <v>82.48</v>
    <v>82.36</v>
    <v>82.9</v>
    <v>83.21</v>
    <v>82.97</v>
    <v>83.04</v>
    <v>83.2</v>
    <v>83.41</v>
    <v>83.36</v>
    <v>83.29</v>
    <v>83.22</v>
    <v>83.31</v>
    <v>83.53</v>
    <v>83.16</v>
    <v>83.55</v>
    <v>83.69</v>
    <v>84.18</v>
    <v>84.18</v>
    <v>83.51</v>
    <v>83.9</v>
    <v>83.78</v>
    <v>83.97</v>
    <v>83.66</v>
    <v>83.4</v>
    <v>83.8</v>
    <v>84.3</v>
    <v>84.15</v>
    <v>84.23</v>
    <v>84.37</v>
    <v>84.43</v>
    <v>84.22</v>
    <v>84.24</v>
    <v>84.56</v>
    <v>84.71</v>
    <v>84.75</v>
    <v>84.75</v>
    <v>84.94</v>
    <v>84.56</v>
    <v>84.16</v>
    <v>84.71</v>
    <v>84.52</v>
    <v>84.4</v>
    <v>81.34</v>
    <v>81.59</v>
    <v>81.59</v>
    <v>81.540000000000006</v>
    <v>81.99</v>
    <v>82.13</v>
    <v>82.15</v>
    <v>82.43</v>
    <v>82.21</v>
    <v>82.17</v>
    <v>82.23</v>
    <v>82.37</v>
    <v>82.09</v>
    <v>82.1</v>
    <v>81.96</v>
    <v>81.93</v>
    <v>82.09</v>
    <v>82.03</v>
    <v>81.91</v>
    <v>81.81</v>
    <v>81.41</v>
    <v>81.37</v>
    <v>81.33</v>
    <v>81.12</v>
    <v>81.14</v>
    <v>81.599999999999994</v>
    <v>81.75</v>
    <v>81.3</v>
    <v>81.3</v>
    <v>81.430000000000007</v>
    <v>81.69</v>
    <v>81.709999999999994</v>
    <v>82.2</v>
    <v>82.32</v>
    <v>82.48</v>
    <v>82.6</v>
    <v>82.89</v>
    <v>82.59</v>
    <v>82.82</v>
    <v>82.65</v>
    <v>83.16</v>
    <v>83.2</v>
    <v>82.74</v>
    <v>82.06</v>
    <v>82.48</v>
    <v>82.27</v>
    <v>82.01</v>
    <v>81.260000000000005</v>
    <v>80.66</v>
    <v>80.91</v>
    <v>80.78</v>
    <v>81.180000000000007</v>
    <v>81.86</v>
    <v>81.709999999999994</v>
    <v>81.849999999999994</v>
    <v>81.75</v>
    <v>81.709999999999994</v>
    <v>81.349999999999994</v>
    <v>81.34</v>
    <v>81.41</v>
    <v>81.459999999999994</v>
    <v>81.59</v>
    <v>81.8</v>
    <v>81.84</v>
    <v>82.06</v>
    <v>81.08</v>
    <v>81.099999999999994</v>
    <v>80.94</v>
    <v>80.89</v>
    <v>80.88</v>
    <v>80.930000000000007</v>
    <v>80.66</v>
    <v>81.5</v>
    <v>81.760000000000005</v>
    <v>81.650000000000006</v>
    <v>82.22</v>
    <v>81.36</v>
    <v>81.64</v>
    <v>81.510000000000005</v>
    <v>81.66</v>
    <v>81.819999999999993</v>
    <v>82.01</v>
    <v>82.02</v>
    <v>81.819999999999993</v>
    <v>81.87</v>
    <v>81.34</v>
    <v>81.2</v>
    <v>80.849999999999994</v>
    <v>80.819999999999993</v>
    <v>81.31</v>
    <v>81.209999999999994</v>
    <v>80.64</v>
    <v>81.69</v>
    <v>81.42</v>
    <v>81.31</v>
    <v>81.72</v>
    <v>81.510000000000005</v>
    <v>81.45</v>
    <v>81.45</v>
    <v>81.260000000000005</v>
    <v>81.25</v>
    <v>81.010000000000005</v>
    <v>81.03</v>
    <v>81.06</v>
    <v>81.23</v>
    <v>81.28</v>
    <v>81.25</v>
    <v>81.69</v>
    <v>81.83</v>
    <v>81.63</v>
    <v>81.45</v>
    <v>81.599999999999994</v>
    <v>81.569999999999993</v>
    <v>81.44</v>
    <v>81.569999999999993</v>
    <v>81.52</v>
    <v>81.45</v>
    <v>81.349999999999994</v>
    <v>81.099999999999994</v>
    <v>81.22</v>
    <v>81.16</v>
    <v>81.319999999999993</v>
    <v>81.92</v>
    <v>81.77</v>
    <v>81.69</v>
    <v>81.739999999999995</v>
    <v>81.739999999999995</v>
    <v>80.819999999999993</v>
    <v>81</v>
    <v>80.94</v>
    <v>80.97</v>
    <v>80.900000000000006</v>
    <v>80.900000000000006</v>
    <v>80.8</v>
    <v>81.099999999999994</v>
    <v>81.16</v>
    <v>81.040000000000006</v>
    <v>81.209999999999994</v>
    <v>81.37</v>
    <v>81.47</v>
    <v>81.3</v>
    <v>81.39</v>
    <v>81.62</v>
    <v>81.5</v>
    <v>81.569999999999993</v>
    <v>81.41</v>
    <v>81.64</v>
    <v>82.29</v>
    <v>82.52</v>
    <v>82.61</v>
    <v>82.96</v>
    <v>83.19</v>
    <v>83</v>
    <v>82.98</v>
    <v>82.82</v>
    <v>82.83</v>
    <v>83.23</v>
    <v>82.93</v>
    <v>82.98</v>
    <v>83.16</v>
    <v>82.95</v>
    <v>82.87</v>
    <v>82.95</v>
    <v>82.83</v>
    <v>82.97</v>
    <v>82.72</v>
    <v>82.87</v>
    <v>82.99</v>
    <v>82.84</v>
    <v>82.96</v>
    <v>83</v>
    <v>82.84</v>
    <v>82.89</v>
    <v>82.83</v>
    <v>82.92</v>
    <v>82.77</v>
    <v>82.82</v>
    <v>82.05</v>
    <v>82</v>
    <v>82.22</v>
    <v>82.45</v>
    <v>82.25</v>
    <v>82.51</v>
    <v>82.37</v>
    <v>82.28</v>
    <v>82.17</v>
    <v>82.23</v>
    <v>82.51</v>
    <v>82.26</v>
    <v>82.15</v>
    <v>81.99</v>
    <v>81.599999999999994</v>
    <v>80.11</v>
    <v>80.13</v>
    <v>80.260000000000005</v>
    <v>80.45</v>
    <v>80.489999999999995</v>
    <v>80.56</v>
    <v>80.89</v>
    <v>80.48</v>
    <v>80.7</v>
    <v>80.599999999999994</v>
    <v>80.510000000000005</v>
    <v>80.48</v>
    <v>80.39</v>
    <v>80.459999999999994</v>
    <v>80.36</v>
    <v>80.099999999999994</v>
    <v>80.28</v>
    <v>80.319999999999993</v>
    <v>80.27</v>
    <v>80.489999999999995</v>
    <v>80.930000000000007</v>
    <v>80.88</v>
    <v>81.03</v>
    <v>81.150000000000006</v>
    <v>81.3</v>
    <v>81.010000000000005</v>
    <v>80.61</v>
    <v>80.599999999999994</v>
    <v>80.540000000000006</v>
    <v>80.400000000000006</v>
    <v>81</v>
    <v>81.209999999999994</v>
    <v>81.42</v>
    <v>81.48</v>
    <v>81.81</v>
    <v>81.78</v>
    <v>81.819999999999993</v>
    <v>82.05</v>
    <v>81.95</v>
    <v>81.99</v>
    <v>81.83</v>
    <v>81.42</v>
    <v>81.36</v>
    <v>81.290000000000006</v>
    <v>81.45</v>
    <v>81.52</v>
    <v>81.540000000000006</v>
  </a>
  <a r="1" c="254">
    <v>84.23</v>
    <v>84.37</v>
    <v>84.43</v>
    <v>84.22</v>
    <v>84.24</v>
    <v>84.56</v>
    <v>84.71</v>
    <v>84.75</v>
    <v>84.75</v>
    <v>84.94</v>
    <v>84.56</v>
    <v>84.16</v>
    <v>84.71</v>
    <v>84.52</v>
    <v>84.4</v>
    <v>81.34</v>
    <v>81.59</v>
    <v>81.59</v>
    <v>81.540000000000006</v>
    <v>81.99</v>
    <v>82.13</v>
    <v>82.15</v>
    <v>82.43</v>
    <v>82.21</v>
    <v>82.17</v>
    <v>82.23</v>
    <v>82.37</v>
    <v>82.09</v>
    <v>82.1</v>
    <v>81.96</v>
    <v>81.93</v>
    <v>82.09</v>
    <v>82.03</v>
    <v>81.91</v>
    <v>81.81</v>
    <v>81.41</v>
    <v>81.37</v>
    <v>81.33</v>
    <v>81.12</v>
    <v>81.14</v>
    <v>81.599999999999994</v>
    <v>81.75</v>
    <v>81.3</v>
    <v>81.3</v>
    <v>81.430000000000007</v>
    <v>81.69</v>
    <v>81.709999999999994</v>
    <v>82.2</v>
    <v>82.32</v>
    <v>82.48</v>
    <v>82.6</v>
    <v>82.89</v>
    <v>82.59</v>
    <v>82.82</v>
    <v>82.65</v>
    <v>83.16</v>
    <v>83.2</v>
    <v>82.74</v>
    <v>82.06</v>
    <v>82.48</v>
    <v>82.27</v>
    <v>82.01</v>
    <v>81.260000000000005</v>
    <v>80.66</v>
    <v>80.91</v>
    <v>80.78</v>
    <v>81.180000000000007</v>
    <v>81.86</v>
    <v>81.709999999999994</v>
    <v>81.849999999999994</v>
    <v>81.75</v>
    <v>81.709999999999994</v>
    <v>81.349999999999994</v>
    <v>81.34</v>
    <v>81.41</v>
    <v>81.459999999999994</v>
    <v>81.59</v>
    <v>81.8</v>
    <v>81.84</v>
    <v>82.06</v>
    <v>81.08</v>
    <v>81.099999999999994</v>
    <v>80.94</v>
    <v>80.89</v>
    <v>80.88</v>
    <v>80.930000000000007</v>
    <v>80.66</v>
    <v>81.5</v>
    <v>81.760000000000005</v>
    <v>81.650000000000006</v>
    <v>82.22</v>
    <v>81.36</v>
    <v>81.64</v>
    <v>81.510000000000005</v>
    <v>81.66</v>
    <v>81.819999999999993</v>
    <v>82.01</v>
    <v>82.02</v>
    <v>81.819999999999993</v>
    <v>81.87</v>
    <v>81.34</v>
    <v>81.2</v>
    <v>80.849999999999994</v>
    <v>80.819999999999993</v>
    <v>81.31</v>
    <v>81.209999999999994</v>
    <v>80.64</v>
    <v>81.69</v>
    <v>81.42</v>
    <v>81.31</v>
    <v>81.72</v>
    <v>81.510000000000005</v>
    <v>81.45</v>
    <v>81.45</v>
    <v>81.260000000000005</v>
    <v>81.25</v>
    <v>81.010000000000005</v>
    <v>81.03</v>
    <v>81.06</v>
    <v>81.23</v>
    <v>81.28</v>
    <v>81.25</v>
    <v>81.69</v>
    <v>81.83</v>
    <v>81.63</v>
    <v>81.45</v>
    <v>81.599999999999994</v>
    <v>81.569999999999993</v>
    <v>81.44</v>
    <v>81.569999999999993</v>
    <v>81.52</v>
    <v>81.45</v>
    <v>81.349999999999994</v>
    <v>81.099999999999994</v>
    <v>81.22</v>
    <v>81.16</v>
    <v>81.319999999999993</v>
    <v>81.92</v>
    <v>81.77</v>
    <v>81.69</v>
    <v>81.739999999999995</v>
    <v>81.739999999999995</v>
    <v>80.819999999999993</v>
    <v>81</v>
    <v>80.94</v>
    <v>80.97</v>
    <v>80.900000000000006</v>
    <v>80.900000000000006</v>
    <v>80.8</v>
    <v>81.099999999999994</v>
    <v>81.16</v>
    <v>81.040000000000006</v>
    <v>81.209999999999994</v>
    <v>81.37</v>
    <v>81.47</v>
    <v>81.3</v>
    <v>81.39</v>
    <v>81.62</v>
    <v>81.5</v>
    <v>81.569999999999993</v>
    <v>81.41</v>
    <v>81.64</v>
    <v>82.29</v>
    <v>82.52</v>
    <v>82.61</v>
    <v>82.96</v>
    <v>83.19</v>
    <v>83</v>
    <v>82.98</v>
    <v>82.82</v>
    <v>82.83</v>
    <v>83.23</v>
    <v>82.93</v>
    <v>82.98</v>
    <v>83.16</v>
    <v>82.95</v>
    <v>82.87</v>
    <v>82.95</v>
    <v>82.83</v>
    <v>82.97</v>
    <v>82.72</v>
    <v>82.87</v>
    <v>82.99</v>
    <v>82.84</v>
    <v>82.96</v>
    <v>83</v>
    <v>82.84</v>
    <v>82.89</v>
    <v>82.83</v>
    <v>82.92</v>
    <v>82.77</v>
    <v>82.82</v>
    <v>82.05</v>
    <v>82</v>
    <v>82.22</v>
    <v>82.45</v>
    <v>82.25</v>
    <v>82.51</v>
    <v>82.37</v>
    <v>82.28</v>
    <v>82.17</v>
    <v>82.23</v>
    <v>82.51</v>
    <v>82.26</v>
    <v>82.15</v>
    <v>81.99</v>
    <v>81.599999999999994</v>
    <v>80.11</v>
    <v>80.13</v>
    <v>80.260000000000005</v>
    <v>80.45</v>
    <v>80.489999999999995</v>
    <v>80.56</v>
    <v>80.89</v>
    <v>80.48</v>
    <v>80.7</v>
    <v>80.599999999999994</v>
    <v>80.510000000000005</v>
    <v>80.48</v>
    <v>80.39</v>
    <v>80.459999999999994</v>
    <v>80.36</v>
    <v>80.099999999999994</v>
    <v>80.28</v>
    <v>80.319999999999993</v>
    <v>80.27</v>
    <v>80.489999999999995</v>
    <v>80.930000000000007</v>
    <v>80.88</v>
    <v>81.03</v>
    <v>81.150000000000006</v>
    <v>81.3</v>
    <v>81.010000000000005</v>
    <v>80.61</v>
    <v>80.599999999999994</v>
    <v>80.540000000000006</v>
    <v>80.400000000000006</v>
    <v>81</v>
    <v>81.209999999999994</v>
    <v>81.42</v>
    <v>81.48</v>
    <v>81.81</v>
    <v>81.78</v>
    <v>81.819999999999993</v>
    <v>82.05</v>
    <v>81.95</v>
    <v>81.99</v>
    <v>81.83</v>
    <v>81.42</v>
    <v>81.36</v>
    <v>81.290000000000006</v>
    <v>81.45</v>
    <v>81.52</v>
    <v>81.540000000000006</v>
  </a>
  <a r="1" c="205">
    <v>58.38</v>
    <v>58.14</v>
    <v>59.29</v>
    <v>59.81</v>
    <v>58.51</v>
    <v>58.27</v>
    <v>57.66</v>
    <v>57.29</v>
    <v>56.56</v>
    <v>57.66</v>
    <v>56.74</v>
    <v>56.89</v>
    <v>55.08</v>
    <v>55.89</v>
    <v>57.15</v>
    <v>56.62</v>
    <v>56.6</v>
    <v>55.51</v>
    <v>54.08</v>
    <v>53.11</v>
    <v>52.69</v>
    <v>52.33</v>
    <v>41.7</v>
    <v>41.03</v>
    <v>39.9</v>
    <v>40.42</v>
    <v>41.15</v>
    <v>41.49</v>
    <v>40.46</v>
    <v>39.08</v>
    <v>40.29</v>
    <v>40.81</v>
    <v>41.45</v>
    <v>41.73</v>
    <v>41.65</v>
    <v>44.05</v>
    <v>47.02</v>
    <v>47.32</v>
    <v>45.53</v>
    <v>46.21</v>
    <v>45.63</v>
    <v>46.38</v>
    <v>46.75</v>
    <v>47.64</v>
    <v>46.97</v>
    <v>46.16</v>
    <v>45.02</v>
    <v>45.57</v>
    <v>44.36</v>
    <v>44.9</v>
    <v>45.42</v>
    <v>46.13</v>
    <v>44.59</v>
    <v>44.19</v>
    <v>44.01</v>
    <v>45.49</v>
    <v>44.21</v>
    <v>44.85</v>
    <v>45.2</v>
    <v>43.59</v>
    <v>44.67</v>
    <v>45.23</v>
    <v>44.63</v>
    <v>45.34</v>
    <v>45.48</v>
    <v>44.87</v>
    <v>45.85</v>
    <v>45.98</v>
    <v>45.24</v>
    <v>47.51</v>
    <v>47.97</v>
    <v>49.57</v>
    <v>49.81</v>
    <v>50.81</v>
    <v>51.46</v>
    <v>50.88</v>
    <v>51.22</v>
    <v>49.75</v>
    <v>50.48</v>
    <v>49.77</v>
    <v>49.64</v>
    <v>50.94</v>
    <v>50.14</v>
    <v>50.44</v>
    <v>50.39</v>
    <v>46.49</v>
    <v>46.27</v>
    <v>46.22</v>
    <v>45.37</v>
    <v>45.07</v>
    <v>45.44</v>
    <v>45.23</v>
    <v>45.04</v>
    <v>44.41</v>
    <v>44.384999999999998</v>
    <v>43.83</v>
    <v>44.375</v>
    <v>44.3</v>
    <v>44.23</v>
    <v>44.16</v>
    <v>43.76</v>
    <v>44.46</v>
    <v>44.75</v>
    <v>45.19</v>
    <v>44.53</v>
    <v>42.61</v>
    <v>42.75</v>
    <v>41.29</v>
    <v>41.26</v>
    <v>41.46</v>
    <v>40.700000000000003</v>
    <v>41.24</v>
    <v>41.53</v>
    <v>42.49</v>
    <v>43.65</v>
    <v>42.08</v>
    <v>42.51</v>
    <v>42.34</v>
    <v>41.7</v>
    <v>42.48</v>
    <v>42.38</v>
    <v>44.29</v>
    <v>44.38</v>
    <v>43.18</v>
    <v>44.07</v>
    <v>45.47</v>
    <v>45.09</v>
    <v>45.65</v>
    <v>44.53</v>
    <v>45.32</v>
    <v>46.32</v>
    <v>47.65</v>
    <v>47.37</v>
    <v>55.52</v>
    <v>56.73</v>
    <v>56.56</v>
    <v>56.82</v>
    <v>55.85</v>
    <v>55.51</v>
    <v>56</v>
    <v>56.15</v>
    <v>56.07</v>
    <v>58.32</v>
    <v>58.35</v>
    <v>57.65</v>
    <v>57.21</v>
    <v>57.87</v>
    <v>58.54</v>
    <v>57.93</v>
    <v>59.78</v>
    <v>59.07</v>
    <v>59.07</v>
    <v>59</v>
    <v>59.2</v>
    <v>60.59</v>
    <v>61.66</v>
    <v>60.47</v>
    <v>60.43</v>
    <v>61.25</v>
    <v>62.3</v>
    <v>61.55</v>
    <v>61.68</v>
    <v>62.27</v>
    <v>61.81</v>
    <v>61.47</v>
    <v>53.66</v>
    <v>52.664999999999999</v>
    <v>52.4</v>
    <v>54.67</v>
    <v>56.82</v>
    <v>54.96</v>
    <v>53.18</v>
    <v>52.17</v>
    <v>53.31</v>
    <v>53.72</v>
    <v>54.03</v>
    <v>53.81</v>
    <v>52.71</v>
    <v>52.94</v>
    <v>52.41</v>
    <v>52.62</v>
    <v>52.89</v>
    <v>52.51</v>
    <v>52.6</v>
    <v>55.04</v>
    <v>54.28</v>
    <v>53.89</v>
    <v>52.53</v>
    <v>53.06</v>
    <v>52.8</v>
    <v>54.41</v>
    <v>54.61</v>
    <v>54.95</v>
    <v>55.02</v>
    <v>55.53</v>
    <v>56.05</v>
    <v>56.17</v>
    <v>56.1</v>
    <v>57.16</v>
    <v>56.7</v>
    <v>56.51</v>
    <v>57.14</v>
    <v>57.2</v>
    <v>57.534999999999997</v>
    <v>57.02</v>
  </a>
  <a r="1" c="754">
    <v>53.45</v>
    <v>54.24</v>
    <v>51.49</v>
    <v>51.75</v>
    <v>50.39</v>
    <v>51.05</v>
    <v>51.8</v>
    <v>51.66</v>
    <v>55.06</v>
    <v>56.1</v>
    <v>54.62</v>
    <v>54.63</v>
    <v>55.08</v>
    <v>54.28</v>
    <v>54.77</v>
    <v>54.39</v>
    <v>56.68</v>
    <v>58.25</v>
    <v>56.82</v>
    <v>56.54</v>
    <v>56.99</v>
    <v>55.4</v>
    <v>56.34</v>
    <v>55.76</v>
    <v>56.39</v>
    <v>58.47</v>
    <v>57.97</v>
    <v>57.61</v>
    <v>59.65</v>
    <v>59.85</v>
    <v>57.92</v>
    <v>59.53</v>
    <v>58.48</v>
    <v>58.94</v>
    <v>59.04</v>
    <v>58.89</v>
    <v>61.73</v>
    <v>61.87</v>
    <v>61.26</v>
    <v>61.47</v>
    <v>63.01</v>
    <v>61.74</v>
    <v>62.06</v>
    <v>61.84</v>
    <v>62.56</v>
    <v>62.68</v>
    <v>63.08</v>
    <v>61.41</v>
    <v>61.46</v>
    <v>58.63</v>
    <v>58.45</v>
    <v>60.12</v>
    <v>61.74</v>
    <v>61.05</v>
    <v>60.96</v>
    <v>61.35</v>
    <v>61</v>
    <v>58.45</v>
    <v>59.89</v>
    <v>62.09</v>
    <v>65.819999999999993</v>
    <v>63.74</v>
    <v>64.78</v>
    <v>63.02</v>
    <v>60.71</v>
    <v>61.78</v>
    <v>63.76</v>
    <v>63.68</v>
    <v>61.35</v>
    <v>62.02</v>
    <v>62.42</v>
    <v>61.54</v>
    <v>63.71</v>
    <v>63.24</v>
    <v>56.13</v>
    <v>58.91</v>
    <v>60.09</v>
    <v>58.26</v>
    <v>58.87</v>
    <v>59.7</v>
    <v>59.14</v>
    <v>58.63</v>
    <v>57.48</v>
    <v>58.35</v>
    <v>59.16</v>
    <v>59.33</v>
    <v>60.16</v>
    <v>60.25</v>
    <v>60.34</v>
    <v>60.54</v>
    <v>59.98</v>
    <v>58.27</v>
    <v>58.12</v>
    <v>58.5</v>
    <v>59.01</v>
    <v>60.08</v>
    <v>60.03</v>
    <v>62.45</v>
    <v>63</v>
    <v>62.85</v>
    <v>64.23</v>
    <v>63.01</v>
    <v>65.05</v>
    <v>66.14</v>
    <v>64.77</v>
    <v>66</v>
    <v>66.67</v>
    <v>66.569999999999993</v>
    <v>66.989999999999995</v>
    <v>65.03</v>
    <v>64.66</v>
    <v>65.34</v>
    <v>64.540000000000006</v>
    <v>65.150000000000006</v>
    <v>66.34</v>
    <v>67</v>
    <v>65.88</v>
    <v>65.8</v>
    <v>64.59</v>
    <v>63.51</v>
    <v>63.43</v>
    <v>63.26</v>
    <v>62.1</v>
    <v>62.31</v>
    <v>63.19</v>
    <v>64.430000000000007</v>
    <v>64.84</v>
    <v>64.099999999999994</v>
    <v>65.959999999999994</v>
    <v>66.989999999999995</v>
    <v>67.92</v>
    <v>66.14</v>
    <v>66.98</v>
    <v>65.7</v>
    <v>65.61</v>
    <v>65.92</v>
    <v>63.81</v>
    <v>64.45</v>
    <v>62.93</v>
    <v>63.95</v>
    <v>64.58</v>
    <v>63.9</v>
    <v>64.099999999999994</v>
    <v>64.48</v>
    <v>64.77</v>
    <v>64.099999999999994</v>
    <v>62.19</v>
    <v>61.58</v>
    <v>61.64</v>
    <v>62.17</v>
    <v>61.05</v>
    <v>62.51</v>
    <v>62.99</v>
    <v>63.46</v>
    <v>63.33</v>
    <v>63.53</v>
    <v>67.02</v>
    <v>67.3</v>
    <v>67.09</v>
    <v>64.77</v>
    <v>63.43</v>
    <v>61.54</v>
    <v>60.634999999999998</v>
    <v>60.13</v>
    <v>59.12</v>
    <v>59.8</v>
    <v>60.61</v>
    <v>59.49</v>
    <v>59.33</v>
    <v>58.26</v>
    <v>58.37</v>
    <v>58.03</v>
    <v>57.81</v>
    <v>58.97</v>
    <v>59.64</v>
    <v>59.76</v>
    <v>59.09</v>
    <v>59</v>
    <v>58.9</v>
    <v>59.99</v>
    <v>60.27</v>
    <v>60.47</v>
    <v>61.81</v>
    <v>61.24</v>
    <v>60</v>
    <v>59.33</v>
    <v>60.77</v>
    <v>59.71</v>
    <v>58.07</v>
    <v>57.22</v>
    <v>58.29</v>
    <v>58.94</v>
    <v>64</v>
    <v>65.78</v>
    <v>65.31</v>
    <v>61.98</v>
    <v>60.46</v>
    <v>62.75</v>
    <v>62.74</v>
    <v>64.28</v>
    <v>64.72</v>
    <v>63.46</v>
    <v>65.11</v>
    <v>66.14</v>
    <v>67.94</v>
    <v>67.959999999999994</v>
    <v>69.430000000000007</v>
    <v>71.89</v>
    <v>71.459999999999994</v>
    <v>71.52</v>
    <v>71.7</v>
    <v>72.040000000000006</v>
    <v>71.59</v>
    <v>70.430000000000007</v>
    <v>73.16</v>
    <v>72.430000000000007</v>
    <v>72</v>
    <v>72.61</v>
    <v>72.03</v>
    <v>68.89</v>
    <v>69.349999999999994</v>
    <v>68.849999999999994</v>
    <v>69.349999999999994</v>
    <v>70.36</v>
    <v>70.099999999999994</v>
    <v>71.069999999999993</v>
    <v>71.77</v>
    <v>73.12</v>
    <v>77.569999999999993</v>
    <v>76.760000000000005</v>
    <v>77.67</v>
    <v>78.34</v>
    <v>77.36</v>
    <v>80.08</v>
    <v>77.88</v>
    <v>78.03</v>
    <v>77.47</v>
    <v>77.44</v>
    <v>77.31</v>
    <v>79.36</v>
    <v>80.260000000000005</v>
    <v>81.16</v>
    <v>81.650000000000006</v>
    <v>78.98</v>
    <v>80.510000000000005</v>
    <v>80.67</v>
    <v>79.55</v>
    <v>80.819999999999993</v>
    <v>79.819999999999993</v>
    <v>80.94</v>
    <v>80.56</v>
    <v>80.91</v>
    <v>80.83</v>
    <v>81.39</v>
    <v>81.7</v>
    <v>83.59</v>
    <v>80.28</v>
    <v>78.22</v>
    <v>79.3</v>
    <v>77.25</v>
    <v>78.13</v>
    <v>79.25</v>
    <v>81.41</v>
    <v>81.349999999999994</v>
    <v>83.01</v>
    <v>86.94</v>
    <v>86.4</v>
    <v>87.31</v>
    <v>85.79</v>
    <v>85.83</v>
    <v>84.67</v>
    <v>84.09</v>
    <v>84.74</v>
    <v>84.82</v>
    <v>86.77</v>
    <v>87.77</v>
    <v>86.94</v>
    <v>86.57</v>
    <v>86.77</v>
    <v>86.53</v>
    <v>85.14</v>
    <v>89.33</v>
    <v>89.045000000000002</v>
    <v>89.88</v>
    <v>90</v>
    <v>88.76</v>
    <v>90.75</v>
    <v>89.4</v>
    <v>91.02</v>
    <v>91.3</v>
    <v>90.86</v>
    <v>85.45</v>
    <v>86.78</v>
    <v>87.13</v>
    <v>86.9</v>
    <v>88.25</v>
    <v>88.14</v>
    <v>86.86</v>
    <v>85.43</v>
    <v>85.35</v>
    <v>86.18</v>
    <v>87.6</v>
    <v>89.53</v>
    <v>87.97</v>
    <v>87.94</v>
    <v>83.36</v>
    <v>83.99</v>
    <v>87.18</v>
    <v>89.64</v>
    <v>88.92</v>
    <v>91.81</v>
    <v>89.77</v>
    <v>89.85</v>
    <v>89.73</v>
    <v>89.11</v>
    <v>90.24</v>
    <v>88.19</v>
    <v>88.76</v>
    <v>89.57</v>
    <v>88.58</v>
    <v>89.51</v>
    <v>77.724999999999994</v>
    <v>79.2</v>
    <v>78.569999999999993</v>
    <v>77.31</v>
    <v>78.239999999999995</v>
    <v>76.209999999999994</v>
    <v>76.27</v>
    <v>76.59</v>
    <v>77.97</v>
    <v>78.62</v>
    <v>78.36</v>
    <v>77.63</v>
    <v>74.95</v>
    <v>75.25</v>
    <v>74.069999999999993</v>
    <v>72.05</v>
    <v>70.73</v>
    <v>71.05</v>
    <v>69.75</v>
    <v>67.48</v>
    <v>69.5</v>
    <v>68.08</v>
    <v>70.48</v>
    <v>68.16</v>
    <v>67.98</v>
    <v>68.62</v>
    <v>66.91</v>
    <v>68.95</v>
    <v>69.650000000000006</v>
    <v>68.88</v>
    <v>70</v>
    <v>69.67</v>
    <v>70.19</v>
    <v>70.97</v>
    <v>70.86</v>
    <v>69.97</v>
    <v>68.86</v>
    <v>65.150000000000006</v>
    <v>65.25</v>
    <v>66.099999999999994</v>
    <v>67.150000000000006</v>
    <v>61.71</v>
    <v>58.37</v>
    <v>58.53</v>
    <v>57.41</v>
    <v>63.95</v>
    <v>60.56</v>
    <v>62.59</v>
    <v>62.27</v>
    <v>62</v>
    <v>60.24</v>
    <v>61</v>
    <v>60.284999999999997</v>
    <v>61.42</v>
    <v>62.46</v>
    <v>64.77</v>
    <v>65.34</v>
    <v>64.930000000000007</v>
    <v>66.319999999999993</v>
    <v>65.84</v>
    <v>65.41</v>
    <v>67.239999999999995</v>
    <v>68.540000000000006</v>
    <v>68.05</v>
    <v>68.69</v>
    <v>70.48</v>
    <v>70.260000000000005</v>
    <v>72.31</v>
    <v>72.290000000000006</v>
    <v>72.680000000000007</v>
    <v>71.569999999999993</v>
    <v>72.180000000000007</v>
    <v>72.319999999999993</v>
    <v>72.61</v>
    <v>71.650000000000006</v>
    <v>71.45</v>
    <v>69.849999999999994</v>
    <v>71.48</v>
    <v>71.44</v>
    <v>70.930000000000007</v>
    <v>70.28</v>
    <v>70.930000000000007</v>
    <v>71.33</v>
    <v>72.8</v>
    <v>72.47</v>
    <v>73.430000000000007</v>
    <v>73.55</v>
    <v>74.760000000000005</v>
    <v>74.61</v>
    <v>74.81</v>
    <v>70.83</v>
    <v>72.260000000000005</v>
    <v>70.67</v>
    <v>68.569999999999993</v>
    <v>70.05</v>
    <v>72.010000000000005</v>
    <v>73.58</v>
    <v>73.069999999999993</v>
    <v>73.17</v>
    <v>73.64</v>
    <v>74.319999999999993</v>
    <v>75.290000000000006</v>
    <v>76.31</v>
    <v>76.59</v>
    <v>76.180000000000007</v>
    <v>75.03</v>
    <v>74.83</v>
    <v>75.7</v>
    <v>71.36</v>
    <v>73.89</v>
    <v>72.959999999999994</v>
    <v>72.97</v>
    <v>73.86</v>
    <v>74.17</v>
    <v>74.819999999999993</v>
    <v>76</v>
    <v>76.66</v>
    <v>77.819999999999993</v>
    <v>77.98</v>
    <v>78.22</v>
    <v>71.45</v>
    <v>69.709999999999994</v>
    <v>68.760000000000005</v>
    <v>67.11</v>
    <v>68.010000000000005</v>
    <v>67.83</v>
    <v>69.42</v>
    <v>68.22</v>
    <v>67.650000000000006</v>
    <v>67.08</v>
    <v>67.97</v>
    <v>70.63</v>
    <v>69.38</v>
    <v>69.23</v>
    <v>69.53</v>
    <v>69.05</v>
    <v>68.08</v>
    <v>67.55</v>
    <v>69.900000000000006</v>
    <v>69.48</v>
    <v>70.180000000000007</v>
    <v>69.650000000000006</v>
    <v>70.06</v>
    <v>70.19</v>
    <v>69.25</v>
    <v>69.64</v>
    <v>68.459999999999994</v>
    <v>68.260000000000005</v>
    <v>68.400000000000006</v>
    <v>67.680000000000007</v>
    <v>65.64</v>
    <v>67.27</v>
    <v>66.89</v>
    <v>67.11</v>
    <v>66.849999999999994</v>
    <v>68.62</v>
    <v>68.52</v>
    <v>68.22</v>
    <v>67.680000000000007</v>
    <v>67.31</v>
    <v>67.86</v>
    <v>66.739999999999995</v>
    <v>67.3</v>
    <v>69.680000000000007</v>
    <v>67.06</v>
    <v>66.66</v>
    <v>68.930000000000007</v>
    <v>69.25</v>
    <v>71.290000000000006</v>
    <v>74.61</v>
    <v>76.13</v>
    <v>75.75</v>
    <v>69.84</v>
    <v>68.86</v>
    <v>69.150000000000006</v>
    <v>67.98</v>
    <v>66.05</v>
    <v>67.41</v>
    <v>69.2</v>
    <v>70.05</v>
    <v>68.069999999999993</v>
    <v>69.66</v>
    <v>69.77</v>
    <v>70.25</v>
    <v>73.02</v>
    <v>69.680000000000007</v>
    <v>67.930000000000007</v>
    <v>69.27</v>
    <v>68.34</v>
    <v>66.08</v>
    <v>68.06</v>
    <v>66.260000000000005</v>
    <v>66.22</v>
    <v>66.25</v>
    <v>67.400000000000006</v>
    <v>67.2</v>
    <v>65.33</v>
    <v>62.81</v>
    <v>61.89</v>
    <v>60.7</v>
    <v>60.11</v>
    <v>58.104999999999997</v>
    <v>60.57</v>
    <v>60.56</v>
    <v>61.22</v>
    <v>61.83</v>
    <v>62.69</v>
    <v>62.58</v>
    <v>62.9</v>
    <v>61.24</v>
    <v>61.73</v>
    <v>62.28</v>
    <v>61.12</v>
    <v>60.78</v>
    <v>61.16</v>
    <v>61.69</v>
    <v>61.66</v>
    <v>60.74</v>
    <v>61.33</v>
    <v>60.18</v>
    <v>59.44</v>
    <v>59.81</v>
    <v>59.86</v>
    <v>59.41</v>
    <v>60.04</v>
    <v>59.97</v>
    <v>59.49</v>
    <v>59.1</v>
    <v>58.38</v>
    <v>58.14</v>
    <v>59.29</v>
    <v>59.81</v>
    <v>58.51</v>
    <v>58.27</v>
    <v>57.66</v>
    <v>57.29</v>
    <v>56.56</v>
    <v>57.66</v>
    <v>56.74</v>
    <v>56.89</v>
    <v>55.08</v>
    <v>55.89</v>
    <v>57.15</v>
    <v>56.62</v>
    <v>56.6</v>
    <v>55.51</v>
    <v>54.08</v>
    <v>53.11</v>
    <v>52.69</v>
    <v>52.33</v>
    <v>41.7</v>
    <v>41.03</v>
    <v>39.9</v>
    <v>40.42</v>
    <v>41.15</v>
    <v>41.49</v>
    <v>40.46</v>
    <v>39.08</v>
    <v>40.29</v>
    <v>40.81</v>
    <v>41.45</v>
    <v>41.73</v>
    <v>41.65</v>
    <v>44.05</v>
    <v>47.02</v>
    <v>47.32</v>
    <v>45.53</v>
    <v>46.21</v>
    <v>45.63</v>
    <v>46.38</v>
    <v>46.75</v>
    <v>47.64</v>
    <v>46.97</v>
    <v>46.16</v>
    <v>45.02</v>
    <v>45.57</v>
    <v>44.36</v>
    <v>44.9</v>
    <v>45.42</v>
    <v>46.13</v>
    <v>44.59</v>
    <v>44.19</v>
    <v>44.01</v>
    <v>45.49</v>
    <v>44.21</v>
    <v>44.85</v>
    <v>45.2</v>
    <v>43.59</v>
    <v>44.67</v>
    <v>45.23</v>
    <v>44.63</v>
    <v>45.34</v>
    <v>45.48</v>
    <v>44.87</v>
    <v>45.85</v>
    <v>45.98</v>
    <v>45.24</v>
    <v>47.51</v>
    <v>47.97</v>
    <v>49.57</v>
    <v>49.81</v>
    <v>50.81</v>
    <v>51.46</v>
    <v>50.88</v>
    <v>51.22</v>
    <v>49.75</v>
    <v>50.48</v>
    <v>49.77</v>
    <v>49.64</v>
    <v>50.94</v>
    <v>50.14</v>
    <v>50.44</v>
    <v>50.39</v>
    <v>46.49</v>
    <v>46.27</v>
    <v>46.22</v>
    <v>45.37</v>
    <v>45.07</v>
    <v>45.44</v>
    <v>45.23</v>
    <v>45.04</v>
    <v>44.41</v>
    <v>44.384999999999998</v>
    <v>43.83</v>
    <v>44.375</v>
    <v>44.3</v>
    <v>44.23</v>
    <v>44.16</v>
    <v>43.76</v>
    <v>44.46</v>
    <v>44.75</v>
    <v>45.19</v>
    <v>44.53</v>
    <v>42.61</v>
    <v>42.75</v>
    <v>41.29</v>
    <v>41.26</v>
    <v>41.46</v>
    <v>40.700000000000003</v>
    <v>41.24</v>
    <v>41.53</v>
    <v>42.49</v>
    <v>43.65</v>
    <v>42.08</v>
    <v>42.51</v>
    <v>42.34</v>
    <v>41.7</v>
    <v>42.48</v>
    <v>42.38</v>
    <v>44.29</v>
    <v>44.38</v>
    <v>43.18</v>
    <v>44.07</v>
    <v>45.47</v>
    <v>45.09</v>
    <v>45.65</v>
    <v>44.53</v>
    <v>45.32</v>
    <v>46.32</v>
    <v>47.65</v>
    <v>47.37</v>
    <v>55.52</v>
    <v>56.73</v>
    <v>56.56</v>
    <v>56.82</v>
    <v>55.85</v>
    <v>55.51</v>
    <v>56</v>
    <v>56.15</v>
    <v>56.07</v>
    <v>58.32</v>
    <v>58.35</v>
    <v>57.65</v>
    <v>57.21</v>
    <v>57.87</v>
    <v>58.54</v>
    <v>57.93</v>
    <v>59.78</v>
    <v>59.07</v>
    <v>59.07</v>
    <v>59</v>
    <v>59.2</v>
    <v>60.59</v>
    <v>61.66</v>
    <v>60.47</v>
    <v>60.43</v>
    <v>61.25</v>
    <v>62.3</v>
    <v>61.55</v>
    <v>61.68</v>
    <v>62.27</v>
    <v>61.81</v>
    <v>61.47</v>
    <v>53.66</v>
    <v>52.664999999999999</v>
    <v>52.4</v>
    <v>54.67</v>
    <v>56.82</v>
    <v>54.96</v>
    <v>53.18</v>
    <v>52.17</v>
    <v>53.31</v>
    <v>53.72</v>
    <v>54.03</v>
    <v>53.81</v>
    <v>52.71</v>
    <v>52.94</v>
    <v>52.41</v>
    <v>52.62</v>
    <v>52.89</v>
    <v>52.51</v>
    <v>52.6</v>
    <v>55.04</v>
    <v>54.28</v>
    <v>53.89</v>
    <v>52.53</v>
    <v>53.06</v>
    <v>52.8</v>
    <v>54.41</v>
    <v>54.61</v>
    <v>54.95</v>
    <v>55.02</v>
    <v>55.53</v>
    <v>56.05</v>
    <v>56.17</v>
    <v>56.1</v>
    <v>57.16</v>
    <v>56.7</v>
    <v>56.51</v>
    <v>57.14</v>
    <v>57.2</v>
    <v>57.534999999999997</v>
    <v>57.02</v>
  </a>
  <a r="1" c="252">
    <v>69.66</v>
    <v>69.77</v>
    <v>70.25</v>
    <v>73.02</v>
    <v>69.680000000000007</v>
    <v>67.930000000000007</v>
    <v>69.27</v>
    <v>68.34</v>
    <v>66.08</v>
    <v>68.06</v>
    <v>66.260000000000005</v>
    <v>66.22</v>
    <v>66.25</v>
    <v>67.400000000000006</v>
    <v>67.2</v>
    <v>65.33</v>
    <v>62.81</v>
    <v>61.89</v>
    <v>60.7</v>
    <v>60.11</v>
    <v>58.104999999999997</v>
    <v>60.57</v>
    <v>60.56</v>
    <v>61.22</v>
    <v>61.83</v>
    <v>62.69</v>
    <v>62.58</v>
    <v>62.9</v>
    <v>61.24</v>
    <v>61.73</v>
    <v>62.28</v>
    <v>61.12</v>
    <v>60.78</v>
    <v>61.16</v>
    <v>61.69</v>
    <v>61.66</v>
    <v>60.74</v>
    <v>61.33</v>
    <v>60.18</v>
    <v>59.44</v>
    <v>59.81</v>
    <v>59.86</v>
    <v>59.41</v>
    <v>60.04</v>
    <v>59.97</v>
    <v>59.49</v>
    <v>59.1</v>
    <v>58.38</v>
    <v>58.14</v>
    <v>59.29</v>
    <v>59.81</v>
    <v>58.51</v>
    <v>58.27</v>
    <v>57.66</v>
    <v>57.29</v>
    <v>56.56</v>
    <v>57.66</v>
    <v>56.74</v>
    <v>56.89</v>
    <v>55.08</v>
    <v>55.89</v>
    <v>57.15</v>
    <v>56.62</v>
    <v>56.6</v>
    <v>55.51</v>
    <v>54.08</v>
    <v>53.11</v>
    <v>52.69</v>
    <v>52.33</v>
    <v>41.7</v>
    <v>41.03</v>
    <v>39.9</v>
    <v>40.42</v>
    <v>41.15</v>
    <v>41.49</v>
    <v>40.46</v>
    <v>39.08</v>
    <v>40.29</v>
    <v>40.81</v>
    <v>41.45</v>
    <v>41.73</v>
    <v>41.65</v>
    <v>44.05</v>
    <v>47.02</v>
    <v>47.32</v>
    <v>45.53</v>
    <v>46.21</v>
    <v>45.63</v>
    <v>46.38</v>
    <v>46.75</v>
    <v>47.64</v>
    <v>46.97</v>
    <v>46.16</v>
    <v>45.02</v>
    <v>45.57</v>
    <v>44.36</v>
    <v>44.9</v>
    <v>45.42</v>
    <v>46.13</v>
    <v>44.59</v>
    <v>44.19</v>
    <v>44.01</v>
    <v>45.49</v>
    <v>44.21</v>
    <v>44.85</v>
    <v>45.2</v>
    <v>43.59</v>
    <v>44.67</v>
    <v>45.23</v>
    <v>44.63</v>
    <v>45.34</v>
    <v>45.48</v>
    <v>44.87</v>
    <v>45.85</v>
    <v>45.98</v>
    <v>45.24</v>
    <v>47.51</v>
    <v>47.97</v>
    <v>49.57</v>
    <v>49.81</v>
    <v>50.81</v>
    <v>51.46</v>
    <v>50.88</v>
    <v>51.22</v>
    <v>49.75</v>
    <v>50.48</v>
    <v>49.77</v>
    <v>49.64</v>
    <v>50.94</v>
    <v>50.14</v>
    <v>50.44</v>
    <v>50.39</v>
    <v>46.49</v>
    <v>46.27</v>
    <v>46.22</v>
    <v>45.37</v>
    <v>45.07</v>
    <v>45.44</v>
    <v>45.23</v>
    <v>45.04</v>
    <v>44.41</v>
    <v>44.384999999999998</v>
    <v>43.83</v>
    <v>44.375</v>
    <v>44.3</v>
    <v>44.23</v>
    <v>44.16</v>
    <v>43.76</v>
    <v>44.46</v>
    <v>44.75</v>
    <v>45.19</v>
    <v>44.53</v>
    <v>42.61</v>
    <v>42.75</v>
    <v>41.29</v>
    <v>41.26</v>
    <v>41.46</v>
    <v>40.700000000000003</v>
    <v>41.24</v>
    <v>41.53</v>
    <v>42.49</v>
    <v>43.65</v>
    <v>42.08</v>
    <v>42.51</v>
    <v>42.34</v>
    <v>41.7</v>
    <v>42.48</v>
    <v>42.38</v>
    <v>44.29</v>
    <v>44.38</v>
    <v>43.18</v>
    <v>44.07</v>
    <v>45.47</v>
    <v>45.09</v>
    <v>45.65</v>
    <v>44.53</v>
    <v>45.32</v>
    <v>46.32</v>
    <v>47.65</v>
    <v>47.37</v>
    <v>55.52</v>
    <v>56.73</v>
    <v>56.56</v>
    <v>56.82</v>
    <v>55.85</v>
    <v>55.51</v>
    <v>56</v>
    <v>56.15</v>
    <v>56.07</v>
    <v>58.32</v>
    <v>58.35</v>
    <v>57.65</v>
    <v>57.21</v>
    <v>57.87</v>
    <v>58.54</v>
    <v>57.93</v>
    <v>59.78</v>
    <v>59.07</v>
    <v>59.07</v>
    <v>59</v>
    <v>59.2</v>
    <v>60.59</v>
    <v>61.66</v>
    <v>60.47</v>
    <v>60.43</v>
    <v>61.25</v>
    <v>62.3</v>
    <v>61.55</v>
    <v>61.68</v>
    <v>62.27</v>
    <v>61.81</v>
    <v>61.47</v>
    <v>53.66</v>
    <v>52.664999999999999</v>
    <v>52.4</v>
    <v>54.67</v>
    <v>56.82</v>
    <v>54.96</v>
    <v>53.18</v>
    <v>52.17</v>
    <v>53.31</v>
    <v>53.72</v>
    <v>54.03</v>
    <v>53.81</v>
    <v>52.71</v>
    <v>52.94</v>
    <v>52.41</v>
    <v>52.62</v>
    <v>52.89</v>
    <v>52.51</v>
    <v>52.6</v>
    <v>55.04</v>
    <v>54.28</v>
    <v>53.89</v>
    <v>52.53</v>
    <v>53.06</v>
    <v>52.8</v>
    <v>54.41</v>
    <v>54.61</v>
    <v>54.95</v>
    <v>55.02</v>
    <v>55.53</v>
    <v>56.05</v>
    <v>56.17</v>
    <v>56.1</v>
    <v>57.16</v>
    <v>56.7</v>
    <v>56.51</v>
    <v>57.14</v>
    <v>57.2</v>
    <v>57.534999999999997</v>
    <v>57.02</v>
  </a>
  <a r="1" c="205">
    <v>449.72</v>
    <v>438.07</v>
    <v>451.67</v>
    <v>432.96</v>
    <v>431.41</v>
    <v>435.8</v>
    <v>445.01</v>
    <v>448.96</v>
    <v>447.2</v>
    <v>439.2</v>
    <v>438.57</v>
    <v>437.5</v>
    <v>419.25</v>
    <v>431.44</v>
    <v>449.36</v>
    <v>449.06</v>
    <v>435.2</v>
    <v>430.9</v>
    <v>431.46</v>
    <v>416.56</v>
    <v>430.41</v>
    <v>421.81</v>
    <v>421.96</v>
    <v>406.01</v>
    <v>397.21</v>
    <v>411.11</v>
    <v>417.32</v>
    <v>425.21</v>
    <v>428.27</v>
    <v>417.07</v>
    <v>417.44</v>
    <v>410.63</v>
    <v>411.32</v>
    <v>411.71</v>
    <v>411.82</v>
    <v>399.83</v>
    <v>409.38</v>
    <v>417.4</v>
    <v>408.58</v>
    <v>402.51</v>
    <v>403.32</v>
    <v>392.43</v>
    <v>405.94</v>
    <v>405.55</v>
    <v>396.73</v>
    <v>398.68</v>
    <v>399.23500000000001</v>
    <v>407.82</v>
    <v>395.01</v>
    <v>391.2</v>
    <v>395.56</v>
    <v>399.27</v>
    <v>392.78</v>
    <v>380.3</v>
    <v>367.96</v>
    <v>380.85</v>
    <v>383.03</v>
    <v>385.95</v>
    <v>372.11</v>
    <v>361.83</v>
    <v>355.28</v>
    <v>371.75</v>
    <v>381.26</v>
    <v>360.59</v>
    <v>352.82</v>
    <v>346.65</v>
    <v>343.25</v>
    <v>345.62</v>
    <v>348.95</v>
    <v>352.42</v>
    <v>364.2</v>
    <v>391.95</v>
    <v>388.9</v>
    <v>400.62</v>
    <v>392.5</v>
    <v>386.42</v>
    <v>387.51</v>
    <v>373.72</v>
    <v>376.3</v>
    <v>378.67</v>
    <v>376.02</v>
    <v>372.8</v>
    <v>381.63</v>
    <v>390.82</v>
    <v>392.51</v>
    <v>389.37</v>
    <v>398.73</v>
    <v>411.79</v>
    <v>428.35</v>
    <v>445</v>
    <v>433.45</v>
    <v>445.27</v>
    <v>443.3</v>
    <v>422.24</v>
    <v>409.99</v>
    <v>404.11</v>
    <v>417.26</v>
    <v>417.85</v>
    <v>426.01</v>
    <v>433.59</v>
    <v>440.36</v>
    <v>442.1</v>
    <v>435.79</v>
    <v>415.88</v>
    <v>423.74</v>
    <v>423.7</v>
    <v>418.45</v>
    <v>391</v>
    <v>408.95</v>
    <v>396.68</v>
    <v>381.59</v>
    <v>399.15</v>
    <v>406.43</v>
    <v>411.15</v>
    <v>404.66</v>
    <v>396.38</v>
    <v>400.49</v>
    <v>405.05</v>
    <v>381.61</v>
    <v>375.53</v>
    <v>375.12</v>
    <v>379.71</v>
    <v>411.84</v>
    <v>420.6</v>
    <v>425.3</v>
    <v>393.45</v>
    <v>419.77</v>
    <v>402.9</v>
    <v>394.06</v>
    <v>406.55</v>
    <v>407.76</v>
    <v>394.76</v>
    <v>396.18</v>
    <v>394.46</v>
    <v>391.06</v>
    <v>380.84</v>
    <v>369.57</v>
    <v>378.93</v>
    <v>374.01</v>
    <v>319.69</v>
    <v>313.02999999999997</v>
    <v>309.22000000000003</v>
    <v>307.44</v>
    <v>298.32</v>
    <v>308.85000000000002</v>
    <v>311.20999999999998</v>
    <v>322.08</v>
    <v>327.35000000000002</v>
    <v>321.55</v>
    <v>319.52999999999997</v>
    <v>328.58</v>
    <v>330.88</v>
    <v>332.81</v>
    <v>327.51</v>
    <v>339.96</v>
    <v>342.27</v>
    <v>339.3</v>
    <v>336.87</v>
    <v>351.12</v>
    <v>345.13</v>
    <v>362.86</v>
    <v>348.95</v>
    <v>350.25</v>
    <v>345.82</v>
    <v>354.81</v>
    <v>348.75</v>
    <v>367.95</v>
    <v>356.09</v>
    <v>357.01</v>
    <v>376.36500000000001</v>
    <v>354.08</v>
    <v>368.16</v>
    <v>367.81</v>
    <v>363.56</v>
    <v>365.44</v>
    <v>358.97</v>
    <v>356.58</v>
    <v>358.08</v>
    <v>366.2</v>
    <v>364.27</v>
    <v>375.3</v>
    <v>378.9</v>
    <v>380.12</v>
    <v>377.94</v>
    <v>372.11</v>
    <v>357.45</v>
    <v>352.84</v>
    <v>354.81</v>
    <v>354.11</v>
    <v>370.59</v>
    <v>378.73</v>
    <v>380.68</v>
    <v>377.81</v>
    <v>375</v>
    <v>382.7</v>
    <v>378.03</v>
    <v>375.23</v>
    <v>367.16</v>
    <v>362.44</v>
    <v>354.72</v>
    <v>368.06</v>
    <v>373.71</v>
    <v>386.47</v>
    <v>374.58</v>
    <v>372.22</v>
  </a>
  <a r="1" c="754">
    <v>212.08</v>
    <v>216.52</v>
    <v>212.42</v>
    <v>205.76</v>
    <v>207.3</v>
    <v>197.36</v>
    <v>200.84</v>
    <v>205.66</v>
    <v>218.51</v>
    <v>219.96</v>
    <v>219.27</v>
    <v>222.18</v>
    <v>222.11</v>
    <v>209.98</v>
    <v>214.65</v>
    <v>223.71</v>
    <v>237.41</v>
    <v>242.84</v>
    <v>233.59</v>
    <v>234.3</v>
    <v>235.6</v>
    <v>241.2</v>
    <v>234.21</v>
    <v>235.45</v>
    <v>236.08</v>
    <v>246.72</v>
    <v>244.14</v>
    <v>240.08</v>
    <v>238.83</v>
    <v>235.58</v>
    <v>238.72</v>
    <v>239.37</v>
    <v>242.64</v>
    <v>243.84</v>
    <v>239.74</v>
    <v>237.01</v>
    <v>239.29</v>
    <v>251.05</v>
    <v>253.5</v>
    <v>252.08</v>
    <v>257.22000000000003</v>
    <v>247.14</v>
    <v>254.5</v>
    <v>252.54</v>
    <v>256.61</v>
    <v>261.44</v>
    <v>253.18</v>
    <v>248.48</v>
    <v>248.42</v>
    <v>238.45</v>
    <v>237.93</v>
    <v>237.49</v>
    <v>240.45</v>
    <v>234.96</v>
    <v>233.94</v>
    <v>227.22</v>
    <v>218.89</v>
    <v>219.91</v>
    <v>215.55</v>
    <v>211.88</v>
    <v>212.19</v>
    <v>208.8</v>
    <v>209.14</v>
    <v>207.83</v>
    <v>182.63</v>
    <v>183.25</v>
    <v>190.93</v>
    <v>191.59</v>
    <v>187.29</v>
    <v>188.86</v>
    <v>187.91</v>
    <v>181.06</v>
    <v>185.1</v>
    <v>187.58</v>
    <v>189.56</v>
    <v>193.57</v>
    <v>188.13</v>
    <v>184.02</v>
    <v>188.71</v>
    <v>200.45</v>
    <v>199.95</v>
    <v>193.76</v>
    <v>194.77</v>
    <v>197.41</v>
    <v>191.97</v>
    <v>199.4</v>
    <v>199.73</v>
    <v>202.04</v>
    <v>201.88</v>
    <v>202.64</v>
    <v>188.14</v>
    <v>180.74</v>
    <v>176.54</v>
    <v>178.65</v>
    <v>175.34</v>
    <v>177.77</v>
    <v>177.54</v>
    <v>169.48</v>
    <v>162.5</v>
    <v>163.57</v>
    <v>173.8</v>
    <v>171.32</v>
    <v>175.66</v>
    <v>172.82</v>
    <v>170.83</v>
    <v>172.63</v>
    <v>177.67</v>
    <v>179.83</v>
    <v>175.79</v>
    <v>175.22</v>
    <v>166.63</v>
    <v>168.38</v>
    <v>171.11</v>
    <v>164.9</v>
    <v>172.98</v>
    <v>176.88</v>
    <v>171.76</v>
    <v>174.6</v>
    <v>171.05</v>
    <v>161.47999999999999</v>
    <v>157.11000000000001</v>
    <v>155.44999999999999</v>
    <v>149.93</v>
    <v>147.05000000000001</v>
    <v>142.05000000000001</v>
    <v>144.68</v>
    <v>162.13</v>
    <v>170.18</v>
    <v>168.29</v>
    <v>194.05</v>
    <v>183.28</v>
    <v>179.99</v>
    <v>180.01</v>
    <v>181.19</v>
    <v>184.76</v>
    <v>177.81</v>
    <v>174.72</v>
    <v>171.97</v>
    <v>168.47</v>
    <v>171.89</v>
    <v>177.55</v>
    <v>173.99</v>
    <v>174.84</v>
    <v>177.46</v>
    <v>174.95</v>
    <v>186.6</v>
    <v>180.11</v>
    <v>173.74</v>
    <v>179.24</v>
    <v>176.75</v>
    <v>176.19</v>
    <v>178.79</v>
    <v>178.08</v>
    <v>176.29</v>
    <v>174.77</v>
    <v>175</v>
    <v>177.94</v>
    <v>177.48</v>
    <v>173.79</v>
    <v>170.66</v>
    <v>177.29</v>
    <v>182.47</v>
    <v>178.01</v>
    <v>187.44</v>
    <v>184.86</v>
    <v>181.57</v>
    <v>183.01</v>
    <v>182.58</v>
    <v>187.35</v>
    <v>196.37</v>
    <v>197.42</v>
    <v>197.88</v>
    <v>209.86</v>
    <v>231.26</v>
    <v>246.39</v>
    <v>251.52</v>
    <v>252.94</v>
    <v>262.33</v>
    <v>263.26</v>
    <v>241.03</v>
    <v>248.23</v>
    <v>252.64</v>
    <v>256.56</v>
    <v>248.5</v>
    <v>249.23</v>
    <v>239.2</v>
    <v>251.51</v>
    <v>246.38</v>
    <v>215.99</v>
    <v>220.25</v>
    <v>219.8</v>
    <v>232.1</v>
    <v>222.62</v>
    <v>232.07</v>
    <v>216.86</v>
    <v>207.67</v>
    <v>198.88</v>
    <v>200.64</v>
    <v>191.76</v>
    <v>198.84</v>
    <v>200</v>
    <v>197.49</v>
    <v>207.83</v>
    <v>201.38</v>
    <v>214.14</v>
    <v>216.12</v>
    <v>222.72</v>
    <v>221.1</v>
    <v>223.27</v>
    <v>210.66</v>
    <v>220.32</v>
    <v>213.21</v>
    <v>209.21</v>
    <v>205.75</v>
    <v>206.28</v>
    <v>214.11</v>
    <v>210.6</v>
    <v>219.41</v>
    <v>230.17</v>
    <v>210.73</v>
    <v>216.27</v>
    <v>226.17</v>
    <v>228.13</v>
    <v>229.81</v>
    <v>230.29</v>
    <v>226.78</v>
    <v>227.87</v>
    <v>227.2</v>
    <v>243.92</v>
    <v>238.25</v>
    <v>250</v>
    <v>254.27</v>
    <v>257.02</v>
    <v>254.22</v>
    <v>260.45999999999998</v>
    <v>261.63</v>
    <v>258.02</v>
    <v>249.02</v>
    <v>240.66</v>
    <v>250.08</v>
    <v>240.83</v>
    <v>244.5</v>
    <v>241.05</v>
    <v>238.77</v>
    <v>217.8</v>
    <v>219.16</v>
    <v>219.57</v>
    <v>221.33</v>
    <v>220.89</v>
    <v>220.7</v>
    <v>218.85</v>
    <v>217.97</v>
    <v>213.65</v>
    <v>260.48</v>
    <v>269.19</v>
    <v>262.51</v>
    <v>259.52</v>
    <v>257.55</v>
    <v>249.85</v>
    <v>248.98</v>
    <v>242.84</v>
    <v>251.44</v>
    <v>288.52999999999997</v>
    <v>296.91000000000003</v>
    <v>321.22000000000003</v>
    <v>350</v>
    <v>328.49</v>
    <v>330.24</v>
    <v>311.18</v>
    <v>320.72000000000003</v>
    <v>338.74</v>
    <v>346</v>
    <v>342.03</v>
    <v>339.64</v>
    <v>352.56</v>
    <v>338.59</v>
    <v>338.23</v>
    <v>332.89</v>
    <v>345.16</v>
    <v>357.09</v>
    <v>351.42</v>
    <v>357.93</v>
    <v>369.49</v>
    <v>389.22</v>
    <v>389.79</v>
    <v>400.99</v>
    <v>424.77</v>
    <v>418.1</v>
    <v>436.23</v>
    <v>463.02</v>
    <v>479.86</v>
    <v>440.13</v>
    <v>436.17</v>
    <v>421.06</v>
    <v>430.6</v>
    <v>462.28</v>
    <v>454.13</v>
    <v>431.66</v>
    <v>417.41</v>
    <v>403.84</v>
    <v>379.28</v>
    <v>410.44</v>
    <v>411.05</v>
    <v>394.36</v>
    <v>394.94</v>
    <v>394.74</v>
    <v>403.31</v>
    <v>396.36</v>
    <v>428.22</v>
    <v>413.82</v>
    <v>426.5</v>
    <v>424.07</v>
    <v>415.11</v>
    <v>412.38</v>
    <v>406.58</v>
    <v>397.15</v>
    <v>398.09</v>
    <v>389.1</v>
    <v>400.28</v>
    <v>404.6</v>
    <v>383.68</v>
    <v>392.21</v>
    <v>378.17</v>
    <v>374.32</v>
    <v>361.62</v>
    <v>350.73</v>
    <v>328.5</v>
    <v>336.51</v>
    <v>355.94</v>
    <v>355.84</v>
    <v>354.11</v>
    <v>360.56</v>
    <v>354.4</v>
    <v>337.8</v>
    <v>330.53</v>
    <v>302.8</v>
    <v>290.8</v>
    <v>281.95</v>
    <v>292.98</v>
    <v>284.64999999999998</v>
    <v>272.04000000000002</v>
    <v>279.10000000000002</v>
    <v>263.45</v>
    <v>262.67</v>
    <v>222.15</v>
    <v>230.58</v>
    <v>248.09</v>
    <v>240.68</v>
    <v>249.98</v>
    <v>238.01</v>
    <v>225.31</v>
    <v>235.86</v>
    <v>236.26</v>
    <v>248.71</v>
    <v>278.39</v>
    <v>288.14</v>
    <v>272.06</v>
    <v>273.13</v>
    <v>263.55</v>
    <v>259.16000000000003</v>
    <v>268.45999999999998</v>
    <v>282.76</v>
    <v>267.27999999999997</v>
    <v>239.43</v>
    <v>233.29</v>
    <v>221.86</v>
    <v>272.2</v>
    <v>252.4</v>
    <v>252.31</v>
    <v>252.35</v>
    <v>254.11</v>
    <v>241.55</v>
    <v>241.37</v>
    <v>227.5</v>
    <v>237.97</v>
    <v>250.74</v>
    <v>259.51</v>
    <v>284.95</v>
    <v>285.88</v>
    <v>292.02999999999997</v>
    <v>282.16000000000003</v>
    <v>280.52</v>
    <v>287.20999999999998</v>
    <v>280.26</v>
    <v>275.35000000000002</v>
    <v>276.22000000000003</v>
    <v>284.82</v>
    <v>298.26</v>
    <v>318.38</v>
    <v>334.07</v>
    <v>347.68</v>
    <v>342.82</v>
    <v>349.98</v>
    <v>342.09</v>
    <v>343.82</v>
    <v>334.62</v>
    <v>341.04</v>
    <v>339.34</v>
    <v>362.89</v>
    <v>356.9</v>
    <v>358.43</v>
    <v>346.46</v>
    <v>342.69</v>
    <v>344.27</v>
    <v>332.05</v>
    <v>284.7</v>
    <v>295.14</v>
    <v>308.58</v>
    <v>326.08999999999997</v>
    <v>326.43</v>
    <v>319.11</v>
    <v>325.31</v>
    <v>329.13</v>
    <v>316.35000000000002</v>
    <v>322.05</v>
    <v>322.16000000000003</v>
    <v>348.68</v>
    <v>340.47</v>
    <v>327.55</v>
    <v>325.77999999999997</v>
    <v>323.63</v>
    <v>317.66000000000003</v>
    <v>300.70999999999998</v>
    <v>315.64999999999998</v>
    <v>315.35000000000002</v>
    <v>293.94</v>
    <v>297.81</v>
    <v>295.88</v>
    <v>309.87</v>
    <v>313.51</v>
    <v>316.89999999999998</v>
    <v>310.77999999999997</v>
    <v>321.67</v>
    <v>319.41000000000003</v>
    <v>329.65</v>
    <v>328.49</v>
    <v>332.11</v>
    <v>332.56</v>
    <v>305.3</v>
    <v>316.06</v>
    <v>325.58999999999997</v>
    <v>321.2</v>
    <v>319.04000000000002</v>
    <v>308.27</v>
    <v>302.63</v>
    <v>309.26</v>
    <v>308.72000000000003</v>
    <v>319.91000000000003</v>
    <v>322.27</v>
    <v>329.65</v>
    <v>339.03</v>
    <v>340.84</v>
    <v>339.38</v>
    <v>335.58</v>
    <v>330.56</v>
    <v>335.16</v>
    <v>329.31</v>
    <v>323.89999999999998</v>
    <v>320.11</v>
    <v>340.01</v>
    <v>346.6</v>
    <v>351.67</v>
    <v>349.6</v>
    <v>345.98</v>
    <v>333.87</v>
    <v>329.36</v>
    <v>334.09</v>
    <v>338.53</v>
    <v>350.84</v>
    <v>346.4</v>
    <v>346.97</v>
    <v>347.79</v>
    <v>368.81</v>
    <v>395.94</v>
    <v>410.04</v>
    <v>421.62</v>
    <v>425.86</v>
    <v>416.85</v>
    <v>426.07</v>
    <v>434.21</v>
    <v>425.85</v>
    <v>442.79</v>
    <v>423.39</v>
    <v>440.4</v>
    <v>443.21</v>
    <v>444.72</v>
    <v>459.46</v>
    <v>436</v>
    <v>429.83</v>
    <v>453.25</v>
    <v>433.09</v>
    <v>438.69</v>
    <v>435.54</v>
    <v>413.49</v>
    <v>435.9</v>
    <v>429.24</v>
    <v>435.15</v>
    <v>428.75</v>
    <v>439.31</v>
    <v>447.43</v>
    <v>442.6</v>
    <v>438.97</v>
    <v>448.98</v>
    <v>433.72</v>
    <v>452.42</v>
    <v>460.55</v>
    <v>461.51</v>
    <v>440.1</v>
    <v>456.56</v>
    <v>468.37</v>
    <v>444.26</v>
    <v>462.07</v>
    <v>445.91</v>
    <v>429.52</v>
    <v>445.23</v>
    <v>439.62</v>
    <v>430.6</v>
    <v>401.99</v>
    <v>404.35</v>
    <v>408.92</v>
    <v>401.25</v>
    <v>403.99</v>
    <v>395.23</v>
    <v>391.09</v>
    <v>417.78</v>
    <v>419.4</v>
    <v>426.58</v>
    <v>430.17</v>
    <v>430.14</v>
    <v>429.24</v>
    <v>446.74</v>
    <v>454.53</v>
    <v>455</v>
    <v>439.58</v>
    <v>445.17</v>
    <v>451.45</v>
    <v>446.89</v>
    <v>458.96</v>
    <v>475.31</v>
    <v>489.88</v>
    <v>467.26</v>
    <v>483.37</v>
    <v>481.2</v>
    <v>488.73</v>
    <v>485.56</v>
    <v>485.4</v>
    <v>475.19</v>
    <v>459.64</v>
    <v>454.43</v>
    <v>449.72</v>
    <v>438.07</v>
    <v>451.67</v>
    <v>432.96</v>
    <v>431.41</v>
    <v>435.8</v>
    <v>445.01</v>
    <v>448.96</v>
    <v>447.2</v>
    <v>439.2</v>
    <v>438.57</v>
    <v>437.5</v>
    <v>419.25</v>
    <v>431.44</v>
    <v>449.36</v>
    <v>449.06</v>
    <v>435.2</v>
    <v>430.9</v>
    <v>431.46</v>
    <v>416.56</v>
    <v>430.41</v>
    <v>421.81</v>
    <v>421.96</v>
    <v>406.01</v>
    <v>397.21</v>
    <v>411.11</v>
    <v>417.32</v>
    <v>425.21</v>
    <v>428.27</v>
    <v>417.07</v>
    <v>417.44</v>
    <v>410.63</v>
    <v>411.32</v>
    <v>411.71</v>
    <v>411.82</v>
    <v>399.83</v>
    <v>409.38</v>
    <v>417.4</v>
    <v>408.58</v>
    <v>402.51</v>
    <v>403.32</v>
    <v>392.43</v>
    <v>405.94</v>
    <v>405.55</v>
    <v>396.73</v>
    <v>398.68</v>
    <v>399.23500000000001</v>
    <v>407.82</v>
    <v>395.01</v>
    <v>391.2</v>
    <v>395.56</v>
    <v>399.27</v>
    <v>392.78</v>
    <v>380.3</v>
    <v>367.96</v>
    <v>380.85</v>
    <v>383.03</v>
    <v>385.95</v>
    <v>372.11</v>
    <v>361.83</v>
    <v>355.28</v>
    <v>371.75</v>
    <v>381.26</v>
    <v>360.59</v>
    <v>352.82</v>
    <v>346.65</v>
    <v>343.25</v>
    <v>345.62</v>
    <v>348.95</v>
    <v>352.42</v>
    <v>364.2</v>
    <v>391.95</v>
    <v>388.9</v>
    <v>400.62</v>
    <v>392.5</v>
    <v>386.42</v>
    <v>387.51</v>
    <v>373.72</v>
    <v>376.3</v>
    <v>378.67</v>
    <v>376.02</v>
    <v>372.8</v>
    <v>381.63</v>
    <v>390.82</v>
    <v>392.51</v>
    <v>389.37</v>
    <v>398.73</v>
    <v>411.79</v>
    <v>428.35</v>
    <v>445</v>
    <v>433.45</v>
    <v>445.27</v>
    <v>443.3</v>
    <v>422.24</v>
    <v>409.99</v>
    <v>404.11</v>
    <v>417.26</v>
    <v>417.85</v>
    <v>426.01</v>
    <v>433.59</v>
    <v>440.36</v>
    <v>442.1</v>
    <v>435.79</v>
    <v>415.88</v>
    <v>423.74</v>
    <v>423.7</v>
    <v>418.45</v>
    <v>391</v>
    <v>408.95</v>
    <v>396.68</v>
    <v>381.59</v>
    <v>399.15</v>
    <v>406.43</v>
    <v>411.15</v>
    <v>404.66</v>
    <v>396.38</v>
    <v>400.49</v>
    <v>405.05</v>
    <v>381.61</v>
    <v>375.53</v>
    <v>375.12</v>
    <v>379.71</v>
    <v>411.84</v>
    <v>420.6</v>
    <v>425.3</v>
    <v>393.45</v>
    <v>419.77</v>
    <v>402.9</v>
    <v>394.06</v>
    <v>406.55</v>
    <v>407.76</v>
    <v>394.76</v>
    <v>396.18</v>
    <v>394.46</v>
    <v>391.06</v>
    <v>380.84</v>
    <v>369.57</v>
    <v>378.93</v>
    <v>374.01</v>
    <v>319.69</v>
    <v>313.02999999999997</v>
    <v>309.22000000000003</v>
    <v>307.44</v>
    <v>298.32</v>
    <v>308.85000000000002</v>
    <v>311.20999999999998</v>
    <v>322.08</v>
    <v>327.35000000000002</v>
    <v>321.55</v>
    <v>319.52999999999997</v>
    <v>328.58</v>
    <v>330.88</v>
    <v>332.81</v>
    <v>327.51</v>
    <v>339.96</v>
    <v>342.27</v>
    <v>339.3</v>
    <v>336.87</v>
    <v>351.12</v>
    <v>345.13</v>
    <v>362.86</v>
    <v>348.95</v>
    <v>350.25</v>
    <v>345.82</v>
    <v>354.81</v>
    <v>348.75</v>
    <v>367.95</v>
    <v>356.09</v>
    <v>357.01</v>
    <v>376.36500000000001</v>
    <v>354.08</v>
    <v>368.16</v>
    <v>367.81</v>
    <v>363.56</v>
    <v>365.44</v>
    <v>358.97</v>
    <v>356.58</v>
    <v>358.08</v>
    <v>366.2</v>
    <v>364.27</v>
    <v>375.3</v>
    <v>378.9</v>
    <v>380.12</v>
    <v>377.94</v>
    <v>372.11</v>
    <v>357.45</v>
    <v>352.84</v>
    <v>354.81</v>
    <v>354.11</v>
    <v>370.59</v>
    <v>378.73</v>
    <v>380.68</v>
    <v>377.81</v>
    <v>375</v>
    <v>382.7</v>
    <v>378.03</v>
    <v>375.23</v>
    <v>367.16</v>
    <v>362.44</v>
    <v>354.72</v>
    <v>368.06</v>
    <v>373.71</v>
    <v>386.47</v>
    <v>374.58</v>
    <v>372.22</v>
  </a>
  <a r="1" c="252">
    <v>448.98</v>
    <v>433.72</v>
    <v>452.42</v>
    <v>460.55</v>
    <v>461.51</v>
    <v>440.1</v>
    <v>456.56</v>
    <v>468.37</v>
    <v>444.26</v>
    <v>462.07</v>
    <v>445.91</v>
    <v>429.52</v>
    <v>445.23</v>
    <v>439.62</v>
    <v>430.6</v>
    <v>401.99</v>
    <v>404.35</v>
    <v>408.92</v>
    <v>401.25</v>
    <v>403.99</v>
    <v>395.23</v>
    <v>391.09</v>
    <v>417.78</v>
    <v>419.4</v>
    <v>426.58</v>
    <v>430.17</v>
    <v>430.14</v>
    <v>429.24</v>
    <v>446.74</v>
    <v>454.53</v>
    <v>455</v>
    <v>439.58</v>
    <v>445.17</v>
    <v>451.45</v>
    <v>446.89</v>
    <v>458.96</v>
    <v>475.31</v>
    <v>489.88</v>
    <v>467.26</v>
    <v>483.37</v>
    <v>481.2</v>
    <v>488.73</v>
    <v>485.56</v>
    <v>485.4</v>
    <v>475.19</v>
    <v>459.64</v>
    <v>454.43</v>
    <v>449.72</v>
    <v>438.07</v>
    <v>451.67</v>
    <v>432.96</v>
    <v>431.41</v>
    <v>435.8</v>
    <v>445.01</v>
    <v>448.96</v>
    <v>447.2</v>
    <v>439.2</v>
    <v>438.57</v>
    <v>437.5</v>
    <v>419.25</v>
    <v>431.44</v>
    <v>449.36</v>
    <v>449.06</v>
    <v>435.2</v>
    <v>430.9</v>
    <v>431.46</v>
    <v>416.56</v>
    <v>430.41</v>
    <v>421.81</v>
    <v>421.96</v>
    <v>406.01</v>
    <v>397.21</v>
    <v>411.11</v>
    <v>417.32</v>
    <v>425.21</v>
    <v>428.27</v>
    <v>417.07</v>
    <v>417.44</v>
    <v>410.63</v>
    <v>411.32</v>
    <v>411.71</v>
    <v>411.82</v>
    <v>399.83</v>
    <v>409.38</v>
    <v>417.4</v>
    <v>408.58</v>
    <v>402.51</v>
    <v>403.32</v>
    <v>392.43</v>
    <v>405.94</v>
    <v>405.55</v>
    <v>396.73</v>
    <v>398.68</v>
    <v>399.23500000000001</v>
    <v>407.82</v>
    <v>395.01</v>
    <v>391.2</v>
    <v>395.56</v>
    <v>399.27</v>
    <v>392.78</v>
    <v>380.3</v>
    <v>367.96</v>
    <v>380.85</v>
    <v>383.03</v>
    <v>385.95</v>
    <v>372.11</v>
    <v>361.83</v>
    <v>355.28</v>
    <v>371.75</v>
    <v>381.26</v>
    <v>360.59</v>
    <v>352.82</v>
    <v>346.65</v>
    <v>343.25</v>
    <v>345.62</v>
    <v>348.95</v>
    <v>352.42</v>
    <v>364.2</v>
    <v>391.95</v>
    <v>388.9</v>
    <v>400.62</v>
    <v>392.5</v>
    <v>386.42</v>
    <v>387.51</v>
    <v>373.72</v>
    <v>376.3</v>
    <v>378.67</v>
    <v>376.02</v>
    <v>372.8</v>
    <v>381.63</v>
    <v>390.82</v>
    <v>392.51</v>
    <v>389.37</v>
    <v>398.73</v>
    <v>411.79</v>
    <v>428.35</v>
    <v>445</v>
    <v>433.45</v>
    <v>445.27</v>
    <v>443.3</v>
    <v>422.24</v>
    <v>409.99</v>
    <v>404.11</v>
    <v>417.26</v>
    <v>417.85</v>
    <v>426.01</v>
    <v>433.59</v>
    <v>440.36</v>
    <v>442.1</v>
    <v>435.79</v>
    <v>415.88</v>
    <v>423.74</v>
    <v>423.7</v>
    <v>418.45</v>
    <v>391</v>
    <v>408.95</v>
    <v>396.68</v>
    <v>381.59</v>
    <v>399.15</v>
    <v>406.43</v>
    <v>411.15</v>
    <v>404.66</v>
    <v>396.38</v>
    <v>400.49</v>
    <v>405.05</v>
    <v>381.61</v>
    <v>375.53</v>
    <v>375.12</v>
    <v>379.71</v>
    <v>411.84</v>
    <v>420.6</v>
    <v>425.3</v>
    <v>393.45</v>
    <v>419.77</v>
    <v>402.9</v>
    <v>394.06</v>
    <v>406.55</v>
    <v>407.76</v>
    <v>394.76</v>
    <v>396.18</v>
    <v>394.46</v>
    <v>391.06</v>
    <v>380.84</v>
    <v>369.57</v>
    <v>378.93</v>
    <v>374.01</v>
    <v>319.69</v>
    <v>313.02999999999997</v>
    <v>309.22000000000003</v>
    <v>307.44</v>
    <v>298.32</v>
    <v>308.85000000000002</v>
    <v>311.20999999999998</v>
    <v>322.08</v>
    <v>327.35000000000002</v>
    <v>321.55</v>
    <v>319.52999999999997</v>
    <v>328.58</v>
    <v>330.88</v>
    <v>332.81</v>
    <v>327.51</v>
    <v>339.96</v>
    <v>342.27</v>
    <v>339.3</v>
    <v>336.87</v>
    <v>351.12</v>
    <v>345.13</v>
    <v>362.86</v>
    <v>348.95</v>
    <v>350.25</v>
    <v>345.82</v>
    <v>354.81</v>
    <v>348.75</v>
    <v>367.95</v>
    <v>356.09</v>
    <v>357.01</v>
    <v>376.36500000000001</v>
    <v>354.08</v>
    <v>368.16</v>
    <v>367.81</v>
    <v>363.56</v>
    <v>365.44</v>
    <v>358.97</v>
    <v>356.58</v>
    <v>358.08</v>
    <v>366.2</v>
    <v>364.27</v>
    <v>375.3</v>
    <v>378.9</v>
    <v>380.12</v>
    <v>377.94</v>
    <v>372.11</v>
    <v>357.45</v>
    <v>352.84</v>
    <v>354.81</v>
    <v>354.11</v>
    <v>370.59</v>
    <v>378.73</v>
    <v>380.68</v>
    <v>377.81</v>
    <v>375</v>
    <v>382.7</v>
    <v>378.03</v>
    <v>375.23</v>
    <v>367.16</v>
    <v>362.44</v>
    <v>354.72</v>
    <v>368.06</v>
    <v>373.71</v>
    <v>386.47</v>
    <v>374.58</v>
    <v>372.22</v>
  </a>
  <a r="1" c="206">
    <v t="i">2</v>
    <v t="i">5</v>
    <v t="i">7</v>
    <v t="i">8</v>
    <v t="i">9</v>
    <v t="i">12</v>
    <v t="i">13</v>
    <v t="i">14</v>
    <v t="i">15</v>
    <v t="i">16</v>
    <v t="i">19</v>
    <v t="i">20</v>
    <v t="i">21</v>
    <v t="i">22</v>
    <v t="i">23</v>
    <v t="i">26</v>
    <v t="i">27</v>
    <v t="i">28</v>
    <v t="i">29</v>
    <v t="i">30</v>
    <v t="i">33</v>
    <v t="i">34</v>
    <v t="i">35</v>
    <v t="i">36</v>
    <v t="i">37</v>
    <v t="i">40</v>
    <v t="i">41</v>
    <v t="i">42</v>
    <v t="i">43</v>
    <v t="i">44</v>
    <v t="i">47</v>
    <v t="i">48</v>
    <v t="i">49</v>
    <v t="i">50</v>
    <v t="i">51</v>
    <v t="i">54</v>
    <v t="i">55</v>
    <v t="i">56</v>
    <v t="i">57</v>
    <v t="i">58</v>
    <v t="i">61</v>
    <v t="i">62</v>
    <v t="i">63</v>
    <v t="i">64</v>
    <v t="i">65</v>
    <v t="i">68</v>
    <v t="i">69</v>
    <v t="i">70</v>
    <v t="i">71</v>
    <v t="i">72</v>
    <v t="i">75</v>
    <v t="i">76</v>
    <v t="i">77</v>
    <v t="i">78</v>
    <v t="i">79</v>
    <v t="i">82</v>
    <v t="i">83</v>
    <v t="i">84</v>
    <v t="i">85</v>
    <v t="i">86</v>
    <v t="i">89</v>
    <v t="i">90</v>
    <v t="i">91</v>
    <v t="i">92</v>
    <v t="i">97</v>
    <v t="i">98</v>
    <v t="i">99</v>
    <v t="i">100</v>
    <v t="i">103</v>
    <v t="i">104</v>
    <v t="i">105</v>
    <v t="i">106</v>
    <v t="i">107</v>
    <v t="i">110</v>
    <v t="i">111</v>
    <v t="i">112</v>
    <v t="i">113</v>
    <v t="i">114</v>
    <v t="i">117</v>
    <v t="i">118</v>
    <v t="i">119</v>
    <v t="i">120</v>
    <v t="i">124</v>
    <v t="i">125</v>
    <v t="i">126</v>
    <v t="i">127</v>
    <v t="i">128</v>
    <v t="i">131</v>
    <v t="i">132</v>
    <v t="i">133</v>
    <v t="i">134</v>
    <v t="i">135</v>
    <v t="i">138</v>
    <v t="i">139</v>
    <v t="i">140</v>
    <v t="i">141</v>
    <v t="i">142</v>
    <v t="i">145</v>
    <v t="i">146</v>
    <v t="i">147</v>
    <v t="i">148</v>
    <v t="i">149</v>
    <v t="i">152</v>
    <v t="i">153</v>
    <v t="i">154</v>
    <v t="i">156</v>
    <v t="i">159</v>
    <v t="i">160</v>
    <v t="i">161</v>
    <v t="i">162</v>
    <v t="i">163</v>
    <v t="i">166</v>
    <v t="i">167</v>
    <v t="i">168</v>
    <v t="i">169</v>
    <v t="i">170</v>
    <v t="i">173</v>
    <v t="i">174</v>
    <v t="i">175</v>
    <v t="i">176</v>
    <v t="i">177</v>
    <v t="i">180</v>
    <v t="i">181</v>
    <v t="i">182</v>
    <v t="i">183</v>
    <v t="i">184</v>
    <v t="i">187</v>
    <v t="i">188</v>
    <v t="i">189</v>
    <v t="i">190</v>
    <v t="i">191</v>
    <v t="i">194</v>
    <v t="i">195</v>
    <v t="i">196</v>
    <v t="i">197</v>
    <v t="i">198</v>
    <v t="i">201</v>
    <v t="i">202</v>
    <v t="i">203</v>
    <v t="i">204</v>
    <v t="i">205</v>
    <v t="i">208</v>
    <v t="i">209</v>
    <v t="i">210</v>
    <v t="i">211</v>
    <v t="i">212</v>
    <v t="i">215</v>
    <v t="i">216</v>
    <v t="i">217</v>
    <v t="i">218</v>
    <v t="i">219</v>
    <v t="i">222</v>
    <v t="i">223</v>
    <v t="i">224</v>
    <v t="i">225</v>
    <v t="i">226</v>
    <v t="i">229</v>
    <v t="i">230</v>
    <v t="i">231</v>
    <v t="i">232</v>
    <v t="i">233</v>
    <v t="i">236</v>
    <v t="i">237</v>
    <v t="i">238</v>
    <v t="i">239</v>
    <v t="i">240</v>
    <v t="i">243</v>
    <v t="i">244</v>
    <v t="i">245</v>
    <v t="i">246</v>
    <v t="i">247</v>
    <v t="i">250</v>
    <v t="i">251</v>
    <v t="i">252</v>
    <v t="i">253</v>
    <v t="i">254</v>
    <v t="i">257</v>
    <v t="i">258</v>
    <v t="i">259</v>
    <v t="i">260</v>
    <v t="i">261</v>
    <v t="i">264</v>
    <v t="i">265</v>
    <v t="i">266</v>
    <v t="i">267</v>
    <v t="i">268</v>
    <v t="i">271</v>
    <v t="i">272</v>
    <v t="i">273</v>
    <v t="i">274</v>
    <v t="i">275</v>
    <v t="i">278</v>
    <v t="i">279</v>
    <v t="i">280</v>
    <v t="i">281</v>
    <v t="i">282</v>
    <v t="i">285</v>
    <v t="i">286</v>
    <v t="i">287</v>
    <v t="i">288</v>
    <v t="i">289</v>
    <v t="i">292</v>
    <v t="i">293</v>
    <v t="i">294</v>
    <v t="i">295</v>
    <v t="i">296</v>
  </a>
  <a r="1" c="206">
    <v>0.38200000000000001</v>
    <v>0.375</v>
    <v>0.56000000000000005</v>
    <v>0.53</v>
    <v>0.47</v>
    <v>0.48799999999999999</v>
    <v>0.48</v>
    <v>0.46700000000000003</v>
    <v>0.46400000000000002</v>
    <v>0.46800000000000003</v>
    <v>0.46800000000000003</v>
    <v>0.44500000000000001</v>
    <v>0.41099999999999998</v>
    <v>0.434</v>
    <v>0.46300000000000002</v>
    <v>0.44</v>
    <v>0.43</v>
    <v>0.42</v>
    <v>0.47</v>
    <v>0.46800000000000003</v>
    <v>0.45700000000000002</v>
    <v>0.46</v>
    <v>0.52</v>
    <v>0.52200000000000002</v>
    <v>0.48899999999999999</v>
    <v>0.46800000000000003</v>
    <v>0.502</v>
    <v>0.504</v>
    <v>0.49299999999999999</v>
    <v>0.5</v>
    <v>0.49</v>
    <v>0.47499999999999998</v>
    <v>0.47</v>
    <v>0.47799999999999998</v>
    <v>0.48399999999999999</v>
    <v>0.48</v>
    <v>0.46800000000000003</v>
    <v>0.47599999999999998</v>
    <v>0.47299999999999998</v>
    <v>0.46400000000000002</v>
    <v>0.5</v>
    <v>0.47699999999999998</v>
    <v>0.47699999999999998</v>
    <v>0.46899999999999997</v>
    <v>0.47399999999999998</v>
    <v>0.45700000000000002</v>
    <v>0.42799999999999999</v>
    <v>0.443</v>
    <v>0.43</v>
    <v>0.435</v>
    <v>0.433</v>
    <v>0.42599999999999999</v>
    <v>0.442</v>
    <v>0.442</v>
    <v>0.436</v>
    <v>0.44</v>
    <v>0.442</v>
    <v>0.47699999999999998</v>
    <v>0.48899999999999999</v>
    <v>0.47699999999999998</v>
    <v>0.5</v>
    <v>0.51</v>
    <v>0.49</v>
    <v>0.47899999999999998</v>
    <v>0.5</v>
    <v>0.51</v>
    <v>0.5</v>
    <v>0.496</v>
    <v>0.49199999999999999</v>
    <v>0.48799999999999999</v>
    <v>0.48</v>
    <v>0.48799999999999999</v>
    <v>0.48799999999999999</v>
    <v>0.48799999999999999</v>
    <v>0.47799999999999998</v>
    <v>0.48</v>
    <v>0.48</v>
    <v>0.498</v>
    <v>0.48599999999999999</v>
    <v>0.47799999999999998</v>
    <v>0.47399999999999998</v>
    <v>0.47399999999999998</v>
    <v>0.46600000000000003</v>
    <v>0.46</v>
    <v>0.43</v>
    <v>0.45</v>
    <v>0.438</v>
    <v>0.44</v>
    <v>0.432</v>
    <v>0.42</v>
    <v>0.43</v>
    <v>0.42799999999999999</v>
    <v>0.438</v>
    <v>0.46800000000000003</v>
    <v>0.48799999999999999</v>
    <v>0.46800000000000003</v>
    <v>0.46800000000000003</v>
    <v>0.46600000000000003</v>
    <v>0.46800000000000003</v>
    <v>0.46400000000000002</v>
    <v>0.45400000000000001</v>
    <v>0.442</v>
    <v>0.42599999999999999</v>
    <v>0.45200000000000001</v>
    <v>0.45</v>
    <v>0.45</v>
    <v>0.45200000000000001</v>
    <v>0.45600000000000002</v>
    <v>0.44600000000000001</v>
    <v>0.45400000000000001</v>
    <v>0.45800000000000002</v>
    <v>0.45</v>
    <v>0.44</v>
    <v>0.45400000000000001</v>
    <v>0.45800000000000002</v>
    <v>0.45</v>
    <v>0.44600000000000001</v>
    <v>0.44600000000000001</v>
    <v>0.44600000000000001</v>
    <v>0.44400000000000001</v>
    <v>0.432</v>
    <v>0.442</v>
    <v>0.436</v>
    <v>0.434</v>
    <v>0.442</v>
    <v>0.442</v>
    <v>0.40799999999999997</v>
    <v>0.42599999999999999</v>
    <v>0.40400000000000003</v>
    <v>0.41</v>
    <v>0.42</v>
    <v>0.41799999999999998</v>
    <v>0.42199999999999999</v>
    <v>0.41599999999999998</v>
    <v>0.41199999999999998</v>
    <v>0.41199999999999998</v>
    <v>0.39600000000000002</v>
    <v>0.40799999999999997</v>
    <v>0.40600000000000003</v>
    <v>0.41</v>
    <v>0.40600000000000003</v>
    <v>0.40799999999999997</v>
    <v>0.39800000000000002</v>
    <v>0.39400000000000002</v>
    <v>0.39</v>
    <v>0.39</v>
    <v>0.38600000000000001</v>
    <v>0.374</v>
    <v>0.38</v>
    <v>0.40799999999999997</v>
    <v>0.39400000000000002</v>
    <v>0.39400000000000002</v>
    <v>0.38800000000000001</v>
    <v>0.38800000000000001</v>
    <v>0.38800000000000001</v>
    <v>0.39200000000000002</v>
    <v>0.39400000000000002</v>
    <v>0.39</v>
    <v>0.39200000000000002</v>
    <v>0.39400000000000002</v>
    <v>0.39600000000000002</v>
    <v>0.4</v>
    <v>0.40799999999999997</v>
    <v>0.40200000000000002</v>
    <v>0.39800000000000002</v>
    <v>0.374</v>
    <v>0.38</v>
    <v>0.40200000000000002</v>
    <v>0.39800000000000002</v>
    <v>0.39</v>
    <v>0.38600000000000001</v>
    <v>0.39200000000000002</v>
    <v>0.39</v>
    <v>0.38</v>
    <v>0.378</v>
    <v>0.38200000000000001</v>
    <v>0.37</v>
    <v>0.37</v>
    <v>0.36</v>
    <v>0.378</v>
    <v>0.376</v>
    <v>0.36599999999999999</v>
    <v>0.376</v>
    <v>0.376</v>
    <v>0.36799999999999999</v>
    <v>0.38200000000000001</v>
    <v>0.376</v>
    <v>0.378</v>
    <v>0.376</v>
    <v>0.38200000000000001</v>
    <v>0.39</v>
    <v>0.39600000000000002</v>
    <v>0.39</v>
    <v>0.39600000000000002</v>
    <v>0.39400000000000002</v>
    <v>0.376</v>
    <v>0.378</v>
    <v>0.38200000000000001</v>
    <v>0.38</v>
    <v>0.36799999999999999</v>
    <v>0.35599999999999998</v>
    <v>0.35599999999999998</v>
    <v>0.35599999999999998</v>
    <v>0.35799999999999998</v>
    <v>0.35199999999999998</v>
    <v>0.35199999999999998</v>
  </a>
  <a r="1" c="251">
    <v t="i">0</v>
    <v t="i">1</v>
    <v t="i">4</v>
    <v t="i">5</v>
    <v t="i">6</v>
    <v t="i">7</v>
    <v t="i">8</v>
    <v t="i">11</v>
    <v t="i">12</v>
    <v t="i">13</v>
    <v t="i">14</v>
    <v t="i">15</v>
    <v t="i">18</v>
    <v t="i">20</v>
    <v t="i">21</v>
    <v t="i">22</v>
    <v t="i">25</v>
    <v t="i">26</v>
    <v t="i">27</v>
    <v t="i">28</v>
    <v t="i">29</v>
    <v t="i">32</v>
    <v t="i">33</v>
    <v t="i">34</v>
    <v t="i">35</v>
    <v t="i">36</v>
    <v t="i">39</v>
    <v t="i">40</v>
    <v t="i">41</v>
    <v t="i">42</v>
    <v t="i">43</v>
    <v t="i">46</v>
    <v t="i">47</v>
    <v t="i">48</v>
    <v t="i">49</v>
    <v t="i">50</v>
    <v t="i">53</v>
    <v t="i">54</v>
    <v t="i">55</v>
    <v t="i">56</v>
    <v t="i">57</v>
    <v t="i">60</v>
    <v t="i">61</v>
    <v t="i">67</v>
    <v t="i">68</v>
    <v t="i">71</v>
    <v t="i">74</v>
    <v t="i">76</v>
    <v t="i">77</v>
    <v t="i">78</v>
    <v t="i">81</v>
    <v t="i">82</v>
    <v t="i">83</v>
    <v t="i">84</v>
    <v t="i">85</v>
    <v t="i">88</v>
    <v t="i">89</v>
    <v t="i">90</v>
    <v t="i">91</v>
    <v t="i">92</v>
    <v t="i">95</v>
    <v t="i">96</v>
    <v t="i">97</v>
    <v t="i">98</v>
    <v t="i">99</v>
    <v t="i">102</v>
    <v t="i">103</v>
    <v t="i">104</v>
    <v t="i">105</v>
    <v t="i">106</v>
    <v t="i">109</v>
    <v t="i">110</v>
    <v t="i">111</v>
    <v t="i">112</v>
    <v t="i">113</v>
    <v t="i">116</v>
    <v t="i">117</v>
    <v t="i">118</v>
    <v t="i">119</v>
    <v t="i">120</v>
    <v t="i">123</v>
    <v t="i">124</v>
    <v t="i">125</v>
    <v t="i">126</v>
    <v t="i">127</v>
    <v t="i">130</v>
    <v t="i">131</v>
    <v t="i">132</v>
    <v t="i">133</v>
    <v t="i">134</v>
    <v t="i">137</v>
    <v t="i">138</v>
    <v t="i">139</v>
    <v t="i">140</v>
    <v t="i">141</v>
    <v t="i">144</v>
    <v t="i">145</v>
    <v t="i">146</v>
    <v t="i">147</v>
    <v t="i">148</v>
    <v t="i">151</v>
    <v t="i">152</v>
    <v t="i">153</v>
    <v t="i">154</v>
    <v t="i">155</v>
    <v t="i">158</v>
    <v t="i">159</v>
    <v t="i">160</v>
    <v t="i">161</v>
    <v t="i">166</v>
    <v t="i">167</v>
    <v t="i">168</v>
    <v t="i">169</v>
    <v t="i">172</v>
    <v t="i">173</v>
    <v t="i">174</v>
    <v t="i">175</v>
    <v t="i">176</v>
    <v t="i">179</v>
    <v t="i">180</v>
    <v t="i">181</v>
    <v t="i">182</v>
    <v t="i">183</v>
    <v t="i">186</v>
    <v t="i">187</v>
    <v t="i">188</v>
    <v t="i">189</v>
    <v t="i">193</v>
    <v t="i">194</v>
    <v t="i">195</v>
    <v t="i">196</v>
    <v t="i">197</v>
    <v t="i">200</v>
    <v t="i">201</v>
    <v t="i">202</v>
    <v t="i">203</v>
    <v t="i">204</v>
    <v t="i">207</v>
    <v t="i">208</v>
    <v t="i">209</v>
    <v t="i">210</v>
    <v t="i">211</v>
    <v t="i">214</v>
    <v t="i">215</v>
    <v t="i">216</v>
    <v t="i">217</v>
    <v t="i">218</v>
    <v t="i">221</v>
    <v t="i">222</v>
    <v t="i">223</v>
    <v t="i">225</v>
    <v t="i">228</v>
    <v t="i">229</v>
    <v t="i">230</v>
    <v t="i">231</v>
    <v t="i">232</v>
    <v t="i">235</v>
    <v t="i">236</v>
    <v t="i">237</v>
    <v t="i">238</v>
    <v t="i">239</v>
    <v t="i">242</v>
    <v t="i">243</v>
    <v t="i">244</v>
    <v t="i">245</v>
    <v t="i">246</v>
    <v t="i">249</v>
    <v t="i">250</v>
    <v t="i">251</v>
    <v t="i">252</v>
    <v t="i">253</v>
    <v t="i">256</v>
    <v t="i">257</v>
    <v t="i">258</v>
    <v t="i">259</v>
    <v t="i">260</v>
    <v t="i">263</v>
    <v t="i">264</v>
    <v t="i">265</v>
    <v t="i">266</v>
    <v t="i">267</v>
    <v t="i">270</v>
    <v t="i">271</v>
    <v t="i">272</v>
    <v t="i">273</v>
    <v t="i">274</v>
    <v t="i">277</v>
    <v t="i">278</v>
    <v t="i">279</v>
    <v t="i">280</v>
    <v t="i">281</v>
    <v t="i">284</v>
    <v t="i">285</v>
    <v t="i">286</v>
    <v t="i">287</v>
    <v t="i">288</v>
    <v t="i">291</v>
    <v t="i">292</v>
    <v t="i">293</v>
    <v t="i">294</v>
    <v t="i">295</v>
    <v t="i">298</v>
    <v t="i">299</v>
    <v t="i">300</v>
    <v t="i">301</v>
    <v t="i">302</v>
    <v t="i">305</v>
    <v t="i">306</v>
    <v t="i">307</v>
    <v t="i">308</v>
    <v t="i">309</v>
    <v t="i">312</v>
    <v t="i">313</v>
    <v t="i">314</v>
    <v t="i">315</v>
    <v t="i">316</v>
    <v t="i">319</v>
    <v t="i">320</v>
    <v t="i">321</v>
    <v t="i">322</v>
    <v t="i">323</v>
    <v t="i">326</v>
    <v t="i">327</v>
    <v t="i">328</v>
    <v t="i">329</v>
    <v t="i">330</v>
    <v t="i">333</v>
    <v t="i">334</v>
    <v t="i">335</v>
    <v t="i">336</v>
    <v t="i">337</v>
    <v t="i">340</v>
    <v t="i">341</v>
    <v t="i">342</v>
    <v t="i">343</v>
    <v t="i">344</v>
    <v t="i">347</v>
    <v t="i">348</v>
    <v t="i">349</v>
    <v t="i">350</v>
    <v t="i">351</v>
    <v t="i">354</v>
    <v t="i">355</v>
    <v t="i">356</v>
    <v t="i">357</v>
    <v t="i">358</v>
    <v t="i">361</v>
    <v t="i">362</v>
    <v t="i">363</v>
    <v t="i">364</v>
    <v t="i">365</v>
  </a>
  <a r="1" c="251">
    <v>0.63400000000000001</v>
    <v>0.58199999999999996</v>
    <v>0.61199999999999999</v>
    <v>0.60799999999999998</v>
    <v>0.6</v>
    <v>0.58799999999999997</v>
    <v>0.55000000000000004</v>
    <v>0.52200000000000002</v>
    <v>0.51800000000000002</v>
    <v>0.55200000000000005</v>
    <v>0.52</v>
    <v>0.51600000000000001</v>
    <v>0.51400000000000001</v>
    <v>0.47</v>
    <v>0.51</v>
    <v>0.50600000000000001</v>
    <v>0.504</v>
    <v>0.495</v>
    <v>0.49199999999999999</v>
    <v>0.48899999999999999</v>
    <v>0.48499999999999999</v>
    <v>0.47299999999999998</v>
    <v>0.46200000000000002</v>
    <v>0.46200000000000002</v>
    <v>0.49099999999999999</v>
    <v>0.49099999999999999</v>
    <v>0.49399999999999999</v>
    <v>0.48699999999999999</v>
    <v>0.45600000000000002</v>
    <v>0.46800000000000003</v>
    <v>0.49299999999999999</v>
    <v>0.497</v>
    <v>0.48199999999999998</v>
    <v>0.52800000000000002</v>
    <v>0.51400000000000001</v>
    <v>0.5</v>
    <v>0.49</v>
    <v>0.49399999999999999</v>
    <v>0.47699999999999998</v>
    <v>0.436</v>
    <v>0.44800000000000001</v>
    <v>0.44600000000000001</v>
    <v>0.439</v>
    <v>0.379</v>
    <v>0.39900000000000002</v>
    <v>0.38200000000000001</v>
    <v>0.375</v>
    <v>0.56000000000000005</v>
    <v>0.53</v>
    <v>0.47</v>
    <v>0.48799999999999999</v>
    <v>0.48</v>
    <v>0.46700000000000003</v>
    <v>0.46400000000000002</v>
    <v>0.46800000000000003</v>
    <v>0.46800000000000003</v>
    <v>0.44500000000000001</v>
    <v>0.41099999999999998</v>
    <v>0.434</v>
    <v>0.46300000000000002</v>
    <v>0.44</v>
    <v>0.43</v>
    <v>0.42</v>
    <v>0.47</v>
    <v>0.46800000000000003</v>
    <v>0.45700000000000002</v>
    <v>0.46</v>
    <v>0.52</v>
    <v>0.52200000000000002</v>
    <v>0.48899999999999999</v>
    <v>0.46800000000000003</v>
    <v>0.502</v>
    <v>0.504</v>
    <v>0.49299999999999999</v>
    <v>0.5</v>
    <v>0.49</v>
    <v>0.47499999999999998</v>
    <v>0.47</v>
    <v>0.47799999999999998</v>
    <v>0.48399999999999999</v>
    <v>0.48</v>
    <v>0.46800000000000003</v>
    <v>0.47599999999999998</v>
    <v>0.47299999999999998</v>
    <v>0.46400000000000002</v>
    <v>0.5</v>
    <v>0.47699999999999998</v>
    <v>0.47699999999999998</v>
    <v>0.46899999999999997</v>
    <v>0.47399999999999998</v>
    <v>0.45700000000000002</v>
    <v>0.42799999999999999</v>
    <v>0.443</v>
    <v>0.43</v>
    <v>0.435</v>
    <v>0.433</v>
    <v>0.42599999999999999</v>
    <v>0.442</v>
    <v>0.442</v>
    <v>0.436</v>
    <v>0.44</v>
    <v>0.442</v>
    <v>0.47699999999999998</v>
    <v>0.48899999999999999</v>
    <v>0.47699999999999998</v>
    <v>0.5</v>
    <v>0.51</v>
    <v>0.49</v>
    <v>0.47899999999999998</v>
    <v>0.5</v>
    <v>0.51</v>
    <v>0.5</v>
    <v>0.496</v>
    <v>0.49199999999999999</v>
    <v>0.48799999999999999</v>
    <v>0.48</v>
    <v>0.48799999999999999</v>
    <v>0.48799999999999999</v>
    <v>0.48799999999999999</v>
    <v>0.47799999999999998</v>
    <v>0.48</v>
    <v>0.48</v>
    <v>0.498</v>
    <v>0.48599999999999999</v>
    <v>0.47799999999999998</v>
    <v>0.47399999999999998</v>
    <v>0.47399999999999998</v>
    <v>0.46600000000000003</v>
    <v>0.46</v>
    <v>0.43</v>
    <v>0.45</v>
    <v>0.438</v>
    <v>0.44</v>
    <v>0.432</v>
    <v>0.42</v>
    <v>0.43</v>
    <v>0.42799999999999999</v>
    <v>0.438</v>
    <v>0.46800000000000003</v>
    <v>0.48799999999999999</v>
    <v>0.46800000000000003</v>
    <v>0.46800000000000003</v>
    <v>0.46600000000000003</v>
    <v>0.46800000000000003</v>
    <v>0.46400000000000002</v>
    <v>0.45400000000000001</v>
    <v>0.442</v>
    <v>0.42599999999999999</v>
    <v>0.45200000000000001</v>
    <v>0.45</v>
    <v>0.45</v>
    <v>0.45200000000000001</v>
    <v>0.45600000000000002</v>
    <v>0.44600000000000001</v>
    <v>0.45400000000000001</v>
    <v>0.45800000000000002</v>
    <v>0.45</v>
    <v>0.44</v>
    <v>0.45400000000000001</v>
    <v>0.45800000000000002</v>
    <v>0.45</v>
    <v>0.44600000000000001</v>
    <v>0.44600000000000001</v>
    <v>0.44600000000000001</v>
    <v>0.44400000000000001</v>
    <v>0.432</v>
    <v>0.442</v>
    <v>0.436</v>
    <v>0.434</v>
    <v>0.442</v>
    <v>0.442</v>
    <v>0.40799999999999997</v>
    <v>0.42599999999999999</v>
    <v>0.40400000000000003</v>
    <v>0.41</v>
    <v>0.42</v>
    <v>0.41799999999999998</v>
    <v>0.42199999999999999</v>
    <v>0.41599999999999998</v>
    <v>0.41199999999999998</v>
    <v>0.41199999999999998</v>
    <v>0.39600000000000002</v>
    <v>0.40799999999999997</v>
    <v>0.40600000000000003</v>
    <v>0.41</v>
    <v>0.40600000000000003</v>
    <v>0.40799999999999997</v>
    <v>0.39800000000000002</v>
    <v>0.39400000000000002</v>
    <v>0.39</v>
    <v>0.39</v>
    <v>0.38600000000000001</v>
    <v>0.374</v>
    <v>0.38</v>
    <v>0.40799999999999997</v>
    <v>0.39400000000000002</v>
    <v>0.39400000000000002</v>
    <v>0.38800000000000001</v>
    <v>0.38800000000000001</v>
    <v>0.38800000000000001</v>
    <v>0.39200000000000002</v>
    <v>0.39400000000000002</v>
    <v>0.39</v>
    <v>0.39200000000000002</v>
    <v>0.39400000000000002</v>
    <v>0.39600000000000002</v>
    <v>0.4</v>
    <v>0.40799999999999997</v>
    <v>0.40200000000000002</v>
    <v>0.39800000000000002</v>
    <v>0.374</v>
    <v>0.38</v>
    <v>0.40200000000000002</v>
    <v>0.39800000000000002</v>
    <v>0.39</v>
    <v>0.38600000000000001</v>
    <v>0.39200000000000002</v>
    <v>0.39</v>
    <v>0.38</v>
    <v>0.378</v>
    <v>0.38200000000000001</v>
    <v>0.37</v>
    <v>0.37</v>
    <v>0.36</v>
    <v>0.378</v>
    <v>0.376</v>
    <v>0.36599999999999999</v>
    <v>0.376</v>
    <v>0.376</v>
    <v>0.36799999999999999</v>
    <v>0.38200000000000001</v>
    <v>0.376</v>
    <v>0.378</v>
    <v>0.376</v>
    <v>0.38200000000000001</v>
    <v>0.39</v>
    <v>0.39600000000000002</v>
    <v>0.39</v>
    <v>0.39600000000000002</v>
    <v>0.39400000000000002</v>
    <v>0.376</v>
    <v>0.378</v>
    <v>0.38200000000000001</v>
    <v>0.38</v>
    <v>0.36799999999999999</v>
    <v>0.35599999999999998</v>
    <v>0.35599999999999998</v>
    <v>0.35599999999999998</v>
    <v>0.35799999999999998</v>
    <v>0.35199999999999998</v>
    <v>0.35199999999999998</v>
  </a>
  <a r="1" c="751">
    <v t="i">0</v>
    <v t="i">1</v>
    <v t="i">2</v>
    <v t="i">3</v>
    <v t="i">4</v>
    <v t="i">7</v>
    <v t="i">8</v>
    <v t="i">10</v>
    <v t="i">11</v>
    <v t="i">14</v>
    <v t="i">15</v>
    <v t="i">16</v>
    <v t="i">17</v>
    <v t="i">18</v>
    <v t="i">21</v>
    <v t="i">22</v>
    <v t="i">23</v>
    <v t="i">24</v>
    <v t="i">25</v>
    <v t="i">28</v>
    <v t="i">29</v>
    <v t="i">30</v>
    <v t="i">31</v>
    <v t="i">32</v>
    <v t="i">35</v>
    <v t="i">36</v>
    <v t="i">37</v>
    <v t="i">38</v>
    <v t="i">39</v>
    <v t="i">42</v>
    <v t="i">43</v>
    <v t="i">44</v>
    <v t="i">45</v>
    <v t="i">46</v>
    <v t="i">49</v>
    <v t="i">50</v>
    <v t="i">51</v>
    <v t="i">52</v>
    <v t="i">53</v>
    <v t="i">56</v>
    <v t="i">57</v>
    <v t="i">58</v>
    <v t="i">59</v>
    <v t="i">60</v>
    <v t="i">65</v>
    <v t="i">66</v>
    <v t="i">67</v>
    <v t="i">71</v>
    <v t="i">72</v>
    <v t="i">73</v>
    <v t="i">74</v>
    <v t="i">77</v>
    <v t="i">78</v>
    <v t="i">79</v>
    <v t="i">80</v>
    <v t="i">81</v>
    <v t="i">84</v>
    <v t="i">85</v>
    <v t="i">86</v>
    <v t="i">87</v>
    <v t="i">88</v>
    <v t="i">91</v>
    <v t="i">92</v>
    <v t="i">93</v>
    <v t="i">94</v>
    <v t="i">95</v>
    <v t="i">98</v>
    <v t="i">99</v>
    <v t="i">100</v>
    <v t="i">101</v>
    <v t="i">102</v>
    <v t="i">105</v>
    <v t="i">106</v>
    <v t="i">107</v>
    <v t="i">108</v>
    <v t="i">109</v>
    <v t="i">112</v>
    <v t="i">113</v>
    <v t="i">114</v>
    <v t="i">115</v>
    <v t="i">116</v>
    <v t="i">119</v>
    <v t="i">120</v>
    <v t="i">121</v>
    <v t="i">122</v>
    <v t="i">123</v>
    <v t="i">126</v>
    <v t="i">127</v>
    <v t="i">128</v>
    <v t="i">129</v>
    <v t="i">130</v>
    <v t="i">133</v>
    <v t="i">134</v>
    <v t="i">135</v>
    <v t="i">136</v>
    <v t="i">137</v>
    <v t="i">140</v>
    <v t="i">141</v>
    <v t="i">142</v>
    <v t="i">143</v>
    <v t="i">144</v>
    <v t="i">147</v>
    <v t="i">148</v>
    <v t="i">149</v>
    <v t="i">150</v>
    <v t="i">151</v>
    <v t="i">154</v>
    <v t="i">155</v>
    <v t="i">156</v>
    <v t="i">157</v>
    <v t="i">162</v>
    <v t="i">163</v>
    <v t="i">164</v>
    <v t="i">165</v>
    <v t="i">168</v>
    <v t="i">169</v>
    <v t="i">170</v>
    <v t="i">171</v>
    <v t="i">172</v>
    <v t="i">175</v>
    <v t="i">176</v>
    <v t="i">177</v>
    <v t="i">178</v>
    <v t="i">179</v>
    <v t="i">182</v>
    <v t="i">183</v>
    <v t="i">184</v>
    <v t="i">185</v>
    <v t="i">186</v>
    <v t="i">189</v>
    <v t="i">190</v>
    <v t="i">192</v>
    <v t="i">196</v>
    <v t="i">197</v>
    <v t="i">198</v>
    <v t="i">199</v>
    <v t="i">200</v>
    <v t="i">203</v>
    <v t="i">204</v>
    <v t="i">205</v>
    <v t="i">206</v>
    <v t="i">207</v>
    <v t="i">210</v>
    <v t="i">211</v>
    <v t="i">212</v>
    <v t="i">213</v>
    <v t="i">214</v>
    <v t="i">217</v>
    <v t="i">218</v>
    <v t="i">219</v>
    <v t="i">221</v>
    <v t="i">224</v>
    <v t="i">225</v>
    <v t="i">226</v>
    <v t="i">227</v>
    <v t="i">228</v>
    <v t="i">231</v>
    <v t="i">232</v>
    <v t="i">233</v>
    <v t="i">234</v>
    <v t="i">235</v>
    <v t="i">238</v>
    <v t="i">239</v>
    <v t="i">240</v>
    <v t="i">241</v>
    <v t="i">242</v>
    <v t="i">245</v>
    <v t="i">246</v>
    <v t="i">247</v>
    <v t="i">248</v>
    <v t="i">249</v>
    <v t="i">252</v>
    <v t="i">253</v>
    <v t="i">254</v>
    <v t="i">255</v>
    <v t="i">256</v>
    <v t="i">259</v>
    <v t="i">260</v>
    <v t="i">261</v>
    <v t="i">262</v>
    <v t="i">263</v>
    <v t="i">266</v>
    <v t="i">267</v>
    <v t="i">268</v>
    <v t="i">269</v>
    <v t="i">270</v>
    <v t="i">273</v>
    <v t="i">274</v>
    <v t="i">275</v>
    <v t="i">276</v>
    <v t="i">277</v>
    <v t="i">280</v>
    <v t="i">281</v>
    <v t="i">282</v>
    <v t="i">283</v>
    <v t="i">284</v>
    <v t="i">287</v>
    <v t="i">288</v>
    <v t="i">289</v>
    <v t="i">290</v>
    <v t="i">291</v>
    <v t="i">294</v>
    <v t="i">295</v>
    <v t="i">296</v>
    <v t="i">298</v>
    <v t="i">301</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v t="i">365</v>
    <v t="i">366</v>
    <v t="i">367</v>
    <v t="i">368</v>
    <v t="i">371</v>
    <v t="i">372</v>
    <v t="i">373</v>
    <v t="i">374</v>
    <v t="i">378</v>
    <v t="i">379</v>
    <v t="i">380</v>
    <v t="i">381</v>
    <v t="i">382</v>
    <v t="i">386</v>
    <v t="i">387</v>
    <v t="i">388</v>
    <v t="i">389</v>
    <v t="i">392</v>
    <v t="i">393</v>
    <v t="i">394</v>
    <v t="i">395</v>
    <v t="i">396</v>
    <v t="i">399</v>
    <v t="i">400</v>
    <v t="i">401</v>
    <v t="i">402</v>
    <v t="i">403</v>
    <v t="i">406</v>
    <v t="i">407</v>
    <v t="i">408</v>
    <v t="i">409</v>
    <v t="i">410</v>
    <v t="i">413</v>
    <v t="i">414</v>
    <v t="i">415</v>
    <v t="i">416</v>
    <v t="i">417</v>
    <v t="i">420</v>
    <v t="i">421</v>
    <v t="i">422</v>
    <v t="i">423</v>
    <v t="i">424</v>
    <v t="i">427</v>
    <v t="i">431</v>
    <v t="i">434</v>
    <v t="i">437</v>
    <v t="i">438</v>
    <v t="i">442</v>
    <v t="i">443</v>
    <v t="i">444</v>
    <v t="i">445</v>
    <v t="i">448</v>
    <v t="i">449</v>
    <v t="i">450</v>
    <v t="i">451</v>
    <v t="i">452</v>
    <v t="i">455</v>
    <v t="i">456</v>
    <v t="i">457</v>
    <v t="i">458</v>
    <v t="i">459</v>
    <v t="i">462</v>
    <v t="i">463</v>
    <v t="i">464</v>
    <v t="i">465</v>
    <v t="i">466</v>
    <v t="i">469</v>
    <v t="i">470</v>
    <v t="i">471</v>
    <v t="i">472</v>
    <v t="i">473</v>
    <v t="i">476</v>
    <v t="i">477</v>
    <v t="i">478</v>
    <v t="i">479</v>
    <v t="i">480</v>
    <v t="i">483</v>
    <v t="i">484</v>
    <v t="i">485</v>
    <v t="i">486</v>
    <v t="i">487</v>
    <v t="i">490</v>
    <v t="i">491</v>
    <v t="i">492</v>
    <v t="i">493</v>
    <v t="i">494</v>
    <v t="i">497</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547</v>
    <v t="i">548</v>
    <v t="i">549</v>
    <v t="i">550</v>
    <v t="i">553</v>
    <v t="i">554</v>
    <v t="i">555</v>
    <v t="i">557</v>
    <v t="i">560</v>
    <v t="i">561</v>
    <v t="i">562</v>
    <v t="i">563</v>
    <v t="i">564</v>
    <v t="i">567</v>
    <v t="i">568</v>
    <v t="i">569</v>
    <v t="i">570</v>
    <v t="i">571</v>
    <v t="i">574</v>
    <v t="i">575</v>
    <v t="i">576</v>
    <v t="i">577</v>
    <v t="i">578</v>
    <v t="i">581</v>
    <v t="i">582</v>
    <v t="i">583</v>
    <v t="i">584</v>
    <v t="i">585</v>
    <v t="i">588</v>
    <v t="i">589</v>
    <v t="i">590</v>
    <v t="i">591</v>
    <v t="i">592</v>
    <v t="i">595</v>
    <v t="i">596</v>
    <v t="i">597</v>
    <v t="i">598</v>
    <v t="i">599</v>
    <v t="i">602</v>
    <v t="i">603</v>
    <v t="i">604</v>
    <v t="i">606</v>
    <v t="i">609</v>
    <v t="i">610</v>
    <v t="i">611</v>
    <v t="i">612</v>
    <v t="i">613</v>
    <v t="i">616</v>
    <v t="i">617</v>
    <v t="i">618</v>
    <v t="i">619</v>
    <v t="i">620</v>
    <v t="i">623</v>
    <v t="i">624</v>
    <v t="i">625</v>
    <v t="i">626</v>
    <v t="i">627</v>
    <v t="i">630</v>
    <v t="i">631</v>
    <v t="i">632</v>
    <v t="i">633</v>
    <v t="i">634</v>
    <v t="i">637</v>
    <v t="i">638</v>
    <v t="i">639</v>
    <v t="i">640</v>
    <v t="i">641</v>
    <v t="i">644</v>
    <v t="i">645</v>
    <v t="i">646</v>
    <v t="i">647</v>
    <v t="i">648</v>
    <v t="i">651</v>
    <v t="i">652</v>
    <v t="i">653</v>
    <v t="i">654</v>
    <v t="i">655</v>
    <v t="i">658</v>
    <v t="i">659</v>
    <v t="i">660</v>
    <v t="i">661</v>
    <v t="i">665</v>
    <v t="i">666</v>
    <v t="i">667</v>
    <v t="i">668</v>
    <v t="i">669</v>
    <v t="i">672</v>
    <v t="i">673</v>
    <v t="i">674</v>
    <v t="i">675</v>
    <v t="i">676</v>
    <v t="i">679</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751</v>
    <v t="i">752</v>
    <v t="i">753</v>
    <v t="i">756</v>
    <v t="i">757</v>
    <v t="i">758</v>
    <v t="i">759</v>
    <v t="i">760</v>
    <v t="i">763</v>
    <v t="i">764</v>
    <v t="i">765</v>
    <v t="i">766</v>
    <v t="i">767</v>
    <v t="i">770</v>
    <v t="i">771</v>
    <v t="i">772</v>
    <v t="i">773</v>
    <v t="i">774</v>
    <v t="i">777</v>
    <v t="i">778</v>
    <v t="i">779</v>
    <v t="i">780</v>
    <v t="i">781</v>
    <v t="i">784</v>
    <v t="i">785</v>
    <v t="i">786</v>
    <v t="i">787</v>
    <v t="i">788</v>
    <v t="i">791</v>
    <v t="i">792</v>
    <v t="i">798</v>
    <v t="i">799</v>
    <v t="i">802</v>
    <v t="i">805</v>
    <v t="i">807</v>
    <v t="i">808</v>
    <v t="i">809</v>
    <v t="i">812</v>
    <v t="i">813</v>
    <v t="i">814</v>
    <v t="i">815</v>
    <v t="i">816</v>
    <v t="i">819</v>
    <v t="i">820</v>
    <v t="i">821</v>
    <v t="i">822</v>
    <v t="i">823</v>
    <v t="i">826</v>
    <v t="i">827</v>
    <v t="i">828</v>
    <v t="i">829</v>
    <v t="i">830</v>
    <v t="i">833</v>
    <v t="i">834</v>
    <v t="i">835</v>
    <v t="i">836</v>
    <v t="i">837</v>
    <v t="i">840</v>
    <v t="i">841</v>
    <v t="i">842</v>
    <v t="i">843</v>
    <v t="i">844</v>
    <v t="i">847</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897</v>
    <v t="i">898</v>
    <v t="i">899</v>
    <v t="i">900</v>
    <v t="i">903</v>
    <v t="i">904</v>
    <v t="i">905</v>
    <v t="i">906</v>
    <v t="i">907</v>
    <v t="i">910</v>
    <v t="i">911</v>
    <v t="i">912</v>
    <v t="i">913</v>
    <v t="i">914</v>
    <v t="i">917</v>
    <v t="i">918</v>
    <v t="i">919</v>
    <v t="i">920</v>
    <v t="i">924</v>
    <v t="i">925</v>
    <v t="i">926</v>
    <v t="i">927</v>
    <v t="i">928</v>
    <v t="i">931</v>
    <v t="i">932</v>
    <v t="i">933</v>
    <v t="i">934</v>
    <v t="i">935</v>
    <v t="i">938</v>
    <v t="i">939</v>
    <v t="i">940</v>
    <v t="i">941</v>
    <v t="i">942</v>
    <v t="i">945</v>
    <v t="i">946</v>
    <v t="i">947</v>
    <v t="i">948</v>
    <v t="i">949</v>
    <v t="i">952</v>
    <v t="i">953</v>
    <v t="i">954</v>
    <v t="i">956</v>
    <v t="i">959</v>
    <v t="i">960</v>
    <v t="i">961</v>
    <v t="i">962</v>
    <v t="i">963</v>
    <v t="i">966</v>
    <v t="i">967</v>
    <v t="i">968</v>
    <v t="i">969</v>
    <v t="i">970</v>
    <v t="i">973</v>
    <v t="i">974</v>
    <v t="i">975</v>
    <v t="i">976</v>
    <v t="i">977</v>
    <v t="i">980</v>
    <v t="i">981</v>
    <v t="i">982</v>
    <v t="i">983</v>
    <v t="i">984</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1050</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751">
    <v>1.125</v>
    <v>1.105</v>
    <v>1.1299999999999999</v>
    <v>1.1299999999999999</v>
    <v>1.1100000000000001</v>
    <v>1.1000000000000001</v>
    <v>1.095</v>
    <v>1.095</v>
    <v>1.1399999999999999</v>
    <v>1.19</v>
    <v>1.0900000000000001</v>
    <v>1.135</v>
    <v>1.135</v>
    <v>1.1299999999999999</v>
    <v>1.19</v>
    <v>1.19</v>
    <v>1.17</v>
    <v>1.1299999999999999</v>
    <v>1.115</v>
    <v>1.1200000000000001</v>
    <v>1.1200000000000001</v>
    <v>1.1100000000000001</v>
    <v>1.1100000000000001</v>
    <v>1.1000000000000001</v>
    <v>1.075</v>
    <v>1.1000000000000001</v>
    <v>1.0900000000000001</v>
    <v>1.1000000000000001</v>
    <v>1.1000000000000001</v>
    <v>1.115</v>
    <v>1.1000000000000001</v>
    <v>1.1000000000000001</v>
    <v>1.105</v>
    <v>1.18</v>
    <v>1.165</v>
    <v>1.175</v>
    <v>1.175</v>
    <v>1.2250000000000001</v>
    <v>1.2</v>
    <v>1.1950000000000001</v>
    <v>1.17</v>
    <v>1.175</v>
    <v>1.1200000000000001</v>
    <v>1.1599999999999999</v>
    <v>1.115</v>
    <v>1.095</v>
    <v>1.085</v>
    <v>1.1599999999999999</v>
    <v>1.1299999999999999</v>
    <v>1.095</v>
    <v>1.07</v>
    <v>1.08</v>
    <v>1.08</v>
    <v>-99999901</v>
    <v>1.0649999999999999</v>
    <v>1.03</v>
    <v>1.0349999999999999</v>
    <v>1.04</v>
    <v>1.02</v>
    <v>1</v>
    <v>0.99</v>
    <v>0.99</v>
    <v>1.0449999999999999</v>
    <v>1.0349999999999999</v>
    <v>1.02</v>
    <v>1.03</v>
    <v>1.03</v>
    <v>-99999901</v>
    <v>1.02</v>
    <v>1.02</v>
    <v>1.02</v>
    <v>1.03</v>
    <v>1.03</v>
    <v>1.03</v>
    <v>1.0349999999999999</v>
    <v>1.0349999999999999</v>
    <v>1.03</v>
    <v>1.0249999999999999</v>
    <v>1.0249999999999999</v>
    <v>0.98799999999999999</v>
    <v>0.98799999999999999</v>
    <v>0.98799999999999999</v>
    <v>0.98799999999999999</v>
    <v>0.98</v>
    <v>0.98599999999999999</v>
    <v>0.98599999999999999</v>
    <v>0.98599999999999999</v>
    <v>0.97</v>
    <v>0.93799999999999994</v>
    <v>0.96399999999999997</v>
    <v>0.95</v>
    <v>1</v>
    <v>0.998</v>
    <v>0.998</v>
    <v>0.95199999999999996</v>
    <v>0.95599999999999996</v>
    <v>0.95799999999999996</v>
    <v>0.95599999999999996</v>
    <v>0.95</v>
    <v>0.93</v>
    <v>0.97399999999999998</v>
    <v>0.97199999999999998</v>
    <v>0.99</v>
    <v>0.98799999999999999</v>
    <v>0.98</v>
    <v>0.95</v>
    <v>0.98799999999999999</v>
    <v>0.99</v>
    <v>0.97</v>
    <v>0.95</v>
    <v>0.97399999999999998</v>
    <v>0.97199999999999998</v>
    <v>0.98399999999999999</v>
    <v>0.97799999999999998</v>
    <v>0.96599999999999997</v>
    <v>0.96599999999999997</v>
    <v>0.95199999999999996</v>
    <v>0.94</v>
    <v>0.94</v>
    <v>0.93</v>
    <v>0.94</v>
    <v>0.93799999999999994</v>
    <v>0.93</v>
    <v>0.92</v>
    <v>0.92800000000000005</v>
    <v>0.91800000000000004</v>
    <v>0.90400000000000003</v>
    <v>0.89600000000000002</v>
    <v>0.84799999999999998</v>
    <v>0.9</v>
    <v>0.90400000000000003</v>
    <v>0.89</v>
    <v>0.8</v>
    <v>0.77800000000000002</v>
    <v>0.77400000000000002</v>
    <v>0.77400000000000002</v>
    <v>0.77400000000000002</v>
    <v>0.77</v>
    <v>0.872</v>
    <v>0.86399999999999999</v>
    <v>0.87</v>
    <v>0.86799999999999999</v>
    <v>0.85799999999999998</v>
    <v>0.85</v>
    <v>0.84</v>
    <v>0.82799999999999996</v>
    <v>0.86</v>
    <v>0.84799999999999998</v>
    <v>0.78</v>
    <v>0.83799999999999997</v>
    <v>0.83199999999999996</v>
    <v>0.8</v>
    <v>0.81399999999999995</v>
    <v>0.81399999999999995</v>
    <v>0.80200000000000005</v>
    <v>0.78400000000000003</v>
    <v>0.72</v>
    <v>0.69399999999999995</v>
    <v>0.70199999999999996</v>
    <v>0.64</v>
    <v>0.66600000000000004</v>
    <v>0.66400000000000003</v>
    <v>0.59</v>
    <v>0.59599999999999997</v>
    <v>0.56000000000000005</v>
    <v>0.59799999999999998</v>
    <v>0.53400000000000003</v>
    <v>0.55800000000000005</v>
    <v>0.55000000000000004</v>
    <v>0.49399999999999999</v>
    <v>0.432</v>
    <v>0.46</v>
    <v>0.48</v>
    <v>0.48199999999999998</v>
    <v>0.46600000000000003</v>
    <v>0.48</v>
    <v>0.48</v>
    <v>0.48699999999999999</v>
    <v>0.45</v>
    <v>0.47399999999999998</v>
    <v>0.46</v>
    <v>0.47799999999999998</v>
    <v>0.47899999999999998</v>
    <v>0.49399999999999999</v>
    <v>0.48199999999999998</v>
    <v>0.45800000000000002</v>
    <v>0.47899999999999998</v>
    <v>0.56000000000000005</v>
    <v>0.51800000000000002</v>
    <v>0.66800000000000004</v>
    <v>0.71</v>
    <v>0.69</v>
    <v>0.56200000000000006</v>
    <v>0.56999999999999995</v>
    <v>0.55000000000000004</v>
    <v>0.56799999999999995</v>
    <v>0.53600000000000003</v>
    <v>0.54600000000000004</v>
    <v>0.53600000000000003</v>
    <v>0.54600000000000004</v>
    <v>0.54600000000000004</v>
    <v>0.54</v>
    <v>0.55400000000000005</v>
    <v>0.54400000000000004</v>
    <v>0.53</v>
    <v>0.53</v>
    <v>0.53600000000000003</v>
    <v>0.52</v>
    <v>0.52</v>
    <v>0.52</v>
    <v>0.54200000000000004</v>
    <v>0.53800000000000003</v>
    <v>0.54</v>
    <v>0.54200000000000004</v>
    <v>0.54200000000000004</v>
    <v>0.56799999999999995</v>
    <v>0.56599999999999995</v>
    <v>0.54400000000000004</v>
    <v>0.54800000000000004</v>
    <v>0.54800000000000004</v>
    <v>0.51200000000000001</v>
    <v>0.52800000000000002</v>
    <v>0.53200000000000003</v>
    <v>0.52600000000000002</v>
    <v>0.53</v>
    <v>0.54800000000000004</v>
    <v>0.56000000000000005</v>
    <v>0.55000000000000004</v>
    <v>0.52200000000000002</v>
    <v>0.55800000000000005</v>
    <v>0.56000000000000005</v>
    <v>0.56200000000000006</v>
    <v>0.56999999999999995</v>
    <v>0.56799999999999995</v>
    <v>0.57999999999999996</v>
    <v>0.53800000000000003</v>
    <v>0.52600000000000002</v>
    <v>0.49199999999999999</v>
    <v>0.53400000000000003</v>
    <v>0.52400000000000002</v>
    <v>0.53</v>
    <v>0.50800000000000001</v>
    <v>0.51</v>
    <v>0.51400000000000001</v>
    <v>0.52</v>
    <v>0.52</v>
    <v>0.51800000000000002</v>
    <v>0.52</v>
    <v>0.56999999999999995</v>
    <v>0.53200000000000003</v>
    <v>0.53800000000000003</v>
    <v>0.52</v>
    <v>0.498</v>
    <v>0.496</v>
    <v>0.498</v>
    <v>0.497</v>
    <v>0.497</v>
    <v>0.48799999999999999</v>
    <v>0.48399999999999999</v>
    <v>0.48399999999999999</v>
    <v>0.48399999999999999</v>
    <v>0.48</v>
    <v>0.379</v>
    <v>0.38300000000000001</v>
    <v>0.38500000000000001</v>
    <v>0.38800000000000001</v>
    <v>0.39</v>
    <v>0.375</v>
    <v>0.377</v>
    <v>0.378</v>
    <v>0.41</v>
    <v>0.41</v>
    <v>0.41</v>
    <v>0.38700000000000001</v>
    <v>0.373</v>
    <v>0.371</v>
    <v>0.377</v>
    <v>0.40500000000000003</v>
    <v>0.40200000000000002</v>
    <v>0.39800000000000002</v>
    <v>0.38900000000000001</v>
    <v>0.38600000000000001</v>
    <v>0.376</v>
    <v>0.38600000000000001</v>
    <v>0.38600000000000001</v>
    <v>0.39900000000000002</v>
    <v>0.39900000000000002</v>
    <v>0.4</v>
    <v>0.4</v>
    <v>0.39800000000000002</v>
    <v>0.45</v>
    <v>0.4</v>
    <v>0.36799999999999999</v>
    <v>0.36</v>
    <v>0.36</v>
    <v>0.38800000000000001</v>
    <v>0.41</v>
    <v>0.42</v>
    <v>0.40799999999999997</v>
    <v>0.40899999999999997</v>
    <v>0.40400000000000003</v>
    <v>0.4</v>
    <v>0.39800000000000002</v>
    <v>0.39700000000000002</v>
    <v>0.375</v>
    <v>0.378</v>
    <v>0.38900000000000001</v>
    <v>0.36</v>
    <v>0.36599999999999999</v>
    <v>0.35</v>
    <v>0.35</v>
    <v>0.34</v>
    <v>0.32800000000000001</v>
    <v>0.33400000000000002</v>
    <v>0.28499999999999998</v>
    <v>0.30599999999999999</v>
    <v>0.33300000000000002</v>
    <v>0.33200000000000002</v>
    <v>0.313</v>
    <v>0.33800000000000002</v>
    <v>0.33</v>
    <v>0.33400000000000002</v>
    <v>0.33600000000000002</v>
    <v>0.36599999999999999</v>
    <v>0.36</v>
    <v>0.34</v>
    <v>0.29899999999999999</v>
    <v>0.28000000000000003</v>
    <v>0.27400000000000002</v>
    <v>0.26800000000000002</v>
    <v>0.25</v>
    <v>0.27800000000000002</v>
    <v>0.28399999999999997</v>
    <v>0.27</v>
    <v>0.27300000000000002</v>
    <v>0.28299999999999997</v>
    <v>0.27800000000000002</v>
    <v>0.27800000000000002</v>
    <v>0.27900000000000003</v>
    <v>0.28100000000000003</v>
    <v>0.27500000000000002</v>
    <v>0.26400000000000001</v>
    <v>0.25900000000000001</v>
    <v>0.25900000000000001</v>
    <v>0.27100000000000002</v>
    <v>0.254</v>
    <v>0.26400000000000001</v>
    <v>0.26700000000000002</v>
    <v>0.25</v>
    <v>0.25700000000000001</v>
    <v>0.25700000000000001</v>
    <v>-99999901</v>
    <v>0.254</v>
    <v>-99999901</v>
    <v>0.25900000000000001</v>
    <v>0.25800000000000001</v>
    <v>0.26200000000000001</v>
    <v>0.26300000000000001</v>
    <v>0.26300000000000001</v>
    <v>0.26200000000000001</v>
    <v>0.25900000000000001</v>
    <v>-99999901</v>
    <v>0.253</v>
    <v>0.248</v>
    <v>0.249</v>
    <v>0.25</v>
    <v>0.25800000000000001</v>
    <v>0.26</v>
    <v>0.25600000000000001</v>
    <v>0.25600000000000001</v>
    <v>-99999901</v>
    <v>0.253</v>
    <v>0.26200000000000001</v>
    <v>0.25600000000000001</v>
    <v>0.25700000000000001</v>
    <v>0.26200000000000001</v>
    <v>0.25700000000000001</v>
    <v>0.25700000000000001</v>
    <v>0.29399999999999998</v>
    <v>0.28999999999999998</v>
    <v>0.28799999999999998</v>
    <v>0.28899999999999998</v>
    <v>0.28999999999999998</v>
    <v>0.28999999999999998</v>
    <v>0.28599999999999998</v>
    <v>0.26600000000000001</v>
    <v>0.26300000000000001</v>
    <v>0.24</v>
    <v>0.25800000000000001</v>
    <v>0.253</v>
    <v>0.25800000000000001</v>
    <v>0.26500000000000001</v>
    <v>0.29899999999999999</v>
    <v>0.35399999999999998</v>
    <v>0.32</v>
    <v>0.28899999999999998</v>
    <v>0.28899999999999998</v>
    <v>0.29199999999999998</v>
    <v>0.28000000000000003</v>
    <v>0.28000000000000003</v>
    <v>0.27600000000000002</v>
    <v>-99999901</v>
    <v>-99999901</v>
    <v>-99999901</v>
    <v>-99999901</v>
    <v>-99999901</v>
    <v>0.26500000000000001</v>
    <v>0.26200000000000001</v>
    <v>0.26500000000000001</v>
    <v>0.27500000000000002</v>
    <v>0.27500000000000002</v>
    <v>0.27</v>
    <v>0.27600000000000002</v>
    <v>0.27</v>
    <v>0.27300000000000002</v>
    <v>0.27300000000000002</v>
    <v>0.27</v>
    <v>0.26900000000000002</v>
    <v>0.26700000000000002</v>
    <v>0.26800000000000002</v>
    <v>0.26700000000000002</v>
    <v>0.26900000000000002</v>
    <v>0.28100000000000003</v>
    <v>0.28000000000000003</v>
    <v>0.28399999999999997</v>
    <v>0.27900000000000003</v>
    <v>0.27800000000000002</v>
    <v>0.27500000000000002</v>
    <v>0.27900000000000003</v>
    <v>0.27</v>
    <v>0.27500000000000002</v>
    <v>0.27900000000000003</v>
    <v>0.30599999999999999</v>
    <v>0.3</v>
    <v>0.28799999999999998</v>
    <v>0.33</v>
    <v>0.32200000000000001</v>
    <v>0.32200000000000001</v>
    <v>0.31900000000000001</v>
    <v>0.314</v>
    <v>0.30499999999999999</v>
    <v>0.30499999999999999</v>
    <v>0.30499999999999999</v>
    <v>0.3</v>
    <v>0.308</v>
    <v>0.308</v>
    <v>0.308</v>
    <v>0.307</v>
    <v>0.307</v>
    <v>0.28899999999999998</v>
    <v>0.31</v>
    <v>0.309</v>
    <v>0.309</v>
    <v>0.308</v>
    <v>0.30599999999999999</v>
    <v>0.30599999999999999</v>
    <v>0.30599999999999999</v>
    <v>0.30599999999999999</v>
    <v>0.30099999999999999</v>
    <v>0.3</v>
    <v>0.29499999999999998</v>
    <v>0.30499999999999999</v>
    <v>0.30399999999999999</v>
    <v>0.30099999999999999</v>
    <v>0.31900000000000001</v>
    <v>0.31</v>
    <v>0.314</v>
    <v>0.37</v>
    <v>-99999901</v>
    <v>0.92</v>
    <v>0.87</v>
    <v>0.76800000000000002</v>
    <v>0.77600000000000002</v>
    <v>0.69</v>
    <v>1</v>
    <v>0.88</v>
    <v>0.9</v>
    <v>0.86</v>
    <v>0.81399999999999995</v>
    <v>0.80400000000000005</v>
    <v>0.79</v>
    <v>0.78200000000000003</v>
    <v>0.78800000000000003</v>
    <v>0.76600000000000001</v>
    <v>0.72</v>
    <v>0.71</v>
    <v>0.7</v>
    <v>0.71</v>
    <v>0.68600000000000005</v>
    <v>0.67600000000000005</v>
    <v>0.66400000000000003</v>
    <v>0.63600000000000001</v>
    <v>0.61599999999999999</v>
    <v>0.71199999999999997</v>
    <v>0.66400000000000003</v>
    <v>0.64600000000000002</v>
    <v>0.61</v>
    <v>0.62</v>
    <v>0.61799999999999999</v>
    <v>0.61599999999999999</v>
    <v>0.63400000000000001</v>
    <v>0.58199999999999996</v>
    <v>0.61199999999999999</v>
    <v>0.60799999999999998</v>
    <v>0.6</v>
    <v>0.58799999999999997</v>
    <v>0.55000000000000004</v>
    <v>0.52200000000000002</v>
    <v>0.51800000000000002</v>
    <v>0.55200000000000005</v>
    <v>0.52</v>
    <v>0.51600000000000001</v>
    <v>0.51400000000000001</v>
    <v>0.47</v>
    <v>0.51</v>
    <v>0.50600000000000001</v>
    <v>0.504</v>
    <v>0.495</v>
    <v>0.49199999999999999</v>
    <v>0.48899999999999999</v>
    <v>0.48499999999999999</v>
    <v>0.47299999999999998</v>
    <v>0.46200000000000002</v>
    <v>0.46200000000000002</v>
    <v>0.49099999999999999</v>
    <v>0.49099999999999999</v>
    <v>0.49399999999999999</v>
    <v>0.48699999999999999</v>
    <v>0.45600000000000002</v>
    <v>0.46800000000000003</v>
    <v>0.49299999999999999</v>
    <v>0.497</v>
    <v>0.48199999999999998</v>
    <v>0.52800000000000002</v>
    <v>0.51400000000000001</v>
    <v>0.5</v>
    <v>0.49</v>
    <v>0.49399999999999999</v>
    <v>0.47699999999999998</v>
    <v>0.436</v>
    <v>0.44800000000000001</v>
    <v>0.44600000000000001</v>
    <v>0.439</v>
    <v>0.379</v>
    <v>0.39900000000000002</v>
    <v>0.38200000000000001</v>
    <v>0.375</v>
    <v>0.56000000000000005</v>
    <v>0.53</v>
    <v>0.47</v>
    <v>0.48799999999999999</v>
    <v>0.48</v>
    <v>0.46700000000000003</v>
    <v>0.46400000000000002</v>
    <v>0.46800000000000003</v>
    <v>0.46800000000000003</v>
    <v>0.44500000000000001</v>
    <v>0.41099999999999998</v>
    <v>0.434</v>
    <v>0.46300000000000002</v>
    <v>0.44</v>
    <v>0.43</v>
    <v>0.42</v>
    <v>0.47</v>
    <v>0.46800000000000003</v>
    <v>0.45700000000000002</v>
    <v>0.46</v>
    <v>0.52</v>
    <v>0.52200000000000002</v>
    <v>0.48899999999999999</v>
    <v>0.46800000000000003</v>
    <v>0.502</v>
    <v>0.504</v>
    <v>0.49299999999999999</v>
    <v>0.5</v>
    <v>0.49</v>
    <v>0.47499999999999998</v>
    <v>0.47</v>
    <v>0.47799999999999998</v>
    <v>0.48399999999999999</v>
    <v>0.48</v>
    <v>0.46800000000000003</v>
    <v>0.47599999999999998</v>
    <v>0.47299999999999998</v>
    <v>0.46400000000000002</v>
    <v>0.5</v>
    <v>0.47699999999999998</v>
    <v>0.47699999999999998</v>
    <v>0.46899999999999997</v>
    <v>0.47399999999999998</v>
    <v>0.45700000000000002</v>
    <v>0.42799999999999999</v>
    <v>0.443</v>
    <v>0.43</v>
    <v>0.435</v>
    <v>0.433</v>
    <v>0.42599999999999999</v>
    <v>0.442</v>
    <v>0.442</v>
    <v>0.436</v>
    <v>0.44</v>
    <v>0.442</v>
    <v>0.47699999999999998</v>
    <v>0.48899999999999999</v>
    <v>0.47699999999999998</v>
    <v>0.5</v>
    <v>0.51</v>
    <v>0.49</v>
    <v>0.47899999999999998</v>
    <v>0.5</v>
    <v>0.51</v>
    <v>0.5</v>
    <v>0.496</v>
    <v>0.49199999999999999</v>
    <v>0.48799999999999999</v>
    <v>0.48</v>
    <v>0.48799999999999999</v>
    <v>0.48799999999999999</v>
    <v>0.48799999999999999</v>
    <v>0.47799999999999998</v>
    <v>0.48</v>
    <v>0.48</v>
    <v>0.498</v>
    <v>0.48599999999999999</v>
    <v>0.47799999999999998</v>
    <v>0.47399999999999998</v>
    <v>0.47399999999999998</v>
    <v>0.46600000000000003</v>
    <v>0.46</v>
    <v>0.43</v>
    <v>0.45</v>
    <v>0.438</v>
    <v>0.44</v>
    <v>0.432</v>
    <v>0.42</v>
    <v>0.43</v>
    <v>0.42799999999999999</v>
    <v>0.438</v>
    <v>0.46800000000000003</v>
    <v>0.48799999999999999</v>
    <v>0.46800000000000003</v>
    <v>0.46800000000000003</v>
    <v>0.46600000000000003</v>
    <v>0.46800000000000003</v>
    <v>0.46400000000000002</v>
    <v>0.45400000000000001</v>
    <v>0.442</v>
    <v>0.42599999999999999</v>
    <v>0.45200000000000001</v>
    <v>0.45</v>
    <v>0.45</v>
    <v>0.45200000000000001</v>
    <v>0.45600000000000002</v>
    <v>0.44600000000000001</v>
    <v>0.45400000000000001</v>
    <v>0.45800000000000002</v>
    <v>0.45</v>
    <v>0.44</v>
    <v>0.45400000000000001</v>
    <v>0.45800000000000002</v>
    <v>0.45</v>
    <v>0.44600000000000001</v>
    <v>0.44600000000000001</v>
    <v>0.44600000000000001</v>
    <v>0.44400000000000001</v>
    <v>0.432</v>
    <v>0.442</v>
    <v>0.436</v>
    <v>0.434</v>
    <v>0.442</v>
    <v>0.442</v>
    <v>0.40799999999999997</v>
    <v>0.42599999999999999</v>
    <v>0.40400000000000003</v>
    <v>0.41</v>
    <v>0.42</v>
    <v>0.41799999999999998</v>
    <v>0.42199999999999999</v>
    <v>0.41599999999999998</v>
    <v>0.41199999999999998</v>
    <v>0.41199999999999998</v>
    <v>0.39600000000000002</v>
    <v>0.40799999999999997</v>
    <v>0.40600000000000003</v>
    <v>0.41</v>
    <v>0.40600000000000003</v>
    <v>0.40799999999999997</v>
    <v>0.39800000000000002</v>
    <v>0.39400000000000002</v>
    <v>0.39</v>
    <v>0.39</v>
    <v>0.38600000000000001</v>
    <v>0.374</v>
    <v>0.38</v>
    <v>0.40799999999999997</v>
    <v>0.39400000000000002</v>
    <v>0.39400000000000002</v>
    <v>0.38800000000000001</v>
    <v>0.38800000000000001</v>
    <v>0.38800000000000001</v>
    <v>0.39200000000000002</v>
    <v>0.39400000000000002</v>
    <v>0.39</v>
    <v>0.39200000000000002</v>
    <v>0.39400000000000002</v>
    <v>0.39600000000000002</v>
    <v>0.4</v>
    <v>0.40799999999999997</v>
    <v>0.40200000000000002</v>
    <v>0.39800000000000002</v>
    <v>0.374</v>
    <v>0.38</v>
    <v>0.40200000000000002</v>
    <v>0.39800000000000002</v>
    <v>0.39</v>
    <v>0.38600000000000001</v>
    <v>0.39200000000000002</v>
    <v>0.39</v>
    <v>0.38</v>
    <v>0.378</v>
    <v>0.38200000000000001</v>
    <v>0.37</v>
    <v>0.37</v>
    <v>0.36</v>
    <v>0.378</v>
    <v>0.376</v>
    <v>0.36599999999999999</v>
    <v>0.376</v>
    <v>0.376</v>
    <v>0.36799999999999999</v>
    <v>0.38200000000000001</v>
    <v>0.376</v>
    <v>0.378</v>
    <v>0.376</v>
    <v>0.38200000000000001</v>
    <v>0.39</v>
    <v>0.39600000000000002</v>
    <v>0.39</v>
    <v>0.39600000000000002</v>
    <v>0.39400000000000002</v>
    <v>0.376</v>
    <v>0.378</v>
    <v>0.38200000000000001</v>
    <v>0.38</v>
    <v>0.36799999999999999</v>
    <v>0.35599999999999998</v>
    <v>0.35599999999999998</v>
    <v>0.35599999999999998</v>
    <v>0.35799999999999998</v>
    <v>0.35199999999999998</v>
    <v>0.35199999999999998</v>
  </a>
  <a r="1" c="209">
    <v>86.96</v>
    <v>87.02</v>
    <v>85.24</v>
    <v>83.3</v>
    <v>84.08</v>
    <v>82.6</v>
    <v>84.6</v>
    <v>86.82</v>
    <v>83.66</v>
    <v>84.46</v>
    <v>84.98</v>
    <v>83.94</v>
    <v>82.42</v>
    <v>81.260000000000005</v>
    <v>81.680000000000007</v>
    <v>84.78</v>
    <v>83.2</v>
    <v>83.86</v>
    <v>84.64</v>
    <v>84.78</v>
    <v>83.42</v>
    <v>83.22</v>
    <v>84.42</v>
    <v>86.26</v>
    <v>87.38</v>
    <v>86.88</v>
    <v>88.34</v>
    <v>88.2</v>
    <v>88.02</v>
    <v>88.74</v>
    <v>89.58</v>
    <v>90.86</v>
    <v>89.26</v>
    <v>89.3</v>
    <v>87.82</v>
    <v>87.54</v>
    <v>90.24</v>
    <v>88.5</v>
    <v>87.9</v>
    <v>87.8</v>
    <v>86.86</v>
    <v>86.24</v>
    <v>82.78</v>
    <v>78.08</v>
    <v>77.16</v>
    <v>75.92</v>
    <v>74.06</v>
    <v>73.260000000000005</v>
    <v>74.12</v>
    <v>73.900000000000006</v>
    <v>72.22</v>
    <v>71.8</v>
    <v>71.42</v>
    <v>71.16</v>
    <v>71.52</v>
    <v>68.319999999999993</v>
    <v>68.08</v>
    <v>70.819999999999993</v>
    <v>70.42</v>
    <v>71.7</v>
    <v>70.16</v>
    <v>69.12</v>
    <v>69.36</v>
    <v>70.06</v>
    <v>72.180000000000007</v>
    <v>70.52</v>
    <v>70.900000000000006</v>
    <v>76.260000000000005</v>
    <v>75.28</v>
    <v>76</v>
    <v>75.5</v>
    <v>77.739999999999995</v>
    <v>76.3</v>
    <v>77.88</v>
    <v>81.44</v>
    <v>78.680000000000007</v>
    <v>78.42</v>
    <v>76.92</v>
    <v>78.02</v>
    <v>77.540000000000006</v>
    <v>77.36</v>
    <v>77.34</v>
    <v>76.459999999999994</v>
    <v>77.64</v>
    <v>75.099999999999994</v>
    <v>75.92</v>
    <v>80.239999999999995</v>
    <v>80.180000000000007</v>
    <v>79.180000000000007</v>
    <v>77.959999999999994</v>
    <v>76.06</v>
    <v>75.94</v>
    <v>76.599999999999994</v>
    <v>74.42</v>
    <v>74.760000000000005</v>
    <v>73.02</v>
    <v>74.52</v>
    <v>74.040000000000006</v>
    <v>75.28</v>
    <v>77.5</v>
    <v>76.599999999999994</v>
    <v>78.599999999999994</v>
    <v>77.7</v>
    <v>78.260000000000005</v>
    <v>76.16</v>
    <v>77.42</v>
    <v>77.7</v>
    <v>77</v>
    <v>77.260000000000005</v>
    <v>74.400000000000006</v>
    <v>75.459999999999994</v>
    <v>74.319999999999993</v>
    <v>73.28</v>
    <v>75.760000000000005</v>
    <v>78.08</v>
    <v>78.5</v>
    <v>78.88</v>
    <v>79.760000000000005</v>
    <v>78.260000000000005</v>
    <v>78.099999999999994</v>
    <v>77.319999999999993</v>
    <v>79.84</v>
    <v>81.760000000000005</v>
    <v>80.599999999999994</v>
    <v>77.540000000000006</v>
    <v>79.16</v>
    <v>78.459999999999994</v>
    <v>79.86</v>
    <v>80.239999999999995</v>
    <v>79.180000000000007</v>
    <v>78.48</v>
    <v>75</v>
    <v>74.319999999999993</v>
    <v>75.8</v>
    <v>74.88</v>
    <v>74.62</v>
    <v>76.8</v>
    <v>76.62</v>
    <v>75.98</v>
    <v>74.599999999999994</v>
    <v>73.959999999999994</v>
    <v>74.599999999999994</v>
    <v>72.84</v>
    <v>74.16</v>
    <v>74.72</v>
    <v>76.56</v>
    <v>75.56</v>
    <v>76.040000000000006</v>
    <v>81.28</v>
    <v>83.52</v>
    <v>84.92</v>
    <v>85.54</v>
    <v>84.72</v>
    <v>85.44</v>
    <v>84.58</v>
    <v>85</v>
    <v>84.24</v>
    <v>84.14</v>
    <v>83.94</v>
    <v>81.239999999999995</v>
    <v>79.739999999999995</v>
    <v>80.8</v>
    <v>80.8</v>
    <v>81.2</v>
    <v>80.239999999999995</v>
    <v>81.260000000000005</v>
    <v>82.3</v>
    <v>79.459999999999994</v>
    <v>79.78</v>
    <v>78.319999999999993</v>
    <v>76.48</v>
    <v>75.02</v>
    <v>75.5</v>
    <v>75.78</v>
    <v>74.62</v>
    <v>74.400000000000006</v>
    <v>71.5</v>
    <v>71.319999999999993</v>
    <v>71.52</v>
    <v>69.58</v>
    <v>69.58</v>
    <v>69.66</v>
    <v>70.34</v>
    <v>69.12</v>
    <v>70.099999999999994</v>
    <v>71.22</v>
    <v>70.64</v>
    <v>69.819999999999993</v>
    <v>69.819999999999993</v>
    <v>70.5</v>
    <v>69.8</v>
    <v>69.040000000000006</v>
    <v>66.319999999999993</v>
    <v>67.099999999999994</v>
    <v>66.12</v>
    <v>67.14</v>
    <v>64.760000000000005</v>
    <v>64.760000000000005</v>
    <v>64.94</v>
    <v>65.2</v>
    <v>65.319999999999993</v>
    <v>65.64</v>
    <v>66.540000000000006</v>
    <v>66.540000000000006</v>
    <v>66.42</v>
    <v>67.14</v>
    <v>66.36</v>
    <v>66.400000000000006</v>
    <v>66.92</v>
  </a>
  <a r="1" c="767">
    <v>50.17</v>
    <v>50.06</v>
    <v>49.905000000000001</v>
    <v>49.91</v>
    <v>51.44</v>
    <v>51.3</v>
    <v>51.4</v>
    <v>51.51</v>
    <v>53.26</v>
    <v>54.27</v>
    <v>53.33</v>
    <v>53.04</v>
    <v>53.13</v>
    <v>54.49</v>
    <v>54.23</v>
    <v>54.47</v>
    <v>56.25</v>
    <v>57.73</v>
    <v>57.35</v>
    <v>58.37</v>
    <v>57.8</v>
    <v>57.82</v>
    <v>58.25</v>
    <v>57.86</v>
    <v>58.23</v>
    <v>58.02</v>
    <v>58.51</v>
    <v>59.42</v>
    <v>59.81</v>
    <v>59.83</v>
    <v>59.54</v>
    <v>60.6</v>
    <v>61.2</v>
    <v>61.21</v>
    <v>61.86</v>
    <v>62.47</v>
    <v>63.01</v>
    <v>62.57</v>
    <v>66.099999999999994</v>
    <v>66.61</v>
    <v>65.02</v>
    <v>65.62</v>
    <v>66.37</v>
    <v>66.11</v>
    <v>66.63</v>
    <v>66.7</v>
    <v>66.39</v>
    <v>66.66</v>
    <v>66.180000000000007</v>
    <v>64.02</v>
    <v>64.61</v>
    <v>63.77</v>
    <v>64.17</v>
    <v>64.62</v>
    <v>62.77</v>
    <v>61.81</v>
    <v>63.58</v>
    <v>63.48</v>
    <v>62.7</v>
    <v>61.72</v>
    <v>62.53</v>
    <v>61.81</v>
    <v>62.43</v>
    <v>62.18</v>
    <v>63.4</v>
    <v>63.44</v>
    <v>64.569999999999993</v>
    <v>64.3</v>
    <v>65.89</v>
    <v>65.84</v>
    <v>65.14</v>
    <v>66.209999999999994</v>
    <v>65.41</v>
    <v>65.95</v>
    <v>66.959999999999994</v>
    <v>67.67</v>
    <v>67.78</v>
    <v>69.14</v>
    <v>68.14</v>
    <v>67.95</v>
    <v>69.66</v>
    <v>69.13</v>
    <v>68.55</v>
    <v>68.3</v>
    <v>68.42</v>
    <v>69.64</v>
    <v>70.19</v>
    <v>69.989999999999995</v>
    <v>70.23</v>
    <v>71.290000000000006</v>
    <v>71.2</v>
    <v>68.599999999999994</v>
    <v>68.97</v>
    <v>68.06</v>
    <v>68.14</v>
    <v>69.22</v>
    <v>68.55</v>
    <v>68.150000000000006</v>
    <v>69.52</v>
    <v>69.84</v>
    <v>69.150000000000006</v>
    <v>69.709999999999994</v>
    <v>69.13</v>
    <v>70</v>
    <v>70.5</v>
    <v>71.5</v>
    <v>70.87</v>
    <v>70.53</v>
    <v>71.44</v>
    <v>72.17</v>
    <v>71.930000000000007</v>
    <v>71.459999999999994</v>
    <v>73.099999999999994</v>
    <v>74.260000000000005</v>
    <v>73.36</v>
    <v>74.3</v>
    <v>73.260000000000005</v>
    <v>72.72</v>
    <v>71.94</v>
    <v>71.900000000000006</v>
    <v>72.06</v>
    <v>70.7</v>
    <v>71.08</v>
    <v>71.2</v>
    <v>70.260000000000005</v>
    <v>70.400000000000006</v>
    <v>70.459999999999994</v>
    <v>70.819999999999993</v>
    <v>70.400000000000006</v>
    <v>75.239999999999995</v>
    <v>74.7</v>
    <v>74.66</v>
    <v>75.7</v>
    <v>77.7</v>
    <v>77.760000000000005</v>
    <v>78.400000000000006</v>
    <v>79.5</v>
    <v>80.239999999999995</v>
    <v>80.739999999999995</v>
    <v>80.819999999999993</v>
    <v>81.260000000000005</v>
    <v>82.66</v>
    <v>81.599999999999994</v>
    <v>81.38</v>
    <v>81.62</v>
    <v>80.819999999999993</v>
    <v>80.14</v>
    <v>81.38</v>
    <v>81.7</v>
    <v>81.94</v>
    <v>81.66</v>
    <v>80.78</v>
    <v>81.040000000000006</v>
    <v>80.58</v>
    <v>80.86</v>
    <v>80.36</v>
    <v>80.760000000000005</v>
    <v>80.56</v>
    <v>79.680000000000007</v>
    <v>77.12</v>
    <v>76.44</v>
    <v>78.06</v>
    <v>75.56</v>
    <v>72.3</v>
    <v>73.260000000000005</v>
    <v>74.680000000000007</v>
    <v>74.599999999999994</v>
    <v>75.86</v>
    <v>73.12</v>
    <v>73.16</v>
    <v>73.319999999999993</v>
    <v>73.42</v>
    <v>73.2</v>
    <v>72.62</v>
    <v>74.5</v>
    <v>74.5</v>
    <v>76.84</v>
    <v>77.44</v>
    <v>77.34</v>
    <v>77.72</v>
    <v>75.319999999999993</v>
    <v>75.680000000000007</v>
    <v>78</v>
    <v>78.98</v>
    <v>78.58</v>
    <v>79.42</v>
    <v>78.599999999999994</v>
    <v>78.5</v>
    <v>77.5</v>
    <v>78.540000000000006</v>
    <v>78.36</v>
    <v>77.040000000000006</v>
    <v>76.38</v>
    <v>79.599999999999994</v>
    <v>78</v>
    <v>78.72</v>
    <v>79.44</v>
    <v>76.38</v>
    <v>73.680000000000007</v>
    <v>72.540000000000006</v>
    <v>71.84</v>
    <v>73.680000000000007</v>
    <v>73.38</v>
    <v>73.86</v>
    <v>73.56</v>
    <v>73.599999999999994</v>
    <v>74.02</v>
    <v>75.42</v>
    <v>75.92</v>
    <v>76.44</v>
    <v>76.680000000000007</v>
    <v>76.760000000000005</v>
    <v>76.92</v>
    <v>77.72</v>
    <v>78.040000000000006</v>
    <v>77.02</v>
    <v>77.599999999999994</v>
    <v>78.260000000000005</v>
    <v>79.08</v>
    <v>79.540000000000006</v>
    <v>78.239999999999995</v>
    <v>76.78</v>
    <v>77.239999999999995</v>
    <v>75.040000000000006</v>
    <v>76.84</v>
    <v>77.38</v>
    <v>76.86</v>
    <v>78.02</v>
    <v>78.819999999999993</v>
    <v>78.66</v>
    <v>80.78</v>
    <v>80.94</v>
    <v>84.52</v>
    <v>83.38</v>
    <v>82.58</v>
    <v>82.1</v>
    <v>82.46</v>
    <v>84.1</v>
    <v>83.18</v>
    <v>81.72</v>
    <v>81.86</v>
    <v>82</v>
    <v>80.12</v>
    <v>81.64</v>
    <v>81.66</v>
    <v>81.96</v>
    <v>82.52</v>
    <v>82.28</v>
    <v>82.46</v>
    <v>83.1</v>
    <v>83.5</v>
    <v>83.96</v>
    <v>84.58</v>
    <v>84.78</v>
    <v>84.26</v>
    <v>82.98</v>
    <v>81.88</v>
    <v>81.66</v>
    <v>81.88</v>
    <v>83.04</v>
    <v>82.42</v>
    <v>83.48</v>
    <v>82.98</v>
    <v>84.48</v>
    <v>83.16</v>
    <v>84.2</v>
    <v>84.28</v>
    <v>86.68</v>
    <v>86.1</v>
    <v>89.1</v>
    <v>86.82</v>
    <v>87.74</v>
    <v>89.62</v>
    <v>90.68</v>
    <v>90.38</v>
    <v>88.78</v>
    <v>87.7</v>
    <v>87.9</v>
    <v>87.5</v>
    <v>87.48</v>
    <v>86.5</v>
    <v>85.18</v>
    <v>86.06</v>
    <v>86.34</v>
    <v>84.52</v>
    <v>86.12</v>
    <v>86.26</v>
    <v>88.02</v>
    <v>90.02</v>
    <v>89.88</v>
    <v>89.18</v>
    <v>89.62</v>
    <v>89.1</v>
    <v>88.78</v>
    <v>88.36</v>
    <v>87.04</v>
    <v>87.9</v>
    <v>85.4</v>
    <v>85.26</v>
    <v>85.44</v>
    <v>85.6</v>
    <v>86.2</v>
    <v>85.56</v>
    <v>85.7</v>
    <v>85.76</v>
    <v>83.9</v>
    <v>86.3</v>
    <v>85.3</v>
    <v>85.24</v>
    <v>85.78</v>
    <v>84.06</v>
    <v>83.7</v>
    <v>84.24</v>
    <v>85.9</v>
    <v>85.1</v>
    <v>86.58</v>
    <v>87.6</v>
    <v>87.92</v>
    <v>88.38</v>
    <v>89.7</v>
    <v>89.84</v>
    <v>88.68</v>
    <v>89.54</v>
    <v>89.32</v>
    <v>90.58</v>
    <v>90.58</v>
    <v>86.94</v>
    <v>87.34</v>
    <v>87.82</v>
    <v>93.24</v>
    <v>93.58</v>
    <v>93.58</v>
    <v>94.96</v>
    <v>95.1</v>
    <v>96.78</v>
    <v>96.68</v>
    <v>97.56</v>
    <v>98</v>
    <v>94.08</v>
    <v>94.44</v>
    <v>94.44</v>
    <v>93.36</v>
    <v>93.58</v>
    <v>96.16</v>
    <v>94.9</v>
    <v>96.72</v>
    <v>95.86</v>
    <v>92.38</v>
    <v>100.55</v>
    <v>105.9</v>
    <v>105.9</v>
    <v>100.1</v>
    <v>98.16</v>
    <v>100.1</v>
    <v>98.58</v>
    <v>100.3</v>
    <v>100</v>
    <v>100.9</v>
    <v>102.6</v>
    <v>101.45</v>
    <v>99.96</v>
    <v>99.7</v>
    <v>100.1</v>
    <v>99.6</v>
    <v>98.46</v>
    <v>96.56</v>
    <v>91.7</v>
    <v>92.3</v>
    <v>92.88</v>
    <v>88.64</v>
    <v>81.78</v>
    <v>78.819999999999993</v>
    <v>80.56</v>
    <v>76.56</v>
    <v>81.94</v>
    <v>82.36</v>
    <v>85.24</v>
    <v>90.18</v>
    <v>88.9</v>
    <v>86.58</v>
    <v>85.92</v>
    <v>90.02</v>
    <v>90.3</v>
    <v>94.5</v>
    <v>95.96</v>
    <v>96.08</v>
    <v>95.5</v>
    <v>98.86</v>
    <v>98.06</v>
    <v>98.2</v>
    <v>96.82</v>
    <v>98.28</v>
    <v>98.94</v>
    <v>101.1</v>
    <v>102.1</v>
    <v>102.7</v>
    <v>101.85</v>
    <v>101.3</v>
    <v>101.35</v>
    <v>101.4</v>
    <v>100.2</v>
    <v>98.62</v>
    <v>97.6</v>
    <v>100.15</v>
    <v>100.2</v>
    <v>100.15</v>
    <v>100</v>
    <v>98.84</v>
    <v>97.86</v>
    <v>98.96</v>
    <v>100.5</v>
    <v>100.8</v>
    <v>101.25</v>
    <v>99.2</v>
    <v>99.3</v>
    <v>99.36</v>
    <v>98.52</v>
    <v>95.8</v>
    <v>98.14</v>
    <v>96.74</v>
    <v>95.36</v>
    <v>93.48</v>
    <v>94.78</v>
    <v>93.68</v>
    <v>97.82</v>
    <v>96.78</v>
    <v>97.86</v>
    <v>101.1</v>
    <v>99.64</v>
    <v>97.96</v>
    <v>98.46</v>
    <v>98.24</v>
    <v>97</v>
    <v>98.2</v>
    <v>98.56</v>
    <v>101.55</v>
    <v>101.3</v>
    <v>100.4</v>
    <v>99.74</v>
    <v>99.36</v>
    <v>96.94</v>
    <v>100.35</v>
    <v>100.55</v>
    <v>100.85</v>
    <v>98.72</v>
    <v>102</v>
    <v>102.7</v>
    <v>102.15</v>
    <v>100.6</v>
    <v>101.2</v>
    <v>101.2</v>
    <v>100.3</v>
    <v>90.98</v>
    <v>92</v>
    <v>92.8</v>
    <v>93.5</v>
    <v>96.56</v>
    <v>97.92</v>
    <v>96.8</v>
    <v>98.4</v>
    <v>98.2</v>
    <v>99.12</v>
    <v>99</v>
    <v>97.7</v>
    <v>100.65</v>
    <v>97.5</v>
    <v>96.4</v>
    <v>98.16</v>
    <v>94.88</v>
    <v>93.64</v>
    <v>93.44</v>
    <v>93.6</v>
    <v>92.2</v>
    <v>92.94</v>
    <v>90.5</v>
    <v>90.36</v>
    <v>91.24</v>
    <v>91.46</v>
    <v>93.02</v>
    <v>92.44</v>
    <v>92.02</v>
    <v>93.7</v>
    <v>93.9</v>
    <v>94.7</v>
    <v>93.24</v>
    <v>93.12</v>
    <v>93.44</v>
    <v>93.78</v>
    <v>92.56</v>
    <v>93.8</v>
    <v>92.26</v>
    <v>90.04</v>
    <v>91.3</v>
    <v>90.94</v>
    <v>91.66</v>
    <v>92.86</v>
    <v>93.6</v>
    <v>94.32</v>
    <v>91.08</v>
    <v>90.96</v>
    <v>89.78</v>
    <v>90.14</v>
    <v>87.54</v>
    <v>89.3</v>
    <v>88.56</v>
    <v>90.3</v>
    <v>90.64</v>
    <v>89.5</v>
    <v>90.44</v>
    <v>90.6</v>
    <v>89.66</v>
    <v>89.34</v>
    <v>90.38</v>
    <v>90.16</v>
    <v>88.96</v>
    <v>88.04</v>
    <v>87.2</v>
    <v>84.06</v>
    <v>83.24</v>
    <v>81.680000000000007</v>
    <v>82.66</v>
    <v>80.819999999999993</v>
    <v>79.78</v>
    <v>80.86</v>
    <v>82.74</v>
    <v>83.18</v>
    <v>83.98</v>
    <v>82.6</v>
    <v>82</v>
    <v>79.92</v>
    <v>81.239999999999995</v>
    <v>80.34</v>
    <v>81.3</v>
    <v>81.58</v>
    <v>85</v>
    <v>86.1</v>
    <v>85.82</v>
    <v>85.94</v>
    <v>85.4</v>
    <v>84.68</v>
    <v>83.8</v>
    <v>84.34</v>
    <v>86.74</v>
    <v>84.78</v>
    <v>84.3</v>
    <v>83.5</v>
    <v>87.14</v>
    <v>86.3</v>
    <v>87.66</v>
    <v>89.16</v>
    <v>86.72</v>
    <v>87.88</v>
    <v>86.08</v>
    <v>85.96</v>
    <v>86.16</v>
    <v>85.98</v>
    <v>86.4</v>
    <v>86.86</v>
    <v>86.96</v>
    <v>87.02</v>
    <v>85.24</v>
    <v>83.3</v>
    <v>84.08</v>
    <v>82.6</v>
    <v>84.6</v>
    <v>86.82</v>
    <v>83.66</v>
    <v>84.46</v>
    <v>84.98</v>
    <v>83.94</v>
    <v>82.42</v>
    <v>81.260000000000005</v>
    <v>81.680000000000007</v>
    <v>84.78</v>
    <v>83.2</v>
    <v>83.86</v>
    <v>84.64</v>
    <v>84.78</v>
    <v>83.42</v>
    <v>83.22</v>
    <v>84.42</v>
    <v>86.26</v>
    <v>87.38</v>
    <v>86.88</v>
    <v>88.34</v>
    <v>88.2</v>
    <v>88.02</v>
    <v>88.74</v>
    <v>89.58</v>
    <v>90.86</v>
    <v>89.26</v>
    <v>89.3</v>
    <v>87.82</v>
    <v>87.54</v>
    <v>90.24</v>
    <v>88.5</v>
    <v>87.9</v>
    <v>87.8</v>
    <v>86.86</v>
    <v>86.24</v>
    <v>82.78</v>
    <v>78.08</v>
    <v>77.16</v>
    <v>75.92</v>
    <v>74.06</v>
    <v>73.260000000000005</v>
    <v>74.12</v>
    <v>73.900000000000006</v>
    <v>72.22</v>
    <v>71.8</v>
    <v>71.42</v>
    <v>71.16</v>
    <v>71.52</v>
    <v>68.319999999999993</v>
    <v>68.08</v>
    <v>70.819999999999993</v>
    <v>70.42</v>
    <v>71.7</v>
    <v>70.16</v>
    <v>69.12</v>
    <v>69.36</v>
    <v>70.06</v>
    <v>72.180000000000007</v>
    <v>70.52</v>
    <v>70.900000000000006</v>
    <v>76.260000000000005</v>
    <v>75.28</v>
    <v>76</v>
    <v>75.5</v>
    <v>77.739999999999995</v>
    <v>76.3</v>
    <v>77.88</v>
    <v>81.44</v>
    <v>78.680000000000007</v>
    <v>78.42</v>
    <v>76.92</v>
    <v>78.02</v>
    <v>77.540000000000006</v>
    <v>77.36</v>
    <v>77.34</v>
    <v>76.459999999999994</v>
    <v>77.64</v>
    <v>75.099999999999994</v>
    <v>75.92</v>
    <v>80.239999999999995</v>
    <v>80.180000000000007</v>
    <v>79.180000000000007</v>
    <v>77.959999999999994</v>
    <v>76.06</v>
    <v>75.94</v>
    <v>76.599999999999994</v>
    <v>74.42</v>
    <v>74.760000000000005</v>
    <v>73.02</v>
    <v>74.52</v>
    <v>74.040000000000006</v>
    <v>75.28</v>
    <v>77.5</v>
    <v>76.599999999999994</v>
    <v>78.599999999999994</v>
    <v>77.7</v>
    <v>78.260000000000005</v>
    <v>76.16</v>
    <v>77.42</v>
    <v>77.7</v>
    <v>77</v>
    <v>77.260000000000005</v>
    <v>74.400000000000006</v>
    <v>75.459999999999994</v>
    <v>74.319999999999993</v>
    <v>73.28</v>
    <v>75.760000000000005</v>
    <v>78.08</v>
    <v>78.5</v>
    <v>78.88</v>
    <v>79.760000000000005</v>
    <v>78.260000000000005</v>
    <v>78.099999999999994</v>
    <v>77.319999999999993</v>
    <v>79.84</v>
    <v>81.760000000000005</v>
    <v>80.599999999999994</v>
    <v>77.540000000000006</v>
    <v>79.16</v>
    <v>78.459999999999994</v>
    <v>79.86</v>
    <v>80.239999999999995</v>
    <v>79.180000000000007</v>
    <v>78.48</v>
    <v>75</v>
    <v>74.319999999999993</v>
    <v>75.8</v>
    <v>74.88</v>
    <v>74.62</v>
    <v>76.8</v>
    <v>76.62</v>
    <v>75.98</v>
    <v>74.599999999999994</v>
    <v>73.959999999999994</v>
    <v>74.599999999999994</v>
    <v>72.84</v>
    <v>74.16</v>
    <v>74.72</v>
    <v>76.56</v>
    <v>75.56</v>
    <v>76.040000000000006</v>
    <v>81.28</v>
    <v>83.52</v>
    <v>84.92</v>
    <v>85.54</v>
    <v>84.72</v>
    <v>85.44</v>
    <v>84.58</v>
    <v>85</v>
    <v>84.24</v>
    <v>84.14</v>
    <v>83.94</v>
    <v>81.239999999999995</v>
    <v>79.739999999999995</v>
    <v>80.8</v>
    <v>80.8</v>
    <v>81.2</v>
    <v>80.239999999999995</v>
    <v>81.260000000000005</v>
    <v>82.3</v>
    <v>79.459999999999994</v>
    <v>79.78</v>
    <v>78.319999999999993</v>
    <v>76.48</v>
    <v>75.02</v>
    <v>75.5</v>
    <v>75.78</v>
    <v>74.62</v>
    <v>74.400000000000006</v>
    <v>71.5</v>
    <v>71.319999999999993</v>
    <v>71.52</v>
    <v>69.58</v>
    <v>69.58</v>
    <v>69.66</v>
    <v>70.34</v>
    <v>69.12</v>
    <v>70.099999999999994</v>
    <v>71.22</v>
    <v>70.64</v>
    <v>69.819999999999993</v>
    <v>69.819999999999993</v>
    <v>70.5</v>
    <v>69.8</v>
    <v>69.040000000000006</v>
    <v>66.319999999999993</v>
    <v>67.099999999999994</v>
    <v>66.12</v>
    <v>67.14</v>
    <v>64.760000000000005</v>
    <v>64.760000000000005</v>
    <v>64.94</v>
    <v>65.2</v>
    <v>65.319999999999993</v>
    <v>65.64</v>
    <v>66.540000000000006</v>
    <v>66.540000000000006</v>
    <v>66.42</v>
    <v>67.14</v>
    <v>66.36</v>
    <v>66.400000000000006</v>
    <v>66.92</v>
  </a>
  <a r="1" c="256">
    <v>89.34</v>
    <v>90.38</v>
    <v>90.16</v>
    <v>88.96</v>
    <v>88.04</v>
    <v>87.2</v>
    <v>84.06</v>
    <v>83.24</v>
    <v>81.680000000000007</v>
    <v>82.66</v>
    <v>80.819999999999993</v>
    <v>79.78</v>
    <v>80.86</v>
    <v>82.74</v>
    <v>83.18</v>
    <v>83.98</v>
    <v>82.6</v>
    <v>82</v>
    <v>79.92</v>
    <v>81.239999999999995</v>
    <v>80.34</v>
    <v>81.3</v>
    <v>81.58</v>
    <v>85</v>
    <v>86.1</v>
    <v>85.82</v>
    <v>85.94</v>
    <v>85.4</v>
    <v>84.68</v>
    <v>83.8</v>
    <v>84.34</v>
    <v>86.74</v>
    <v>84.78</v>
    <v>84.3</v>
    <v>83.5</v>
    <v>87.14</v>
    <v>86.3</v>
    <v>87.66</v>
    <v>89.16</v>
    <v>86.72</v>
    <v>87.88</v>
    <v>86.08</v>
    <v>85.96</v>
    <v>86.16</v>
    <v>85.98</v>
    <v>86.4</v>
    <v>86.86</v>
    <v>86.96</v>
    <v>87.02</v>
    <v>85.24</v>
    <v>83.3</v>
    <v>84.08</v>
    <v>82.6</v>
    <v>84.6</v>
    <v>86.82</v>
    <v>83.66</v>
    <v>84.46</v>
    <v>84.98</v>
    <v>83.94</v>
    <v>82.42</v>
    <v>81.260000000000005</v>
    <v>81.680000000000007</v>
    <v>84.78</v>
    <v>83.2</v>
    <v>83.86</v>
    <v>84.64</v>
    <v>84.78</v>
    <v>83.42</v>
    <v>83.22</v>
    <v>84.42</v>
    <v>86.26</v>
    <v>87.38</v>
    <v>86.88</v>
    <v>88.34</v>
    <v>88.2</v>
    <v>88.02</v>
    <v>88.74</v>
    <v>89.58</v>
    <v>90.86</v>
    <v>89.26</v>
    <v>89.3</v>
    <v>87.82</v>
    <v>87.54</v>
    <v>90.24</v>
    <v>88.5</v>
    <v>87.9</v>
    <v>87.8</v>
    <v>86.86</v>
    <v>86.24</v>
    <v>82.78</v>
    <v>78.08</v>
    <v>77.16</v>
    <v>75.92</v>
    <v>74.06</v>
    <v>73.260000000000005</v>
    <v>74.12</v>
    <v>73.900000000000006</v>
    <v>72.22</v>
    <v>71.8</v>
    <v>71.42</v>
    <v>71.16</v>
    <v>71.52</v>
    <v>68.319999999999993</v>
    <v>68.08</v>
    <v>70.819999999999993</v>
    <v>70.42</v>
    <v>71.7</v>
    <v>70.16</v>
    <v>69.12</v>
    <v>69.36</v>
    <v>70.06</v>
    <v>72.180000000000007</v>
    <v>70.52</v>
    <v>70.900000000000006</v>
    <v>76.260000000000005</v>
    <v>75.28</v>
    <v>76</v>
    <v>75.5</v>
    <v>77.739999999999995</v>
    <v>76.3</v>
    <v>77.88</v>
    <v>81.44</v>
    <v>78.680000000000007</v>
    <v>78.42</v>
    <v>76.92</v>
    <v>78.02</v>
    <v>77.540000000000006</v>
    <v>77.36</v>
    <v>77.34</v>
    <v>76.459999999999994</v>
    <v>77.64</v>
    <v>75.099999999999994</v>
    <v>75.92</v>
    <v>80.239999999999995</v>
    <v>80.180000000000007</v>
    <v>79.180000000000007</v>
    <v>77.959999999999994</v>
    <v>76.06</v>
    <v>75.94</v>
    <v>76.599999999999994</v>
    <v>74.42</v>
    <v>74.760000000000005</v>
    <v>73.02</v>
    <v>74.52</v>
    <v>74.040000000000006</v>
    <v>75.28</v>
    <v>77.5</v>
    <v>76.599999999999994</v>
    <v>78.599999999999994</v>
    <v>77.7</v>
    <v>78.260000000000005</v>
    <v>76.16</v>
    <v>77.42</v>
    <v>77.7</v>
    <v>77</v>
    <v>77.260000000000005</v>
    <v>74.400000000000006</v>
    <v>75.459999999999994</v>
    <v>74.319999999999993</v>
    <v>73.28</v>
    <v>75.760000000000005</v>
    <v>78.08</v>
    <v>78.5</v>
    <v>78.88</v>
    <v>79.760000000000005</v>
    <v>78.260000000000005</v>
    <v>78.099999999999994</v>
    <v>77.319999999999993</v>
    <v>79.84</v>
    <v>81.760000000000005</v>
    <v>80.599999999999994</v>
    <v>77.540000000000006</v>
    <v>79.16</v>
    <v>78.459999999999994</v>
    <v>79.86</v>
    <v>80.239999999999995</v>
    <v>79.180000000000007</v>
    <v>78.48</v>
    <v>75</v>
    <v>74.319999999999993</v>
    <v>75.8</v>
    <v>74.88</v>
    <v>74.62</v>
    <v>76.8</v>
    <v>76.62</v>
    <v>75.98</v>
    <v>74.599999999999994</v>
    <v>73.959999999999994</v>
    <v>74.599999999999994</v>
    <v>72.84</v>
    <v>74.16</v>
    <v>74.72</v>
    <v>76.56</v>
    <v>75.56</v>
    <v>76.040000000000006</v>
    <v>81.28</v>
    <v>83.52</v>
    <v>84.92</v>
    <v>85.54</v>
    <v>84.72</v>
    <v>85.44</v>
    <v>84.58</v>
    <v>85</v>
    <v>84.24</v>
    <v>84.14</v>
    <v>83.94</v>
    <v>81.239999999999995</v>
    <v>79.739999999999995</v>
    <v>80.8</v>
    <v>80.8</v>
    <v>81.2</v>
    <v>80.239999999999995</v>
    <v>81.260000000000005</v>
    <v>82.3</v>
    <v>79.459999999999994</v>
    <v>79.78</v>
    <v>78.319999999999993</v>
    <v>76.48</v>
    <v>75.02</v>
    <v>75.5</v>
    <v>75.78</v>
    <v>74.62</v>
    <v>74.400000000000006</v>
    <v>71.5</v>
    <v>71.319999999999993</v>
    <v>71.52</v>
    <v>69.58</v>
    <v>69.58</v>
    <v>69.66</v>
    <v>70.34</v>
    <v>69.12</v>
    <v>70.099999999999994</v>
    <v>71.22</v>
    <v>70.64</v>
    <v>69.819999999999993</v>
    <v>69.819999999999993</v>
    <v>70.5</v>
    <v>69.8</v>
    <v>69.040000000000006</v>
    <v>66.319999999999993</v>
    <v>67.099999999999994</v>
    <v>66.12</v>
    <v>67.14</v>
    <v>64.760000000000005</v>
    <v>64.760000000000005</v>
    <v>64.94</v>
    <v>65.2</v>
    <v>65.319999999999993</v>
    <v>65.64</v>
    <v>66.540000000000006</v>
    <v>66.540000000000006</v>
    <v>66.42</v>
    <v>67.14</v>
    <v>66.36</v>
    <v>66.400000000000006</v>
    <v>66.92</v>
  </a>
  <a r="1" c="205">
    <v>77.03</v>
    <v>76.040000000000006</v>
    <v>75.58</v>
    <v>75.23</v>
    <v>74.72</v>
    <v>73.959999999999994</v>
    <v>73.88</v>
    <v>74.010000000000005</v>
    <v>75.47</v>
    <v>74.41</v>
    <v>75.25</v>
    <v>75.19</v>
    <v>73.349999999999994</v>
    <v>73.69</v>
    <v>74.33</v>
    <v>74.59</v>
    <v>77.010000000000005</v>
    <v>78.680000000000007</v>
    <v>78.959999999999994</v>
    <v>78.430000000000007</v>
    <v>78.319999999999993</v>
    <v>80.64</v>
    <v>83.11</v>
    <v>81.16</v>
    <v>82.36</v>
    <v>84.82</v>
    <v>86.78</v>
    <v>86.29</v>
    <v>85.54</v>
    <v>75</v>
    <v>76.849999999999994</v>
    <v>76.849999999999994</v>
    <v>78.180000000000007</v>
    <v>78.56</v>
    <v>79.2</v>
    <v>77.739999999999995</v>
    <v>78.14</v>
    <v>79.12</v>
    <v>78.099999999999994</v>
    <v>79.459999999999994</v>
    <v>79.42</v>
    <v>78.959999999999994</v>
    <v>80.87</v>
    <v>80.010000000000005</v>
    <v>78.64</v>
    <v>76.209999999999994</v>
    <v>77.7</v>
    <v>78.099999999999994</v>
    <v>77.739999999999995</v>
    <v>78.33</v>
    <v>78.900000000000006</v>
    <v>79.27</v>
    <v>77.599999999999994</v>
    <v>78.510000000000005</v>
    <v>77.650000000000006</v>
    <v>78.819999999999993</v>
    <v>80.86</v>
    <v>81.83</v>
    <v>82.16</v>
    <v>79.92</v>
    <v>77.040000000000006</v>
    <v>77.59</v>
    <v>77.930000000000007</v>
    <v>79.02</v>
    <v>80.435000000000002</v>
    <v>80.680000000000007</v>
    <v>83.7</v>
    <v>83.17</v>
    <v>82.22</v>
    <v>82.35</v>
    <v>82.61</v>
    <v>82.36</v>
    <v>84.5</v>
    <v>86.25</v>
    <v>87.71</v>
    <v>89.7</v>
    <v>89.8</v>
    <v>88.59</v>
    <v>89.01</v>
    <v>88.26</v>
    <v>86.86</v>
    <v>89.57</v>
    <v>91.5</v>
    <v>91.85</v>
    <v>92.63</v>
    <v>94.3</v>
    <v>91.64</v>
    <v>92.16</v>
    <v>96.57</v>
    <v>98.72</v>
    <v>99.29</v>
    <v>101.87</v>
    <v>115.53</v>
    <v>118.21</v>
    <v>118.88</v>
    <v>115.38</v>
    <v>114.35</v>
    <v>118.2</v>
    <v>120.41</v>
    <v>118.33</v>
    <v>119.67</v>
    <v>118.64</v>
    <v>120.42</v>
    <v>121.33</v>
    <v>128</v>
    <v>126.5</v>
    <v>130</v>
    <v>121.64</v>
    <v>124.15</v>
    <v>120.36</v>
    <v>118.8</v>
    <v>121.83</v>
    <v>121.1</v>
    <v>120.17</v>
    <v>119.57</v>
    <v>117.33</v>
    <v>119.54</v>
    <v>121.53</v>
    <v>121.15</v>
    <v>119.73</v>
    <v>118.97</v>
    <v>113.77</v>
    <v>117.7</v>
    <v>117.46</v>
    <v>117.01</v>
    <v>112.69</v>
    <v>113.98</v>
    <v>111.79</v>
    <v>113.82</v>
    <v>118.31</v>
    <v>121.31</v>
    <v>119.25</v>
    <v>117.09</v>
    <v>111.77</v>
    <v>109.66</v>
    <v>111.94</v>
    <v>110.7</v>
    <v>112.18</v>
    <v>112.21</v>
    <v>112.76</v>
    <v>114.17</v>
    <v>114.57</v>
    <v>115.58</v>
    <v>112.48</v>
    <v>113.56</v>
    <v>115.99</v>
    <v>115.86</v>
    <v>121.74</v>
    <v>121.5</v>
    <v>120.88</v>
    <v>121.43</v>
    <v>122.57</v>
    <v>120.43</v>
    <v>123.88</v>
    <v>113.47</v>
    <v>111.68</v>
    <v>112.9</v>
    <v>111.61</v>
    <v>110.55</v>
    <v>109.59</v>
    <v>111.04</v>
    <v>110.23</v>
    <v>111.11</v>
    <v>112.36</v>
    <v>112.15</v>
    <v>109.93</v>
    <v>110.49</v>
    <v>109.74</v>
    <v>109.455</v>
    <v>108.61</v>
    <v>109.2</v>
    <v>109.17</v>
    <v>109.43</v>
    <v>107.44</v>
    <v>112.13</v>
    <v>110.06</v>
    <v>110.07</v>
    <v>107.74</v>
    <v>110.24</v>
    <v>109.51</v>
    <v>111.46</v>
    <v>106.44</v>
    <v>106.43</v>
    <v>106.97</v>
    <v>106.7</v>
    <v>106.74</v>
    <v>106.94</v>
    <v>107.63</v>
    <v>108.76</v>
    <v>112.2</v>
    <v>112.82</v>
    <v>117.94</v>
    <v>117.39</v>
    <v>114.89</v>
    <v>118.39</v>
    <v>115.34</v>
    <v>115.07</v>
    <v>113.64</v>
    <v>109.85</v>
    <v>107.39</v>
    <v>106.5</v>
    <v>106.71</v>
    <v>107.26</v>
    <v>104.89</v>
    <v>106.5</v>
  </a>
  <a r="1" c="754">
    <v>52.2</v>
    <v>53.01</v>
    <v>52.4</v>
    <v>51.37</v>
    <v>51.56</v>
    <v>51.57</v>
    <v>52.13</v>
    <v>52.19</v>
    <v>52.75</v>
    <v>53.01</v>
    <v>53.29</v>
    <v>53.13</v>
    <v>53</v>
    <v>52</v>
    <v>52.59</v>
    <v>52.23</v>
    <v>53.17</v>
    <v>53.28</v>
    <v>48.04</v>
    <v>47.755000000000003</v>
    <v>48.27</v>
    <v>47.8</v>
    <v>48.08</v>
    <v>48.36</v>
    <v>47.93</v>
    <v>47.85</v>
    <v>48.05</v>
    <v>48.38</v>
    <v>48.47</v>
    <v>48.05</v>
    <v>47.93</v>
    <v>47.7</v>
    <v>48.26</v>
    <v>48.38</v>
    <v>49.39</v>
    <v>49.33</v>
    <v>49.69</v>
    <v>49.44</v>
    <v>49.87</v>
    <v>50.24</v>
    <v>50.18</v>
    <v>49.8</v>
    <v>49.7</v>
    <v>50.09</v>
    <v>50.28</v>
    <v>50.44</v>
    <v>50.48</v>
    <v>50.52</v>
    <v>50.51</v>
    <v>50.51</v>
    <v>50.08</v>
    <v>50.09</v>
    <v>50.46</v>
    <v>49.91</v>
    <v>50.24</v>
    <v>50.44</v>
    <v>50.34</v>
    <v>50.59</v>
    <v>50.3</v>
    <v>50.75</v>
    <v>51.27</v>
    <v>51.57</v>
    <v>51.76</v>
    <v>51.31</v>
    <v>52.33</v>
    <v>52.14</v>
    <v>52.29</v>
    <v>52.24</v>
    <v>50.18</v>
    <v>50.18</v>
    <v>50.18</v>
    <v>49.51</v>
    <v>49.98</v>
    <v>49.77</v>
    <v>49.95</v>
    <v>50.13</v>
    <v>49.99</v>
    <v>49.64</v>
    <v>50.28</v>
    <v>49.06</v>
    <v>48.44</v>
    <v>48.28</v>
    <v>48.48</v>
    <v>48.57</v>
    <v>48.86</v>
    <v>48.4</v>
    <v>48.31</v>
    <v>48.06</v>
    <v>48.37</v>
    <v>48.4</v>
    <v>49.13</v>
    <v>48.95</v>
    <v>49.17</v>
    <v>48.9</v>
    <v>49.5</v>
    <v>50.22</v>
    <v>50.07</v>
    <v>50.11</v>
    <v>49.79</v>
    <v>48.93</v>
    <v>49.27</v>
    <v>49.14</v>
    <v>49.55</v>
    <v>49.88</v>
    <v>49.78</v>
    <v>49.68</v>
    <v>49.55</v>
    <v>49.77</v>
    <v>49.91</v>
    <v>50.04</v>
    <v>49.36</v>
    <v>48.74</v>
    <v>48.11</v>
    <v>48.55</v>
    <v>48.24</v>
    <v>50.01</v>
    <v>49.21</v>
    <v>49.53</v>
    <v>48.49</v>
    <v>48.24</v>
    <v>47.92</v>
    <v>47.79</v>
    <v>48.11</v>
    <v>48.32</v>
    <v>48.14</v>
    <v>48.32</v>
    <v>48.35</v>
    <v>48.1</v>
    <v>47.86</v>
    <v>47.78</v>
    <v>46.98</v>
    <v>46.84</v>
    <v>46.79</v>
    <v>47.12</v>
    <v>47.11</v>
    <v>47.28</v>
    <v>48</v>
    <v>47.79</v>
    <v>48.06</v>
    <v>48.68</v>
    <v>48.95</v>
    <v>49.67</v>
    <v>48.34</v>
    <v>48.17</v>
    <v>47.13</v>
    <v>46.94</v>
    <v>47.43</v>
    <v>46.6</v>
    <v>46.42</v>
    <v>46.28</v>
    <v>46.08</v>
    <v>46.12</v>
    <v>46.5</v>
    <v>46.65</v>
    <v>47.42</v>
    <v>46.02</v>
    <v>46.23</v>
    <v>45.84</v>
    <v>45.85</v>
    <v>45.77</v>
    <v>45.62</v>
    <v>45.52</v>
    <v>45.68</v>
    <v>45.69</v>
    <v>45.97</v>
    <v>46.72</v>
    <v>47.29</v>
    <v>47.28</v>
    <v>47.38</v>
    <v>46.86</v>
    <v>47.45</v>
    <v>47.51</v>
    <v>47.52</v>
    <v>47.28</v>
    <v>47.09</v>
    <v>46.65</v>
    <v>46.06</v>
    <v>45.8</v>
    <v>46.27</v>
    <v>46.76</v>
    <v>47.38</v>
    <v>47.4</v>
    <v>47.42</v>
    <v>48.52</v>
    <v>48.04</v>
    <v>47.32</v>
    <v>46.82</v>
    <v>46.36</v>
    <v>46.85</v>
    <v>47.24</v>
    <v>47.88</v>
    <v>47.99</v>
    <v>48.14</v>
    <v>48.45</v>
    <v>47.39</v>
    <v>46.66</v>
    <v>44.74</v>
    <v>45.16</v>
    <v>45.12</v>
    <v>45.83</v>
    <v>45.47</v>
    <v>44.86</v>
    <v>45.37</v>
    <v>45.44</v>
    <v>48.53</v>
    <v>49.46</v>
    <v>49.98</v>
    <v>50.24</v>
    <v>50.45</v>
    <v>50.22</v>
    <v>50.74</v>
    <v>50.79</v>
    <v>50.71</v>
    <v>49.85</v>
    <v>50.39</v>
    <v>50.54</v>
    <v>50.06</v>
    <v>49.7</v>
    <v>49.13</v>
    <v>48.5</v>
    <v>48.7</v>
    <v>48.79</v>
    <v>49.11</v>
    <v>49.61</v>
    <v>49.8</v>
    <v>51.03</v>
    <v>50.61</v>
    <v>50.57</v>
    <v>51.44</v>
    <v>51.97</v>
    <v>52.19</v>
    <v>52.52</v>
    <v>52.65</v>
    <v>52.85</v>
    <v>53.02</v>
    <v>53.22</v>
    <v>52.74</v>
    <v>52.62</v>
    <v>52.43</v>
    <v>52.75</v>
    <v>52.51</v>
    <v>52.73</v>
    <v>53.56</v>
    <v>53.54</v>
    <v>54.25</v>
    <v>54.27</v>
    <v>54.08</v>
    <v>56.38</v>
    <v>56.4</v>
    <v>56.76</v>
    <v>56.59</v>
    <v>56.6</v>
    <v>56.28</v>
    <v>55.96</v>
    <v>55.74</v>
    <v>55.28</v>
    <v>55.68</v>
    <v>55.59</v>
    <v>54.77</v>
    <v>55.5</v>
    <v>55.83</v>
    <v>56.16</v>
    <v>57.87</v>
    <v>58.08</v>
    <v>58.06</v>
    <v>58.63</v>
    <v>58.71</v>
    <v>59.18</v>
    <v>57.92</v>
    <v>57.46</v>
    <v>57.31</v>
    <v>57.01</v>
    <v>57.5</v>
    <v>57.56</v>
    <v>58.55</v>
    <v>58.74</v>
    <v>59.59</v>
    <v>59.29</v>
    <v>59.21</v>
    <v>59.43</v>
    <v>59.48</v>
    <v>59.62</v>
    <v>60.02</v>
    <v>59.89</v>
    <v>58.95</v>
    <v>58.72</v>
    <v>58.59</v>
    <v>58.85</v>
    <v>58.62</v>
    <v>58.35</v>
    <v>58.52</v>
    <v>57.53</v>
    <v>57.63</v>
    <v>58.52</v>
    <v>58.98</v>
    <v>59.85</v>
    <v>59.98</v>
    <v>59.61</v>
    <v>59.19</v>
    <v>59.2</v>
    <v>59.1</v>
    <v>58.86</v>
    <v>58.77</v>
    <v>58.93</v>
    <v>59.2</v>
    <v>58.74</v>
    <v>58.76</v>
    <v>59.33</v>
    <v>59.98</v>
    <v>59.82</v>
    <v>60.23</v>
    <v>61.03</v>
    <v>61.63</v>
    <v>62.23</v>
    <v>62.23</v>
    <v>59.08</v>
    <v>59.43</v>
    <v>59.55</v>
    <v>60.47</v>
    <v>60.6</v>
    <v>61.04</v>
    <v>61.34</v>
    <v>62.57</v>
    <v>62.27</v>
    <v>62.27</v>
    <v>62.81</v>
    <v>62.43</v>
    <v>62.53</v>
    <v>63.84</v>
    <v>64.87</v>
    <v>64.59</v>
    <v>64.84</v>
    <v>64.67</v>
    <v>63.98</v>
    <v>63.24</v>
    <v>64.27</v>
    <v>64.08</v>
    <v>63.81</v>
    <v>64.11</v>
    <v>63.48</v>
    <v>63.26</v>
    <v>63.96</v>
    <v>63.41</v>
    <v>63.94</v>
    <v>62.06</v>
    <v>60.67</v>
    <v>60.46</v>
    <v>59.67</v>
    <v>60.5</v>
    <v>60.89</v>
    <v>60.3</v>
    <v>61.12</v>
    <v>60.62</v>
    <v>60.3</v>
    <v>60.97</v>
    <v>60.99</v>
    <v>61.8</v>
    <v>61.4</v>
    <v>60.86</v>
    <v>61.71</v>
    <v>61.8</v>
    <v>61.82</v>
    <v>57.31</v>
    <v>54.54</v>
    <v>54.41</v>
    <v>53.19</v>
    <v>58.13</v>
    <v>56.59</v>
    <v>57.33</v>
    <v>57.41</v>
    <v>57.2</v>
    <v>55.76</v>
    <v>55.76</v>
    <v>54.37</v>
    <v>55.04</v>
    <v>55.63</v>
    <v>56.29</v>
    <v>56.71</v>
    <v>56.84</v>
    <v>57.34</v>
    <v>57.73</v>
    <v>58.12</v>
    <v>59.33</v>
    <v>59.32</v>
    <v>59.22</v>
    <v>59.57</v>
    <v>59.71</v>
    <v>59.77</v>
    <v>61.67</v>
    <v>61.78</v>
    <v>61.29</v>
    <v>64.260000000000005</v>
    <v>63.62</v>
    <v>63.92</v>
    <v>63.42</v>
    <v>63.2</v>
    <v>63.36</v>
    <v>63.11</v>
    <v>63.75</v>
    <v>63.34</v>
    <v>63.05</v>
    <v>63.04</v>
    <v>63.85</v>
    <v>64.36</v>
    <v>64.39</v>
    <v>64.62</v>
    <v>66.06</v>
    <v>65.900000000000006</v>
    <v>65.150000000000006</v>
    <v>64.19</v>
    <v>65.099999999999994</v>
    <v>64.09</v>
    <v>65.510000000000005</v>
    <v>65.33</v>
    <v>65.84</v>
    <v>66.319999999999993</v>
    <v>67.38</v>
    <v>67.89</v>
    <v>68.19</v>
    <v>68.95</v>
    <v>68.650000000000006</v>
    <v>69.38</v>
    <v>69.099999999999994</v>
    <v>68.59</v>
    <v>69.37</v>
    <v>68.930000000000007</v>
    <v>68.59</v>
    <v>69.27</v>
    <v>68.760000000000005</v>
    <v>67.95</v>
    <v>67.819999999999993</v>
    <v>67.180000000000007</v>
    <v>67.37</v>
    <v>68.3</v>
    <v>68.05</v>
    <v>68.34</v>
    <v>68.16</v>
    <v>68.62</v>
    <v>68.290000000000006</v>
    <v>68.69</v>
    <v>67.92</v>
    <v>67.959999999999994</v>
    <v>68.275000000000006</v>
    <v>68.08</v>
    <v>67.11</v>
    <v>68.489999999999995</v>
    <v>67.52</v>
    <v>69.209999999999994</v>
    <v>69.900000000000006</v>
    <v>71.790000000000006</v>
    <v>70.67</v>
    <v>71.38</v>
    <v>70.400000000000006</v>
    <v>69.3</v>
    <v>66.2</v>
    <v>66.95</v>
    <v>66.760000000000005</v>
    <v>67.11</v>
    <v>67.02</v>
    <v>67.319999999999993</v>
    <v>67.14</v>
    <v>68.39</v>
    <v>68.44</v>
    <v>69.430000000000007</v>
    <v>69.09</v>
    <v>67.8</v>
    <v>67.67</v>
    <v>67.989999999999995</v>
    <v>66.900000000000006</v>
    <v>66.88</v>
    <v>67.34</v>
    <v>68.13</v>
    <v>67.69</v>
    <v>66.53</v>
    <v>67.02</v>
    <v>66.930000000000007</v>
    <v>67.72</v>
    <v>68.680000000000007</v>
    <v>68.209999999999994</v>
    <v>67.75</v>
    <v>67.540000000000006</v>
    <v>67.319999999999993</v>
    <v>67.849999999999994</v>
    <v>67.22</v>
    <v>67.72</v>
    <v>68.42</v>
    <v>68.75</v>
    <v>68.31</v>
    <v>67.92</v>
    <v>68.91</v>
    <v>68.984999999999999</v>
    <v>70.33</v>
    <v>69.959999999999994</v>
    <v>67.94</v>
    <v>67.459999999999994</v>
    <v>68.66</v>
    <v>69.52</v>
    <v>69.09</v>
    <v>70.13</v>
    <v>70.650000000000006</v>
    <v>70.72</v>
    <v>70.66</v>
    <v>70.27</v>
    <v>70.63</v>
    <v>71.39</v>
    <v>72.62</v>
    <v>71.33</v>
    <v>72.91</v>
    <v>73.11</v>
    <v>74.45</v>
    <v>72.319999999999993</v>
    <v>72.099999999999994</v>
    <v>71.040000000000006</v>
    <v>71.069999999999993</v>
    <v>72.09</v>
    <v>71.709999999999994</v>
    <v>73.959999999999994</v>
    <v>77.38</v>
    <v>78</v>
    <v>77.78</v>
    <v>77.37</v>
    <v>78.39</v>
    <v>75.44</v>
    <v>76.099999999999994</v>
    <v>76.239999999999995</v>
    <v>76.319999999999993</v>
    <v>76.069999999999993</v>
    <v>76.94</v>
    <v>76.040000000000006</v>
    <v>76.87</v>
    <v>77.75</v>
    <v>77.760000000000005</v>
    <v>77.97</v>
    <v>78.86</v>
    <v>79.510000000000005</v>
    <v>80.25</v>
    <v>79.27</v>
    <v>77.8</v>
    <v>78.25</v>
    <v>77.55</v>
    <v>76</v>
    <v>76.95</v>
    <v>78.42</v>
    <v>78.11</v>
    <v>78.02</v>
    <v>78.02</v>
    <v>78.16</v>
    <v>77.790000000000006</v>
    <v>77.41</v>
    <v>77.03</v>
    <v>76.040000000000006</v>
    <v>75.58</v>
    <v>75.23</v>
    <v>74.72</v>
    <v>73.959999999999994</v>
    <v>73.88</v>
    <v>74.010000000000005</v>
    <v>75.47</v>
    <v>74.41</v>
    <v>75.25</v>
    <v>75.19</v>
    <v>73.349999999999994</v>
    <v>73.69</v>
    <v>74.33</v>
    <v>74.59</v>
    <v>77.010000000000005</v>
    <v>78.680000000000007</v>
    <v>78.959999999999994</v>
    <v>78.430000000000007</v>
    <v>78.319999999999993</v>
    <v>80.64</v>
    <v>83.11</v>
    <v>81.16</v>
    <v>82.36</v>
    <v>84.82</v>
    <v>86.78</v>
    <v>86.29</v>
    <v>85.54</v>
    <v>75</v>
    <v>76.849999999999994</v>
    <v>76.849999999999994</v>
    <v>78.180000000000007</v>
    <v>78.56</v>
    <v>79.2</v>
    <v>77.739999999999995</v>
    <v>78.14</v>
    <v>79.12</v>
    <v>78.099999999999994</v>
    <v>79.459999999999994</v>
    <v>79.42</v>
    <v>78.959999999999994</v>
    <v>80.87</v>
    <v>80.010000000000005</v>
    <v>78.64</v>
    <v>76.209999999999994</v>
    <v>77.7</v>
    <v>78.099999999999994</v>
    <v>77.739999999999995</v>
    <v>78.33</v>
    <v>78.900000000000006</v>
    <v>79.27</v>
    <v>77.599999999999994</v>
    <v>78.510000000000005</v>
    <v>77.650000000000006</v>
    <v>78.819999999999993</v>
    <v>80.86</v>
    <v>81.83</v>
    <v>82.16</v>
    <v>79.92</v>
    <v>77.040000000000006</v>
    <v>77.59</v>
    <v>77.930000000000007</v>
    <v>79.02</v>
    <v>80.435000000000002</v>
    <v>80.680000000000007</v>
    <v>83.7</v>
    <v>83.17</v>
    <v>82.22</v>
    <v>82.35</v>
    <v>82.61</v>
    <v>82.36</v>
    <v>84.5</v>
    <v>86.25</v>
    <v>87.71</v>
    <v>89.7</v>
    <v>89.8</v>
    <v>88.59</v>
    <v>89.01</v>
    <v>88.26</v>
    <v>86.86</v>
    <v>89.57</v>
    <v>91.5</v>
    <v>91.85</v>
    <v>92.63</v>
    <v>94.3</v>
    <v>91.64</v>
    <v>92.16</v>
    <v>96.57</v>
    <v>98.72</v>
    <v>99.29</v>
    <v>101.87</v>
    <v>115.53</v>
    <v>118.21</v>
    <v>118.88</v>
    <v>115.38</v>
    <v>114.35</v>
    <v>118.2</v>
    <v>120.41</v>
    <v>118.33</v>
    <v>119.67</v>
    <v>118.64</v>
    <v>120.42</v>
    <v>121.33</v>
    <v>128</v>
    <v>126.5</v>
    <v>130</v>
    <v>121.64</v>
    <v>124.15</v>
    <v>120.36</v>
    <v>118.8</v>
    <v>121.83</v>
    <v>121.1</v>
    <v>120.17</v>
    <v>119.57</v>
    <v>117.33</v>
    <v>119.54</v>
    <v>121.53</v>
    <v>121.15</v>
    <v>119.73</v>
    <v>118.97</v>
    <v>113.77</v>
    <v>117.7</v>
    <v>117.46</v>
    <v>117.01</v>
    <v>112.69</v>
    <v>113.98</v>
    <v>111.79</v>
    <v>113.82</v>
    <v>118.31</v>
    <v>121.31</v>
    <v>119.25</v>
    <v>117.09</v>
    <v>111.77</v>
    <v>109.66</v>
    <v>111.94</v>
    <v>110.7</v>
    <v>112.18</v>
    <v>112.21</v>
    <v>112.76</v>
    <v>114.17</v>
    <v>114.57</v>
    <v>115.58</v>
    <v>112.48</v>
    <v>113.56</v>
    <v>115.99</v>
    <v>115.86</v>
    <v>121.74</v>
    <v>121.5</v>
    <v>120.88</v>
    <v>121.43</v>
    <v>122.57</v>
    <v>120.43</v>
    <v>123.88</v>
    <v>113.47</v>
    <v>111.68</v>
    <v>112.9</v>
    <v>111.61</v>
    <v>110.55</v>
    <v>109.59</v>
    <v>111.04</v>
    <v>110.23</v>
    <v>111.11</v>
    <v>112.36</v>
    <v>112.15</v>
    <v>109.93</v>
    <v>110.49</v>
    <v>109.74</v>
    <v>109.455</v>
    <v>108.61</v>
    <v>109.2</v>
    <v>109.17</v>
    <v>109.43</v>
    <v>107.44</v>
    <v>112.13</v>
    <v>110.06</v>
    <v>110.07</v>
    <v>107.74</v>
    <v>110.24</v>
    <v>109.51</v>
    <v>111.46</v>
    <v>106.44</v>
    <v>106.43</v>
    <v>106.97</v>
    <v>106.7</v>
    <v>106.74</v>
    <v>106.94</v>
    <v>107.63</v>
    <v>108.76</v>
    <v>112.2</v>
    <v>112.82</v>
    <v>117.94</v>
    <v>117.39</v>
    <v>114.89</v>
    <v>118.39</v>
    <v>115.34</v>
    <v>115.07</v>
    <v>113.64</v>
    <v>109.85</v>
    <v>107.39</v>
    <v>106.5</v>
    <v>106.71</v>
    <v>107.26</v>
    <v>104.89</v>
    <v>106.5</v>
  </a>
  <a r="1" c="252">
    <v>70.27</v>
    <v>70.63</v>
    <v>71.39</v>
    <v>72.62</v>
    <v>71.33</v>
    <v>72.91</v>
    <v>73.11</v>
    <v>74.45</v>
    <v>72.319999999999993</v>
    <v>72.099999999999994</v>
    <v>71.040000000000006</v>
    <v>71.069999999999993</v>
    <v>72.09</v>
    <v>71.709999999999994</v>
    <v>73.959999999999994</v>
    <v>77.38</v>
    <v>78</v>
    <v>77.78</v>
    <v>77.37</v>
    <v>78.39</v>
    <v>75.44</v>
    <v>76.099999999999994</v>
    <v>76.239999999999995</v>
    <v>76.319999999999993</v>
    <v>76.069999999999993</v>
    <v>76.94</v>
    <v>76.040000000000006</v>
    <v>76.87</v>
    <v>77.75</v>
    <v>77.760000000000005</v>
    <v>77.97</v>
    <v>78.86</v>
    <v>79.510000000000005</v>
    <v>80.25</v>
    <v>79.27</v>
    <v>77.8</v>
    <v>78.25</v>
    <v>77.55</v>
    <v>76</v>
    <v>76.95</v>
    <v>78.42</v>
    <v>78.11</v>
    <v>78.02</v>
    <v>78.02</v>
    <v>78.16</v>
    <v>77.790000000000006</v>
    <v>77.41</v>
    <v>77.03</v>
    <v>76.040000000000006</v>
    <v>75.58</v>
    <v>75.23</v>
    <v>74.72</v>
    <v>73.959999999999994</v>
    <v>73.88</v>
    <v>74.010000000000005</v>
    <v>75.47</v>
    <v>74.41</v>
    <v>75.25</v>
    <v>75.19</v>
    <v>73.349999999999994</v>
    <v>73.69</v>
    <v>74.33</v>
    <v>74.59</v>
    <v>77.010000000000005</v>
    <v>78.680000000000007</v>
    <v>78.959999999999994</v>
    <v>78.430000000000007</v>
    <v>78.319999999999993</v>
    <v>80.64</v>
    <v>83.11</v>
    <v>81.16</v>
    <v>82.36</v>
    <v>84.82</v>
    <v>86.78</v>
    <v>86.29</v>
    <v>85.54</v>
    <v>75</v>
    <v>76.849999999999994</v>
    <v>76.849999999999994</v>
    <v>78.180000000000007</v>
    <v>78.56</v>
    <v>79.2</v>
    <v>77.739999999999995</v>
    <v>78.14</v>
    <v>79.12</v>
    <v>78.099999999999994</v>
    <v>79.459999999999994</v>
    <v>79.42</v>
    <v>78.959999999999994</v>
    <v>80.87</v>
    <v>80.010000000000005</v>
    <v>78.64</v>
    <v>76.209999999999994</v>
    <v>77.7</v>
    <v>78.099999999999994</v>
    <v>77.739999999999995</v>
    <v>78.33</v>
    <v>78.900000000000006</v>
    <v>79.27</v>
    <v>77.599999999999994</v>
    <v>78.510000000000005</v>
    <v>77.650000000000006</v>
    <v>78.819999999999993</v>
    <v>80.86</v>
    <v>81.83</v>
    <v>82.16</v>
    <v>79.92</v>
    <v>77.040000000000006</v>
    <v>77.59</v>
    <v>77.930000000000007</v>
    <v>79.02</v>
    <v>80.435000000000002</v>
    <v>80.680000000000007</v>
    <v>83.7</v>
    <v>83.17</v>
    <v>82.22</v>
    <v>82.35</v>
    <v>82.61</v>
    <v>82.36</v>
    <v>84.5</v>
    <v>86.25</v>
    <v>87.71</v>
    <v>89.7</v>
    <v>89.8</v>
    <v>88.59</v>
    <v>89.01</v>
    <v>88.26</v>
    <v>86.86</v>
    <v>89.57</v>
    <v>91.5</v>
    <v>91.85</v>
    <v>92.63</v>
    <v>94.3</v>
    <v>91.64</v>
    <v>92.16</v>
    <v>96.57</v>
    <v>98.72</v>
    <v>99.29</v>
    <v>101.87</v>
    <v>115.53</v>
    <v>118.21</v>
    <v>118.88</v>
    <v>115.38</v>
    <v>114.35</v>
    <v>118.2</v>
    <v>120.41</v>
    <v>118.33</v>
    <v>119.67</v>
    <v>118.64</v>
    <v>120.42</v>
    <v>121.33</v>
    <v>128</v>
    <v>126.5</v>
    <v>130</v>
    <v>121.64</v>
    <v>124.15</v>
    <v>120.36</v>
    <v>118.8</v>
    <v>121.83</v>
    <v>121.1</v>
    <v>120.17</v>
    <v>119.57</v>
    <v>117.33</v>
    <v>119.54</v>
    <v>121.53</v>
    <v>121.15</v>
    <v>119.73</v>
    <v>118.97</v>
    <v>113.77</v>
    <v>117.7</v>
    <v>117.46</v>
    <v>117.01</v>
    <v>112.69</v>
    <v>113.98</v>
    <v>111.79</v>
    <v>113.82</v>
    <v>118.31</v>
    <v>121.31</v>
    <v>119.25</v>
    <v>117.09</v>
    <v>111.77</v>
    <v>109.66</v>
    <v>111.94</v>
    <v>110.7</v>
    <v>112.18</v>
    <v>112.21</v>
    <v>112.76</v>
    <v>114.17</v>
    <v>114.57</v>
    <v>115.58</v>
    <v>112.48</v>
    <v>113.56</v>
    <v>115.99</v>
    <v>115.86</v>
    <v>121.74</v>
    <v>121.5</v>
    <v>120.88</v>
    <v>121.43</v>
    <v>122.57</v>
    <v>120.43</v>
    <v>123.88</v>
    <v>113.47</v>
    <v>111.68</v>
    <v>112.9</v>
    <v>111.61</v>
    <v>110.55</v>
    <v>109.59</v>
    <v>111.04</v>
    <v>110.23</v>
    <v>111.11</v>
    <v>112.36</v>
    <v>112.15</v>
    <v>109.93</v>
    <v>110.49</v>
    <v>109.74</v>
    <v>109.455</v>
    <v>108.61</v>
    <v>109.2</v>
    <v>109.17</v>
    <v>109.43</v>
    <v>107.44</v>
    <v>112.13</v>
    <v>110.06</v>
    <v>110.07</v>
    <v>107.74</v>
    <v>110.24</v>
    <v>109.51</v>
    <v>111.46</v>
    <v>106.44</v>
    <v>106.43</v>
    <v>106.97</v>
    <v>106.7</v>
    <v>106.74</v>
    <v>106.94</v>
    <v>107.63</v>
    <v>108.76</v>
    <v>112.2</v>
    <v>112.82</v>
    <v>117.94</v>
    <v>117.39</v>
    <v>114.89</v>
    <v>118.39</v>
    <v>115.34</v>
    <v>115.07</v>
    <v>113.64</v>
    <v>109.85</v>
    <v>107.39</v>
    <v>106.5</v>
    <v>106.71</v>
    <v>107.26</v>
    <v>104.89</v>
    <v>106.5</v>
  </a>
  <a r="1" c="209">
    <v>645</v>
    <v>641.79999999999995</v>
    <v>642.79999999999995</v>
    <v>644.4</v>
    <v>629.29999999999995</v>
    <v>634.5</v>
    <v>652.1</v>
    <v>648.29999999999995</v>
    <v>646.6</v>
    <v>637.9</v>
    <v>625.70000000000005</v>
    <v>609.20000000000005</v>
    <v>582.79999999999995</v>
    <v>570</v>
    <v>585.20000000000005</v>
    <v>595.70000000000005</v>
    <v>591.4</v>
    <v>588</v>
    <v>589.29999999999995</v>
    <v>542.79999999999995</v>
    <v>542.4</v>
    <v>546.9</v>
    <v>538.29999999999995</v>
    <v>529</v>
    <v>536.1</v>
    <v>538.20000000000005</v>
    <v>536.20000000000005</v>
    <v>535.4</v>
    <v>537.70000000000005</v>
    <v>525.1</v>
    <v>524.5</v>
    <v>514.20000000000005</v>
    <v>518.29999999999995</v>
    <v>527.70000000000005</v>
    <v>533.9</v>
    <v>531.5</v>
    <v>554.70000000000005</v>
    <v>558</v>
    <v>561.79999999999995</v>
    <v>553</v>
    <v>551.6</v>
    <v>544.1</v>
    <v>520.5</v>
    <v>502.2</v>
    <v>507.4</v>
    <v>505.8</v>
    <v>502.2</v>
    <v>497.7</v>
    <v>504.5</v>
    <v>500.3</v>
    <v>495</v>
    <v>473.7</v>
    <v>479</v>
    <v>472.25</v>
    <v>468.55</v>
    <v>460.25</v>
    <v>457.95</v>
    <v>466.6</v>
    <v>460.75</v>
    <v>462.35</v>
    <v>458.3</v>
    <v>455.75</v>
    <v>463.65</v>
    <v>463.1</v>
    <v>471.1</v>
    <v>471.05</v>
    <v>466.85</v>
    <v>498.85</v>
    <v>483.95</v>
    <v>483.3</v>
    <v>481.75</v>
    <v>481.45</v>
    <v>481.9</v>
    <v>484.05</v>
    <v>499.4</v>
    <v>490.55</v>
    <v>486</v>
    <v>474.3</v>
    <v>475.2</v>
    <v>471.65</v>
    <v>467.45</v>
    <v>454.75</v>
    <v>448.45</v>
    <v>451.4</v>
    <v>444.95</v>
    <v>450.95</v>
    <v>474</v>
    <v>478.3</v>
    <v>472.7</v>
    <v>452</v>
    <v>453.05</v>
    <v>452.3</v>
    <v>460.85</v>
    <v>455.6</v>
    <v>456.25</v>
    <v>462</v>
    <v>473.8</v>
    <v>473.55</v>
    <v>472.6</v>
    <v>477.9</v>
    <v>469.2</v>
    <v>483.95</v>
    <v>480.95</v>
    <v>473.05</v>
    <v>469.8</v>
    <v>475</v>
    <v>460.85</v>
    <v>474.1</v>
    <v>479.05</v>
    <v>482.45</v>
    <v>492.3</v>
    <v>487.65</v>
    <v>493.2</v>
    <v>510.6</v>
    <v>512.6</v>
    <v>520.29999999999995</v>
    <v>511</v>
    <v>505.1</v>
    <v>499.25</v>
    <v>481.35</v>
    <v>483.7</v>
    <v>493</v>
    <v>494.4</v>
    <v>495.75</v>
    <v>492.3</v>
    <v>484.1</v>
    <v>481</v>
    <v>497.95</v>
    <v>495.7</v>
    <v>491.4</v>
    <v>495.8</v>
    <v>484.9</v>
    <v>492.95</v>
    <v>489.9</v>
    <v>491.5</v>
    <v>482.95</v>
    <v>495.8</v>
    <v>503.1</v>
    <v>495.1</v>
    <v>486.85</v>
    <v>478.55</v>
    <v>474</v>
    <v>453.55</v>
    <v>461.7</v>
    <v>466.8</v>
    <v>470.3</v>
    <v>467.95</v>
    <v>473.3</v>
    <v>475.15</v>
    <v>486.9</v>
    <v>485</v>
    <v>479.7</v>
    <v>481.45</v>
    <v>480</v>
    <v>482.45</v>
    <v>478.8</v>
    <v>464.95</v>
    <v>460</v>
    <v>458.4</v>
    <v>446</v>
    <v>447.75</v>
    <v>456</v>
    <v>443.1</v>
    <v>452.5</v>
    <v>459.35</v>
    <v>450.7</v>
    <v>453.8</v>
    <v>447.4</v>
    <v>458.15</v>
    <v>453.3</v>
    <v>445</v>
    <v>439</v>
    <v>431.05</v>
    <v>429.1</v>
    <v>431.2</v>
    <v>426.55</v>
    <v>411.25</v>
    <v>406.5</v>
    <v>415.3</v>
    <v>417.45</v>
    <v>406.45</v>
    <v>410.95</v>
    <v>412.3</v>
    <v>402.8</v>
    <v>405.5</v>
    <v>401.95</v>
    <v>396.9</v>
    <v>397.1</v>
    <v>396.85</v>
    <v>398.8</v>
    <v>394.6</v>
    <v>390</v>
    <v>379.5</v>
    <v>378.55</v>
    <v>380.9</v>
    <v>385.6</v>
    <v>388.45</v>
    <v>380.9</v>
    <v>380</v>
    <v>384.5</v>
    <v>384.05</v>
    <v>389.55</v>
    <v>398.3</v>
    <v>397</v>
    <v>390</v>
    <v>386.75</v>
    <v>388.6</v>
    <v>387.8</v>
    <v>383</v>
  </a>
  <a r="1" c="767">
    <v>669.4</v>
    <v>681</v>
    <v>679.1</v>
    <v>668.4</v>
    <v>661.4</v>
    <v>671</v>
    <v>674.5</v>
    <v>675.3</v>
    <v>701.1</v>
    <v>702.8</v>
    <v>697.2</v>
    <v>697.5</v>
    <v>703.5</v>
    <v>714.4</v>
    <v>687.1</v>
    <v>688.5</v>
    <v>706.9</v>
    <v>719</v>
    <v>706.1</v>
    <v>711.6</v>
    <v>717.7</v>
    <v>704.1</v>
    <v>712.3</v>
    <v>711.6</v>
    <v>706.9</v>
    <v>697.3</v>
    <v>684.5</v>
    <v>690.5</v>
    <v>702.7</v>
    <v>699.2</v>
    <v>698.7</v>
    <v>713.2</v>
    <v>718.6</v>
    <v>715.6</v>
    <v>739.1</v>
    <v>740</v>
    <v>733.6</v>
    <v>734.5</v>
    <v>746.8</v>
    <v>748.4</v>
    <v>741.8</v>
    <v>745.5</v>
    <v>746.9</v>
    <v>743.4</v>
    <v>737.7</v>
    <v>735.4</v>
    <v>731</v>
    <v>733.6</v>
    <v>723</v>
    <v>695.4</v>
    <v>697.8</v>
    <v>688.9</v>
    <v>691.3</v>
    <v>680.7</v>
    <v>683</v>
    <v>672.2</v>
    <v>669.9</v>
    <v>669.2</v>
    <v>666.3</v>
    <v>647.4</v>
    <v>663.4</v>
    <v>659.4</v>
    <v>662.9</v>
    <v>670.4</v>
    <v>683.4</v>
    <v>685.3</v>
    <v>773.1</v>
    <v>776.3</v>
    <v>782</v>
    <v>773.6</v>
    <v>770.6</v>
    <v>778.1</v>
    <v>780.7</v>
    <v>779.5</v>
    <v>784.1</v>
    <v>804.5</v>
    <v>807.5</v>
    <v>821.9</v>
    <v>800.8</v>
    <v>802.6</v>
    <v>815.6</v>
    <v>815.8</v>
    <v>821.9</v>
    <v>820.2</v>
    <v>821.6</v>
    <v>840.4</v>
    <v>850.1</v>
    <v>842.2</v>
    <v>850.4</v>
    <v>847.7</v>
    <v>842.8</v>
    <v>846.4</v>
    <v>839.8</v>
    <v>829.1</v>
    <v>832.6</v>
    <v>839.8</v>
    <v>844.9</v>
    <v>850.4</v>
    <v>859</v>
    <v>867.2</v>
    <v>872.8</v>
    <v>862.3</v>
    <v>858.1</v>
    <v>860.2</v>
    <v>846.2</v>
    <v>847.9</v>
    <v>828.6</v>
    <v>825.5</v>
    <v>821.8</v>
    <v>830.3</v>
    <v>833.7</v>
    <v>821.8</v>
    <v>816</v>
    <v>819.4</v>
    <v>799.8</v>
    <v>807.3</v>
    <v>795.2</v>
    <v>793</v>
    <v>790.5</v>
    <v>781.2</v>
    <v>794.8</v>
    <v>781.8</v>
    <v>804</v>
    <v>796.8</v>
    <v>796.6</v>
    <v>796.8</v>
    <v>799.6</v>
    <v>800.2</v>
    <v>778</v>
    <v>792.2</v>
    <v>779.2</v>
    <v>774.4</v>
    <v>767</v>
    <v>782</v>
    <v>781.7</v>
    <v>789.4</v>
    <v>787.9</v>
    <v>789</v>
    <v>788.4</v>
    <v>782.6</v>
    <v>791.9</v>
    <v>789</v>
    <v>786</v>
    <v>783.2</v>
    <v>779.1</v>
    <v>768.1</v>
    <v>751.9</v>
    <v>752.8</v>
    <v>750</v>
    <v>756.2</v>
    <v>745.4</v>
    <v>724.2</v>
    <v>734.4</v>
    <v>734.9</v>
    <v>738</v>
    <v>735</v>
    <v>752.6</v>
    <v>762.7</v>
    <v>762.5</v>
    <v>746.3</v>
    <v>736.6</v>
    <v>735.4</v>
    <v>731.5</v>
    <v>711.4</v>
    <v>717.4</v>
    <v>710.1</v>
    <v>707</v>
    <v>713.6</v>
    <v>717.3</v>
    <v>726.5</v>
    <v>736.8</v>
    <v>727</v>
    <v>715.5</v>
    <v>713.6</v>
    <v>712</v>
    <v>709.6</v>
    <v>714.8</v>
    <v>719.8</v>
    <v>716.4</v>
    <v>695.7</v>
    <v>686.9</v>
    <v>697.6</v>
    <v>710</v>
    <v>724.8</v>
    <v>705.6</v>
    <v>692.1</v>
    <v>690.2</v>
    <v>690.3</v>
    <v>679.8</v>
    <v>692.1</v>
    <v>691.6</v>
    <v>659.4</v>
    <v>652.6</v>
    <v>663.1</v>
    <v>654.70000000000005</v>
    <v>652.4</v>
    <v>653</v>
    <v>642</v>
    <v>630.5</v>
    <v>624.29999999999995</v>
    <v>621.9</v>
    <v>631.4</v>
    <v>633.29999999999995</v>
    <v>636</v>
    <v>635.1</v>
    <v>634.20000000000005</v>
    <v>644.20000000000005</v>
    <v>656</v>
    <v>658.1</v>
    <v>674.5</v>
    <v>677.8</v>
    <v>678.8</v>
    <v>678</v>
    <v>681.1</v>
    <v>682</v>
    <v>669.8</v>
    <v>666.2</v>
    <v>677.4</v>
    <v>674.3</v>
    <v>673.2</v>
    <v>670.9</v>
    <v>642.6</v>
    <v>619.20000000000005</v>
    <v>612</v>
    <v>616.20000000000005</v>
    <v>612.4</v>
    <v>607</v>
    <v>606.79999999999995</v>
    <v>608.1</v>
    <v>603.6</v>
    <v>607.70000000000005</v>
    <v>595.9</v>
    <v>614</v>
    <v>591.9</v>
    <v>595.1</v>
    <v>614.1</v>
    <v>617.5</v>
    <v>678.5</v>
    <v>703.4</v>
    <v>688.5</v>
    <v>664</v>
    <v>668.4</v>
    <v>661</v>
    <v>661.9</v>
    <v>679.8</v>
    <v>655.5</v>
    <v>656.4</v>
    <v>655</v>
    <v>653.1</v>
    <v>637.79999999999995</v>
    <v>625.4</v>
    <v>602.4</v>
    <v>609.4</v>
    <v>623.20000000000005</v>
    <v>611</v>
    <v>616</v>
    <v>613.6</v>
    <v>628.70000000000005</v>
    <v>627</v>
    <v>632.1</v>
    <v>630.9</v>
    <v>618.1</v>
    <v>609.79999999999995</v>
    <v>611</v>
    <v>606.70000000000005</v>
    <v>602.6</v>
    <v>603.1</v>
    <v>619</v>
    <v>598.4</v>
    <v>599.5</v>
    <v>572.4</v>
    <v>574</v>
    <v>584.4</v>
    <v>586.29999999999995</v>
    <v>588.6</v>
    <v>577.29999999999995</v>
    <v>575.4</v>
    <v>574.9</v>
    <v>583</v>
    <v>592.5</v>
    <v>596</v>
    <v>590.1</v>
    <v>586.5</v>
    <v>592.5</v>
    <v>606.1</v>
    <v>609.20000000000005</v>
    <v>610.20000000000005</v>
    <v>609.20000000000005</v>
    <v>630.4</v>
    <v>652.6</v>
    <v>636</v>
    <v>643.79999999999995</v>
    <v>646</v>
    <v>639</v>
    <v>631.20000000000005</v>
    <v>635.6</v>
    <v>636.5</v>
    <v>627.5</v>
    <v>628.1</v>
    <v>629.20000000000005</v>
    <v>630.79999999999995</v>
    <v>635.6</v>
    <v>629.29999999999995</v>
    <v>635.5</v>
    <v>635.4</v>
    <v>611.29999999999995</v>
    <v>634.6</v>
    <v>644.5</v>
    <v>635.70000000000005</v>
    <v>648</v>
    <v>645</v>
    <v>646.4</v>
    <v>651</v>
    <v>637.20000000000005</v>
    <v>695.5</v>
    <v>690.1</v>
    <v>683.1</v>
    <v>701.3</v>
    <v>713.8</v>
    <v>720.6</v>
    <v>734.1</v>
    <v>754.8</v>
    <v>750.6</v>
    <v>713.2</v>
    <v>715.8</v>
    <v>703.5</v>
    <v>690.1</v>
    <v>692.7</v>
    <v>686</v>
    <v>696.9</v>
    <v>684.2</v>
    <v>685.3</v>
    <v>685.2</v>
    <v>687.8</v>
    <v>707.2</v>
    <v>713</v>
    <v>701.5</v>
    <v>705.1</v>
    <v>690.9</v>
    <v>695.5</v>
    <v>702.4</v>
    <v>692.1</v>
    <v>684.2</v>
    <v>700.3</v>
    <v>693.1</v>
    <v>694.9</v>
    <v>690.8</v>
    <v>667.4</v>
    <v>664.3</v>
    <v>653</v>
    <v>634.70000000000005</v>
    <v>630.29999999999995</v>
    <v>620.79999999999995</v>
    <v>611.79999999999995</v>
    <v>605</v>
    <v>605.1</v>
    <v>609.70000000000005</v>
    <v>610</v>
    <v>610.6</v>
    <v>604.5</v>
    <v>602.5</v>
    <v>596.29999999999995</v>
    <v>598.29999999999995</v>
    <v>594.5</v>
    <v>589.1</v>
    <v>587.1</v>
    <v>571.70000000000005</v>
    <v>575.1</v>
    <v>575.20000000000005</v>
    <v>542.9</v>
    <v>530</v>
    <v>507.6</v>
    <v>519.79999999999995</v>
    <v>498.4</v>
    <v>524.20000000000005</v>
    <v>524.4</v>
    <v>530.1</v>
    <v>488.65</v>
    <v>485.2</v>
    <v>485.6</v>
    <v>487.3</v>
    <v>500.3</v>
    <v>499.7</v>
    <v>498.8</v>
    <v>502</v>
    <v>489.3</v>
    <v>487.9</v>
    <v>495.85</v>
    <v>492.25</v>
    <v>489.1</v>
    <v>483.5</v>
    <v>487.3</v>
    <v>495.75</v>
    <v>530.5</v>
    <v>536.9</v>
    <v>525.20000000000005</v>
    <v>507.3</v>
    <v>503.9</v>
    <v>498.6</v>
    <v>504.9</v>
    <v>493.65</v>
    <v>485.1</v>
    <v>479</v>
    <v>483.45</v>
    <v>481.9</v>
    <v>483.65</v>
    <v>481.25</v>
    <v>478.25</v>
    <v>477.2</v>
    <v>473.6</v>
    <v>476.65</v>
    <v>470.1</v>
    <v>471.25</v>
    <v>471.55</v>
    <v>474.85</v>
    <v>470.6</v>
    <v>468.85</v>
    <v>461.4</v>
    <v>467.35</v>
    <v>460.7</v>
    <v>464.05</v>
    <v>452.55</v>
    <v>449.95</v>
    <v>449.8</v>
    <v>453.55</v>
    <v>444.8</v>
    <v>437.55</v>
    <v>449.3</v>
    <v>444.6</v>
    <v>469.05</v>
    <v>488.5</v>
    <v>485.9</v>
    <v>477.35</v>
    <v>475.35</v>
    <v>482.65</v>
    <v>487.85</v>
    <v>505</v>
    <v>487.7</v>
    <v>479.55</v>
    <v>477.35</v>
    <v>475.6</v>
    <v>476.85</v>
    <v>472.75</v>
    <v>468.8</v>
    <v>465.55</v>
    <v>479.95</v>
    <v>470.25</v>
    <v>488.7</v>
    <v>489.2</v>
    <v>474.8</v>
    <v>480.75</v>
    <v>472.35</v>
    <v>461.65</v>
    <v>462.3</v>
    <v>456.5</v>
    <v>457.7</v>
    <v>461.1</v>
    <v>461.35</v>
    <v>458</v>
    <v>457.15</v>
    <v>469.6</v>
    <v>472.9</v>
    <v>476.1</v>
    <v>475.85</v>
    <v>489.9</v>
    <v>493.55</v>
    <v>485</v>
    <v>495.1</v>
    <v>488.05</v>
    <v>486.25</v>
    <v>502</v>
    <v>513.1</v>
    <v>504.1</v>
    <v>503.7</v>
    <v>513</v>
    <v>520.79999999999995</v>
    <v>499.1</v>
    <v>496.25</v>
    <v>496.15</v>
    <v>492</v>
    <v>489.75</v>
    <v>487.35</v>
    <v>490.65</v>
    <v>504.2</v>
    <v>507.7</v>
    <v>511.3</v>
    <v>517.6</v>
    <v>510.6</v>
    <v>507</v>
    <v>523.20000000000005</v>
    <v>509.1</v>
    <v>506.8</v>
    <v>515.70000000000005</v>
    <v>523.1</v>
    <v>520.5</v>
    <v>524</v>
    <v>542.9</v>
    <v>553.1</v>
    <v>540.4</v>
    <v>560</v>
    <v>575.5</v>
    <v>559.20000000000005</v>
    <v>546</v>
    <v>540.4</v>
    <v>532.79999999999995</v>
    <v>597.9</v>
    <v>602.20000000000005</v>
    <v>605.70000000000005</v>
    <v>612.1</v>
    <v>616.79999999999995</v>
    <v>623.20000000000005</v>
    <v>620.79999999999995</v>
    <v>612.5</v>
    <v>611.5</v>
    <v>614.6</v>
    <v>618.79999999999995</v>
    <v>610.1</v>
    <v>612.1</v>
    <v>616.79999999999995</v>
    <v>611.20000000000005</v>
    <v>612.79999999999995</v>
    <v>600</v>
    <v>603.20000000000005</v>
    <v>617.9</v>
    <v>632.9</v>
    <v>647.20000000000005</v>
    <v>636.79999999999995</v>
    <v>637</v>
    <v>624</v>
    <v>611.29999999999995</v>
    <v>609.6</v>
    <v>619.6</v>
    <v>623</v>
    <v>621.70000000000005</v>
    <v>619.29999999999995</v>
    <v>625.4</v>
    <v>627.4</v>
    <v>635.5</v>
    <v>642.70000000000005</v>
    <v>636.20000000000005</v>
    <v>630.29999999999995</v>
    <v>633.1</v>
    <v>628.1</v>
    <v>625.20000000000005</v>
    <v>616.29999999999995</v>
    <v>618.79999999999995</v>
    <v>625.20000000000005</v>
    <v>624.5</v>
    <v>626.1</v>
    <v>636.5</v>
    <v>631.70000000000005</v>
    <v>637.4</v>
    <v>631.70000000000005</v>
    <v>627.70000000000005</v>
    <v>627.29999999999995</v>
    <v>632.1</v>
    <v>633.20000000000005</v>
    <v>639.29999999999995</v>
    <v>645</v>
    <v>641.79999999999995</v>
    <v>642.79999999999995</v>
    <v>644.4</v>
    <v>629.29999999999995</v>
    <v>634.5</v>
    <v>652.1</v>
    <v>648.29999999999995</v>
    <v>646.6</v>
    <v>637.9</v>
    <v>625.70000000000005</v>
    <v>609.20000000000005</v>
    <v>582.79999999999995</v>
    <v>570</v>
    <v>585.20000000000005</v>
    <v>595.70000000000005</v>
    <v>591.4</v>
    <v>588</v>
    <v>589.29999999999995</v>
    <v>542.79999999999995</v>
    <v>542.4</v>
    <v>546.9</v>
    <v>538.29999999999995</v>
    <v>529</v>
    <v>536.1</v>
    <v>538.20000000000005</v>
    <v>536.20000000000005</v>
    <v>535.4</v>
    <v>537.70000000000005</v>
    <v>525.1</v>
    <v>524.5</v>
    <v>514.20000000000005</v>
    <v>518.29999999999995</v>
    <v>527.70000000000005</v>
    <v>533.9</v>
    <v>531.5</v>
    <v>554.70000000000005</v>
    <v>558</v>
    <v>561.79999999999995</v>
    <v>553</v>
    <v>551.6</v>
    <v>544.1</v>
    <v>520.5</v>
    <v>502.2</v>
    <v>507.4</v>
    <v>505.8</v>
    <v>502.2</v>
    <v>497.7</v>
    <v>504.5</v>
    <v>500.3</v>
    <v>495</v>
    <v>473.7</v>
    <v>479</v>
    <v>472.25</v>
    <v>468.55</v>
    <v>460.25</v>
    <v>457.95</v>
    <v>466.6</v>
    <v>460.75</v>
    <v>462.35</v>
    <v>458.3</v>
    <v>455.75</v>
    <v>463.65</v>
    <v>463.1</v>
    <v>471.1</v>
    <v>471.05</v>
    <v>466.85</v>
    <v>498.85</v>
    <v>483.95</v>
    <v>483.3</v>
    <v>481.75</v>
    <v>481.45</v>
    <v>481.9</v>
    <v>484.05</v>
    <v>499.4</v>
    <v>490.55</v>
    <v>486</v>
    <v>474.3</v>
    <v>475.2</v>
    <v>471.65</v>
    <v>467.45</v>
    <v>454.75</v>
    <v>448.45</v>
    <v>451.4</v>
    <v>444.95</v>
    <v>450.95</v>
    <v>474</v>
    <v>478.3</v>
    <v>472.7</v>
    <v>452</v>
    <v>453.05</v>
    <v>452.3</v>
    <v>460.85</v>
    <v>455.6</v>
    <v>456.25</v>
    <v>462</v>
    <v>473.8</v>
    <v>473.55</v>
    <v>472.6</v>
    <v>477.9</v>
    <v>469.2</v>
    <v>483.95</v>
    <v>480.95</v>
    <v>473.05</v>
    <v>469.8</v>
    <v>475</v>
    <v>460.85</v>
    <v>474.1</v>
    <v>479.05</v>
    <v>482.45</v>
    <v>492.3</v>
    <v>487.65</v>
    <v>493.2</v>
    <v>510.6</v>
    <v>512.6</v>
    <v>520.29999999999995</v>
    <v>511</v>
    <v>505.1</v>
    <v>499.25</v>
    <v>481.35</v>
    <v>483.7</v>
    <v>493</v>
    <v>494.4</v>
    <v>495.75</v>
    <v>492.3</v>
    <v>484.1</v>
    <v>481</v>
    <v>497.95</v>
    <v>495.7</v>
    <v>491.4</v>
    <v>495.8</v>
    <v>484.9</v>
    <v>492.95</v>
    <v>489.9</v>
    <v>491.5</v>
    <v>482.95</v>
    <v>495.8</v>
    <v>503.1</v>
    <v>495.1</v>
    <v>486.85</v>
    <v>478.55</v>
    <v>474</v>
    <v>453.55</v>
    <v>461.7</v>
    <v>466.8</v>
    <v>470.3</v>
    <v>467.95</v>
    <v>473.3</v>
    <v>475.15</v>
    <v>486.9</v>
    <v>485</v>
    <v>479.7</v>
    <v>481.45</v>
    <v>480</v>
    <v>482.45</v>
    <v>478.8</v>
    <v>464.95</v>
    <v>460</v>
    <v>458.4</v>
    <v>446</v>
    <v>447.75</v>
    <v>456</v>
    <v>443.1</v>
    <v>452.5</v>
    <v>459.35</v>
    <v>450.7</v>
    <v>453.8</v>
    <v>447.4</v>
    <v>458.15</v>
    <v>453.3</v>
    <v>445</v>
    <v>439</v>
    <v>431.05</v>
    <v>429.1</v>
    <v>431.2</v>
    <v>426.55</v>
    <v>411.25</v>
    <v>406.5</v>
    <v>415.3</v>
    <v>417.45</v>
    <v>406.45</v>
    <v>410.95</v>
    <v>412.3</v>
    <v>402.8</v>
    <v>405.5</v>
    <v>401.95</v>
    <v>396.9</v>
    <v>397.1</v>
    <v>396.85</v>
    <v>398.8</v>
    <v>394.6</v>
    <v>390</v>
    <v>379.5</v>
    <v>378.55</v>
    <v>380.9</v>
    <v>385.6</v>
    <v>388.45</v>
    <v>380.9</v>
    <v>380</v>
    <v>384.5</v>
    <v>384.05</v>
    <v>389.55</v>
    <v>398.3</v>
    <v>397</v>
    <v>390</v>
    <v>386.75</v>
    <v>388.6</v>
    <v>387.8</v>
    <v>383</v>
  </a>
  <a r="1" c="256">
    <v>620.79999999999995</v>
    <v>612.5</v>
    <v>611.5</v>
    <v>614.6</v>
    <v>618.79999999999995</v>
    <v>610.1</v>
    <v>612.1</v>
    <v>616.79999999999995</v>
    <v>611.20000000000005</v>
    <v>612.79999999999995</v>
    <v>600</v>
    <v>603.20000000000005</v>
    <v>617.9</v>
    <v>632.9</v>
    <v>647.20000000000005</v>
    <v>636.79999999999995</v>
    <v>637</v>
    <v>624</v>
    <v>611.29999999999995</v>
    <v>609.6</v>
    <v>619.6</v>
    <v>623</v>
    <v>621.70000000000005</v>
    <v>619.29999999999995</v>
    <v>625.4</v>
    <v>627.4</v>
    <v>635.5</v>
    <v>642.70000000000005</v>
    <v>636.20000000000005</v>
    <v>630.29999999999995</v>
    <v>633.1</v>
    <v>628.1</v>
    <v>625.20000000000005</v>
    <v>616.29999999999995</v>
    <v>618.79999999999995</v>
    <v>625.20000000000005</v>
    <v>624.5</v>
    <v>626.1</v>
    <v>636.5</v>
    <v>631.70000000000005</v>
    <v>637.4</v>
    <v>631.70000000000005</v>
    <v>627.70000000000005</v>
    <v>627.29999999999995</v>
    <v>632.1</v>
    <v>633.20000000000005</v>
    <v>639.29999999999995</v>
    <v>645</v>
    <v>641.79999999999995</v>
    <v>642.79999999999995</v>
    <v>644.4</v>
    <v>629.29999999999995</v>
    <v>634.5</v>
    <v>652.1</v>
    <v>648.29999999999995</v>
    <v>646.6</v>
    <v>637.9</v>
    <v>625.70000000000005</v>
    <v>609.20000000000005</v>
    <v>582.79999999999995</v>
    <v>570</v>
    <v>585.20000000000005</v>
    <v>595.70000000000005</v>
    <v>591.4</v>
    <v>588</v>
    <v>589.29999999999995</v>
    <v>542.79999999999995</v>
    <v>542.4</v>
    <v>546.9</v>
    <v>538.29999999999995</v>
    <v>529</v>
    <v>536.1</v>
    <v>538.20000000000005</v>
    <v>536.20000000000005</v>
    <v>535.4</v>
    <v>537.70000000000005</v>
    <v>525.1</v>
    <v>524.5</v>
    <v>514.20000000000005</v>
    <v>518.29999999999995</v>
    <v>527.70000000000005</v>
    <v>533.9</v>
    <v>531.5</v>
    <v>554.70000000000005</v>
    <v>558</v>
    <v>561.79999999999995</v>
    <v>553</v>
    <v>551.6</v>
    <v>544.1</v>
    <v>520.5</v>
    <v>502.2</v>
    <v>507.4</v>
    <v>505.8</v>
    <v>502.2</v>
    <v>497.7</v>
    <v>504.5</v>
    <v>500.3</v>
    <v>495</v>
    <v>473.7</v>
    <v>479</v>
    <v>472.25</v>
    <v>468.55</v>
    <v>460.25</v>
    <v>457.95</v>
    <v>466.6</v>
    <v>460.75</v>
    <v>462.35</v>
    <v>458.3</v>
    <v>455.75</v>
    <v>463.65</v>
    <v>463.1</v>
    <v>471.1</v>
    <v>471.05</v>
    <v>466.85</v>
    <v>498.85</v>
    <v>483.95</v>
    <v>483.3</v>
    <v>481.75</v>
    <v>481.45</v>
    <v>481.9</v>
    <v>484.05</v>
    <v>499.4</v>
    <v>490.55</v>
    <v>486</v>
    <v>474.3</v>
    <v>475.2</v>
    <v>471.65</v>
    <v>467.45</v>
    <v>454.75</v>
    <v>448.45</v>
    <v>451.4</v>
    <v>444.95</v>
    <v>450.95</v>
    <v>474</v>
    <v>478.3</v>
    <v>472.7</v>
    <v>452</v>
    <v>453.05</v>
    <v>452.3</v>
    <v>460.85</v>
    <v>455.6</v>
    <v>456.25</v>
    <v>462</v>
    <v>473.8</v>
    <v>473.55</v>
    <v>472.6</v>
    <v>477.9</v>
    <v>469.2</v>
    <v>483.95</v>
    <v>480.95</v>
    <v>473.05</v>
    <v>469.8</v>
    <v>475</v>
    <v>460.85</v>
    <v>474.1</v>
    <v>479.05</v>
    <v>482.45</v>
    <v>492.3</v>
    <v>487.65</v>
    <v>493.2</v>
    <v>510.6</v>
    <v>512.6</v>
    <v>520.29999999999995</v>
    <v>511</v>
    <v>505.1</v>
    <v>499.25</v>
    <v>481.35</v>
    <v>483.7</v>
    <v>493</v>
    <v>494.4</v>
    <v>495.75</v>
    <v>492.3</v>
    <v>484.1</v>
    <v>481</v>
    <v>497.95</v>
    <v>495.7</v>
    <v>491.4</v>
    <v>495.8</v>
    <v>484.9</v>
    <v>492.95</v>
    <v>489.9</v>
    <v>491.5</v>
    <v>482.95</v>
    <v>495.8</v>
    <v>503.1</v>
    <v>495.1</v>
    <v>486.85</v>
    <v>478.55</v>
    <v>474</v>
    <v>453.55</v>
    <v>461.7</v>
    <v>466.8</v>
    <v>470.3</v>
    <v>467.95</v>
    <v>473.3</v>
    <v>475.15</v>
    <v>486.9</v>
    <v>485</v>
    <v>479.7</v>
    <v>481.45</v>
    <v>480</v>
    <v>482.45</v>
    <v>478.8</v>
    <v>464.95</v>
    <v>460</v>
    <v>458.4</v>
    <v>446</v>
    <v>447.75</v>
    <v>456</v>
    <v>443.1</v>
    <v>452.5</v>
    <v>459.35</v>
    <v>450.7</v>
    <v>453.8</v>
    <v>447.4</v>
    <v>458.15</v>
    <v>453.3</v>
    <v>445</v>
    <v>439</v>
    <v>431.05</v>
    <v>429.1</v>
    <v>431.2</v>
    <v>426.55</v>
    <v>411.25</v>
    <v>406.5</v>
    <v>415.3</v>
    <v>417.45</v>
    <v>406.45</v>
    <v>410.95</v>
    <v>412.3</v>
    <v>402.8</v>
    <v>405.5</v>
    <v>401.95</v>
    <v>396.9</v>
    <v>397.1</v>
    <v>396.85</v>
    <v>398.8</v>
    <v>394.6</v>
    <v>390</v>
    <v>379.5</v>
    <v>378.55</v>
    <v>380.9</v>
    <v>385.6</v>
    <v>388.45</v>
    <v>380.9</v>
    <v>380</v>
    <v>384.5</v>
    <v>384.05</v>
    <v>389.55</v>
    <v>398.3</v>
    <v>397</v>
    <v>390</v>
    <v>386.75</v>
    <v>388.6</v>
    <v>387.8</v>
    <v>383</v>
  </a>
  <a r="1" c="205">
    <v>8.98</v>
    <v>9.91</v>
    <v>10.59</v>
    <v>10.31</v>
    <v>10.08</v>
    <v>10.44</v>
    <v>10.220000000000001</v>
    <v>10.65</v>
    <v>10.95</v>
    <v>11.11</v>
    <v>10.66</v>
    <v>11.36</v>
    <v>10.37</v>
    <v>10.56</v>
    <v>10.29</v>
    <v>10.5</v>
    <v>9.98</v>
    <v>10.52</v>
    <v>10.37</v>
    <v>9.86</v>
    <v>9.5</v>
    <v>9.1199999999999992</v>
    <v>9.0500000000000007</v>
    <v>8.2799999999999994</v>
    <v>6.73</v>
    <v>8.24</v>
    <v>8.06</v>
    <v>7.66</v>
    <v>7.56</v>
    <v>7.25</v>
    <v>7.92</v>
    <v>7.51</v>
    <v>7.5</v>
    <v>7.96</v>
    <v>7.97</v>
    <v>7.875</v>
    <v>8.0500000000000007</v>
    <v>8.57</v>
    <v>8.4499999999999993</v>
    <v>8.94</v>
    <v>9.4499999999999993</v>
    <v>8.66</v>
    <v>9.2899999999999991</v>
    <v>8.77</v>
    <v>8.01</v>
    <v>8.66</v>
    <v>8.57</v>
    <v>8.5500000000000007</v>
    <v>8.76</v>
    <v>9.32</v>
    <v>9.23</v>
    <v>9.24</v>
    <v>8.92</v>
    <v>9.2200000000000006</v>
    <v>8.4600000000000009</v>
    <v>8.91</v>
    <v>8.25</v>
    <v>8.2799999999999994</v>
    <v>8.58</v>
    <v>8.02</v>
    <v>7.7949999999999999</v>
    <v>8.16</v>
    <v>8.0399999999999991</v>
    <v>8.7100000000000009</v>
    <v>8.85</v>
    <v>8.9600000000000009</v>
    <v>9.5</v>
    <v>9.67</v>
    <v>9.5399999999999991</v>
    <v>10.36</v>
    <v>10.49</v>
    <v>10.47</v>
    <v>11.55</v>
    <v>11.6</v>
    <v>11.63</v>
    <v>11.23</v>
    <v>11.84</v>
    <v>11.8</v>
    <v>11.64</v>
    <v>11.18</v>
    <v>11.02</v>
    <v>10.72</v>
    <v>11.99</v>
    <v>11.46</v>
    <v>11.83</v>
    <v>12.16</v>
    <v>13.03</v>
    <v>12.7</v>
    <v>12.94</v>
    <v>13.39</v>
    <v>12.72</v>
    <v>12.75</v>
    <v>13.29</v>
    <v>12.44</v>
    <v>12.18</v>
    <v>12.44</v>
    <v>13.15</v>
    <v>13.55</v>
    <v>13.81</v>
    <v>14.28</v>
    <v>14.33</v>
    <v>14.07</v>
    <v>14.38</v>
    <v>14.85</v>
    <v>14.28</v>
    <v>13.96</v>
    <v>13.88</v>
    <v>12.32</v>
    <v>13.78</v>
    <v>13.31</v>
    <v>12.62</v>
    <v>13.61</v>
    <v>14.08</v>
    <v>14.64</v>
    <v>14.42</v>
    <v>13.92</v>
    <v>14.22</v>
    <v>14.85</v>
    <v>14.7</v>
    <v>14</v>
    <v>13.88</v>
    <v>14.54</v>
    <v>14.03</v>
    <v>13.89</v>
    <v>13.37</v>
    <v>12.4</v>
    <v>12.95</v>
    <v>12.05</v>
    <v>12.02</v>
    <v>13.22</v>
    <v>12.6</v>
    <v>12.19</v>
    <v>12.16</v>
    <v>12.29</v>
    <v>11.42</v>
    <v>10.69</v>
    <v>11.67</v>
    <v>12.25</v>
    <v>12.41</v>
    <v>12.77</v>
    <v>12.12</v>
    <v>11.77</v>
    <v>11.38</v>
    <v>10.050000000000001</v>
    <v>11.82</v>
    <v>11.32</v>
    <v>11.75</v>
    <v>11.75</v>
    <v>11.24</v>
    <v>10.65</v>
    <v>10.09</v>
    <v>9.56</v>
    <v>9.68</v>
    <v>9.64</v>
    <v>9.2100000000000009</v>
    <v>9.1999999999999993</v>
    <v>9.7149999999999999</v>
    <v>8.9600000000000009</v>
    <v>9.65</v>
    <v>11.15</v>
    <v>11.26</v>
    <v>11.18</v>
    <v>11.83</v>
    <v>11.22</v>
    <v>11.87</v>
    <v>10.67</v>
    <v>10.77</v>
    <v>10.23</v>
    <v>10.47</v>
    <v>11.6</v>
    <v>11.31</v>
    <v>11.83</v>
    <v>11.92</v>
    <v>11.43</v>
    <v>11.98</v>
    <v>11.5</v>
    <v>11.24</v>
    <v>11.04</v>
    <v>11.64</v>
    <v>13.24</v>
    <v>13.28</v>
    <v>13.63</v>
    <v>13.35</v>
    <v>12.92</v>
    <v>12.55</v>
    <v>12.11</v>
    <v>11.99</v>
    <v>11.33</v>
    <v>11.21</v>
    <v>11.23</v>
    <v>11.17</v>
    <v>10.97</v>
    <v>10.36</v>
    <v>9.91</v>
    <v>9.65</v>
    <v>9.44</v>
    <v>9.11</v>
    <v>8.23</v>
    <v>8.33</v>
    <v>7.53</v>
    <v>7.375</v>
    <v>7.48</v>
    <v>7.79</v>
    <v>7.25</v>
    <v>7.02</v>
  </a>
  <a r="1" c="754">
    <v>8.75</v>
    <v>9.76</v>
    <v>9.4700000000000006</v>
    <v>8.99</v>
    <v>8.86</v>
    <v>8.85</v>
    <v>8.81</v>
    <v>8.92</v>
    <v>9.86</v>
    <v>9.41</v>
    <v>9.24</v>
    <v>9.18</v>
    <v>8.5500000000000007</v>
    <v>9.23</v>
    <v>9.61</v>
    <v>9.18</v>
    <v>9.17</v>
    <v>10.24</v>
    <v>9.76</v>
    <v>10</v>
    <v>10.64</v>
    <v>10.31</v>
    <v>10.92</v>
    <v>11.41</v>
    <v>11.28</v>
    <v>12.38</v>
    <v>12.4</v>
    <v>11.97</v>
    <v>13.7</v>
    <v>14.86</v>
    <v>15.28</v>
    <v>15.54</v>
    <v>15.51</v>
    <v>16.78</v>
    <v>14.65</v>
    <v>14.89</v>
    <v>16.760000000000002</v>
    <v>17.82</v>
    <v>18.29</v>
    <v>19.88</v>
    <v>21.97</v>
    <v>22.1</v>
    <v>24.78</v>
    <v>26.71</v>
    <v>26.96</v>
    <v>31.07</v>
    <v>28.11</v>
    <v>23.49</v>
    <v>22.93</v>
    <v>23.434999999999999</v>
    <v>26.27</v>
    <v>24.12</v>
    <v>25.98</v>
    <v>25.73</v>
    <v>25.63</v>
    <v>22.4</v>
    <v>18.98</v>
    <v>17.78</v>
    <v>17.260000000000002</v>
    <v>16.07</v>
    <v>16.13</v>
    <v>16.61</v>
    <v>16.11</v>
    <v>15.65</v>
    <v>16.27</v>
    <v>17.850000000000001</v>
    <v>18.52</v>
    <v>18.11</v>
    <v>17.73</v>
    <v>18.600000000000001</v>
    <v>18.2</v>
    <v>16.64</v>
    <v>17.059999999999999</v>
    <v>17.54</v>
    <v>21.58</v>
    <v>23.89</v>
    <v>27.28</v>
    <v>25.72</v>
    <v>29.41</v>
    <v>27.02</v>
    <v>26.94</v>
    <v>24.51</v>
    <v>22.9</v>
    <v>24.56</v>
    <v>23.99</v>
    <v>29.19</v>
    <v>30.31</v>
    <v>31.03</v>
    <v>25.9</v>
    <v>27</v>
    <v>25.71</v>
    <v>22.254999999999999</v>
    <v>22.62</v>
    <v>21.8</v>
    <v>23.48</v>
    <v>20.64</v>
    <v>20.190000000000001</v>
    <v>19.7</v>
    <v>18.23</v>
    <v>19.32</v>
    <v>19.41</v>
    <v>19.32</v>
    <v>22.43</v>
    <v>21.78</v>
    <v>20.87</v>
    <v>20.95</v>
    <v>20.38</v>
    <v>22.07</v>
    <v>22.58</v>
    <v>21.63</v>
    <v>19.73</v>
    <v>19.425000000000001</v>
    <v>18.47</v>
    <v>18.43</v>
    <v>17.95</v>
    <v>17.98</v>
    <v>17.38</v>
    <v>17.600000000000001</v>
    <v>16.11</v>
    <v>15.15</v>
    <v>14.6</v>
    <v>14.63</v>
    <v>15.03</v>
    <v>16.5</v>
    <v>17.55</v>
    <v>19.440000000000001</v>
    <v>19.09</v>
    <v>19.010000000000002</v>
    <v>19.43</v>
    <v>18.03</v>
    <v>16.059999999999999</v>
    <v>16.07</v>
    <v>17.07</v>
    <v>17.52</v>
    <v>20.67</v>
    <v>20.21</v>
    <v>20.09</v>
    <v>19.649999999999999</v>
    <v>17.16</v>
    <v>17.260000000000002</v>
    <v>18.07</v>
    <v>20.2</v>
    <v>19.649999999999999</v>
    <v>19.45</v>
    <v>22.32</v>
    <v>21.35</v>
    <v>21.24</v>
    <v>20.079999999999998</v>
    <v>21.21</v>
    <v>20.73</v>
    <v>20.239999999999998</v>
    <v>20.04</v>
    <v>19.52</v>
    <v>19.579999999999998</v>
    <v>20.52</v>
    <v>21.07</v>
    <v>20.8</v>
    <v>19.27</v>
    <v>19.46</v>
    <v>19.829999999999998</v>
    <v>20.309999999999999</v>
    <v>20</v>
    <v>19.47</v>
    <v>20.02</v>
    <v>20.28</v>
    <v>20.66</v>
    <v>19.21</v>
    <v>18.690000000000001</v>
    <v>19.25</v>
    <v>19.37</v>
    <v>19.66</v>
    <v>19.850000000000001</v>
    <v>22.56</v>
    <v>22.12</v>
    <v>20.98</v>
    <v>20.170000000000002</v>
    <v>19.5</v>
    <v>19.03</v>
    <v>18.89</v>
    <v>19.02</v>
    <v>20.77</v>
    <v>24.58</v>
    <v>26.72</v>
    <v>25.55</v>
    <v>23.65</v>
    <v>24.73</v>
    <v>23.95</v>
    <v>21.65</v>
    <v>20.67</v>
    <v>20.28</v>
    <v>21.57</v>
    <v>20.45</v>
    <v>19.73</v>
    <v>19.670000000000002</v>
    <v>18.14</v>
    <v>17.190000000000001</v>
    <v>16.95</v>
    <v>17.25</v>
    <v>15.84</v>
    <v>17.39</v>
    <v>17.03</v>
    <v>15.11</v>
    <v>15.49</v>
    <v>15.14</v>
    <v>15.46</v>
    <v>16.239999999999998</v>
    <v>16.440000000000001</v>
    <v>16.420000000000002</v>
    <v>17.63</v>
    <v>16.86</v>
    <v>18.690000000000001</v>
    <v>18.559999999999999</v>
    <v>17.75</v>
    <v>17.13</v>
    <v>16.989999999999998</v>
    <v>16.7</v>
    <v>15.26</v>
    <v>14.88</v>
    <v>13.84</v>
    <v>13.37</v>
    <v>14.62</v>
    <v>15.94</v>
    <v>15.79</v>
    <v>15.8</v>
    <v>16.12</v>
    <v>15.87</v>
    <v>15.87</v>
    <v>15.34</v>
    <v>15.45</v>
    <v>15.54</v>
    <v>16.07</v>
    <v>16.41</v>
    <v>16.14</v>
    <v>17.52</v>
    <v>17.29</v>
    <v>16.22</v>
    <v>15.07</v>
    <v>15.21</v>
    <v>15.47</v>
    <v>16.309999999999999</v>
    <v>15.99</v>
    <v>15.83</v>
    <v>15.44</v>
    <v>15.23</v>
    <v>16.079999999999998</v>
    <v>16.98</v>
    <v>16.920000000000002</v>
    <v>18.079999999999998</v>
    <v>18.010000000000002</v>
    <v>18.88</v>
    <v>18.71</v>
    <v>18.97</v>
    <v>18.07</v>
    <v>18.22</v>
    <v>17.059999999999999</v>
    <v>18.940000000000001</v>
    <v>18.940000000000001</v>
    <v>18.28</v>
    <v>16.77</v>
    <v>16.11</v>
    <v>15.5</v>
    <v>16.239999999999998</v>
    <v>19.32</v>
    <v>19.309999999999999</v>
    <v>19.25</v>
    <v>25.01</v>
    <v>25.23</v>
    <v>21.7</v>
    <v>20.79</v>
    <v>21.07</v>
    <v>18.105</v>
    <v>19.86</v>
    <v>22.63</v>
    <v>24.18</v>
    <v>26.03</v>
    <v>26.42</v>
    <v>24.97</v>
    <v>26.92</v>
    <v>27.42</v>
    <v>25.63</v>
    <v>25.13</v>
    <v>25.96</v>
    <v>24.79</v>
    <v>26.43</v>
    <v>23.855</v>
    <v>22.805</v>
    <v>23.27</v>
    <v>22.58</v>
    <v>22.73</v>
    <v>24.56</v>
    <v>24.6</v>
    <v>21.61</v>
    <v>20.37</v>
    <v>19.96</v>
    <v>19.25</v>
    <v>20.149999999999999</v>
    <v>19.3</v>
    <v>18.440000000000001</v>
    <v>17.29</v>
    <v>16.77</v>
    <v>17.21</v>
    <v>19.64</v>
    <v>20.55</v>
    <v>19.07</v>
    <v>18.34</v>
    <v>17.86</v>
    <v>17.190000000000001</v>
    <v>17.36</v>
    <v>18.149999999999999</v>
    <v>18.3</v>
    <v>19.91</v>
    <v>19.559999999999999</v>
    <v>19.690000000000001</v>
    <v>19.95</v>
    <v>19.989999999999998</v>
    <v>18.285</v>
    <v>18.260000000000002</v>
    <v>18.420000000000002</v>
    <v>19.18</v>
    <v>18.34</v>
    <v>17.95</v>
    <v>17.649999999999999</v>
    <v>17.03</v>
    <v>16.8</v>
    <v>16.77</v>
    <v>16.760000000000002</v>
    <v>16.02</v>
    <v>16.239999999999998</v>
    <v>16.91</v>
    <v>16.899999999999999</v>
    <v>16.05</v>
    <v>15.78</v>
    <v>15.95</v>
    <v>14.66</v>
    <v>13.89</v>
    <v>12.414999999999999</v>
    <v>12.45</v>
    <v>13.13</v>
    <v>13.92</v>
    <v>13.79</v>
    <v>13.97</v>
    <v>15.12</v>
    <v>15.09</v>
    <v>16.02</v>
    <v>13.41</v>
    <v>13.32</v>
    <v>13.11</v>
    <v>12.16</v>
    <v>13.18</v>
    <v>12.97</v>
    <v>12.07</v>
    <v>12.53</v>
    <v>12.5</v>
    <v>12.38</v>
    <v>14.61</v>
    <v>14.25</v>
    <v>13.79</v>
    <v>13.64</v>
    <v>12.47</v>
    <v>11.5</v>
    <v>11.84</v>
    <v>12.42</v>
    <v>11.23</v>
    <v>11.3</v>
    <v>11.26</v>
    <v>10.52</v>
    <v>12.31</v>
    <v>11.74</v>
    <v>12.51</v>
    <v>12.95</v>
    <v>12.58</v>
    <v>12.32</v>
    <v>12.66</v>
    <v>12.29</v>
    <v>14.06</v>
    <v>14.13</v>
    <v>14.01</v>
    <v>14.3</v>
    <v>14.01</v>
    <v>14.22</v>
    <v>13.37</v>
    <v>14.05</v>
    <v>14.48</v>
    <v>13.09</v>
    <v>13.15</v>
    <v>13.33</v>
    <v>14.29</v>
    <v>15.76</v>
    <v>15.95</v>
    <v>16.37</v>
    <v>15.87</v>
    <v>15.68</v>
    <v>16.21</v>
    <v>16.32</v>
    <v>16.190000000000001</v>
    <v>15.84</v>
    <v>15.65</v>
    <v>14.73</v>
    <v>16.440000000000001</v>
    <v>14.86</v>
    <v>14.61</v>
    <v>14.12</v>
    <v>14.36</v>
    <v>15.33</v>
    <v>15.67</v>
    <v>14.88</v>
    <v>15.78</v>
    <v>16.27</v>
    <v>16.489999999999998</v>
    <v>16.350000000000001</v>
    <v>15.82</v>
    <v>15.04</v>
    <v>15.32</v>
    <v>14.67</v>
    <v>14.49</v>
    <v>14.32</v>
    <v>14.18</v>
    <v>14.88</v>
    <v>14.98</v>
    <v>15.27</v>
    <v>15.03</v>
    <v>15.68</v>
    <v>15.7</v>
    <v>17.8</v>
    <v>17.66</v>
    <v>16.75</v>
    <v>17.52</v>
    <v>18.46</v>
    <v>19</v>
    <v>19.14</v>
    <v>19.21</v>
    <v>18.760000000000002</v>
    <v>19.440000000000001</v>
    <v>19.97</v>
    <v>19.510000000000002</v>
    <v>18.829999999999998</v>
    <v>19.88</v>
    <v>17.57</v>
    <v>17.260000000000002</v>
    <v>17.25</v>
    <v>17.16</v>
    <v>16.61</v>
    <v>16.55</v>
    <v>16.079999999999998</v>
    <v>15.5</v>
    <v>16.04</v>
    <v>15.62</v>
    <v>15.89</v>
    <v>15.95</v>
    <v>15.38</v>
    <v>15.66</v>
    <v>15.72</v>
    <v>15.86</v>
    <v>15.75</v>
    <v>15.67</v>
    <v>16.09</v>
    <v>15.17</v>
    <v>15.45</v>
    <v>15.51</v>
    <v>16.29</v>
    <v>15.4</v>
    <v>15.84</v>
    <v>15.85</v>
    <v>15.96</v>
    <v>15.98</v>
    <v>16.059999999999999</v>
    <v>15.89</v>
    <v>15.11</v>
    <v>15.19</v>
    <v>15.2</v>
    <v>15.93</v>
    <v>15.86</v>
    <v>15.71</v>
    <v>16.309999999999999</v>
    <v>16.239999999999998</v>
    <v>17.53</v>
    <v>17.34</v>
    <v>18.5</v>
    <v>18.29</v>
    <v>18.350000000000001</v>
    <v>17.71</v>
    <v>17.64</v>
    <v>16.07</v>
    <v>16.13</v>
    <v>18.66</v>
    <v>18.260000000000002</v>
    <v>18.61</v>
    <v>18.79</v>
    <v>18.82</v>
    <v>20.57</v>
    <v>20.25</v>
    <v>20.2</v>
    <v>20.2</v>
    <v>18.649999999999999</v>
    <v>20.239999999999998</v>
    <v>22.24</v>
    <v>22.84</v>
    <v>20.265000000000001</v>
    <v>19.57</v>
    <v>20.73</v>
    <v>20.07</v>
    <v>19.149999999999999</v>
    <v>19.22</v>
    <v>19.54</v>
    <v>19.559999999999999</v>
    <v>18.88</v>
    <v>18.88</v>
    <v>17.760000000000002</v>
    <v>18.27</v>
    <v>17.809999999999999</v>
    <v>16.62</v>
    <v>17.13</v>
    <v>15.96</v>
    <v>15.87</v>
    <v>15.58</v>
    <v>14.63</v>
    <v>14.41</v>
    <v>12.78</v>
    <v>11.99</v>
    <v>11.51</v>
    <v>11.88</v>
    <v>11.1</v>
    <v>10.24</v>
    <v>10.07</v>
    <v>11.21</v>
    <v>11.17</v>
    <v>11.11</v>
    <v>11.81</v>
    <v>11.52</v>
    <v>11.91</v>
    <v>12.47</v>
    <v>12.44</v>
    <v>11.74</v>
    <v>12.05</v>
    <v>12.25</v>
    <v>11.92</v>
    <v>11.84</v>
    <v>11.52</v>
    <v>10.7</v>
    <v>10.69</v>
    <v>9.93</v>
    <v>9.69</v>
    <v>10.18</v>
    <v>10.130000000000001</v>
    <v>9.86</v>
    <v>9.94</v>
    <v>9.59</v>
    <v>9.49</v>
    <v>9.33</v>
    <v>8.98</v>
    <v>9.91</v>
    <v>10.59</v>
    <v>10.31</v>
    <v>10.08</v>
    <v>10.44</v>
    <v>10.220000000000001</v>
    <v>10.65</v>
    <v>10.95</v>
    <v>11.11</v>
    <v>10.66</v>
    <v>11.36</v>
    <v>10.37</v>
    <v>10.56</v>
    <v>10.29</v>
    <v>10.5</v>
    <v>9.98</v>
    <v>10.52</v>
    <v>10.37</v>
    <v>9.86</v>
    <v>9.5</v>
    <v>9.1199999999999992</v>
    <v>9.0500000000000007</v>
    <v>8.2799999999999994</v>
    <v>6.73</v>
    <v>8.24</v>
    <v>8.06</v>
    <v>7.66</v>
    <v>7.56</v>
    <v>7.25</v>
    <v>7.92</v>
    <v>7.51</v>
    <v>7.5</v>
    <v>7.96</v>
    <v>7.97</v>
    <v>7.875</v>
    <v>8.0500000000000007</v>
    <v>8.57</v>
    <v>8.4499999999999993</v>
    <v>8.94</v>
    <v>9.4499999999999993</v>
    <v>8.66</v>
    <v>9.2899999999999991</v>
    <v>8.77</v>
    <v>8.01</v>
    <v>8.66</v>
    <v>8.57</v>
    <v>8.5500000000000007</v>
    <v>8.76</v>
    <v>9.32</v>
    <v>9.23</v>
    <v>9.24</v>
    <v>8.92</v>
    <v>9.2200000000000006</v>
    <v>8.4600000000000009</v>
    <v>8.91</v>
    <v>8.25</v>
    <v>8.2799999999999994</v>
    <v>8.58</v>
    <v>8.02</v>
    <v>7.7949999999999999</v>
    <v>8.16</v>
    <v>8.0399999999999991</v>
    <v>8.7100000000000009</v>
    <v>8.85</v>
    <v>8.9600000000000009</v>
    <v>9.5</v>
    <v>9.67</v>
    <v>9.5399999999999991</v>
    <v>10.36</v>
    <v>10.49</v>
    <v>10.47</v>
    <v>11.55</v>
    <v>11.6</v>
    <v>11.63</v>
    <v>11.23</v>
    <v>11.84</v>
    <v>11.8</v>
    <v>11.64</v>
    <v>11.18</v>
    <v>11.02</v>
    <v>10.72</v>
    <v>11.99</v>
    <v>11.46</v>
    <v>11.83</v>
    <v>12.16</v>
    <v>13.03</v>
    <v>12.7</v>
    <v>12.94</v>
    <v>13.39</v>
    <v>12.72</v>
    <v>12.75</v>
    <v>13.29</v>
    <v>12.44</v>
    <v>12.18</v>
    <v>12.44</v>
    <v>13.15</v>
    <v>13.55</v>
    <v>13.81</v>
    <v>14.28</v>
    <v>14.33</v>
    <v>14.07</v>
    <v>14.38</v>
    <v>14.85</v>
    <v>14.28</v>
    <v>13.96</v>
    <v>13.88</v>
    <v>12.32</v>
    <v>13.78</v>
    <v>13.31</v>
    <v>12.62</v>
    <v>13.61</v>
    <v>14.08</v>
    <v>14.64</v>
    <v>14.42</v>
    <v>13.92</v>
    <v>14.22</v>
    <v>14.85</v>
    <v>14.7</v>
    <v>14</v>
    <v>13.88</v>
    <v>14.54</v>
    <v>14.03</v>
    <v>13.89</v>
    <v>13.37</v>
    <v>12.4</v>
    <v>12.95</v>
    <v>12.05</v>
    <v>12.02</v>
    <v>13.22</v>
    <v>12.6</v>
    <v>12.19</v>
    <v>12.16</v>
    <v>12.29</v>
    <v>11.42</v>
    <v>10.69</v>
    <v>11.67</v>
    <v>12.25</v>
    <v>12.41</v>
    <v>12.77</v>
    <v>12.12</v>
    <v>11.77</v>
    <v>11.38</v>
    <v>10.050000000000001</v>
    <v>11.82</v>
    <v>11.32</v>
    <v>11.75</v>
    <v>11.75</v>
    <v>11.24</v>
    <v>10.65</v>
    <v>10.09</v>
    <v>9.56</v>
    <v>9.68</v>
    <v>9.64</v>
    <v>9.2100000000000009</v>
    <v>9.1999999999999993</v>
    <v>9.7149999999999999</v>
    <v>8.9600000000000009</v>
    <v>9.65</v>
    <v>11.15</v>
    <v>11.26</v>
    <v>11.18</v>
    <v>11.83</v>
    <v>11.22</v>
    <v>11.87</v>
    <v>10.67</v>
    <v>10.77</v>
    <v>10.23</v>
    <v>10.47</v>
    <v>11.6</v>
    <v>11.31</v>
    <v>11.83</v>
    <v>11.92</v>
    <v>11.43</v>
    <v>11.98</v>
    <v>11.5</v>
    <v>11.24</v>
    <v>11.04</v>
    <v>11.64</v>
    <v>13.24</v>
    <v>13.28</v>
    <v>13.63</v>
    <v>13.35</v>
    <v>12.92</v>
    <v>12.55</v>
    <v>12.11</v>
    <v>11.99</v>
    <v>11.33</v>
    <v>11.21</v>
    <v>11.23</v>
    <v>11.17</v>
    <v>10.97</v>
    <v>10.36</v>
    <v>9.91</v>
    <v>9.65</v>
    <v>9.44</v>
    <v>9.11</v>
    <v>8.23</v>
    <v>8.33</v>
    <v>7.53</v>
    <v>7.375</v>
    <v>7.48</v>
    <v>7.79</v>
    <v>7.25</v>
    <v>7.02</v>
  </a>
  <a r="1" c="252">
    <v>19.22</v>
    <v>19.54</v>
    <v>19.559999999999999</v>
    <v>18.88</v>
    <v>18.88</v>
    <v>17.760000000000002</v>
    <v>18.27</v>
    <v>17.809999999999999</v>
    <v>16.62</v>
    <v>17.13</v>
    <v>15.96</v>
    <v>15.87</v>
    <v>15.58</v>
    <v>14.63</v>
    <v>14.41</v>
    <v>12.78</v>
    <v>11.99</v>
    <v>11.51</v>
    <v>11.88</v>
    <v>11.1</v>
    <v>10.24</v>
    <v>10.07</v>
    <v>11.21</v>
    <v>11.17</v>
    <v>11.11</v>
    <v>11.81</v>
    <v>11.52</v>
    <v>11.91</v>
    <v>12.47</v>
    <v>12.44</v>
    <v>11.74</v>
    <v>12.05</v>
    <v>12.25</v>
    <v>11.92</v>
    <v>11.84</v>
    <v>11.52</v>
    <v>10.7</v>
    <v>10.69</v>
    <v>9.93</v>
    <v>9.69</v>
    <v>10.18</v>
    <v>10.130000000000001</v>
    <v>9.86</v>
    <v>9.94</v>
    <v>9.59</v>
    <v>9.49</v>
    <v>9.33</v>
    <v>8.98</v>
    <v>9.91</v>
    <v>10.59</v>
    <v>10.31</v>
    <v>10.08</v>
    <v>10.44</v>
    <v>10.220000000000001</v>
    <v>10.65</v>
    <v>10.95</v>
    <v>11.11</v>
    <v>10.66</v>
    <v>11.36</v>
    <v>10.37</v>
    <v>10.56</v>
    <v>10.29</v>
    <v>10.5</v>
    <v>9.98</v>
    <v>10.52</v>
    <v>10.37</v>
    <v>9.86</v>
    <v>9.5</v>
    <v>9.1199999999999992</v>
    <v>9.0500000000000007</v>
    <v>8.2799999999999994</v>
    <v>6.73</v>
    <v>8.24</v>
    <v>8.06</v>
    <v>7.66</v>
    <v>7.56</v>
    <v>7.25</v>
    <v>7.92</v>
    <v>7.51</v>
    <v>7.5</v>
    <v>7.96</v>
    <v>7.97</v>
    <v>7.875</v>
    <v>8.0500000000000007</v>
    <v>8.57</v>
    <v>8.4499999999999993</v>
    <v>8.94</v>
    <v>9.4499999999999993</v>
    <v>8.66</v>
    <v>9.2899999999999991</v>
    <v>8.77</v>
    <v>8.01</v>
    <v>8.66</v>
    <v>8.57</v>
    <v>8.5500000000000007</v>
    <v>8.76</v>
    <v>9.32</v>
    <v>9.23</v>
    <v>9.24</v>
    <v>8.92</v>
    <v>9.2200000000000006</v>
    <v>8.4600000000000009</v>
    <v>8.91</v>
    <v>8.25</v>
    <v>8.2799999999999994</v>
    <v>8.58</v>
    <v>8.02</v>
    <v>7.7949999999999999</v>
    <v>8.16</v>
    <v>8.0399999999999991</v>
    <v>8.7100000000000009</v>
    <v>8.85</v>
    <v>8.9600000000000009</v>
    <v>9.5</v>
    <v>9.67</v>
    <v>9.5399999999999991</v>
    <v>10.36</v>
    <v>10.49</v>
    <v>10.47</v>
    <v>11.55</v>
    <v>11.6</v>
    <v>11.63</v>
    <v>11.23</v>
    <v>11.84</v>
    <v>11.8</v>
    <v>11.64</v>
    <v>11.18</v>
    <v>11.02</v>
    <v>10.72</v>
    <v>11.99</v>
    <v>11.46</v>
    <v>11.83</v>
    <v>12.16</v>
    <v>13.03</v>
    <v>12.7</v>
    <v>12.94</v>
    <v>13.39</v>
    <v>12.72</v>
    <v>12.75</v>
    <v>13.29</v>
    <v>12.44</v>
    <v>12.18</v>
    <v>12.44</v>
    <v>13.15</v>
    <v>13.55</v>
    <v>13.81</v>
    <v>14.28</v>
    <v>14.33</v>
    <v>14.07</v>
    <v>14.38</v>
    <v>14.85</v>
    <v>14.28</v>
    <v>13.96</v>
    <v>13.88</v>
    <v>12.32</v>
    <v>13.78</v>
    <v>13.31</v>
    <v>12.62</v>
    <v>13.61</v>
    <v>14.08</v>
    <v>14.64</v>
    <v>14.42</v>
    <v>13.92</v>
    <v>14.22</v>
    <v>14.85</v>
    <v>14.7</v>
    <v>14</v>
    <v>13.88</v>
    <v>14.54</v>
    <v>14.03</v>
    <v>13.89</v>
    <v>13.37</v>
    <v>12.4</v>
    <v>12.95</v>
    <v>12.05</v>
    <v>12.02</v>
    <v>13.22</v>
    <v>12.6</v>
    <v>12.19</v>
    <v>12.16</v>
    <v>12.29</v>
    <v>11.42</v>
    <v>10.69</v>
    <v>11.67</v>
    <v>12.25</v>
    <v>12.41</v>
    <v>12.77</v>
    <v>12.12</v>
    <v>11.77</v>
    <v>11.38</v>
    <v>10.050000000000001</v>
    <v>11.82</v>
    <v>11.32</v>
    <v>11.75</v>
    <v>11.75</v>
    <v>11.24</v>
    <v>10.65</v>
    <v>10.09</v>
    <v>9.56</v>
    <v>9.68</v>
    <v>9.64</v>
    <v>9.2100000000000009</v>
    <v>9.1999999999999993</v>
    <v>9.7149999999999999</v>
    <v>8.9600000000000009</v>
    <v>9.65</v>
    <v>11.15</v>
    <v>11.26</v>
    <v>11.18</v>
    <v>11.83</v>
    <v>11.22</v>
    <v>11.87</v>
    <v>10.67</v>
    <v>10.77</v>
    <v>10.23</v>
    <v>10.47</v>
    <v>11.6</v>
    <v>11.31</v>
    <v>11.83</v>
    <v>11.92</v>
    <v>11.43</v>
    <v>11.98</v>
    <v>11.5</v>
    <v>11.24</v>
    <v>11.04</v>
    <v>11.64</v>
    <v>13.24</v>
    <v>13.28</v>
    <v>13.63</v>
    <v>13.35</v>
    <v>12.92</v>
    <v>12.55</v>
    <v>12.11</v>
    <v>11.99</v>
    <v>11.33</v>
    <v>11.21</v>
    <v>11.23</v>
    <v>11.17</v>
    <v>10.97</v>
    <v>10.36</v>
    <v>9.91</v>
    <v>9.65</v>
    <v>9.44</v>
    <v>9.11</v>
    <v>8.23</v>
    <v>8.33</v>
    <v>7.53</v>
    <v>7.375</v>
    <v>7.48</v>
    <v>7.79</v>
    <v>7.25</v>
    <v>7.02</v>
  </a>
  <a r="1" c="205">
    <v>6.47</v>
    <v>6.51</v>
    <v>6.5</v>
    <v>6.47</v>
    <v>6.79</v>
    <v>6.49</v>
    <v>6.48</v>
    <v>6.58</v>
    <v>6.52</v>
    <v>6.36</v>
    <v>6.61</v>
    <v>6.55</v>
    <v>6.41</v>
    <v>6.44</v>
    <v>6.5</v>
    <v>6.77</v>
    <v>6.91</v>
    <v>6.94</v>
    <v>6.82</v>
    <v>6.29</v>
    <v>6.43</v>
    <v>6.66</v>
    <v>6.69</v>
    <v>6.8</v>
    <v>6.86</v>
    <v>7.07</v>
    <v>7.18</v>
    <v>7.08</v>
    <v>7.34</v>
    <v>6.97</v>
    <v>7.03</v>
    <v>7.3</v>
    <v>7.43</v>
    <v>7.6</v>
    <v>7.77</v>
    <v>7.57</v>
    <v>7.49</v>
    <v>7.57</v>
    <v>7.5</v>
    <v>7.72</v>
    <v>8.26</v>
    <v>8.07</v>
    <v>8.15</v>
    <v>7.85</v>
    <v>7.74</v>
    <v>7.89</v>
    <v>7.8</v>
    <v>7.9</v>
    <v>8.14</v>
    <v>8.24</v>
    <v>8.65</v>
    <v>8.5500000000000007</v>
    <v>8.36</v>
    <v>8.3000000000000007</v>
    <v>7.98</v>
    <v>8.06</v>
    <v>8.25</v>
    <v>8.41</v>
    <v>8.2799999999999994</v>
    <v>7.98</v>
    <v>7.96</v>
    <v>8.0399999999999991</v>
    <v>8.27</v>
    <v>8.82</v>
    <v>8.89</v>
    <v>8.85</v>
    <v>9.44</v>
    <v>9.5500000000000007</v>
    <v>9.4600000000000009</v>
    <v>10.37</v>
    <v>10.35</v>
    <v>9.99</v>
    <v>10.29</v>
    <v>10.31</v>
    <v>10.6</v>
    <v>10.4</v>
    <v>9.86</v>
    <v>10.33</v>
    <v>10.46</v>
    <v>10.76</v>
    <v>11.3</v>
    <v>12.46</v>
    <v>12.91</v>
    <v>13.3</v>
    <v>13.14</v>
    <v>13.42</v>
    <v>13.19</v>
    <v>12.35</v>
    <v>12.82</v>
    <v>13.92</v>
    <v>13.17</v>
    <v>14.71</v>
    <v>14.46</v>
    <v>13.95</v>
    <v>13.74</v>
    <v>13.67</v>
    <v>13.62</v>
    <v>14.18</v>
    <v>15.47</v>
    <v>16.46</v>
    <v>15.68</v>
    <v>15.28</v>
    <v>14.84</v>
    <v>16.25</v>
    <v>16.850000000000001</v>
    <v>16.73</v>
    <v>16.62</v>
    <v>14.38</v>
    <v>14.59</v>
    <v>13.85</v>
    <v>13.4</v>
    <v>14.09</v>
    <v>14.8</v>
    <v>14.82</v>
    <v>13.98</v>
    <v>13.83</v>
    <v>13.49</v>
    <v>14.43</v>
    <v>13.7</v>
    <v>13.81</v>
    <v>13.98</v>
    <v>13.01</v>
    <v>13.03</v>
    <v>13.28</v>
    <v>12.91</v>
    <v>12.07</v>
    <v>12.51</v>
    <v>11.85</v>
    <v>11.95</v>
    <v>12.9</v>
    <v>12.44</v>
    <v>11.69</v>
    <v>11.7</v>
    <v>11.25</v>
    <v>10.38</v>
    <v>10.119999999999999</v>
    <v>10.08</v>
    <v>10.63</v>
    <v>10.28</v>
    <v>9.73</v>
    <v>9.1</v>
    <v>9.2799999999999994</v>
    <v>8.93</v>
    <v>8.41</v>
    <v>9.09</v>
    <v>9.14</v>
    <v>9.36</v>
    <v>9.92</v>
    <v>9.58</v>
    <v>9.43</v>
    <v>9.36</v>
    <v>9.1300000000000008</v>
    <v>9.44</v>
    <v>10.32</v>
    <v>10.56</v>
    <v>10.76</v>
    <v>10.78</v>
    <v>10.39</v>
    <v>10.130000000000001</v>
    <v>10.15</v>
    <v>10.210000000000001</v>
    <v>9.9600000000000009</v>
    <v>10.35</v>
    <v>10.41</v>
    <v>10.59</v>
    <v>10.210000000000001</v>
    <v>10.14</v>
    <v>9.93</v>
    <v>9.84</v>
    <v>9.77</v>
    <v>10.029999999999999</v>
    <v>10.65</v>
    <v>10.76</v>
    <v>10.62</v>
    <v>11.13</v>
    <v>9.65</v>
    <v>9.84</v>
    <v>10.14</v>
    <v>10.6</v>
    <v>10.68</v>
    <v>10.94</v>
    <v>10.82</v>
    <v>10.63</v>
    <v>10.43</v>
    <v>10.39</v>
    <v>10.119999999999999</v>
    <v>10.36</v>
    <v>10.14</v>
    <v>10.37</v>
    <v>10.6</v>
    <v>10.199999999999999</v>
    <v>10.97</v>
    <v>10.62</v>
    <v>10.14</v>
    <v>10.36</v>
    <v>9.9</v>
    <v>9.86</v>
    <v>9.4</v>
    <v>9.57</v>
    <v>9.14</v>
    <v>9.08</v>
    <v>9.02</v>
    <v>9.25</v>
    <v>7.88</v>
    <v>8.14</v>
  </a>
  <a r="1" c="754">
    <v>3.16</v>
    <v>3.22</v>
    <v>3.21</v>
    <v>3.24</v>
    <v>3.25</v>
    <v>3.29</v>
    <v>3.31</v>
    <v>3.24</v>
    <v>3.35</v>
    <v>3.46</v>
    <v>3.43</v>
    <v>3.43</v>
    <v>3.48</v>
    <v>3.45</v>
    <v>3.49</v>
    <v>3.48</v>
    <v>3.57</v>
    <v>3.59</v>
    <v>3.54</v>
    <v>3.56</v>
    <v>3.59</v>
    <v>3.53</v>
    <v>3.53</v>
    <v>3.55</v>
    <v>3.54</v>
    <v>3.52</v>
    <v>3.56</v>
    <v>3.48</v>
    <v>3.49</v>
    <v>3.16</v>
    <v>3</v>
    <v>3.01</v>
    <v>3.1</v>
    <v>3.18</v>
    <v>3.12</v>
    <v>3.22</v>
    <v>3.25</v>
    <v>3.37</v>
    <v>3.26</v>
    <v>3.23</v>
    <v>3.31</v>
    <v>3.25</v>
    <v>3.28</v>
    <v>3.36</v>
    <v>3.35</v>
    <v>3.38</v>
    <v>3.37</v>
    <v>3.42</v>
    <v>3.41</v>
    <v>3.39</v>
    <v>3.45</v>
    <v>3.44</v>
    <v>3.54</v>
    <v>3.48</v>
    <v>3.49</v>
    <v>3.5</v>
    <v>3.52</v>
    <v>3.51</v>
    <v>3.45</v>
    <v>3.47</v>
    <v>3.43</v>
    <v>3.35</v>
    <v>3.36</v>
    <v>3.41</v>
    <v>3.8</v>
    <v>3.82</v>
    <v>3.85</v>
    <v>3.68</v>
    <v>3.6</v>
    <v>3.59</v>
    <v>3.55</v>
    <v>3.56</v>
    <v>3.56</v>
    <v>3.55</v>
    <v>3.68</v>
    <v>3.59</v>
    <v>3.62</v>
    <v>3.49</v>
    <v>3.52</v>
    <v>3.51</v>
    <v>3.55</v>
    <v>3.49</v>
    <v>3.53</v>
    <v>3.58</v>
    <v>3.54</v>
    <v>3.53</v>
    <v>3.57</v>
    <v>3.56</v>
    <v>3.53</v>
    <v>3.56</v>
    <v>3.61</v>
    <v>3.52</v>
    <v>3.67</v>
    <v>3.7</v>
    <v>3.62</v>
    <v>3.63</v>
    <v>3.66</v>
    <v>3.67</v>
    <v>3.66</v>
    <v>3.69</v>
    <v>3.48</v>
    <v>3.52</v>
    <v>3.59</v>
    <v>3.58</v>
    <v>3.58</v>
    <v>3.52</v>
    <v>3.54</v>
    <v>3.6</v>
    <v>3.54</v>
    <v>3.5</v>
    <v>3.5</v>
    <v>3.58</v>
    <v>3.53</v>
    <v>3.49</v>
    <v>3.48</v>
    <v>3.5</v>
    <v>3.42</v>
    <v>3.42</v>
    <v>3.33</v>
    <v>3.3</v>
    <v>3.33</v>
    <v>3.33</v>
    <v>3.45</v>
    <v>3.52</v>
    <v>3.69</v>
    <v>3.68</v>
    <v>3.65</v>
    <v>3.64</v>
    <v>3.65</v>
    <v>3.68</v>
    <v>3.65</v>
    <v>3.65</v>
    <v>3.67</v>
    <v>3.69</v>
    <v>3.72</v>
    <v>3.74</v>
    <v>3.73</v>
    <v>3.72</v>
    <v>3.72</v>
    <v>3.79</v>
    <v>3.93</v>
    <v>3.87</v>
    <v>3.88</v>
    <v>3.91</v>
    <v>3.81</v>
    <v>3.84</v>
    <v>3.95</v>
    <v>3.85</v>
    <v>3.85</v>
    <v>3.87</v>
    <v>3.76</v>
    <v>3.85</v>
    <v>3.9</v>
    <v>3.95</v>
    <v>3.94</v>
    <v>3.98</v>
    <v>3.95</v>
    <v>3.91</v>
    <v>3.84</v>
    <v>3.8</v>
    <v>3.81</v>
    <v>3.71</v>
    <v>3.62</v>
    <v>3.69</v>
    <v>3.68</v>
    <v>3.66</v>
    <v>3.68</v>
    <v>3.73</v>
    <v>3.73</v>
    <v>3.67</v>
    <v>3.73</v>
    <v>3.78</v>
    <v>3.89</v>
    <v>3.89</v>
    <v>3.85</v>
    <v>3.9</v>
    <v>3.89</v>
    <v>3.86</v>
    <v>3.96</v>
    <v>3.94</v>
    <v>3.99</v>
    <v>3.92</v>
    <v>3.88</v>
    <v>3.9</v>
    <v>3.62</v>
    <v>3.65</v>
    <v>3.74</v>
    <v>3.71</v>
    <v>3.67</v>
    <v>3.83</v>
    <v>3.84</v>
    <v>3.84</v>
    <v>3.92</v>
    <v>3.92</v>
    <v>3.95</v>
    <v>3.85</v>
    <v>3.73</v>
    <v>3.71</v>
    <v>3.73</v>
    <v>3.79</v>
    <v>3.81</v>
    <v>3.83</v>
    <v>3.94</v>
    <v>3.98</v>
    <v>4.07</v>
    <v>4.04</v>
    <v>4.16</v>
    <v>4.1500000000000004</v>
    <v>4.16</v>
    <v>4.1100000000000003</v>
    <v>4.17</v>
    <v>4.18</v>
    <v>4.22</v>
    <v>4.1900000000000004</v>
    <v>4.4800000000000004</v>
    <v>4.46</v>
    <v>4.38</v>
    <v>4.38</v>
    <v>4.33</v>
    <v>4.24</v>
    <v>4.26</v>
    <v>4.1900000000000004</v>
    <v>4.1900000000000004</v>
    <v>4.2</v>
    <v>4.2</v>
    <v>4.21</v>
    <v>4.1900000000000004</v>
    <v>4.1900000000000004</v>
    <v>4.25</v>
    <v>4.28</v>
    <v>4.3099999999999996</v>
    <v>4.4000000000000004</v>
    <v>4.3600000000000003</v>
    <v>4.3600000000000003</v>
    <v>4.37</v>
    <v>4.37</v>
    <v>4.3499999999999996</v>
    <v>4.3899999999999997</v>
    <v>4.3499999999999996</v>
    <v>4.3499999999999996</v>
    <v>4.33</v>
    <v>4.4000000000000004</v>
    <v>4.47</v>
    <v>4.41</v>
    <v>4.3600000000000003</v>
    <v>4.4000000000000004</v>
    <v>4.41</v>
    <v>4.46</v>
    <v>4.34</v>
    <v>4.75</v>
    <v>4.79</v>
    <v>4.71</v>
    <v>4.68</v>
    <v>4.8</v>
    <v>4.7699999999999996</v>
    <v>4.95</v>
    <v>4.8499999999999996</v>
    <v>4.78</v>
    <v>4.71</v>
    <v>4.7300000000000004</v>
    <v>4.67</v>
    <v>4.71</v>
    <v>4.58</v>
    <v>4.5999999999999996</v>
    <v>4.55</v>
    <v>4.5599999999999996</v>
    <v>4.5</v>
    <v>4.46</v>
    <v>4.49</v>
    <v>4.46</v>
    <v>4.46</v>
    <v>4.1500000000000004</v>
    <v>4.25</v>
    <v>4.13</v>
    <v>4.18</v>
    <v>4.21</v>
    <v>4.18</v>
    <v>4.1900000000000004</v>
    <v>4.2</v>
    <v>4.2</v>
    <v>4.2300000000000004</v>
    <v>4.17</v>
    <v>4.3099999999999996</v>
    <v>4.24</v>
    <v>4.4000000000000004</v>
    <v>4.4000000000000004</v>
    <v>4.41</v>
    <v>4.43</v>
    <v>4.4800000000000004</v>
    <v>4.47</v>
    <v>4.4800000000000004</v>
    <v>4.3899999999999997</v>
    <v>4.43</v>
    <v>4.43</v>
    <v>4.45</v>
    <v>4.49</v>
    <v>4.47</v>
    <v>4.4800000000000004</v>
    <v>4.42</v>
    <v>4.43</v>
    <v>4.46</v>
    <v>4.4800000000000004</v>
    <v>4.5599999999999996</v>
    <v>4.63</v>
    <v>4.66</v>
    <v>4.5199999999999996</v>
    <v>4.47</v>
    <v>4.51</v>
    <v>4.6100000000000003</v>
    <v>4.4400000000000004</v>
    <v>4.51</v>
    <v>4.6100000000000003</v>
    <v>4.6100000000000003</v>
    <v>4.6900000000000004</v>
    <v>4.51</v>
    <v>4.5</v>
    <v>4.46</v>
    <v>4.4400000000000004</v>
    <v>4.7</v>
    <v>4.5999999999999996</v>
    <v>4.62</v>
    <v>4.72</v>
    <v>4.8</v>
    <v>4.79</v>
    <v>4.8099999999999996</v>
    <v>4.83</v>
    <v>4.9000000000000004</v>
    <v>5.01</v>
    <v>4.99</v>
    <v>4.99</v>
    <v>4.99</v>
    <v>4.95</v>
    <v>4.99</v>
    <v>4.9400000000000004</v>
    <v>4.9000000000000004</v>
    <v>4.99</v>
    <v>4.9000000000000004</v>
    <v>4.83</v>
    <v>4.8</v>
    <v>5.01</v>
    <v>4.88</v>
    <v>5.17</v>
    <v>5.16</v>
    <v>5.23</v>
    <v>5.14</v>
    <v>5.15</v>
    <v>5.2</v>
    <v>5.2</v>
    <v>5.33</v>
    <v>5.39</v>
    <v>5.42</v>
    <v>5.36</v>
    <v>5.33</v>
    <v>5.31</v>
    <v>5.33</v>
    <v>5.33</v>
    <v>5.26</v>
    <v>5.2</v>
    <v>5.21</v>
    <v>5.27</v>
    <v>5.34</v>
    <v>5.35</v>
    <v>4.9800000000000004</v>
    <v>4.78</v>
    <v>4.68</v>
    <v>4.6500000000000004</v>
    <v>4.93</v>
    <v>4.82</v>
    <v>4.96</v>
    <v>4.9800000000000004</v>
    <v>5.14</v>
    <v>5.08</v>
    <v>5.1100000000000003</v>
    <v>5.07</v>
    <v>5.28</v>
    <v>5.31</v>
    <v>4.8600000000000003</v>
    <v>4.99</v>
    <v>4.91</v>
    <v>4.97</v>
    <v>4.99</v>
    <v>4.99</v>
    <v>5.0599999999999996</v>
    <v>5.01</v>
    <v>5.03</v>
    <v>5.0599999999999996</v>
    <v>5.03</v>
    <v>5.09</v>
    <v>5.2</v>
    <v>5.18</v>
    <v>5.09</v>
    <v>5.19</v>
    <v>5.19</v>
    <v>5.24</v>
    <v>5.31</v>
    <v>5.34</v>
    <v>5.36</v>
    <v>5.34</v>
    <v>5.41</v>
    <v>5.39</v>
    <v>5.35</v>
    <v>5.22</v>
    <v>5.31</v>
    <v>5.34</v>
    <v>5.41</v>
    <v>5.39</v>
    <v>5.41</v>
    <v>5.43</v>
    <v>5.35</v>
    <v>5.28</v>
    <v>5.32</v>
    <v>5.19</v>
    <v>5.3</v>
    <v>5.15</v>
    <v>5.17</v>
    <v>5.13</v>
    <v>5.17</v>
    <v>5.2</v>
    <v>5.17</v>
    <v>5.16</v>
    <v>5.17</v>
    <v>5.18</v>
    <v>5.23</v>
    <v>5.2</v>
    <v>5.19</v>
    <v>5.13</v>
    <v>5.15</v>
    <v>5.0999999999999996</v>
    <v>5.0599999999999996</v>
    <v>4.9800000000000004</v>
    <v>4.88</v>
    <v>4.75</v>
    <v>4.75</v>
    <v>4.78</v>
    <v>4.75</v>
    <v>4.75</v>
    <v>4.46</v>
    <v>4.5199999999999996</v>
    <v>4.34</v>
    <v>4.33</v>
    <v>4.26</v>
    <v>4.18</v>
    <v>4.1100000000000003</v>
    <v>4.08</v>
    <v>4.05</v>
    <v>4.09</v>
    <v>4.09</v>
    <v>4.12</v>
    <v>4.1100000000000003</v>
    <v>4.0999999999999996</v>
    <v>4.0999999999999996</v>
    <v>4.1399999999999997</v>
    <v>4.1900000000000004</v>
    <v>4.13</v>
    <v>4.2</v>
    <v>4.25</v>
    <v>4.21</v>
    <v>4.24</v>
    <v>4.24</v>
    <v>4.3099999999999996</v>
    <v>4.34</v>
    <v>4.29</v>
    <v>4.32</v>
    <v>4.29</v>
    <v>4.3</v>
    <v>4.2300000000000004</v>
    <v>4.38</v>
    <v>4.5999999999999996</v>
    <v>4.55</v>
    <v>4.59</v>
    <v>4.59</v>
    <v>4.57</v>
    <v>4.62</v>
    <v>4.51</v>
    <v>4.55</v>
    <v>4.6100000000000003</v>
    <v>4.7</v>
    <v>4.76</v>
    <v>4.74</v>
    <v>4.7699999999999996</v>
    <v>4.8499999999999996</v>
    <v>4.74</v>
    <v>4.68</v>
    <v>4.66</v>
    <v>4.7</v>
    <v>4.8099999999999996</v>
    <v>4.82</v>
    <v>4.88</v>
    <v>4.9000000000000004</v>
    <v>4.95</v>
    <v>5.07</v>
    <v>5.17</v>
    <v>5.18</v>
    <v>5.32</v>
    <v>5.25</v>
    <v>5.47</v>
    <v>5.65</v>
    <v>5.68</v>
    <v>5.74</v>
    <v>5.71</v>
    <v>5.58</v>
    <v>5.55</v>
    <v>6.17</v>
    <v>6.3</v>
    <v>6.36</v>
    <v>7.77</v>
    <v>7.33</v>
    <v>7.13</v>
    <v>6.91</v>
    <v>7.15</v>
    <v>6.81</v>
    <v>6.85</v>
    <v>6.91</v>
    <v>6.84</v>
    <v>6.97</v>
    <v>6.9</v>
    <v>7.02</v>
    <v>6.78</v>
    <v>6.73</v>
    <v>6.66</v>
    <v>6.64</v>
    <v>6.03</v>
    <v>5.87</v>
    <v>5.94</v>
    <v>6.09</v>
    <v>6.06</v>
    <v>6.08</v>
    <v>6.08</v>
    <v>6.12</v>
    <v>6.19</v>
    <v>6.26</v>
    <v>6.16</v>
    <v>6.07</v>
    <v>6.15</v>
    <v>6.18</v>
    <v>6.22</v>
    <v>6.36</v>
    <v>6.27</v>
    <v>6.2</v>
    <v>6.29</v>
    <v>6.22</v>
    <v>6.38</v>
    <v>6.5</v>
    <v>6.54</v>
    <v>6.53</v>
    <v>6.59</v>
    <v>6.62</v>
    <v>6.58</v>
    <v>6.51</v>
    <v>6.47</v>
    <v>6.51</v>
    <v>6.5</v>
    <v>6.47</v>
    <v>6.79</v>
    <v>6.49</v>
    <v>6.48</v>
    <v>6.58</v>
    <v>6.52</v>
    <v>6.36</v>
    <v>6.61</v>
    <v>6.55</v>
    <v>6.41</v>
    <v>6.44</v>
    <v>6.5</v>
    <v>6.77</v>
    <v>6.91</v>
    <v>6.94</v>
    <v>6.82</v>
    <v>6.29</v>
    <v>6.43</v>
    <v>6.66</v>
    <v>6.69</v>
    <v>6.8</v>
    <v>6.86</v>
    <v>7.07</v>
    <v>7.18</v>
    <v>7.08</v>
    <v>7.34</v>
    <v>6.97</v>
    <v>7.03</v>
    <v>7.3</v>
    <v>7.43</v>
    <v>7.6</v>
    <v>7.77</v>
    <v>7.57</v>
    <v>7.49</v>
    <v>7.57</v>
    <v>7.5</v>
    <v>7.72</v>
    <v>8.26</v>
    <v>8.07</v>
    <v>8.15</v>
    <v>7.85</v>
    <v>7.74</v>
    <v>7.89</v>
    <v>7.8</v>
    <v>7.9</v>
    <v>8.14</v>
    <v>8.24</v>
    <v>8.65</v>
    <v>8.5500000000000007</v>
    <v>8.36</v>
    <v>8.3000000000000007</v>
    <v>7.98</v>
    <v>8.06</v>
    <v>8.25</v>
    <v>8.41</v>
    <v>8.2799999999999994</v>
    <v>7.98</v>
    <v>7.96</v>
    <v>8.0399999999999991</v>
    <v>8.27</v>
    <v>8.82</v>
    <v>8.89</v>
    <v>8.85</v>
    <v>9.44</v>
    <v>9.5500000000000007</v>
    <v>9.4600000000000009</v>
    <v>10.37</v>
    <v>10.35</v>
    <v>9.99</v>
    <v>10.29</v>
    <v>10.31</v>
    <v>10.6</v>
    <v>10.4</v>
    <v>9.86</v>
    <v>10.33</v>
    <v>10.46</v>
    <v>10.76</v>
    <v>11.3</v>
    <v>12.46</v>
    <v>12.91</v>
    <v>13.3</v>
    <v>13.14</v>
    <v>13.42</v>
    <v>13.19</v>
    <v>12.35</v>
    <v>12.82</v>
    <v>13.92</v>
    <v>13.17</v>
    <v>14.71</v>
    <v>14.46</v>
    <v>13.95</v>
    <v>13.74</v>
    <v>13.67</v>
    <v>13.62</v>
    <v>14.18</v>
    <v>15.47</v>
    <v>16.46</v>
    <v>15.68</v>
    <v>15.28</v>
    <v>14.84</v>
    <v>16.25</v>
    <v>16.850000000000001</v>
    <v>16.73</v>
    <v>16.62</v>
    <v>14.38</v>
    <v>14.59</v>
    <v>13.85</v>
    <v>13.4</v>
    <v>14.09</v>
    <v>14.8</v>
    <v>14.82</v>
    <v>13.98</v>
    <v>13.83</v>
    <v>13.49</v>
    <v>14.43</v>
    <v>13.7</v>
    <v>13.81</v>
    <v>13.98</v>
    <v>13.01</v>
    <v>13.03</v>
    <v>13.28</v>
    <v>12.91</v>
    <v>12.07</v>
    <v>12.51</v>
    <v>11.85</v>
    <v>11.95</v>
    <v>12.9</v>
    <v>12.44</v>
    <v>11.69</v>
    <v>11.7</v>
    <v>11.25</v>
    <v>10.38</v>
    <v>10.119999999999999</v>
    <v>10.08</v>
    <v>10.63</v>
    <v>10.28</v>
    <v>9.73</v>
    <v>9.1</v>
    <v>9.2799999999999994</v>
    <v>8.93</v>
    <v>8.41</v>
    <v>9.09</v>
    <v>9.14</v>
    <v>9.36</v>
    <v>9.92</v>
    <v>9.58</v>
    <v>9.43</v>
    <v>9.36</v>
    <v>9.1300000000000008</v>
    <v>9.44</v>
    <v>10.32</v>
    <v>10.56</v>
    <v>10.76</v>
    <v>10.78</v>
    <v>10.39</v>
    <v>10.130000000000001</v>
    <v>10.15</v>
    <v>10.210000000000001</v>
    <v>9.9600000000000009</v>
    <v>10.35</v>
    <v>10.41</v>
    <v>10.59</v>
    <v>10.210000000000001</v>
    <v>10.14</v>
    <v>9.93</v>
    <v>9.84</v>
    <v>9.77</v>
    <v>10.029999999999999</v>
    <v>10.65</v>
    <v>10.76</v>
    <v>10.62</v>
    <v>11.13</v>
    <v>9.65</v>
    <v>9.84</v>
    <v>10.14</v>
    <v>10.6</v>
    <v>10.68</v>
    <v>10.94</v>
    <v>10.82</v>
    <v>10.63</v>
    <v>10.43</v>
    <v>10.39</v>
    <v>10.119999999999999</v>
    <v>10.36</v>
    <v>10.14</v>
    <v>10.37</v>
    <v>10.6</v>
    <v>10.199999999999999</v>
    <v>10.97</v>
    <v>10.62</v>
    <v>10.14</v>
    <v>10.36</v>
    <v>9.9</v>
    <v>9.86</v>
    <v>9.4</v>
    <v>9.57</v>
    <v>9.14</v>
    <v>9.08</v>
    <v>9.02</v>
    <v>9.25</v>
    <v>7.88</v>
    <v>8.14</v>
  </a>
  <a r="1" c="252">
    <v>6.17</v>
    <v>6.3</v>
    <v>6.36</v>
    <v>7.77</v>
    <v>7.33</v>
    <v>7.13</v>
    <v>6.91</v>
    <v>7.15</v>
    <v>6.81</v>
    <v>6.85</v>
    <v>6.91</v>
    <v>6.84</v>
    <v>6.97</v>
    <v>6.9</v>
    <v>7.02</v>
    <v>6.78</v>
    <v>6.73</v>
    <v>6.66</v>
    <v>6.64</v>
    <v>6.03</v>
    <v>5.87</v>
    <v>5.94</v>
    <v>6.09</v>
    <v>6.06</v>
    <v>6.08</v>
    <v>6.08</v>
    <v>6.12</v>
    <v>6.19</v>
    <v>6.26</v>
    <v>6.16</v>
    <v>6.07</v>
    <v>6.15</v>
    <v>6.18</v>
    <v>6.22</v>
    <v>6.36</v>
    <v>6.27</v>
    <v>6.2</v>
    <v>6.29</v>
    <v>6.22</v>
    <v>6.38</v>
    <v>6.5</v>
    <v>6.54</v>
    <v>6.53</v>
    <v>6.59</v>
    <v>6.62</v>
    <v>6.58</v>
    <v>6.51</v>
    <v>6.47</v>
    <v>6.51</v>
    <v>6.5</v>
    <v>6.47</v>
    <v>6.79</v>
    <v>6.49</v>
    <v>6.48</v>
    <v>6.58</v>
    <v>6.52</v>
    <v>6.36</v>
    <v>6.61</v>
    <v>6.55</v>
    <v>6.41</v>
    <v>6.44</v>
    <v>6.5</v>
    <v>6.77</v>
    <v>6.91</v>
    <v>6.94</v>
    <v>6.82</v>
    <v>6.29</v>
    <v>6.43</v>
    <v>6.66</v>
    <v>6.69</v>
    <v>6.8</v>
    <v>6.86</v>
    <v>7.07</v>
    <v>7.18</v>
    <v>7.08</v>
    <v>7.34</v>
    <v>6.97</v>
    <v>7.03</v>
    <v>7.3</v>
    <v>7.43</v>
    <v>7.6</v>
    <v>7.77</v>
    <v>7.57</v>
    <v>7.49</v>
    <v>7.57</v>
    <v>7.5</v>
    <v>7.72</v>
    <v>8.26</v>
    <v>8.07</v>
    <v>8.15</v>
    <v>7.85</v>
    <v>7.74</v>
    <v>7.89</v>
    <v>7.8</v>
    <v>7.9</v>
    <v>8.14</v>
    <v>8.24</v>
    <v>8.65</v>
    <v>8.5500000000000007</v>
    <v>8.36</v>
    <v>8.3000000000000007</v>
    <v>7.98</v>
    <v>8.06</v>
    <v>8.25</v>
    <v>8.41</v>
    <v>8.2799999999999994</v>
    <v>7.98</v>
    <v>7.96</v>
    <v>8.0399999999999991</v>
    <v>8.27</v>
    <v>8.82</v>
    <v>8.89</v>
    <v>8.85</v>
    <v>9.44</v>
    <v>9.5500000000000007</v>
    <v>9.4600000000000009</v>
    <v>10.37</v>
    <v>10.35</v>
    <v>9.99</v>
    <v>10.29</v>
    <v>10.31</v>
    <v>10.6</v>
    <v>10.4</v>
    <v>9.86</v>
    <v>10.33</v>
    <v>10.46</v>
    <v>10.76</v>
    <v>11.3</v>
    <v>12.46</v>
    <v>12.91</v>
    <v>13.3</v>
    <v>13.14</v>
    <v>13.42</v>
    <v>13.19</v>
    <v>12.35</v>
    <v>12.82</v>
    <v>13.92</v>
    <v>13.17</v>
    <v>14.71</v>
    <v>14.46</v>
    <v>13.95</v>
    <v>13.74</v>
    <v>13.67</v>
    <v>13.62</v>
    <v>14.18</v>
    <v>15.47</v>
    <v>16.46</v>
    <v>15.68</v>
    <v>15.28</v>
    <v>14.84</v>
    <v>16.25</v>
    <v>16.850000000000001</v>
    <v>16.73</v>
    <v>16.62</v>
    <v>14.38</v>
    <v>14.59</v>
    <v>13.85</v>
    <v>13.4</v>
    <v>14.09</v>
    <v>14.8</v>
    <v>14.82</v>
    <v>13.98</v>
    <v>13.83</v>
    <v>13.49</v>
    <v>14.43</v>
    <v>13.7</v>
    <v>13.81</v>
    <v>13.98</v>
    <v>13.01</v>
    <v>13.03</v>
    <v>13.28</v>
    <v>12.91</v>
    <v>12.07</v>
    <v>12.51</v>
    <v>11.85</v>
    <v>11.95</v>
    <v>12.9</v>
    <v>12.44</v>
    <v>11.69</v>
    <v>11.7</v>
    <v>11.25</v>
    <v>10.38</v>
    <v>10.119999999999999</v>
    <v>10.08</v>
    <v>10.63</v>
    <v>10.28</v>
    <v>9.73</v>
    <v>9.1</v>
    <v>9.2799999999999994</v>
    <v>8.93</v>
    <v>8.41</v>
    <v>9.09</v>
    <v>9.14</v>
    <v>9.36</v>
    <v>9.92</v>
    <v>9.58</v>
    <v>9.43</v>
    <v>9.36</v>
    <v>9.1300000000000008</v>
    <v>9.44</v>
    <v>10.32</v>
    <v>10.56</v>
    <v>10.76</v>
    <v>10.78</v>
    <v>10.39</v>
    <v>10.130000000000001</v>
    <v>10.15</v>
    <v>10.210000000000001</v>
    <v>9.9600000000000009</v>
    <v>10.35</v>
    <v>10.41</v>
    <v>10.59</v>
    <v>10.210000000000001</v>
    <v>10.14</v>
    <v>9.93</v>
    <v>9.84</v>
    <v>9.77</v>
    <v>10.029999999999999</v>
    <v>10.65</v>
    <v>10.76</v>
    <v>10.62</v>
    <v>11.13</v>
    <v>9.65</v>
    <v>9.84</v>
    <v>10.14</v>
    <v>10.6</v>
    <v>10.68</v>
    <v>10.94</v>
    <v>10.82</v>
    <v>10.63</v>
    <v>10.43</v>
    <v>10.39</v>
    <v>10.119999999999999</v>
    <v>10.36</v>
    <v>10.14</v>
    <v>10.37</v>
    <v>10.6</v>
    <v>10.199999999999999</v>
    <v>10.97</v>
    <v>10.62</v>
    <v>10.14</v>
    <v>10.36</v>
    <v>9.9</v>
    <v>9.86</v>
    <v>9.4</v>
    <v>9.57</v>
    <v>9.14</v>
    <v>9.08</v>
    <v>9.02</v>
    <v>9.25</v>
    <v>7.88</v>
    <v>8.14</v>
  </a>
  <a r="1" c="205">
    <v>72.88</v>
    <v>68.84</v>
    <v>66.430000000000007</v>
    <v>69.319999999999993</v>
    <v>70.010000000000005</v>
    <v>72.92</v>
    <v>68.34</v>
    <v>66.760000000000005</v>
    <v>65.13</v>
    <v>66.19</v>
    <v>65.959999999999994</v>
    <v>67.510000000000005</v>
    <v>64.63</v>
    <v>67.7</v>
    <v>67.44</v>
    <v>65.92</v>
    <v>65.099999999999994</v>
    <v>64.95</v>
    <v>67.180000000000007</v>
    <v>69.180000000000007</v>
    <v>68.150000000000006</v>
    <v>71.25</v>
    <v>73.34</v>
    <v>69.13</v>
    <v>66.36</v>
    <v>68.790000000000006</v>
    <v>69.510000000000005</v>
    <v>72.58</v>
    <v>72.72</v>
    <v>73.540000000000006</v>
    <v>74.599999999999994</v>
    <v>74.34</v>
    <v>76.23</v>
    <v>75.87</v>
    <v>76</v>
    <v>74.959999999999994</v>
    <v>79.67</v>
    <v>78.290000000000006</v>
    <v>77.150000000000006</v>
    <v>78.7</v>
    <v>76.094999999999999</v>
    <v>71.11</v>
    <v>71.14</v>
    <v>71.36</v>
    <v>70.41</v>
    <v>69.06</v>
    <v>66.349999999999994</v>
    <v>66.239999999999995</v>
    <v>63.594999999999999</v>
    <v>63.35</v>
    <v>63.48</v>
    <v>65.010000000000005</v>
    <v>65.5</v>
    <v>65.53</v>
    <v>62.65</v>
    <v>59.61</v>
    <v>58.16</v>
    <v>59.57</v>
    <v>59.91</v>
    <v>55.31</v>
    <v>54.69</v>
    <v>56.78</v>
    <v>58.7</v>
    <v>58.31</v>
    <v>60.33</v>
    <v>59.01</v>
    <v>62.01</v>
    <v>62.06</v>
    <v>60.19</v>
    <v>62.92</v>
    <v>66.48</v>
    <v>66.61</v>
    <v>64.510000000000005</v>
    <v>67.08</v>
    <v>66.930000000000007</v>
    <v>64.06</v>
    <v>67.09</v>
    <v>65.12</v>
    <v>66.28</v>
    <v>65.47</v>
    <v>64.400000000000006</v>
    <v>62.43</v>
    <v>68.63</v>
    <v>70.23</v>
    <v>70.239999999999995</v>
    <v>70.989999999999995</v>
    <v>74.540000000000006</v>
    <v>72.03</v>
    <v>71.77</v>
    <v>71.5</v>
    <v>69.180000000000007</v>
    <v>69.08</v>
    <v>69.8</v>
    <v>65.760000000000005</v>
    <v>65.63</v>
    <v>65.55</v>
    <v>70.040000000000006</v>
    <v>71.23</v>
    <v>72.19</v>
    <v>72.64</v>
    <v>71.319999999999993</v>
    <v>72.98</v>
    <v>70.69</v>
    <v>68.08</v>
    <v>70.41</v>
    <v>72.41</v>
    <v>76.489999999999995</v>
    <v>74.31</v>
    <v>74.84</v>
    <v>79.819999999999993</v>
    <v>79.459999999999994</v>
    <v>85.11</v>
    <v>82.14</v>
    <v>84.21</v>
    <v>82.57</v>
    <v>82.39</v>
    <v>84.81</v>
    <v>86.06</v>
    <v>87.01</v>
    <v>87.21</v>
    <v>89.07</v>
    <v>88.38</v>
    <v>87.42</v>
    <v>85.81</v>
    <v>89.23</v>
    <v>89.25</v>
    <v>91.56</v>
    <v>91.04</v>
    <v>87.99</v>
    <v>88.77</v>
    <v>88.03</v>
    <v>87.9</v>
    <v>86.59</v>
    <v>90.62</v>
    <v>92.3</v>
    <v>92.58</v>
    <v>93.42</v>
    <v>95.65</v>
    <v>93.87</v>
    <v>91.1</v>
    <v>92.32</v>
    <v>92.1</v>
    <v>91.9</v>
    <v>91.93</v>
    <v>93.48</v>
    <v>92.54</v>
    <v>92.8</v>
    <v>94.61</v>
    <v>91.25</v>
    <v>79.05</v>
    <v>77.42</v>
    <v>75.06</v>
    <v>74.28</v>
    <v>75.58</v>
    <v>75.59</v>
    <v>79.47</v>
    <v>76.62</v>
    <v>75.215000000000003</v>
    <v>75.36</v>
    <v>71.52</v>
    <v>72.67</v>
    <v>72.06</v>
    <v>72.150000000000006</v>
    <v>72.45</v>
    <v>71.8</v>
    <v>70.64</v>
    <v>69.33</v>
    <v>69.55</v>
    <v>74.92</v>
    <v>72.3</v>
    <v>74.290000000000006</v>
    <v>75.290000000000006</v>
    <v>74.510000000000005</v>
    <v>71.39</v>
    <v>70.94</v>
    <v>71.92</v>
    <v>71.48</v>
    <v>71.16</v>
    <v>69.56</v>
    <v>69.3</v>
    <v>67.739999999999995</v>
    <v>70.239999999999995</v>
    <v>67.760000000000005</v>
    <v>65.58</v>
    <v>65.97</v>
    <v>65.34</v>
    <v>63.7</v>
    <v>64.17</v>
    <v>63.04</v>
    <v>64.06</v>
    <v>66.47</v>
    <v>65.290000000000006</v>
    <v>63.85</v>
    <v>60.61</v>
    <v>61.67</v>
    <v>61.63</v>
    <v>58.45</v>
    <v>57.88</v>
    <v>61.36</v>
    <v>59.18</v>
    <v>58.26</v>
    <v>61.07</v>
    <v>62.28</v>
    <v>63.52</v>
    <v>63.8</v>
  </a>
  <a r="1" c="754">
    <v>33.6</v>
    <v>33.119999999999997</v>
    <v>30.91</v>
    <v>30.3</v>
    <v>31.52</v>
    <v>31.65</v>
    <v>29.28</v>
    <v>31.55</v>
    <v>34.21</v>
    <v>35.31</v>
    <v>33.93</v>
    <v>32.700000000000003</v>
    <v>25.114999999999998</v>
    <v>22.78</v>
    <v>21.68</v>
    <v>22.05</v>
    <v>25.81</v>
    <v>23.27</v>
    <v>23.17</v>
    <v>22</v>
    <v>22</v>
    <v>24.21</v>
    <v>25.13</v>
    <v>25.15</v>
    <v>23.57</v>
    <v>24.86</v>
    <v>24.74</v>
    <v>25.65</v>
    <v>25.73</v>
    <v>25.36</v>
    <v>24.46</v>
    <v>23.29</v>
    <v>23.18</v>
    <v>23.23</v>
    <v>22.95</v>
    <v>22.88</v>
    <v>24.12</v>
    <v>26.99</v>
    <v>25.56</v>
    <v>22.99</v>
    <v>24.74</v>
    <v>23.09</v>
    <v>24.14</v>
    <v>24.74</v>
    <v>25.37</v>
    <v>25.33</v>
    <v>25.68</v>
    <v>25.89</v>
    <v>26.59</v>
    <v>24.83</v>
    <v>25.46</v>
    <v>26.91</v>
    <v>27.63</v>
    <v>28.42</v>
    <v>31.68</v>
    <v>34.1</v>
    <v>35.46</v>
    <v>34.72</v>
    <v>34.61</v>
    <v>36.130000000000003</v>
    <v>36.299999999999997</v>
    <v>37.57</v>
    <v>36.86</v>
    <v>35.299999999999997</v>
    <v>36.01</v>
    <v>35.9</v>
    <v>38.29</v>
    <v>37.880000000000003</v>
    <v>38.5</v>
    <v>38.020000000000003</v>
    <v>37.94</v>
    <v>36.57</v>
    <v>38.22</v>
    <v>37.700000000000003</v>
    <v>38.36</v>
    <v>38.159999999999997</v>
    <v>39.19</v>
    <v>37.25</v>
    <v>37.270000000000003</v>
    <v>39.020000000000003</v>
    <v>40</v>
    <v>37.6</v>
    <v>35.799999999999997</v>
    <v>36.76</v>
    <v>36.950000000000003</v>
    <v>39.67</v>
    <v>39.69</v>
    <v>38.46</v>
    <v>45.68</v>
    <v>44.11</v>
    <v>47.47</v>
    <v>46.02</v>
    <v>49.25</v>
    <v>49.9</v>
    <v>50.41</v>
    <v>48.73</v>
    <v>50.03</v>
    <v>50.42</v>
    <v>48.27</v>
    <v>48.994999999999997</v>
    <v>50.69</v>
    <v>50.34</v>
    <v>51.04</v>
    <v>48.84</v>
    <v>47.7</v>
    <v>47.76</v>
    <v>49.7</v>
    <v>50.76</v>
    <v>50.9</v>
    <v>48.8</v>
    <v>50.45</v>
    <v>52.79</v>
    <v>52.7</v>
    <v>54.16</v>
    <v>54.19</v>
    <v>55.38</v>
    <v>53.19</v>
    <v>53.04</v>
    <v>50.75</v>
    <v>51.02</v>
    <v>51.74</v>
    <v>52.15</v>
    <v>52.57</v>
    <v>47.38</v>
    <v>48.27</v>
    <v>49.69</v>
    <v>48.95</v>
    <v>48.54</v>
    <v>48.47</v>
    <v>49</v>
    <v>50.01</v>
    <v>50.61</v>
    <v>49.5</v>
    <v>52.83</v>
    <v>54.38</v>
    <v>53.94</v>
    <v>51.25</v>
    <v>56.83</v>
    <v>55.96</v>
    <v>56.19</v>
    <v>58.81</v>
    <v>59.86</v>
    <v>57.96</v>
    <v>56.57</v>
    <v>54</v>
    <v>54.37</v>
    <v>53.3</v>
    <v>53.1</v>
    <v>53.54</v>
    <v>53.07</v>
    <v>51.72</v>
    <v>51.6</v>
    <v>52.23</v>
    <v>51.82</v>
    <v>50.8</v>
    <v>53.89</v>
    <v>51.75</v>
    <v>48.12</v>
    <v>48.47</v>
    <v>46.59</v>
    <v>47.43</v>
    <v>44.72</v>
    <v>44.48</v>
    <v>43.21</v>
    <v>43.5</v>
    <v>42.73</v>
    <v>41.46</v>
    <v>44.54</v>
    <v>44.53</v>
    <v>43.59</v>
    <v>43.88</v>
    <v>45.44</v>
    <v>43.34</v>
    <v>42.75</v>
    <v>43.73</v>
    <v>43.23</v>
    <v>44.97</v>
    <v>44.29</v>
    <v>43.31</v>
    <v>45.63</v>
    <v>44.89</v>
    <v>45.52</v>
    <v>48.99</v>
    <v>47.52</v>
    <v>46.44</v>
    <v>45.47</v>
    <v>47.35</v>
    <v>48.01</v>
    <v>47.78</v>
    <v>48.14</v>
    <v>48.2</v>
    <v>47.06</v>
    <v>45.39</v>
    <v>44.44</v>
    <v>42.51</v>
    <v>37.590000000000003</v>
    <v>34.4</v>
    <v>36.53</v>
    <v>35.56</v>
    <v>38.99</v>
    <v>41.49</v>
    <v>41.04</v>
    <v>42.39</v>
    <v>41.51</v>
    <v>43.27</v>
    <v>42.22</v>
    <v>43.78</v>
    <v>44.06</v>
    <v>44.05</v>
    <v>43.33</v>
    <v>45.65</v>
    <v>46.08</v>
    <v>46.27</v>
    <v>46.19</v>
    <v>44.52</v>
    <v>45.82</v>
    <v>42.2</v>
    <v>41.79</v>
    <v>42.5</v>
    <v>41.59</v>
    <v>42.29</v>
    <v>42.79</v>
    <v>40.99</v>
    <v>42.29</v>
    <v>44.2</v>
    <v>44.66</v>
    <v>43.56</v>
    <v>42.33</v>
    <v>43.96</v>
    <v>42.45</v>
    <v>40.130000000000003</v>
    <v>39.770000000000003</v>
    <v>39.9</v>
    <v>41.195</v>
    <v>47.04</v>
    <v>43.27</v>
    <v>40.56</v>
    <v>44.66</v>
    <v>41.82</v>
    <v>45.25</v>
    <v>46.23</v>
    <v>42.49</v>
    <v>41.32</v>
    <v>38.79</v>
    <v>39.83</v>
    <v>41.28</v>
    <v>42.53</v>
    <v>42.91</v>
    <v>42.29</v>
    <v>41.91</v>
    <v>41.8</v>
    <v>45.16</v>
    <v>44.96</v>
    <v>44.87</v>
    <v>44.64</v>
    <v>44.76</v>
    <v>44.84</v>
    <v>44.97</v>
    <v>43.09</v>
    <v>45.42</v>
    <v>46.76</v>
    <v>47.9</v>
    <v>48.81</v>
    <v>48.12</v>
    <v>46.25</v>
    <v>45.29</v>
    <v>42.38</v>
    <v>39.32</v>
    <v>37.51</v>
    <v>37.79</v>
    <v>37.78</v>
    <v>37.520000000000003</v>
    <v>41.81</v>
    <v>42.61</v>
    <v>43.08</v>
    <v>45.55</v>
    <v>45.57</v>
    <v>46.07</v>
    <v>45.89</v>
    <v>46</v>
    <v>44.43</v>
    <v>44.17</v>
    <v>41.79</v>
    <v>43.95</v>
    <v>43.27</v>
    <v>43.28</v>
    <v>46.52</v>
    <v>45.71</v>
    <v>46</v>
    <v>45.81</v>
    <v>44.67</v>
    <v>42.46</v>
    <v>38.94</v>
    <v>40.01</v>
    <v>42.14</v>
    <v>44.49</v>
    <v>46.24</v>
    <v>45.94</v>
    <v>45.37</v>
    <v>46.07</v>
    <v>45.28</v>
    <v>46.26</v>
    <v>46.65</v>
    <v>46.82</v>
    <v>47.28</v>
    <v>45.79</v>
    <v>33.71</v>
    <v>33.15</v>
    <v>34.65</v>
    <v>34.64</v>
    <v>34.56</v>
    <v>35.56</v>
    <v>36.229999999999997</v>
    <v>34.020000000000003</v>
    <v>32.89</v>
    <v>33.32</v>
    <v>33</v>
    <v>33.83</v>
    <v>33.76</v>
    <v>32.049999999999997</v>
    <v>29.94</v>
    <v>30.725000000000001</v>
    <v>30.8</v>
    <v>30.27</v>
    <v>28.51</v>
    <v>30.15</v>
    <v>30.26</v>
    <v>30.16</v>
    <v>33.590000000000003</v>
    <v>36.08</v>
    <v>35.380000000000003</v>
    <v>36.090000000000003</v>
    <v>35.03</v>
    <v>33.43</v>
    <v>35.21</v>
    <v>35.78</v>
    <v>36.06</v>
    <v>42.53</v>
    <v>42.87</v>
    <v>42.88</v>
    <v>46.2</v>
    <v>43.6</v>
    <v>42.08</v>
    <v>41.7</v>
    <v>36.69</v>
    <v>35.79</v>
    <v>38.049999999999997</v>
    <v>34.82</v>
    <v>37.04</v>
    <v>39.270000000000003</v>
    <v>38.79</v>
    <v>39.83</v>
    <v>39.46</v>
    <v>39.67</v>
    <v>41.22</v>
    <v>41.56</v>
    <v>39.92</v>
    <v>40.64</v>
    <v>40.43</v>
    <v>40.805</v>
    <v>40.11</v>
    <v>41.59</v>
    <v>33.86</v>
    <v>32.299999999999997</v>
    <v>31.3</v>
    <v>27.31</v>
    <v>34.520000000000003</v>
    <v>30.14</v>
    <v>30.34</v>
    <v>31.32</v>
    <v>31.465</v>
    <v>30.18</v>
    <v>31.45</v>
    <v>29.41</v>
    <v>28.78</v>
    <v>29.78</v>
    <v>29.79</v>
    <v>29.97</v>
    <v>29.57</v>
    <v>30.26</v>
    <v>30.35</v>
    <v>31.04</v>
    <v>33.39</v>
    <v>33.520000000000003</v>
    <v>33.020000000000003</v>
    <v>33.270000000000003</v>
    <v>34.799999999999997</v>
    <v>33.92</v>
    <v>34.58</v>
    <v>34.96</v>
    <v>36.46</v>
    <v>36.619999999999997</v>
    <v>36.159999999999997</v>
    <v>36.82</v>
    <v>37.659999999999997</v>
    <v>35.875</v>
    <v>36.85</v>
    <v>36.619999999999997</v>
    <v>36.895000000000003</v>
    <v>35.89</v>
    <v>34.68</v>
    <v>34.42</v>
    <v>33.97</v>
    <v>36.700000000000003</v>
    <v>37.18</v>
    <v>38.020000000000003</v>
    <v>38</v>
    <v>38.49</v>
    <v>38.869999999999997</v>
    <v>38.54</v>
    <v>37.119999999999997</v>
    <v>37.44</v>
    <v>38.909999999999997</v>
    <v>37.409999999999997</v>
    <v>38.03</v>
    <v>37.81</v>
    <v>36.58</v>
    <v>35.76</v>
    <v>37.5</v>
    <v>40.840000000000003</v>
    <v>40.93</v>
    <v>42.71</v>
    <v>43.4</v>
    <v>44.36</v>
    <v>43.54</v>
    <v>46.11</v>
    <v>43.97</v>
    <v>45.06</v>
    <v>45.97</v>
    <v>44.89</v>
    <v>45.524999999999999</v>
    <v>44.42</v>
    <v>43.66</v>
    <v>42.45</v>
    <v>41.57</v>
    <v>42.6</v>
    <v>43.47</v>
    <v>43.18</v>
    <v>43.145000000000003</v>
    <v>42.41</v>
    <v>42.48</v>
    <v>41.23</v>
    <v>41.96</v>
    <v>41.954999999999998</v>
    <v>41.34</v>
    <v>42.72</v>
    <v>44.03</v>
    <v>41.79</v>
    <v>35.96</v>
    <v>34.799999999999997</v>
    <v>33.630000000000003</v>
    <v>33.619999999999997</v>
    <v>38.340000000000003</v>
    <v>37.950000000000003</v>
    <v>38.32</v>
    <v>38.25</v>
    <v>37.700000000000003</v>
    <v>39.090000000000003</v>
    <v>40</v>
    <v>43.634999999999998</v>
    <v>40.659999999999997</v>
    <v>41.76</v>
    <v>42.44</v>
    <v>41</v>
    <v>41.27</v>
    <v>40.32</v>
    <v>38.369999999999997</v>
    <v>38.67</v>
    <v>39.03</v>
    <v>38.244999999999997</v>
    <v>39.21</v>
    <v>37.93</v>
    <v>37.81</v>
    <v>37.465000000000003</v>
    <v>36.840000000000003</v>
    <v>39.15</v>
    <v>39.1</v>
    <v>40.549999999999997</v>
    <v>39.46</v>
    <v>41.61</v>
    <v>42.59</v>
    <v>41.66</v>
    <v>39.11</v>
    <v>39.11</v>
    <v>41.37</v>
    <v>40.99</v>
    <v>40.82</v>
    <v>42.23</v>
    <v>41.43</v>
    <v>39.33</v>
    <v>40.450000000000003</v>
    <v>40.119999999999997</v>
    <v>40.119999999999997</v>
    <v>38.94</v>
    <v>41.16</v>
    <v>44.4</v>
    <v>44.86</v>
    <v>46.59</v>
    <v>47.265000000000001</v>
    <v>49.314999999999998</v>
    <v>49.33</v>
    <v>49.85</v>
    <v>49.59</v>
    <v>49.08</v>
    <v>50.805</v>
    <v>52.43</v>
    <v>52.29</v>
    <v>50.9</v>
    <v>47.95</v>
    <v>47.8</v>
    <v>49.4</v>
    <v>60.51</v>
    <v>64.91</v>
    <v>65</v>
    <v>67.69</v>
    <v>68.45</v>
    <v>63.19</v>
    <v>64.75</v>
    <v>63.99</v>
    <v>65.84</v>
    <v>64.569999999999993</v>
    <v>66.84</v>
    <v>66.05</v>
    <v>68.03</v>
    <v>69.14</v>
    <v>69</v>
    <v>68.010000000000005</v>
    <v>69.290000000000006</v>
    <v>67.790000000000006</v>
    <v>67.48</v>
    <v>67.760000000000005</v>
    <v>70.709999999999994</v>
    <v>70.73</v>
    <v>71.180000000000007</v>
    <v>71.010000000000005</v>
    <v>72.459999999999994</v>
    <v>72.72</v>
    <v>72.510000000000005</v>
    <v>72.03</v>
    <v>74.150000000000006</v>
    <v>74.709999999999994</v>
    <v>69.59</v>
    <v>74.415000000000006</v>
    <v>76.61</v>
    <v>76.13</v>
    <v>75.650000000000006</v>
    <v>76.45</v>
    <v>72.92</v>
    <v>72.92</v>
    <v>72.88</v>
    <v>68.84</v>
    <v>66.430000000000007</v>
    <v>69.319999999999993</v>
    <v>70.010000000000005</v>
    <v>72.92</v>
    <v>68.34</v>
    <v>66.760000000000005</v>
    <v>65.13</v>
    <v>66.19</v>
    <v>65.959999999999994</v>
    <v>67.510000000000005</v>
    <v>64.63</v>
    <v>67.7</v>
    <v>67.44</v>
    <v>65.92</v>
    <v>65.099999999999994</v>
    <v>64.95</v>
    <v>67.180000000000007</v>
    <v>69.180000000000007</v>
    <v>68.150000000000006</v>
    <v>71.25</v>
    <v>73.34</v>
    <v>69.13</v>
    <v>66.36</v>
    <v>68.790000000000006</v>
    <v>69.510000000000005</v>
    <v>72.58</v>
    <v>72.72</v>
    <v>73.540000000000006</v>
    <v>74.599999999999994</v>
    <v>74.34</v>
    <v>76.23</v>
    <v>75.87</v>
    <v>76</v>
    <v>74.959999999999994</v>
    <v>79.67</v>
    <v>78.290000000000006</v>
    <v>77.150000000000006</v>
    <v>78.7</v>
    <v>76.094999999999999</v>
    <v>71.11</v>
    <v>71.14</v>
    <v>71.36</v>
    <v>70.41</v>
    <v>69.06</v>
    <v>66.349999999999994</v>
    <v>66.239999999999995</v>
    <v>63.594999999999999</v>
    <v>63.35</v>
    <v>63.48</v>
    <v>65.010000000000005</v>
    <v>65.5</v>
    <v>65.53</v>
    <v>62.65</v>
    <v>59.61</v>
    <v>58.16</v>
    <v>59.57</v>
    <v>59.91</v>
    <v>55.31</v>
    <v>54.69</v>
    <v>56.78</v>
    <v>58.7</v>
    <v>58.31</v>
    <v>60.33</v>
    <v>59.01</v>
    <v>62.01</v>
    <v>62.06</v>
    <v>60.19</v>
    <v>62.92</v>
    <v>66.48</v>
    <v>66.61</v>
    <v>64.510000000000005</v>
    <v>67.08</v>
    <v>66.930000000000007</v>
    <v>64.06</v>
    <v>67.09</v>
    <v>65.12</v>
    <v>66.28</v>
    <v>65.47</v>
    <v>64.400000000000006</v>
    <v>62.43</v>
    <v>68.63</v>
    <v>70.23</v>
    <v>70.239999999999995</v>
    <v>70.989999999999995</v>
    <v>74.540000000000006</v>
    <v>72.03</v>
    <v>71.77</v>
    <v>71.5</v>
    <v>69.180000000000007</v>
    <v>69.08</v>
    <v>69.8</v>
    <v>65.760000000000005</v>
    <v>65.63</v>
    <v>65.55</v>
    <v>70.040000000000006</v>
    <v>71.23</v>
    <v>72.19</v>
    <v>72.64</v>
    <v>71.319999999999993</v>
    <v>72.98</v>
    <v>70.69</v>
    <v>68.08</v>
    <v>70.41</v>
    <v>72.41</v>
    <v>76.489999999999995</v>
    <v>74.31</v>
    <v>74.84</v>
    <v>79.819999999999993</v>
    <v>79.459999999999994</v>
    <v>85.11</v>
    <v>82.14</v>
    <v>84.21</v>
    <v>82.57</v>
    <v>82.39</v>
    <v>84.81</v>
    <v>86.06</v>
    <v>87.01</v>
    <v>87.21</v>
    <v>89.07</v>
    <v>88.38</v>
    <v>87.42</v>
    <v>85.81</v>
    <v>89.23</v>
    <v>89.25</v>
    <v>91.56</v>
    <v>91.04</v>
    <v>87.99</v>
    <v>88.77</v>
    <v>88.03</v>
    <v>87.9</v>
    <v>86.59</v>
    <v>90.62</v>
    <v>92.3</v>
    <v>92.58</v>
    <v>93.42</v>
    <v>95.65</v>
    <v>93.87</v>
    <v>91.1</v>
    <v>92.32</v>
    <v>92.1</v>
    <v>91.9</v>
    <v>91.93</v>
    <v>93.48</v>
    <v>92.54</v>
    <v>92.8</v>
    <v>94.61</v>
    <v>91.25</v>
    <v>79.05</v>
    <v>77.42</v>
    <v>75.06</v>
    <v>74.28</v>
    <v>75.58</v>
    <v>75.59</v>
    <v>79.47</v>
    <v>76.62</v>
    <v>75.215000000000003</v>
    <v>75.36</v>
    <v>71.52</v>
    <v>72.67</v>
    <v>72.06</v>
    <v>72.150000000000006</v>
    <v>72.45</v>
    <v>71.8</v>
    <v>70.64</v>
    <v>69.33</v>
    <v>69.55</v>
    <v>74.92</v>
    <v>72.3</v>
    <v>74.290000000000006</v>
    <v>75.290000000000006</v>
    <v>74.510000000000005</v>
    <v>71.39</v>
    <v>70.94</v>
    <v>71.92</v>
    <v>71.48</v>
    <v>71.16</v>
    <v>69.56</v>
    <v>69.3</v>
    <v>67.739999999999995</v>
    <v>70.239999999999995</v>
    <v>67.760000000000005</v>
    <v>65.58</v>
    <v>65.97</v>
    <v>65.34</v>
    <v>63.7</v>
    <v>64.17</v>
    <v>63.04</v>
    <v>64.06</v>
    <v>66.47</v>
    <v>65.290000000000006</v>
    <v>63.85</v>
    <v>60.61</v>
    <v>61.67</v>
    <v>61.63</v>
    <v>58.45</v>
    <v>57.88</v>
    <v>61.36</v>
    <v>59.18</v>
    <v>58.26</v>
    <v>61.07</v>
    <v>62.28</v>
    <v>63.52</v>
    <v>63.8</v>
  </a>
  <a r="1" c="252">
    <v>49.59</v>
    <v>49.08</v>
    <v>50.805</v>
    <v>52.43</v>
    <v>52.29</v>
    <v>50.9</v>
    <v>47.95</v>
    <v>47.8</v>
    <v>49.4</v>
    <v>60.51</v>
    <v>64.91</v>
    <v>65</v>
    <v>67.69</v>
    <v>68.45</v>
    <v>63.19</v>
    <v>64.75</v>
    <v>63.99</v>
    <v>65.84</v>
    <v>64.569999999999993</v>
    <v>66.84</v>
    <v>66.05</v>
    <v>68.03</v>
    <v>69.14</v>
    <v>69</v>
    <v>68.010000000000005</v>
    <v>69.290000000000006</v>
    <v>67.790000000000006</v>
    <v>67.48</v>
    <v>67.760000000000005</v>
    <v>70.709999999999994</v>
    <v>70.73</v>
    <v>71.180000000000007</v>
    <v>71.010000000000005</v>
    <v>72.459999999999994</v>
    <v>72.72</v>
    <v>72.510000000000005</v>
    <v>72.03</v>
    <v>74.150000000000006</v>
    <v>74.709999999999994</v>
    <v>69.59</v>
    <v>74.415000000000006</v>
    <v>76.61</v>
    <v>76.13</v>
    <v>75.650000000000006</v>
    <v>76.45</v>
    <v>72.92</v>
    <v>72.92</v>
    <v>72.88</v>
    <v>68.84</v>
    <v>66.430000000000007</v>
    <v>69.319999999999993</v>
    <v>70.010000000000005</v>
    <v>72.92</v>
    <v>68.34</v>
    <v>66.760000000000005</v>
    <v>65.13</v>
    <v>66.19</v>
    <v>65.959999999999994</v>
    <v>67.510000000000005</v>
    <v>64.63</v>
    <v>67.7</v>
    <v>67.44</v>
    <v>65.92</v>
    <v>65.099999999999994</v>
    <v>64.95</v>
    <v>67.180000000000007</v>
    <v>69.180000000000007</v>
    <v>68.150000000000006</v>
    <v>71.25</v>
    <v>73.34</v>
    <v>69.13</v>
    <v>66.36</v>
    <v>68.790000000000006</v>
    <v>69.510000000000005</v>
    <v>72.58</v>
    <v>72.72</v>
    <v>73.540000000000006</v>
    <v>74.599999999999994</v>
    <v>74.34</v>
    <v>76.23</v>
    <v>75.87</v>
    <v>76</v>
    <v>74.959999999999994</v>
    <v>79.67</v>
    <v>78.290000000000006</v>
    <v>77.150000000000006</v>
    <v>78.7</v>
    <v>76.094999999999999</v>
    <v>71.11</v>
    <v>71.14</v>
    <v>71.36</v>
    <v>70.41</v>
    <v>69.06</v>
    <v>66.349999999999994</v>
    <v>66.239999999999995</v>
    <v>63.594999999999999</v>
    <v>63.35</v>
    <v>63.48</v>
    <v>65.010000000000005</v>
    <v>65.5</v>
    <v>65.53</v>
    <v>62.65</v>
    <v>59.61</v>
    <v>58.16</v>
    <v>59.57</v>
    <v>59.91</v>
    <v>55.31</v>
    <v>54.69</v>
    <v>56.78</v>
    <v>58.7</v>
    <v>58.31</v>
    <v>60.33</v>
    <v>59.01</v>
    <v>62.01</v>
    <v>62.06</v>
    <v>60.19</v>
    <v>62.92</v>
    <v>66.48</v>
    <v>66.61</v>
    <v>64.510000000000005</v>
    <v>67.08</v>
    <v>66.930000000000007</v>
    <v>64.06</v>
    <v>67.09</v>
    <v>65.12</v>
    <v>66.28</v>
    <v>65.47</v>
    <v>64.400000000000006</v>
    <v>62.43</v>
    <v>68.63</v>
    <v>70.23</v>
    <v>70.239999999999995</v>
    <v>70.989999999999995</v>
    <v>74.540000000000006</v>
    <v>72.03</v>
    <v>71.77</v>
    <v>71.5</v>
    <v>69.180000000000007</v>
    <v>69.08</v>
    <v>69.8</v>
    <v>65.760000000000005</v>
    <v>65.63</v>
    <v>65.55</v>
    <v>70.040000000000006</v>
    <v>71.23</v>
    <v>72.19</v>
    <v>72.64</v>
    <v>71.319999999999993</v>
    <v>72.98</v>
    <v>70.69</v>
    <v>68.08</v>
    <v>70.41</v>
    <v>72.41</v>
    <v>76.489999999999995</v>
    <v>74.31</v>
    <v>74.84</v>
    <v>79.819999999999993</v>
    <v>79.459999999999994</v>
    <v>85.11</v>
    <v>82.14</v>
    <v>84.21</v>
    <v>82.57</v>
    <v>82.39</v>
    <v>84.81</v>
    <v>86.06</v>
    <v>87.01</v>
    <v>87.21</v>
    <v>89.07</v>
    <v>88.38</v>
    <v>87.42</v>
    <v>85.81</v>
    <v>89.23</v>
    <v>89.25</v>
    <v>91.56</v>
    <v>91.04</v>
    <v>87.99</v>
    <v>88.77</v>
    <v>88.03</v>
    <v>87.9</v>
    <v>86.59</v>
    <v>90.62</v>
    <v>92.3</v>
    <v>92.58</v>
    <v>93.42</v>
    <v>95.65</v>
    <v>93.87</v>
    <v>91.1</v>
    <v>92.32</v>
    <v>92.1</v>
    <v>91.9</v>
    <v>91.93</v>
    <v>93.48</v>
    <v>92.54</v>
    <v>92.8</v>
    <v>94.61</v>
    <v>91.25</v>
    <v>79.05</v>
    <v>77.42</v>
    <v>75.06</v>
    <v>74.28</v>
    <v>75.58</v>
    <v>75.59</v>
    <v>79.47</v>
    <v>76.62</v>
    <v>75.215000000000003</v>
    <v>75.36</v>
    <v>71.52</v>
    <v>72.67</v>
    <v>72.06</v>
    <v>72.150000000000006</v>
    <v>72.45</v>
    <v>71.8</v>
    <v>70.64</v>
    <v>69.33</v>
    <v>69.55</v>
    <v>74.92</v>
    <v>72.3</v>
    <v>74.290000000000006</v>
    <v>75.290000000000006</v>
    <v>74.510000000000005</v>
    <v>71.39</v>
    <v>70.94</v>
    <v>71.92</v>
    <v>71.48</v>
    <v>71.16</v>
    <v>69.56</v>
    <v>69.3</v>
    <v>67.739999999999995</v>
    <v>70.239999999999995</v>
    <v>67.760000000000005</v>
    <v>65.58</v>
    <v>65.97</v>
    <v>65.34</v>
    <v>63.7</v>
    <v>64.17</v>
    <v>63.04</v>
    <v>64.06</v>
    <v>66.47</v>
    <v>65.290000000000006</v>
    <v>63.85</v>
    <v>60.61</v>
    <v>61.67</v>
    <v>61.63</v>
    <v>58.45</v>
    <v>57.88</v>
    <v>61.36</v>
    <v>59.18</v>
    <v>58.26</v>
    <v>61.07</v>
    <v>62.28</v>
    <v>63.52</v>
    <v>63.8</v>
  </a>
  <a r="1" c="205">
    <v>120.34</v>
    <v>122.65</v>
    <v>125.36</v>
    <v>121.05</v>
    <v>118.49</v>
    <v>122.91</v>
    <v>124.61</v>
    <v>124.03</v>
    <v>126.54</v>
    <v>130.19999999999999</v>
    <v>129.13</v>
    <v>129.88999999999999</v>
    <v>130.46</v>
    <v>133.61000000000001</v>
    <v>133.63999999999999</v>
    <v>134.97</v>
    <v>134.84</v>
    <v>136.83000000000001</v>
    <v>137.58000000000001</v>
    <v>140.51</v>
    <v>141.4</v>
    <v>138.4</v>
    <v>143.72999999999999</v>
    <v>147.59</v>
    <v>146.08000000000001</v>
    <v>149.05000000000001</v>
    <v>151.21</v>
    <v>151.59</v>
    <v>155.56</v>
    <v>149.93</v>
    <v>148.44999999999999</v>
    <v>146.19</v>
    <v>150.68</v>
    <v>150.97</v>
    <v>147.28</v>
    <v>150.76</v>
    <v>149.26</v>
    <v>149.06</v>
    <v>148.54</v>
    <v>152.5</v>
    <v>154.22</v>
    <v>151.83000000000001</v>
    <v>149.82</v>
    <v>150.76</v>
    <v>151.21</v>
    <v>150.44</v>
    <v>148.13</v>
    <v>151.58000000000001</v>
    <v>153.53</v>
    <v>156.12</v>
    <v>157.22999999999999</v>
    <v>158.81</v>
    <v>157.59</v>
    <v>158.16</v>
    <v>159.66999999999999</v>
    <v>161.13</v>
    <v>165.38</v>
    <v>163.26</v>
    <v>165.43</v>
    <v>170.99</v>
    <v>171.47</v>
    <v>169.66</v>
    <v>160.78</v>
    <v>160.69</v>
    <v>163.37</v>
    <v>163.91</v>
    <v>156.22</v>
    <v>155.04</v>
    <v>152.51</v>
    <v>152.63999999999999</v>
    <v>149.24</v>
    <v>149.01</v>
    <v>151.97999999999999</v>
    <v>146.44</v>
    <v>147.68</v>
    <v>148.36000000000001</v>
    <v>149.5</v>
    <v>150.53</v>
    <v>148.91</v>
    <v>148.19</v>
    <v>150.56</v>
    <v>154.66999999999999</v>
    <v>154.33000000000001</v>
    <v>152.75</v>
    <v>153.69</v>
    <v>154.88</v>
    <v>148.69</v>
    <v>146.58000000000001</v>
    <v>144.57</v>
    <v>149.68</v>
    <v>150.63</v>
    <v>151.57</v>
    <v>152.78</v>
    <v>157.91999999999999</v>
    <v>160.49</v>
    <v>162.55000000000001</v>
    <v>156.28</v>
    <v>155.29</v>
    <v>154.91999999999999</v>
    <v>149.81</v>
    <v>147.9</v>
    <v>146.96</v>
    <v>145.26</v>
    <v>149.38</v>
    <v>149.56</v>
    <v>152.53</v>
    <v>152.04</v>
    <v>149.91999999999999</v>
    <v>151.75</v>
    <v>148.91</v>
    <v>150.62</v>
    <v>146.6</v>
    <v>147.01</v>
    <v>140.91999999999999</v>
    <v>141.86000000000001</v>
    <v>140.74</v>
    <v>137.81</v>
    <v>138.47</v>
    <v>139.72999999999999</v>
    <v>136.9</v>
    <v>137.55000000000001</v>
    <v>136.54</v>
    <v>136.06</v>
    <v>136.72</v>
    <v>136.28</v>
    <v>137.09</v>
    <v>136.44</v>
    <v>141.69</v>
    <v>141.13</v>
    <v>137.46</v>
    <v>138.88</v>
    <v>144.51</v>
    <v>145.09</v>
    <v>144.51</v>
    <v>145.94999999999999</v>
    <v>147.36000000000001</v>
    <v>148.36000000000001</v>
    <v>151.71</v>
    <v>154.44999999999999</v>
    <v>156.88999999999999</v>
    <v>156.94</v>
    <v>154.77000000000001</v>
    <v>153.04</v>
    <v>156.75</v>
    <v>156.97</v>
    <v>155.44</v>
    <v>155.06</v>
    <v>153.96</v>
    <v>151.63</v>
    <v>154.84</v>
    <v>153.04</v>
    <v>159.79</v>
    <v>159.80000000000001</v>
    <v>159.75</v>
    <v>158.61000000000001</v>
    <v>160.1</v>
    <v>161.46</v>
    <v>165.56</v>
    <v>164.77</v>
    <v>166.15</v>
    <v>165.11</v>
    <v>164.05</v>
    <v>160.63999999999999</v>
    <v>158.19</v>
    <v>156.44</v>
    <v>156.71</v>
    <v>160.94999999999999</v>
    <v>164.55</v>
    <v>164.15</v>
    <v>162.21</v>
    <v>159.47</v>
    <v>160.66</v>
    <v>164.23</v>
    <v>165.23</v>
    <v>165.99</v>
    <v>165.08</v>
    <v>169.32</v>
    <v>163.32</v>
    <v>163.27000000000001</v>
    <v>163.54</v>
    <v>158.30000000000001</v>
    <v>158.71</v>
    <v>161.22999999999999</v>
    <v>162.13999999999999</v>
    <v>160.59</v>
    <v>162.52000000000001</v>
    <v>161.35</v>
    <v>162.75</v>
    <v>163.82</v>
    <v>164.01</v>
    <v>164</v>
    <v>164.48</v>
    <v>164.05</v>
    <v>168.5</v>
    <v>168.94</v>
    <v>172.15</v>
    <v>174.08</v>
    <v>177.01</v>
    <v>174.68</v>
    <v>178.98</v>
    <v>178.28</v>
    <v>177.86</v>
    <v>178.09</v>
    <v>178.23</v>
    <v>183.21</v>
  </a>
  <a r="1" c="754">
    <v>109.45</v>
    <v>108.39</v>
    <v>108.59</v>
    <v>107.6</v>
    <v>105.55</v>
    <v>105.88</v>
    <v>105.85</v>
    <v>105.64</v>
    <v>109.11</v>
    <v>107.78</v>
    <v>105.87</v>
    <v>104.21</v>
    <v>102.93</v>
    <v>102.96</v>
    <v>103.75</v>
    <v>104.84</v>
    <v>104.29</v>
    <v>103.66</v>
    <v>102.46</v>
    <v>104.96</v>
    <v>104.5</v>
    <v>104.46</v>
    <v>104.01</v>
    <v>104.57</v>
    <v>103.96</v>
    <v>103.9</v>
    <v>102.34</v>
    <v>102.74</v>
    <v>102.99</v>
    <v>102.43</v>
    <v>100.44</v>
    <v>99.11</v>
    <v>98.42</v>
    <v>99.55</v>
    <v>99.62</v>
    <v>98.05</v>
    <v>98.92</v>
    <v>101.58</v>
    <v>100.9</v>
    <v>101.65</v>
    <v>102.99</v>
    <v>101.27</v>
    <v>101.73</v>
    <v>101.91</v>
    <v>102.14</v>
    <v>101.66</v>
    <v>100.19</v>
    <v>99.98</v>
    <v>102.36</v>
    <v>103.22</v>
    <v>102.32</v>
    <v>102.63</v>
    <v>100.92</v>
    <v>99.67</v>
    <v>98.69</v>
    <v>98.67</v>
    <v>99.95</v>
    <v>97.69</v>
    <v>96.98</v>
    <v>96.8</v>
    <v>96.95</v>
    <v>96.82</v>
    <v>97.91</v>
    <v>99.6</v>
    <v>102.13</v>
    <v>103</v>
    <v>103.13</v>
    <v>104.85</v>
    <v>102.81</v>
    <v>102.39</v>
    <v>101.97</v>
    <v>101.55</v>
    <v>102.25</v>
    <v>102.22</v>
    <v>103.97</v>
    <v>101.77</v>
    <v>103.17</v>
    <v>101.34</v>
    <v>100.84</v>
    <v>103.73</v>
    <v>103.73</v>
    <v>102.75</v>
    <v>104.85</v>
    <v>104.76</v>
    <v>103.84</v>
    <v>104.25</v>
    <v>104.03</v>
    <v>104.32</v>
    <v>104.52</v>
    <v>105.84</v>
    <v>104.36</v>
    <v>105.64</v>
    <v>106.77</v>
    <v>107.37</v>
    <v>108.38</v>
    <v>109.02</v>
    <v>108.32</v>
    <v>109.53</v>
    <v>111.47</v>
    <v>111.27</v>
    <v>112.3</v>
    <v>113.09</v>
    <v>112.99</v>
    <v>113.49</v>
    <v>113.49</v>
    <v>114.65</v>
    <v>113.79</v>
    <v>114.97</v>
    <v>116.24</v>
    <v>116.99</v>
    <v>119.28</v>
    <v>119.3</v>
    <v>119.72</v>
    <v>121.37</v>
    <v>120.55</v>
    <v>121.18</v>
    <v>122.2</v>
    <v>121.79</v>
    <v>120.37</v>
    <v>119.68</v>
    <v>118.69</v>
    <v>118.63</v>
    <v>118.52</v>
    <v>119.88</v>
    <v>120.56</v>
    <v>121.03</v>
    <v>121.05</v>
    <v>121.33</v>
    <v>117.96</v>
    <v>119.64</v>
    <v>118.27</v>
    <v>116.03</v>
    <v>116.24</v>
    <v>116</v>
    <v>116.75</v>
    <v>116.17</v>
    <v>116.15</v>
    <v>118.44</v>
    <v>117.96</v>
    <v>117.91</v>
    <v>117.67</v>
    <v>118.58</v>
    <v>117.87</v>
    <v>119.64</v>
    <v>118.67</v>
    <v>117.85</v>
    <v>115.48</v>
    <v>113.51</v>
    <v>113.42</v>
    <v>114.86</v>
    <v>113.63</v>
    <v>113.99</v>
    <v>117.26</v>
    <v>114.45</v>
    <v>112.67</v>
    <v>113.12</v>
    <v>113.97</v>
    <v>112.75</v>
    <v>113.08</v>
    <v>112.17</v>
    <v>110.93</v>
    <v>110.04</v>
    <v>109.11</v>
    <v>108.36</v>
    <v>109.38</v>
    <v>111.74</v>
    <v>110.76</v>
    <v>114.05</v>
    <v>114.37</v>
    <v>114.41</v>
    <v>114.9</v>
    <v>115.12</v>
    <v>114.96</v>
    <v>114.18</v>
    <v>114.76</v>
    <v>113.37</v>
    <v>112.18</v>
    <v>110.94</v>
    <v>111.92</v>
    <v>113.25</v>
    <v>113.27</v>
    <v>115.21</v>
    <v>116.04</v>
    <v>117.64</v>
    <v>118.8</v>
    <v>116.07</v>
    <v>115.27</v>
    <v>113.41</v>
    <v>115.01</v>
    <v>117.43</v>
    <v>117.33</v>
    <v>116.1</v>
    <v>118.17</v>
    <v>118.59</v>
    <v>116.95</v>
    <v>116.88</v>
    <v>114.77</v>
    <v>114.16</v>
    <v>115.68</v>
    <v>117.89</v>
    <v>118.85</v>
    <v>119</v>
    <v>117.86</v>
    <v>118.95</v>
    <v>118.73</v>
    <v>118.17</v>
    <v>118.53</v>
    <v>114.58</v>
    <v>113.85</v>
    <v>114.73</v>
    <v>116.32</v>
    <v>118.81</v>
    <v>117.68</v>
    <v>116.52</v>
    <v>118.13</v>
    <v>117.94</v>
    <v>115.47</v>
    <v>114.06</v>
    <v>113.17</v>
    <v>112.64</v>
    <v>115.01</v>
    <v>110.82</v>
    <v>109.72</v>
    <v>111.23</v>
    <v>111.15</v>
    <v>112.71</v>
    <v>114.18</v>
    <v>114.58</v>
    <v>116</v>
    <v>115.27</v>
    <v>117.36</v>
    <v>117.05</v>
    <v>114.77</v>
    <v>112.8</v>
    <v>115.82</v>
    <v>117.22</v>
    <v>119.93</v>
    <v>121.52</v>
    <v>122.58</v>
    <v>124.83</v>
    <v>125.37</v>
    <v>122.04</v>
    <v>122.09</v>
    <v>123.14</v>
    <v>123.61</v>
    <v>124.08</v>
    <v>120.35</v>
    <v>120.66</v>
    <v>120.35</v>
    <v>120.01</v>
    <v>120.08</v>
    <v>120.7</v>
    <v>120.27</v>
    <v>119.59</v>
    <v>119.49</v>
    <v>118.9</v>
    <v>117.28</v>
    <v>116.69</v>
    <v>116.78</v>
    <v>114.95</v>
    <v>118.61</v>
    <v>118.96</v>
    <v>121</v>
    <v>121.15</v>
    <v>121.11</v>
    <v>120.47</v>
    <v>120.35</v>
    <v>121.47</v>
    <v>120.56</v>
    <v>119.31</v>
    <v>120.31</v>
    <v>118.63</v>
    <v>120.32</v>
    <v>121.93</v>
    <v>121.79</v>
    <v>119.97</v>
    <v>117.97</v>
    <v>117.66</v>
    <v>117.96</v>
    <v>117.85</v>
    <v>117.67</v>
    <v>114.28</v>
    <v>114.78</v>
    <v>113.57</v>
    <v>112.9</v>
    <v>112.67</v>
    <v>111.92</v>
    <v>111.82</v>
    <v>110.84</v>
    <v>108.47</v>
    <v>108.01</v>
    <v>106.42</v>
    <v>105.51</v>
    <v>105.87</v>
    <v>106.3</v>
    <v>106.4</v>
    <v>106.49</v>
    <v>106.48</v>
    <v>105.76</v>
    <v>107.57</v>
    <v>107.31</v>
    <v>107.86</v>
    <v>107.74</v>
    <v>108.75</v>
    <v>106.93</v>
    <v>106.54</v>
    <v>109.29</v>
    <v>109.72</v>
    <v>111.51</v>
    <v>111.32</v>
    <v>112.32</v>
    <v>111.47</v>
    <v>109.53</v>
    <v>110.15</v>
    <v>108.66</v>
    <v>110.17</v>
    <v>108.04</v>
    <v>108.67</v>
    <v>109.57</v>
    <v>106.83</v>
    <v>107.09</v>
    <v>109.96</v>
    <v>109.88</v>
    <v>108.43</v>
    <v>108.89</v>
    <v>110.97</v>
    <v>111.67</v>
    <v>107.35</v>
    <v>108.13</v>
    <v>108.24</v>
    <v>110.14</v>
    <v>110.3</v>
    <v>112</v>
    <v>110.69</v>
    <v>111.27</v>
    <v>109.73</v>
    <v>109.46</v>
    <v>110.15</v>
    <v>111.33</v>
    <v>107.76</v>
    <v>107.54</v>
    <v>105.44</v>
    <v>107.62</v>
    <v>109.02</v>
    <v>111.8</v>
    <v>109.16</v>
    <v>109.13</v>
    <v>108.67</v>
    <v>111.9</v>
    <v>113.76</v>
    <v>113.64</v>
    <v>115.41</v>
    <v>115.9</v>
    <v>115.5</v>
    <v>115.8</v>
    <v>116.59</v>
    <v>118.27</v>
    <v>117.89</v>
    <v>117.73</v>
    <v>118.93</v>
    <v>119.04</v>
    <v>118.67</v>
    <v>112.43</v>
    <v>104.34</v>
    <v>102.94</v>
    <v>100.77</v>
    <v>105.8</v>
    <v>99.93</v>
    <v>103.14</v>
    <v>103.39</v>
    <v>103.1</v>
    <v>104.19</v>
    <v>106.92</v>
    <v>105.35</v>
    <v>108.3</v>
    <v>107.37</v>
    <v>108.63</v>
    <v>108.57</v>
    <v>108.63</v>
    <v>108.36</v>
    <v>105.63</v>
    <v>105.78</v>
    <v>106.21</v>
    <v>103.27</v>
    <v>104.71</v>
    <v>104.61</v>
    <v>106.07</v>
    <v>107.31</v>
    <v>109.16</v>
    <v>109.46</v>
    <v>108.48</v>
    <v>108.58</v>
    <v>108.19</v>
    <v>106.47</v>
    <v>104.95</v>
    <v>103.66</v>
    <v>102.97</v>
    <v>103.03</v>
    <v>103.52</v>
    <v>102.11</v>
    <v>102.69</v>
    <v>102.3</v>
    <v>103.05</v>
    <v>103.8</v>
    <v>102.3</v>
    <v>101.83</v>
    <v>104.27</v>
    <v>104.97</v>
    <v>107.22</v>
    <v>109.31</v>
    <v>109.73</v>
    <v>112.12</v>
    <v>112.48</v>
    <v>114</v>
    <v>113.19</v>
    <v>114.7</v>
    <v>111.74</v>
    <v>108.34</v>
    <v>108.37</v>
    <v>109.99</v>
    <v>109.38</v>
    <v>107.8</v>
    <v>109.24</v>
    <v>111.05</v>
    <v>112.2</v>
    <v>111.11</v>
    <v>114.19</v>
    <v>113.8</v>
    <v>114.93</v>
    <v>115.43</v>
    <v>113.92</v>
    <v>112.91</v>
    <v>112.23</v>
    <v>111.66</v>
    <v>107.77</v>
    <v>108.05</v>
    <v>108.54</v>
    <v>109.93</v>
    <v>110.79</v>
    <v>110.4</v>
    <v>111.44</v>
    <v>112.88</v>
    <v>111.9</v>
    <v>111.64</v>
    <v>109.64</v>
    <v>107.37</v>
    <v>107.24</v>
    <v>106.51</v>
    <v>105.95</v>
    <v>106.8</v>
    <v>105.83</v>
    <v>106.13</v>
    <v>107.6</v>
    <v>107.38</v>
    <v>106.49</v>
    <v>106.72</v>
    <v>107.42</v>
    <v>108.53</v>
    <v>109.23</v>
    <v>111.28</v>
    <v>111.74</v>
    <v>111.49</v>
    <v>112.75</v>
    <v>113.35</v>
    <v>114.29</v>
    <v>114.69</v>
    <v>111.91</v>
    <v>112.4</v>
    <v>109.23</v>
    <v>109.85</v>
    <v>110.65</v>
    <v>112.5</v>
    <v>112.14</v>
    <v>112.16</v>
    <v>112.35</v>
    <v>114.68</v>
    <v>115.29</v>
    <v>113.93</v>
    <v>112.82</v>
    <v>112.02</v>
    <v>113.95</v>
    <v>114.56</v>
    <v>115.59</v>
    <v>117.22</v>
    <v>114.22</v>
    <v>112.75</v>
    <v>111.99</v>
    <v>111.29</v>
    <v>113.26</v>
    <v>114.2</v>
    <v>114.26</v>
    <v>114.02</v>
    <v>112.91</v>
    <v>110.73</v>
    <v>112.24</v>
    <v>112.29</v>
    <v>111.61</v>
    <v>110.64</v>
    <v>112.24</v>
    <v>112.7</v>
    <v>112.71</v>
    <v>114.71</v>
    <v>115.98</v>
    <v>115.39</v>
    <v>115.94</v>
    <v>115.03</v>
    <v>116.45</v>
    <v>114.69</v>
    <v>114.36</v>
    <v>113.76</v>
    <v>114.14</v>
    <v>113.68</v>
    <v>114.5</v>
    <v>117.22</v>
    <v>118.22</v>
    <v>119.78</v>
    <v>118.12</v>
    <v>118.79</v>
    <v>119.29</v>
    <v>117.68</v>
    <v>119.03</v>
    <v>117.35</v>
    <v>117.02</v>
    <v>117.08</v>
    <v>115.97</v>
    <v>114.51</v>
    <v>114.77</v>
    <v>115.92</v>
    <v>116.63</v>
    <v>115.38</v>
    <v>117.8</v>
    <v>117.14</v>
    <v>116.54</v>
    <v>115.98</v>
    <v>118.25</v>
    <v>119.54</v>
    <v>119.54</v>
    <v>118.82</v>
    <v>117.76</v>
    <v>114.68</v>
    <v>117.41</v>
    <v>116.54</v>
    <v>116.69</v>
    <v>118.15</v>
    <v>119.42</v>
    <v>119.22</v>
    <v>119.11</v>
    <v>120.53</v>
    <v>120.99</v>
    <v>120.34</v>
    <v>122.65</v>
    <v>125.36</v>
    <v>121.05</v>
    <v>118.49</v>
    <v>122.91</v>
    <v>124.61</v>
    <v>124.03</v>
    <v>126.54</v>
    <v>130.19999999999999</v>
    <v>129.13</v>
    <v>129.88999999999999</v>
    <v>130.46</v>
    <v>133.61000000000001</v>
    <v>133.63999999999999</v>
    <v>134.97</v>
    <v>134.84</v>
    <v>136.83000000000001</v>
    <v>137.58000000000001</v>
    <v>140.51</v>
    <v>141.4</v>
    <v>138.4</v>
    <v>143.72999999999999</v>
    <v>147.59</v>
    <v>146.08000000000001</v>
    <v>149.05000000000001</v>
    <v>151.21</v>
    <v>151.59</v>
    <v>155.56</v>
    <v>149.93</v>
    <v>148.44999999999999</v>
    <v>146.19</v>
    <v>150.68</v>
    <v>150.97</v>
    <v>147.28</v>
    <v>150.76</v>
    <v>149.26</v>
    <v>149.06</v>
    <v>148.54</v>
    <v>152.5</v>
    <v>154.22</v>
    <v>151.83000000000001</v>
    <v>149.82</v>
    <v>150.76</v>
    <v>151.21</v>
    <v>150.44</v>
    <v>148.13</v>
    <v>151.58000000000001</v>
    <v>153.53</v>
    <v>156.12</v>
    <v>157.22999999999999</v>
    <v>158.81</v>
    <v>157.59</v>
    <v>158.16</v>
    <v>159.66999999999999</v>
    <v>161.13</v>
    <v>165.38</v>
    <v>163.26</v>
    <v>165.43</v>
    <v>170.99</v>
    <v>171.47</v>
    <v>169.66</v>
    <v>160.78</v>
    <v>160.69</v>
    <v>163.37</v>
    <v>163.91</v>
    <v>156.22</v>
    <v>155.04</v>
    <v>152.51</v>
    <v>152.63999999999999</v>
    <v>149.24</v>
    <v>149.01</v>
    <v>151.97999999999999</v>
    <v>146.44</v>
    <v>147.68</v>
    <v>148.36000000000001</v>
    <v>149.5</v>
    <v>150.53</v>
    <v>148.91</v>
    <v>148.19</v>
    <v>150.56</v>
    <v>154.66999999999999</v>
    <v>154.33000000000001</v>
    <v>152.75</v>
    <v>153.69</v>
    <v>154.88</v>
    <v>148.69</v>
    <v>146.58000000000001</v>
    <v>144.57</v>
    <v>149.68</v>
    <v>150.63</v>
    <v>151.57</v>
    <v>152.78</v>
    <v>157.91999999999999</v>
    <v>160.49</v>
    <v>162.55000000000001</v>
    <v>156.28</v>
    <v>155.29</v>
    <v>154.91999999999999</v>
    <v>149.81</v>
    <v>147.9</v>
    <v>146.96</v>
    <v>145.26</v>
    <v>149.38</v>
    <v>149.56</v>
    <v>152.53</v>
    <v>152.04</v>
    <v>149.91999999999999</v>
    <v>151.75</v>
    <v>148.91</v>
    <v>150.62</v>
    <v>146.6</v>
    <v>147.01</v>
    <v>140.91999999999999</v>
    <v>141.86000000000001</v>
    <v>140.74</v>
    <v>137.81</v>
    <v>138.47</v>
    <v>139.72999999999999</v>
    <v>136.9</v>
    <v>137.55000000000001</v>
    <v>136.54</v>
    <v>136.06</v>
    <v>136.72</v>
    <v>136.28</v>
    <v>137.09</v>
    <v>136.44</v>
    <v>141.69</v>
    <v>141.13</v>
    <v>137.46</v>
    <v>138.88</v>
    <v>144.51</v>
    <v>145.09</v>
    <v>144.51</v>
    <v>145.94999999999999</v>
    <v>147.36000000000001</v>
    <v>148.36000000000001</v>
    <v>151.71</v>
    <v>154.44999999999999</v>
    <v>156.88999999999999</v>
    <v>156.94</v>
    <v>154.77000000000001</v>
    <v>153.04</v>
    <v>156.75</v>
    <v>156.97</v>
    <v>155.44</v>
    <v>155.06</v>
    <v>153.96</v>
    <v>151.63</v>
    <v>154.84</v>
    <v>153.04</v>
    <v>159.79</v>
    <v>159.80000000000001</v>
    <v>159.75</v>
    <v>158.61000000000001</v>
    <v>160.1</v>
    <v>161.46</v>
    <v>165.56</v>
    <v>164.77</v>
    <v>166.15</v>
    <v>165.11</v>
    <v>164.05</v>
    <v>160.63999999999999</v>
    <v>158.19</v>
    <v>156.44</v>
    <v>156.71</v>
    <v>160.94999999999999</v>
    <v>164.55</v>
    <v>164.15</v>
    <v>162.21</v>
    <v>159.47</v>
    <v>160.66</v>
    <v>164.23</v>
    <v>165.23</v>
    <v>165.99</v>
    <v>165.08</v>
    <v>169.32</v>
    <v>163.32</v>
    <v>163.27000000000001</v>
    <v>163.54</v>
    <v>158.30000000000001</v>
    <v>158.71</v>
    <v>161.22999999999999</v>
    <v>162.13999999999999</v>
    <v>160.59</v>
    <v>162.52000000000001</v>
    <v>161.35</v>
    <v>162.75</v>
    <v>163.82</v>
    <v>164.01</v>
    <v>164</v>
    <v>164.48</v>
    <v>164.05</v>
    <v>168.5</v>
    <v>168.94</v>
    <v>172.15</v>
    <v>174.08</v>
    <v>177.01</v>
    <v>174.68</v>
    <v>178.98</v>
    <v>178.28</v>
    <v>177.86</v>
    <v>178.09</v>
    <v>178.23</v>
    <v>183.21</v>
  </a>
  <a r="1" c="252">
    <v>115.98</v>
    <v>115.39</v>
    <v>115.94</v>
    <v>115.03</v>
    <v>116.45</v>
    <v>114.69</v>
    <v>114.36</v>
    <v>113.76</v>
    <v>114.14</v>
    <v>113.68</v>
    <v>114.5</v>
    <v>117.22</v>
    <v>118.22</v>
    <v>119.78</v>
    <v>118.12</v>
    <v>118.79</v>
    <v>119.29</v>
    <v>117.68</v>
    <v>119.03</v>
    <v>117.35</v>
    <v>117.02</v>
    <v>117.08</v>
    <v>115.97</v>
    <v>114.51</v>
    <v>114.77</v>
    <v>115.92</v>
    <v>116.63</v>
    <v>115.38</v>
    <v>117.8</v>
    <v>117.14</v>
    <v>116.54</v>
    <v>115.98</v>
    <v>118.25</v>
    <v>119.54</v>
    <v>119.54</v>
    <v>118.82</v>
    <v>117.76</v>
    <v>114.68</v>
    <v>117.41</v>
    <v>116.54</v>
    <v>116.69</v>
    <v>118.15</v>
    <v>119.42</v>
    <v>119.22</v>
    <v>119.11</v>
    <v>120.53</v>
    <v>120.99</v>
    <v>120.34</v>
    <v>122.65</v>
    <v>125.36</v>
    <v>121.05</v>
    <v>118.49</v>
    <v>122.91</v>
    <v>124.61</v>
    <v>124.03</v>
    <v>126.54</v>
    <v>130.19999999999999</v>
    <v>129.13</v>
    <v>129.88999999999999</v>
    <v>130.46</v>
    <v>133.61000000000001</v>
    <v>133.63999999999999</v>
    <v>134.97</v>
    <v>134.84</v>
    <v>136.83000000000001</v>
    <v>137.58000000000001</v>
    <v>140.51</v>
    <v>141.4</v>
    <v>138.4</v>
    <v>143.72999999999999</v>
    <v>147.59</v>
    <v>146.08000000000001</v>
    <v>149.05000000000001</v>
    <v>151.21</v>
    <v>151.59</v>
    <v>155.56</v>
    <v>149.93</v>
    <v>148.44999999999999</v>
    <v>146.19</v>
    <v>150.68</v>
    <v>150.97</v>
    <v>147.28</v>
    <v>150.76</v>
    <v>149.26</v>
    <v>149.06</v>
    <v>148.54</v>
    <v>152.5</v>
    <v>154.22</v>
    <v>151.83000000000001</v>
    <v>149.82</v>
    <v>150.76</v>
    <v>151.21</v>
    <v>150.44</v>
    <v>148.13</v>
    <v>151.58000000000001</v>
    <v>153.53</v>
    <v>156.12</v>
    <v>157.22999999999999</v>
    <v>158.81</v>
    <v>157.59</v>
    <v>158.16</v>
    <v>159.66999999999999</v>
    <v>161.13</v>
    <v>165.38</v>
    <v>163.26</v>
    <v>165.43</v>
    <v>170.99</v>
    <v>171.47</v>
    <v>169.66</v>
    <v>160.78</v>
    <v>160.69</v>
    <v>163.37</v>
    <v>163.91</v>
    <v>156.22</v>
    <v>155.04</v>
    <v>152.51</v>
    <v>152.63999999999999</v>
    <v>149.24</v>
    <v>149.01</v>
    <v>151.97999999999999</v>
    <v>146.44</v>
    <v>147.68</v>
    <v>148.36000000000001</v>
    <v>149.5</v>
    <v>150.53</v>
    <v>148.91</v>
    <v>148.19</v>
    <v>150.56</v>
    <v>154.66999999999999</v>
    <v>154.33000000000001</v>
    <v>152.75</v>
    <v>153.69</v>
    <v>154.88</v>
    <v>148.69</v>
    <v>146.58000000000001</v>
    <v>144.57</v>
    <v>149.68</v>
    <v>150.63</v>
    <v>151.57</v>
    <v>152.78</v>
    <v>157.91999999999999</v>
    <v>160.49</v>
    <v>162.55000000000001</v>
    <v>156.28</v>
    <v>155.29</v>
    <v>154.91999999999999</v>
    <v>149.81</v>
    <v>147.9</v>
    <v>146.96</v>
    <v>145.26</v>
    <v>149.38</v>
    <v>149.56</v>
    <v>152.53</v>
    <v>152.04</v>
    <v>149.91999999999999</v>
    <v>151.75</v>
    <v>148.91</v>
    <v>150.62</v>
    <v>146.6</v>
    <v>147.01</v>
    <v>140.91999999999999</v>
    <v>141.86000000000001</v>
    <v>140.74</v>
    <v>137.81</v>
    <v>138.47</v>
    <v>139.72999999999999</v>
    <v>136.9</v>
    <v>137.55000000000001</v>
    <v>136.54</v>
    <v>136.06</v>
    <v>136.72</v>
    <v>136.28</v>
    <v>137.09</v>
    <v>136.44</v>
    <v>141.69</v>
    <v>141.13</v>
    <v>137.46</v>
    <v>138.88</v>
    <v>144.51</v>
    <v>145.09</v>
    <v>144.51</v>
    <v>145.94999999999999</v>
    <v>147.36000000000001</v>
    <v>148.36000000000001</v>
    <v>151.71</v>
    <v>154.44999999999999</v>
    <v>156.88999999999999</v>
    <v>156.94</v>
    <v>154.77000000000001</v>
    <v>153.04</v>
    <v>156.75</v>
    <v>156.97</v>
    <v>155.44</v>
    <v>155.06</v>
    <v>153.96</v>
    <v>151.63</v>
    <v>154.84</v>
    <v>153.04</v>
    <v>159.79</v>
    <v>159.80000000000001</v>
    <v>159.75</v>
    <v>158.61000000000001</v>
    <v>160.1</v>
    <v>161.46</v>
    <v>165.56</v>
    <v>164.77</v>
    <v>166.15</v>
    <v>165.11</v>
    <v>164.05</v>
    <v>160.63999999999999</v>
    <v>158.19</v>
    <v>156.44</v>
    <v>156.71</v>
    <v>160.94999999999999</v>
    <v>164.55</v>
    <v>164.15</v>
    <v>162.21</v>
    <v>159.47</v>
    <v>160.66</v>
    <v>164.23</v>
    <v>165.23</v>
    <v>165.99</v>
    <v>165.08</v>
    <v>169.32</v>
    <v>163.32</v>
    <v>163.27000000000001</v>
    <v>163.54</v>
    <v>158.30000000000001</v>
    <v>158.71</v>
    <v>161.22999999999999</v>
    <v>162.13999999999999</v>
    <v>160.59</v>
    <v>162.52000000000001</v>
    <v>161.35</v>
    <v>162.75</v>
    <v>163.82</v>
    <v>164.01</v>
    <v>164</v>
    <v>164.48</v>
    <v>164.05</v>
    <v>168.5</v>
    <v>168.94</v>
    <v>172.15</v>
    <v>174.08</v>
    <v>177.01</v>
    <v>174.68</v>
    <v>178.98</v>
    <v>178.28</v>
    <v>177.86</v>
    <v>178.09</v>
    <v>178.23</v>
    <v>183.21</v>
  </a>
  <a r="1" c="205">
    <v>87.56</v>
    <v>90.67</v>
    <v>88.69</v>
    <v>89.25</v>
    <v>87.99</v>
    <v>85.33</v>
    <v>85.23</v>
    <v>87.88</v>
    <v>89.88</v>
    <v>90.21</v>
    <v>93.49</v>
    <v>94.2</v>
    <v>92.57</v>
    <v>93.52</v>
    <v>94.28</v>
    <v>93.3</v>
    <v>94.95</v>
    <v>109.74</v>
    <v>104.28</v>
    <v>103</v>
    <v>103.25</v>
    <v>110.36</v>
    <v>112.79</v>
    <v>109.69</v>
    <v>112.79</v>
    <v>122.16</v>
    <v>131.38999999999999</v>
    <v>128.1</v>
    <v>132.9</v>
    <v>131.5</v>
    <v>133.46</v>
    <v>130.52000000000001</v>
    <v>132.01</v>
    <v>129.99</v>
    <v>139.51</v>
    <v>145.25</v>
    <v>151.59</v>
    <v>160.43</v>
    <v>150.30000000000001</v>
    <v>150.38</v>
    <v>157.86000000000001</v>
    <v>147.57</v>
    <v>144.84</v>
    <v>134.74</v>
    <v>123.29</v>
    <v>129.05000000000001</v>
    <v>136.22</v>
    <v>131.76</v>
    <v>129.77000000000001</v>
    <v>129.12</v>
    <v>132.05000000000001</v>
    <v>129.88999999999999</v>
    <v>129.86000000000001</v>
    <v>133.08000000000001</v>
    <v>124.58</v>
    <v>130.97</v>
    <v>142.01</v>
    <v>146.35</v>
    <v>135.32</v>
    <v>136.81</v>
    <v>128.55000000000001</v>
    <v>135.97</v>
    <v>142.38</v>
    <v>147.91999999999999</v>
    <v>146.5</v>
    <v>148.52000000000001</v>
    <v>165.1</v>
    <v>169.8</v>
    <v>171.24</v>
    <v>175.17</v>
    <v>172.82</v>
    <v>168.27</v>
    <v>166.08</v>
    <v>164.38</v>
    <v>165.38</v>
    <v>165.45</v>
    <v>168.76</v>
    <v>169.5</v>
    <v>175.89</v>
    <v>168.01</v>
    <v>153.05000000000001</v>
    <v>151.9</v>
    <v>164.24</v>
    <v>158.26</v>
    <v>159.96</v>
    <v>162.1</v>
    <v>181.57</v>
    <v>182.4</v>
    <v>186.94</v>
    <v>207.39</v>
    <v>198.24</v>
    <v>206.51</v>
    <v>208.28</v>
    <v>191.81</v>
    <v>178.55</v>
    <v>175.83</v>
    <v>180.69</v>
    <v>191.89</v>
    <v>194.05</v>
    <v>196.17</v>
    <v>190.89</v>
    <v>182.97</v>
    <v>181.16</v>
    <v>176.7</v>
    <v>200.4</v>
    <v>200.76</v>
    <v>197.7</v>
    <v>177.58</v>
    <v>187.54</v>
    <v>173.94</v>
    <v>168.17</v>
    <v>176.55</v>
    <v>179.2</v>
    <v>187.88</v>
    <v>177.42</v>
    <v>175.4</v>
    <v>194.92</v>
    <v>209.83</v>
    <v>194.07</v>
    <v>205.83</v>
    <v>228.01</v>
    <v>221.05</v>
    <v>255.69</v>
    <v>255.43</v>
    <v>220.63</v>
    <v>196.79</v>
    <v>194.8</v>
    <v>185.38</v>
    <v>184.03</v>
    <v>192.38</v>
    <v>190.89</v>
    <v>183.11</v>
    <v>187.64</v>
    <v>174.41</v>
    <v>158.38999999999999</v>
    <v>154.61000000000001</v>
    <v>153.1</v>
    <v>162.41</v>
    <v>154.06</v>
    <v>156.06</v>
    <v>146.65</v>
    <v>143.36000000000001</v>
    <v>126.01</v>
    <v>124.05</v>
    <v>135.22</v>
    <v>138.25</v>
    <v>146.63999999999999</v>
    <v>159.88999999999999</v>
    <v>156.69999999999999</v>
    <v>157.18</v>
    <v>165.68</v>
    <v>157.76</v>
    <v>159.19</v>
    <v>167.44</v>
    <v>158.54</v>
    <v>165.99</v>
    <v>173.21</v>
    <v>159.9</v>
    <v>152.46</v>
    <v>151.44999999999999</v>
    <v>149.84</v>
    <v>145.55000000000001</v>
    <v>147.16</v>
    <v>152.78</v>
    <v>152.80000000000001</v>
    <v>148.97999999999999</v>
    <v>148.72999999999999</v>
    <v>145.56</v>
    <v>144.13</v>
    <v>146</v>
    <v>154.30000000000001</v>
    <v>165.96</v>
    <v>168.46</v>
    <v>163.12</v>
    <v>166.4</v>
    <v>143.6</v>
    <v>143.57</v>
    <v>144.16</v>
    <v>147.80000000000001</v>
    <v>150.13</v>
    <v>158.97999999999999</v>
    <v>159.69</v>
    <v>154.47999999999999</v>
    <v>154.15</v>
    <v>156.74</v>
    <v>151.59</v>
    <v>158.71</v>
    <v>153.76</v>
    <v>160.41999999999999</v>
    <v>164.19</v>
    <v>159.37</v>
    <v>168.97</v>
    <v>163.25</v>
    <v>152.83000000000001</v>
    <v>156.68</v>
    <v>147.28</v>
    <v>148.54</v>
    <v>140.88999999999999</v>
    <v>138.43</v>
    <v>132</v>
    <v>132.74</v>
    <v>132.26</v>
    <v>134.91999999999999</v>
    <v>123.99</v>
    <v>123.69</v>
  </a>
  <a r="1" c="252">
    <v>85.84</v>
    <v>87.41</v>
    <v>89.37</v>
    <v>86.43</v>
    <v>90.29</v>
    <v>90.28</v>
    <v>89.08</v>
    <v>87.5</v>
    <v>85.21</v>
    <v>87.1</v>
    <v>87.86</v>
    <v>85.48</v>
    <v>88.56</v>
    <v>87.93</v>
    <v>89.01</v>
    <v>82.36</v>
    <v>82.06</v>
    <v>81.06</v>
    <v>80.12</v>
    <v>81.69</v>
    <v>78.03</v>
    <v>79.459999999999994</v>
    <v>82.6</v>
    <v>82.95</v>
    <v>83.6</v>
    <v>84.2</v>
    <v>82.9</v>
    <v>83.71</v>
    <v>83.55</v>
    <v>85.45</v>
    <v>85.97</v>
    <v>88.27</v>
    <v>91.11</v>
    <v>94.2</v>
    <v>95.97</v>
    <v>88.32</v>
    <v>88.11</v>
    <v>86.29</v>
    <v>85.42</v>
    <v>86.88</v>
    <v>87.86</v>
    <v>88.4</v>
    <v>89.34</v>
    <v>89.66</v>
    <v>89.57</v>
    <v>89</v>
    <v>88.86</v>
    <v>87.56</v>
    <v>90.67</v>
    <v>88.69</v>
    <v>89.25</v>
    <v>87.99</v>
    <v>85.33</v>
    <v>85.23</v>
    <v>87.88</v>
    <v>89.88</v>
    <v>90.21</v>
    <v>93.49</v>
    <v>94.2</v>
    <v>92.57</v>
    <v>93.52</v>
    <v>94.28</v>
    <v>93.3</v>
    <v>94.95</v>
    <v>109.74</v>
    <v>104.28</v>
    <v>103</v>
    <v>103.25</v>
    <v>110.36</v>
    <v>112.79</v>
    <v>109.69</v>
    <v>112.79</v>
    <v>122.16</v>
    <v>131.38999999999999</v>
    <v>128.1</v>
    <v>132.9</v>
    <v>131.5</v>
    <v>133.46</v>
    <v>130.52000000000001</v>
    <v>132.01</v>
    <v>129.99</v>
    <v>139.51</v>
    <v>145.25</v>
    <v>151.59</v>
    <v>160.43</v>
    <v>150.30000000000001</v>
    <v>150.38</v>
    <v>157.86000000000001</v>
    <v>147.57</v>
    <v>144.84</v>
    <v>134.74</v>
    <v>123.29</v>
    <v>129.05000000000001</v>
    <v>136.22</v>
    <v>131.76</v>
    <v>129.77000000000001</v>
    <v>129.12</v>
    <v>132.05000000000001</v>
    <v>129.88999999999999</v>
    <v>129.86000000000001</v>
    <v>133.08000000000001</v>
    <v>124.58</v>
    <v>130.97</v>
    <v>142.01</v>
    <v>146.35</v>
    <v>135.32</v>
    <v>136.81</v>
    <v>128.55000000000001</v>
    <v>135.97</v>
    <v>142.38</v>
    <v>147.91999999999999</v>
    <v>146.5</v>
    <v>148.52000000000001</v>
    <v>165.1</v>
    <v>169.8</v>
    <v>171.24</v>
    <v>175.17</v>
    <v>172.82</v>
    <v>168.27</v>
    <v>166.08</v>
    <v>164.38</v>
    <v>165.38</v>
    <v>165.45</v>
    <v>168.76</v>
    <v>169.5</v>
    <v>175.89</v>
    <v>168.01</v>
    <v>153.05000000000001</v>
    <v>151.9</v>
    <v>164.24</v>
    <v>158.26</v>
    <v>159.96</v>
    <v>162.1</v>
    <v>181.57</v>
    <v>182.4</v>
    <v>186.94</v>
    <v>207.39</v>
    <v>198.24</v>
    <v>206.51</v>
    <v>208.28</v>
    <v>191.81</v>
    <v>178.55</v>
    <v>175.83</v>
    <v>180.69</v>
    <v>191.89</v>
    <v>194.05</v>
    <v>196.17</v>
    <v>190.89</v>
    <v>182.97</v>
    <v>181.16</v>
    <v>176.7</v>
    <v>200.4</v>
    <v>200.76</v>
    <v>197.7</v>
    <v>177.58</v>
    <v>187.54</v>
    <v>173.94</v>
    <v>168.17</v>
    <v>176.55</v>
    <v>179.2</v>
    <v>187.88</v>
    <v>177.42</v>
    <v>175.4</v>
    <v>194.92</v>
    <v>209.83</v>
    <v>194.07</v>
    <v>205.83</v>
    <v>228.01</v>
    <v>221.05</v>
    <v>255.69</v>
    <v>255.43</v>
    <v>220.63</v>
    <v>196.79</v>
    <v>194.8</v>
    <v>185.38</v>
    <v>184.03</v>
    <v>192.38</v>
    <v>190.89</v>
    <v>183.11</v>
    <v>187.64</v>
    <v>174.41</v>
    <v>158.38999999999999</v>
    <v>154.61000000000001</v>
    <v>153.1</v>
    <v>162.41</v>
    <v>154.06</v>
    <v>156.06</v>
    <v>146.65</v>
    <v>143.36000000000001</v>
    <v>126.01</v>
    <v>124.05</v>
    <v>135.22</v>
    <v>138.25</v>
    <v>146.63999999999999</v>
    <v>159.88999999999999</v>
    <v>156.69999999999999</v>
    <v>157.18</v>
    <v>165.68</v>
    <v>157.76</v>
    <v>159.19</v>
    <v>167.44</v>
    <v>158.54</v>
    <v>165.99</v>
    <v>173.21</v>
    <v>159.9</v>
    <v>152.46</v>
    <v>151.44999999999999</v>
    <v>149.84</v>
    <v>145.55000000000001</v>
    <v>147.16</v>
    <v>152.78</v>
    <v>152.80000000000001</v>
    <v>148.97999999999999</v>
    <v>148.72999999999999</v>
    <v>145.56</v>
    <v>144.13</v>
    <v>146</v>
    <v>154.30000000000001</v>
    <v>165.96</v>
    <v>168.46</v>
    <v>163.12</v>
    <v>166.4</v>
    <v>143.6</v>
    <v>143.57</v>
    <v>144.16</v>
    <v>147.80000000000001</v>
    <v>150.13</v>
    <v>158.97999999999999</v>
    <v>159.69</v>
    <v>154.47999999999999</v>
    <v>154.15</v>
    <v>156.74</v>
    <v>151.59</v>
    <v>158.71</v>
    <v>153.76</v>
    <v>160.41999999999999</v>
    <v>164.19</v>
    <v>159.37</v>
    <v>168.97</v>
    <v>163.25</v>
    <v>152.83000000000001</v>
    <v>156.68</v>
    <v>147.28</v>
    <v>148.54</v>
    <v>140.88999999999999</v>
    <v>138.43</v>
    <v>132</v>
    <v>132.74</v>
    <v>132.26</v>
    <v>134.91999999999999</v>
    <v>123.99</v>
    <v>123.69</v>
  </a>
  <a r="1" c="754">
    <v>26.93</v>
    <v>26.86</v>
    <v>26.78</v>
    <v>26.93</v>
    <v>26.59</v>
    <v>26.66</v>
    <v>26.76</v>
    <v>26.66</v>
    <v>27.38</v>
    <v>27.93</v>
    <v>27.72</v>
    <v>27.47</v>
    <v>27.31</v>
    <v>27.07</v>
    <v>27.68</v>
    <v>27.72</v>
    <v>28.46</v>
    <v>28.95</v>
    <v>28.38</v>
    <v>28.48</v>
    <v>28.29</v>
    <v>28.11</v>
    <v>28.16</v>
    <v>28.2</v>
    <v>27.87</v>
    <v>27.76</v>
    <v>28.22</v>
    <v>28.49</v>
    <v>28.84</v>
    <v>28.86</v>
    <v>28.46</v>
    <v>28.79</v>
    <v>29.01</v>
    <v>29.11</v>
    <v>29.5</v>
    <v>29.41</v>
    <v>29.68</v>
    <v>30.57</v>
    <v>30.46</v>
    <v>30.1</v>
    <v>30.38</v>
    <v>29.75</v>
    <v>30.18</v>
    <v>30.23</v>
    <v>30.45</v>
    <v>30.56</v>
    <v>30.63</v>
    <v>30.45</v>
    <v>30.49</v>
    <v>30.13</v>
    <v>30.28</v>
    <v>30.57</v>
    <v>31.32</v>
    <v>30.59</v>
    <v>30.69</v>
    <v>30.74</v>
    <v>30.6</v>
    <v>30.22</v>
    <v>29.85</v>
    <v>30.16</v>
    <v>30.44</v>
    <v>30.62</v>
    <v>30.3</v>
    <v>30.37</v>
    <v>30.82</v>
    <v>30.86</v>
    <v>31.15</v>
    <v>33.299999999999997</v>
    <v>32.49</v>
    <v>32.090000000000003</v>
    <v>32.25</v>
    <v>32.01</v>
    <v>32.04</v>
    <v>31.79</v>
    <v>31.73</v>
    <v>32.04</v>
    <v>32.18</v>
    <v>31.28</v>
    <v>31.75</v>
    <v>32.03</v>
    <v>31.91</v>
    <v>32.29</v>
    <v>32.25</v>
    <v>32.69</v>
    <v>32.69</v>
    <v>32.51</v>
    <v>32.43</v>
    <v>32.090000000000003</v>
    <v>32.24</v>
    <v>32.450000000000003</v>
    <v>33.380000000000003</v>
    <v>32.5</v>
    <v>32.81</v>
    <v>32.6</v>
    <v>32.71</v>
    <v>32.9</v>
    <v>32.89</v>
    <v>32.729999999999997</v>
    <v>32.53</v>
    <v>32.51</v>
    <v>32.33</v>
    <v>32.549999999999997</v>
    <v>32.67</v>
    <v>33.130000000000003</v>
    <v>32.57</v>
    <v>32.47</v>
    <v>32.31</v>
    <v>33.020000000000003</v>
    <v>32.96</v>
    <v>32.67</v>
    <v>32.51</v>
    <v>32.57</v>
    <v>32.369999999999997</v>
    <v>32.54</v>
    <v>32.19</v>
    <v>32.549999999999997</v>
    <v>31.95</v>
    <v>32.270000000000003</v>
    <v>31.49</v>
    <v>31.29</v>
    <v>30.92</v>
    <v>30.98</v>
    <v>30.91</v>
    <v>31.27</v>
    <v>31.55</v>
    <v>31.53</v>
    <v>31.52</v>
    <v>31.35</v>
    <v>31.33</v>
    <v>31.78</v>
    <v>33.380000000000003</v>
    <v>33.479999999999997</v>
    <v>33.57</v>
    <v>33.72</v>
    <v>33.44</v>
    <v>33.42</v>
    <v>33.93</v>
    <v>34.200000000000003</v>
    <v>34.17</v>
    <v>34.28</v>
    <v>34.950000000000003</v>
    <v>35.11</v>
    <v>35.22</v>
    <v>35.35</v>
    <v>35.520000000000003</v>
    <v>36.479999999999997</v>
    <v>36.58</v>
    <v>36.119999999999997</v>
    <v>36.28</v>
    <v>35.85</v>
    <v>35.549999999999997</v>
    <v>36.96</v>
    <v>37.26</v>
    <v>37.36</v>
    <v>37.01</v>
    <v>37.49</v>
    <v>37.4</v>
    <v>36.93</v>
    <v>36.86</v>
    <v>37.35</v>
    <v>38.020000000000003</v>
    <v>38.08</v>
    <v>37.25</v>
    <v>38.75</v>
    <v>40.21</v>
    <v>39.85</v>
    <v>40.049999999999997</v>
    <v>39.9</v>
    <v>39.770000000000003</v>
    <v>38.28</v>
    <v>38.590000000000003</v>
    <v>38.85</v>
    <v>38.659999999999997</v>
    <v>38.39</v>
    <v>38.42</v>
    <v>38.44</v>
    <v>43.05</v>
    <v>44.67</v>
    <v>45.48</v>
    <v>45.05</v>
    <v>45.62</v>
    <v>45.76</v>
    <v>46.2</v>
    <v>45.84</v>
    <v>44.99</v>
    <v>44.31</v>
    <v>44.31</v>
    <v>44.06</v>
    <v>43.95</v>
    <v>42.81</v>
    <v>42.85</v>
    <v>42.68</v>
    <v>39.74</v>
    <v>40.01</v>
    <v>40.04</v>
    <v>38.94</v>
    <v>37.76</v>
    <v>38.33</v>
    <v>37.85</v>
    <v>38.61</v>
    <v>38.450000000000003</v>
    <v>39.31</v>
    <v>39.770000000000003</v>
    <v>39.590000000000003</v>
    <v>40.26</v>
    <v>40.200000000000003</v>
    <v>40.61</v>
    <v>40.729999999999997</v>
    <v>42.08</v>
    <v>41.27</v>
    <v>41.94</v>
    <v>42.22</v>
    <v>42.52</v>
    <v>42.32</v>
    <v>41.87</v>
    <v>41.85</v>
    <v>40.67</v>
    <v>41.24</v>
    <v>41.37</v>
    <v>40.64</v>
    <v>40.97</v>
    <v>41.16</v>
    <v>41.85</v>
    <v>41.86</v>
    <v>42.5</v>
    <v>42.91</v>
    <v>43.3</v>
    <v>43.42</v>
    <v>44.43</v>
    <v>44.5</v>
    <v>44.65</v>
    <v>45.29</v>
    <v>44.67</v>
    <v>45.28</v>
    <v>44.87</v>
    <v>45.15</v>
    <v>44.54</v>
    <v>44.91</v>
    <v>44.59</v>
    <v>44.88</v>
    <v>44.11</v>
    <v>44.59</v>
    <v>46.73</v>
    <v>46.02</v>
    <v>46.46</v>
    <v>46.83</v>
    <v>45.76</v>
    <v>46.01</v>
    <v>46.52</v>
    <v>46.66</v>
    <v>47.03</v>
    <v>47.31</v>
    <v>46.89</v>
    <v>46.81</v>
    <v>46.25</v>
    <v>46.84</v>
    <v>49.03</v>
    <v>48.04</v>
    <v>47.59</v>
    <v>48.36</v>
    <v>47.02</v>
    <v>47.28</v>
    <v>48.24</v>
    <v>48.22</v>
    <v>48.72</v>
    <v>48.92</v>
    <v>48.32</v>
    <v>47.21</v>
    <v>47.05</v>
    <v>46.49</v>
    <v>46.44</v>
    <v>47.29</v>
    <v>47.35</v>
    <v>47.84</v>
    <v>48.52</v>
    <v>48.26</v>
    <v>48</v>
    <v>48.22</v>
    <v>48.67</v>
    <v>49.24</v>
    <v>49.17</v>
    <v>49.15</v>
    <v>49.76</v>
    <v>49.56</v>
    <v>48.51</v>
    <v>48.37</v>
    <v>47.63</v>
    <v>48.61</v>
    <v>48.15</v>
    <v>48.18</v>
    <v>47.76</v>
    <v>46.51</v>
    <v>47.06</v>
    <v>47.31</v>
    <v>47.5</v>
    <v>47.9</v>
    <v>47.99</v>
    <v>47.78</v>
    <v>47.34</v>
    <v>47.52</v>
    <v>46.71</v>
    <v>47.5</v>
    <v>48.34</v>
    <v>47.85</v>
    <v>47.73</v>
    <v>47.12</v>
    <v>46.58</v>
    <v>47.43</v>
    <v>48.81</v>
    <v>49.24</v>
    <v>49.84</v>
    <v>51.55</v>
    <v>54.01</v>
    <v>53.98</v>
    <v>54.25</v>
    <v>49.53</v>
    <v>51.23</v>
    <v>49.8</v>
    <v>49.99</v>
    <v>52.08</v>
    <v>51.35</v>
    <v>52.04</v>
    <v>53.29</v>
    <v>53.65</v>
    <v>52.97</v>
    <v>53.05</v>
    <v>52.4</v>
    <v>52.01</v>
    <v>52.11</v>
    <v>52.54</v>
    <v>52.89</v>
    <v>52.67</v>
    <v>51.87</v>
    <v>51.49</v>
    <v>50.78</v>
    <v>49.67</v>
    <v>50.01</v>
    <v>49</v>
    <v>50.15</v>
    <v>48.25</v>
    <v>46.49</v>
    <v>47.04</v>
    <v>45.51</v>
    <v>45.93</v>
    <v>45.01</v>
    <v>44.91</v>
    <v>45.4</v>
    <v>45.6</v>
    <v>46.75</v>
    <v>46.86</v>
    <v>47.27</v>
    <v>48.76</v>
    <v>48.67</v>
    <v>48.53</v>
    <v>49.89</v>
    <v>48.99</v>
    <v>47.1</v>
    <v>46.56</v>
    <v>45.86</v>
    <v>45.78</v>
    <v>45.54</v>
    <v>46.54</v>
    <v>42.29</v>
    <v>39.07</v>
    <v>39.61</v>
    <v>39.18</v>
    <v>43.26</v>
    <v>41.69</v>
    <v>41.26</v>
    <v>41.61</v>
    <v>41.78</v>
    <v>41.28</v>
    <v>41.52</v>
    <v>40.700000000000003</v>
    <v>41.75</v>
    <v>42.97</v>
    <v>43.88</v>
    <v>44.18</v>
    <v>44.1</v>
    <v>44.46</v>
    <v>44.38</v>
    <v>44.78</v>
    <v>45.76</v>
    <v>45.41</v>
    <v>44.76</v>
    <v>44.85</v>
    <v>45.05</v>
    <v>45.08</v>
    <v>46.97</v>
    <v>47.62</v>
    <v>47.01</v>
    <v>47.6</v>
    <v>48.22</v>
    <v>48.13</v>
    <v>47.98</v>
    <v>48.18</v>
    <v>48.55</v>
    <v>48.36</v>
    <v>49.92</v>
    <v>49.45</v>
    <v>49.96</v>
    <v>49.59</v>
    <v>50.04</v>
    <v>50.78</v>
    <v>50.76</v>
    <v>50.86</v>
    <v>50.71</v>
    <v>50.89</v>
    <v>50.61</v>
    <v>50.45</v>
    <v>50.82</v>
    <v>49.6</v>
    <v>50.78</v>
    <v>50.48</v>
    <v>50.49</v>
    <v>50.42</v>
    <v>51.8</v>
    <v>51.42</v>
    <v>51.39</v>
    <v>51.7</v>
    <v>51.82</v>
    <v>52.59</v>
    <v>52.59</v>
    <v>52.72</v>
    <v>53.04</v>
    <v>52.38</v>
    <v>52.73</v>
    <v>52.57</v>
    <v>52.26</v>
    <v>51.6</v>
    <v>53.12</v>
    <v>52.52</v>
    <v>52.97</v>
    <v>54.2</v>
    <v>54.01</v>
    <v>53.9</v>
    <v>54.02</v>
    <v>55.8</v>
    <v>55.72</v>
    <v>55.36</v>
    <v>55.41</v>
    <v>61.98</v>
    <v>62.61</v>
    <v>63.24</v>
    <v>62.05</v>
    <v>63.49</v>
    <v>63.17</v>
    <v>63.98</v>
    <v>64.760000000000005</v>
    <v>65.77</v>
    <v>64.98</v>
    <v>65.75</v>
    <v>65.739999999999995</v>
    <v>65.760000000000005</v>
    <v>65.44</v>
    <v>65.52</v>
    <v>64.52</v>
    <v>64.599999999999994</v>
    <v>64.89</v>
    <v>65.77</v>
    <v>66.78</v>
    <v>67.400000000000006</v>
    <v>67.25</v>
    <v>68.930000000000007</v>
    <v>67.03</v>
    <v>68.47</v>
    <v>69.34</v>
    <v>69.72</v>
    <v>71.19</v>
    <v>72.150000000000006</v>
    <v>72.39</v>
    <v>74.930000000000007</v>
    <v>75.47</v>
    <v>77.040000000000006</v>
    <v>77.98</v>
    <v>78.7</v>
    <v>76.88</v>
    <v>79.62</v>
    <v>79.56</v>
    <v>79.16</v>
    <v>81</v>
    <v>79.91</v>
    <v>79.13</v>
    <v>79.349999999999994</v>
    <v>80.260000000000005</v>
    <v>82.03</v>
    <v>83.12</v>
    <v>82.52</v>
    <v>83.56</v>
    <v>85.34</v>
    <v>85.06</v>
    <v>87.07</v>
    <v>87.19</v>
    <v>82.98</v>
    <v>85.5</v>
    <v>84.61</v>
    <v>86.62</v>
    <v>86.72</v>
    <v>84.49</v>
    <v>85.28</v>
    <v>86.05</v>
    <v>84.14</v>
    <v>85.84</v>
    <v>87.41</v>
    <v>89.37</v>
    <v>86.43</v>
    <v>90.29</v>
    <v>90.28</v>
    <v>89.08</v>
    <v>87.5</v>
    <v>85.21</v>
    <v>87.1</v>
    <v>87.86</v>
    <v>85.48</v>
    <v>88.56</v>
    <v>87.93</v>
    <v>89.01</v>
    <v>82.36</v>
    <v>82.06</v>
    <v>81.06</v>
    <v>80.12</v>
    <v>81.69</v>
    <v>78.03</v>
    <v>79.459999999999994</v>
    <v>82.6</v>
    <v>82.95</v>
    <v>83.6</v>
    <v>84.2</v>
    <v>82.9</v>
    <v>83.71</v>
    <v>83.55</v>
    <v>85.45</v>
    <v>85.97</v>
    <v>88.27</v>
    <v>91.11</v>
    <v>94.2</v>
    <v>95.97</v>
    <v>88.32</v>
    <v>88.11</v>
    <v>86.29</v>
    <v>85.42</v>
    <v>86.88</v>
    <v>87.86</v>
    <v>88.4</v>
    <v>89.34</v>
    <v>89.66</v>
    <v>89.57</v>
    <v>89</v>
    <v>88.86</v>
    <v>87.56</v>
    <v>90.67</v>
    <v>88.69</v>
    <v>89.25</v>
    <v>87.99</v>
    <v>85.33</v>
    <v>85.23</v>
    <v>87.88</v>
    <v>89.88</v>
    <v>90.21</v>
    <v>93.49</v>
    <v>94.2</v>
    <v>92.57</v>
    <v>93.52</v>
    <v>94.28</v>
    <v>93.3</v>
    <v>94.95</v>
    <v>109.74</v>
    <v>104.28</v>
    <v>103</v>
    <v>103.25</v>
    <v>110.36</v>
    <v>112.79</v>
    <v>109.69</v>
    <v>112.79</v>
    <v>122.16</v>
    <v>131.38999999999999</v>
    <v>128.1</v>
    <v>132.9</v>
    <v>131.5</v>
    <v>133.46</v>
    <v>130.52000000000001</v>
    <v>132.01</v>
    <v>129.99</v>
    <v>139.51</v>
    <v>145.25</v>
    <v>151.59</v>
    <v>160.43</v>
    <v>150.30000000000001</v>
    <v>150.38</v>
    <v>157.86000000000001</v>
    <v>147.57</v>
    <v>144.84</v>
    <v>134.74</v>
    <v>123.29</v>
    <v>129.05000000000001</v>
    <v>136.22</v>
    <v>131.76</v>
    <v>129.77000000000001</v>
    <v>129.12</v>
    <v>132.05000000000001</v>
    <v>129.88999999999999</v>
    <v>129.86000000000001</v>
    <v>133.08000000000001</v>
    <v>124.58</v>
    <v>130.97</v>
    <v>142.01</v>
    <v>146.35</v>
    <v>135.32</v>
    <v>136.81</v>
    <v>128.55000000000001</v>
    <v>135.97</v>
    <v>142.38</v>
    <v>147.91999999999999</v>
    <v>146.5</v>
    <v>148.52000000000001</v>
    <v>165.1</v>
    <v>169.8</v>
    <v>171.24</v>
    <v>175.17</v>
    <v>172.82</v>
    <v>168.27</v>
    <v>166.08</v>
    <v>164.38</v>
    <v>165.38</v>
    <v>165.45</v>
    <v>168.76</v>
    <v>169.5</v>
    <v>175.89</v>
    <v>168.01</v>
    <v>153.05000000000001</v>
    <v>151.9</v>
    <v>164.24</v>
    <v>158.26</v>
    <v>159.96</v>
    <v>162.1</v>
    <v>181.57</v>
    <v>182.4</v>
    <v>186.94</v>
    <v>207.39</v>
    <v>198.24</v>
    <v>206.51</v>
    <v>208.28</v>
    <v>191.81</v>
    <v>178.55</v>
    <v>175.83</v>
    <v>180.69</v>
    <v>191.89</v>
    <v>194.05</v>
    <v>196.17</v>
    <v>190.89</v>
    <v>182.97</v>
    <v>181.16</v>
    <v>176.7</v>
    <v>200.4</v>
    <v>200.76</v>
    <v>197.7</v>
    <v>177.58</v>
    <v>187.54</v>
    <v>173.94</v>
    <v>168.17</v>
    <v>176.55</v>
    <v>179.2</v>
    <v>187.88</v>
    <v>177.42</v>
    <v>175.4</v>
    <v>194.92</v>
    <v>209.83</v>
    <v>194.07</v>
    <v>205.83</v>
    <v>228.01</v>
    <v>221.05</v>
    <v>255.69</v>
    <v>255.43</v>
    <v>220.63</v>
    <v>196.79</v>
    <v>194.8</v>
    <v>185.38</v>
    <v>184.03</v>
    <v>192.38</v>
    <v>190.89</v>
    <v>183.11</v>
    <v>187.64</v>
    <v>174.41</v>
    <v>158.38999999999999</v>
    <v>154.61000000000001</v>
    <v>153.1</v>
    <v>162.41</v>
    <v>154.06</v>
    <v>156.06</v>
    <v>146.65</v>
    <v>143.36000000000001</v>
    <v>126.01</v>
    <v>124.05</v>
    <v>135.22</v>
    <v>138.25</v>
    <v>146.63999999999999</v>
    <v>159.88999999999999</v>
    <v>156.69999999999999</v>
    <v>157.18</v>
    <v>165.68</v>
    <v>157.76</v>
    <v>159.19</v>
    <v>167.44</v>
    <v>158.54</v>
    <v>165.99</v>
    <v>173.21</v>
    <v>159.9</v>
    <v>152.46</v>
    <v>151.44999999999999</v>
    <v>149.84</v>
    <v>145.55000000000001</v>
    <v>147.16</v>
    <v>152.78</v>
    <v>152.80000000000001</v>
    <v>148.97999999999999</v>
    <v>148.72999999999999</v>
    <v>145.56</v>
    <v>144.13</v>
    <v>146</v>
    <v>154.30000000000001</v>
    <v>165.96</v>
    <v>168.46</v>
    <v>163.12</v>
    <v>166.4</v>
    <v>143.6</v>
    <v>143.57</v>
    <v>144.16</v>
    <v>147.80000000000001</v>
    <v>150.13</v>
    <v>158.97999999999999</v>
    <v>159.69</v>
    <v>154.47999999999999</v>
    <v>154.15</v>
    <v>156.74</v>
    <v>151.59</v>
    <v>158.71</v>
    <v>153.76</v>
    <v>160.41999999999999</v>
    <v>164.19</v>
    <v>159.37</v>
    <v>168.97</v>
    <v>163.25</v>
    <v>152.83000000000001</v>
    <v>156.68</v>
    <v>147.28</v>
    <v>148.54</v>
    <v>140.88999999999999</v>
    <v>138.43</v>
    <v>132</v>
    <v>132.74</v>
    <v>132.26</v>
    <v>134.91999999999999</v>
    <v>123.99</v>
    <v>123.69</v>
  </a>
  <a r="1" c="208">
    <v>63.71</v>
    <v>63.5</v>
    <v>63.74</v>
    <v>63.83</v>
    <v>64.040000000000006</v>
    <v>64.36</v>
    <v>63.98</v>
    <v>63.78</v>
    <v>64.05</v>
    <v>64.650000000000006</v>
    <v>64.680000000000007</v>
    <v>64.53</v>
    <v>64.540000000000006</v>
    <v>64.25</v>
    <v>64.81</v>
    <v>64.77</v>
    <v>64.39</v>
    <v>64.64</v>
    <v>64.98</v>
    <v>65.33</v>
    <v>65.400000000000006</v>
    <v>65.510000000000005</v>
    <v>66.150000000000006</v>
    <v>66.48</v>
    <v>66.37</v>
    <v>66.959999999999994</v>
    <v>67.28</v>
    <v>67.48</v>
    <v>68.47</v>
    <v>68.819999999999993</v>
    <v>69.69</v>
    <v>69.87</v>
    <v>70.180000000000007</v>
    <v>69.87</v>
    <v>69.599999999999994</v>
    <v>69.98</v>
    <v>70.25</v>
    <v>69.95</v>
    <v>70.41</v>
    <v>70.989999999999995</v>
    <v>70.930000000000007</v>
    <v>71.11</v>
    <v>70.05</v>
    <v>70.3</v>
    <v>69.89</v>
    <v>69.55</v>
    <v>69.61</v>
    <v>69.84</v>
    <v>69.5</v>
    <v>70.14</v>
    <v>70.31</v>
    <v>70.39</v>
    <v>70.91</v>
    <v>70.209999999999994</v>
    <v>69.78</v>
    <v>69.180000000000007</v>
    <v>68.41</v>
    <v>69.37</v>
    <v>69.849999999999994</v>
    <v>69.55</v>
    <v>69.81</v>
    <v>70.39</v>
    <v>69.569999999999993</v>
    <v>69.78</v>
    <v>70.709999999999994</v>
    <v>70.45</v>
    <v>70.599999999999994</v>
    <v>71.55</v>
    <v>70.98</v>
    <v>70.03</v>
    <v>69.38</v>
    <v>69.08</v>
    <v>68.78</v>
    <v>68.78</v>
    <v>69.209999999999994</v>
    <v>68.62</v>
    <v>69.150000000000006</v>
    <v>69.58</v>
    <v>69.48</v>
    <v>69.319999999999993</v>
    <v>69.53</v>
    <v>69.03</v>
    <v>70.069999999999993</v>
    <v>69.91</v>
    <v>70.06</v>
    <v>69.86</v>
    <v>69.069999999999993</v>
    <v>68.91</v>
    <v>68.95</v>
    <v>69.03</v>
    <v>68.819999999999993</v>
    <v>69.489999999999995</v>
    <v>68.66</v>
    <v>68.63</v>
    <v>69.099999999999994</v>
    <v>69.790000000000006</v>
    <v>70.09</v>
    <v>69.81</v>
    <v>70.48</v>
    <v>70.16</v>
    <v>69.73</v>
    <v>69.31</v>
    <v>68.86</v>
    <v>68.19</v>
    <v>68.930000000000007</v>
    <v>69.349999999999994</v>
    <v>68.819999999999993</v>
    <v>69.569999999999993</v>
    <v>68.989999999999995</v>
    <v>68.650000000000006</v>
    <v>69.23</v>
    <v>69.62</v>
    <v>70.11</v>
    <v>70.31</v>
    <v>70.510000000000005</v>
    <v>70.3</v>
    <v>70.81</v>
    <v>70.81</v>
    <v>71.099999999999994</v>
    <v>71.27</v>
    <v>71.7</v>
    <v>72.41</v>
    <v>72.510000000000005</v>
    <v>72.040000000000006</v>
    <v>71.680000000000007</v>
    <v>70.739999999999995</v>
    <v>71.08</v>
    <v>71.77</v>
    <v>71.69</v>
    <v>71.84</v>
    <v>71.67</v>
    <v>71.540000000000006</v>
    <v>71.290000000000006</v>
    <v>71.819999999999993</v>
    <v>71.760000000000005</v>
    <v>71.63</v>
    <v>71.28</v>
    <v>71.900000000000006</v>
    <v>71.72</v>
    <v>71.12</v>
    <v>72</v>
    <v>72.31</v>
    <v>72.44</v>
    <v>71.989999999999995</v>
    <v>71.849999999999994</v>
    <v>71.37</v>
    <v>70.59</v>
    <v>70.900000000000006</v>
    <v>70.650000000000006</v>
    <v>70.3</v>
    <v>69.739999999999995</v>
    <v>70.19</v>
    <v>69.8</v>
    <v>69.349999999999994</v>
    <v>69.58</v>
    <v>69.790000000000006</v>
    <v>69.739999999999995</v>
    <v>69.33</v>
    <v>69.03</v>
    <v>69.569999999999993</v>
    <v>68.91</v>
    <v>68.819999999999993</v>
    <v>68.42</v>
    <v>68.27</v>
    <v>68.680000000000007</v>
    <v>69.22</v>
    <v>68.39</v>
    <v>68.510000000000005</v>
    <v>68.25</v>
    <v>68.16</v>
    <v>67.930000000000007</v>
    <v>68.22</v>
    <v>68.19</v>
    <v>67.97</v>
    <v>68.38</v>
    <v>67.75</v>
    <v>67.37</v>
    <v>67.23</v>
    <v>67</v>
    <v>66.72</v>
    <v>66.900000000000006</v>
    <v>67.47</v>
    <v>67.17</v>
    <v>67.19</v>
    <v>67.599999999999994</v>
    <v>66.94</v>
    <v>66.510000000000005</v>
    <v>66.319999999999993</v>
    <v>66.290000000000006</v>
    <v>66.14</v>
    <v>66.180000000000007</v>
    <v>66.12</v>
    <v>66.650000000000006</v>
    <v>67.27</v>
    <v>67.87</v>
    <v>67.48</v>
    <v>67.349999999999994</v>
    <v>68.099999999999994</v>
    <v>68.67</v>
    <v>68.78</v>
    <v>68.83</v>
    <v>68.459999999999994</v>
    <v>68.91</v>
    <v>68.680000000000007</v>
    <v>69.23</v>
    <v>69.87</v>
    <v>69.73</v>
    <v>70.37</v>
  </a>
  <a r="1" c="761">
    <v>44.134999999999998</v>
    <v>44.515000000000001</v>
    <v>44.534999999999997</v>
    <v>44.66</v>
    <v>44.145000000000003</v>
    <v>44.134999999999998</v>
    <v>44.674999999999997</v>
    <v>45.2</v>
    <v>46.07</v>
    <v>46.53</v>
    <v>46.31</v>
    <v>46.094999999999999</v>
    <v>45.674999999999997</v>
    <v>45.825000000000003</v>
    <v>45.594999999999999</v>
    <v>45.65</v>
    <v>46.145000000000003</v>
    <v>46.354999999999997</v>
    <v>46.18</v>
    <v>46.505000000000003</v>
    <v>46.524999999999999</v>
    <v>46.494999999999997</v>
    <v>46.844999999999999</v>
    <v>46.86</v>
    <v>46.96</v>
    <v>46.96</v>
    <v>47.08</v>
    <v>46.914999999999999</v>
    <v>47.204999999999998</v>
    <v>47.865000000000002</v>
    <v>48.015000000000001</v>
    <v>47.81</v>
    <v>48.25</v>
    <v>48.204999999999998</v>
    <v>48.225000000000001</v>
    <v>48.295000000000002</v>
    <v>47.91</v>
    <v>48.195</v>
    <v>48.99</v>
    <v>48.835000000000001</v>
    <v>48.744999999999997</v>
    <v>48.94</v>
    <v>48.85</v>
    <v>48.54</v>
    <v>48.85</v>
    <v>48.63</v>
    <v>48.73</v>
    <v>48.655000000000001</v>
    <v>49.094999999999999</v>
    <v>48.994999999999997</v>
    <v>49.26</v>
    <v>49.134999999999998</v>
    <v>49.13</v>
    <v>49.29</v>
    <v>49.115000000000002</v>
    <v>48.59</v>
    <v>48.93</v>
    <v>48.83</v>
    <v>48.585000000000001</v>
    <v>47.844999999999999</v>
    <v>47.494999999999997</v>
    <v>47.424999999999997</v>
    <v>47.494999999999997</v>
    <v>47.4</v>
    <v>47.405000000000001</v>
    <v>47.734999999999999</v>
    <v>48.01</v>
    <v>48.21</v>
    <v>48.05</v>
    <v>48.325000000000003</v>
    <v>48.1</v>
    <v>48.075000000000003</v>
    <v>48.02</v>
    <v>48.21</v>
    <v>47.96</v>
    <v>47.524999999999999</v>
    <v>47.24</v>
    <v>47.604999999999997</v>
    <v>47.05</v>
    <v>47.075000000000003</v>
    <v>47.354999999999997</v>
    <v>47.674999999999997</v>
    <v>47.73</v>
    <v>47.844999999999999</v>
    <v>48.04</v>
    <v>48.104999999999997</v>
    <v>48.265000000000001</v>
    <v>47.78</v>
    <v>47.905000000000001</v>
    <v>47.844999999999999</v>
    <v>48.17</v>
    <v>47.954999999999998</v>
    <v>47.97</v>
    <v>48.244999999999997</v>
    <v>48.35</v>
    <v>48.49</v>
    <v>48.5</v>
    <v>48.56</v>
    <v>48.585000000000001</v>
    <v>48.84</v>
    <v>48.72</v>
    <v>48.664999999999999</v>
    <v>48.73</v>
    <v>48.87</v>
    <v>49.075000000000003</v>
    <v>49.155000000000001</v>
    <v>49.435000000000002</v>
    <v>49.57</v>
    <v>49.6</v>
    <v>49.935000000000002</v>
    <v>50.36</v>
    <v>50.35</v>
    <v>50.26</v>
    <v>50.28</v>
    <v>49.91</v>
    <v>50.09</v>
    <v>50.09</v>
    <v>49.914999999999999</v>
    <v>49.58</v>
    <v>49.945</v>
    <v>49.7</v>
    <v>48.744999999999997</v>
    <v>48.97</v>
    <v>49.32</v>
    <v>49.685000000000002</v>
    <v>49.994999999999997</v>
    <v>50.53</v>
    <v>50.46</v>
    <v>50.51</v>
    <v>50.73</v>
    <v>51.1</v>
    <v>50.79</v>
    <v>51.18</v>
    <v>51.22</v>
    <v>51.53</v>
    <v>51.89</v>
    <v>52.29</v>
    <v>52.59</v>
    <v>53.03</v>
    <v>52.92</v>
    <v>52.88</v>
    <v>53.22</v>
    <v>53.24</v>
    <v>53.21</v>
    <v>53.28</v>
    <v>53.25</v>
    <v>53.2</v>
    <v>52.67</v>
    <v>52.58</v>
    <v>52.73</v>
    <v>52.31</v>
    <v>51.76</v>
    <v>52.13</v>
    <v>52.51</v>
    <v>52.49</v>
    <v>52.38</v>
    <v>52.76</v>
    <v>52.83</v>
    <v>52.62</v>
    <v>52.68</v>
    <v>52.32</v>
    <v>52.01</v>
    <v>52.01</v>
    <v>52</v>
    <v>51.62</v>
    <v>51.85</v>
    <v>51.81</v>
    <v>52.2</v>
    <v>52.29</v>
    <v>52.71</v>
    <v>52.48</v>
    <v>52.34</v>
    <v>52.15</v>
    <v>52.07</v>
    <v>51.96</v>
    <v>51.9</v>
    <v>52.34</v>
    <v>52.32</v>
    <v>52.19</v>
    <v>52.15</v>
    <v>52.23</v>
    <v>52.53</v>
    <v>53.07</v>
    <v>53.42</v>
    <v>52.87</v>
    <v>52.93</v>
    <v>52.91</v>
    <v>53.09</v>
    <v>52.76</v>
    <v>53.17</v>
    <v>53.23</v>
    <v>53.21</v>
    <v>53.08</v>
    <v>53.07</v>
    <v>53.19</v>
    <v>53.3</v>
    <v>53.74</v>
    <v>53.64</v>
    <v>52.61</v>
    <v>51.72</v>
    <v>52.23</v>
    <v>53.14</v>
    <v>52.88</v>
    <v>53.01</v>
    <v>53.02</v>
    <v>53.31</v>
    <v>53.37</v>
    <v>53.73</v>
    <v>53.86</v>
    <v>53.74</v>
    <v>53.76</v>
    <v>53.78</v>
    <v>53.92</v>
    <v>54.14</v>
    <v>53.88</v>
    <v>54.17</v>
    <v>54.34</v>
    <v>54.69</v>
    <v>54.9</v>
    <v>54.8</v>
    <v>54.89</v>
    <v>54.88</v>
    <v>54.55</v>
    <v>54.79</v>
    <v>55.11</v>
    <v>54.77</v>
    <v>55.17</v>
    <v>55.47</v>
    <v>55.76</v>
    <v>56.09</v>
    <v>55.94</v>
    <v>55.48</v>
    <v>55.59</v>
    <v>56.47</v>
    <v>56.61</v>
    <v>56.27</v>
    <v>56.4</v>
    <v>56.55</v>
    <v>56.47</v>
    <v>56.92</v>
    <v>57.4</v>
    <v>57.3</v>
    <v>57.57</v>
    <v>57.6</v>
    <v>57.26</v>
    <v>57.11</v>
    <v>57.32</v>
    <v>57.48</v>
    <v>58.07</v>
    <v>58.55</v>
    <v>58.64</v>
    <v>59.06</v>
    <v>58.81</v>
    <v>58.54</v>
    <v>58.49</v>
    <v>58.63</v>
    <v>58.54</v>
    <v>58.26</v>
    <v>58.44</v>
    <v>57.86</v>
    <v>57.36</v>
    <v>57.04</v>
    <v>57.4</v>
    <v>56.49</v>
    <v>56.8</v>
    <v>57.6</v>
    <v>57.91</v>
    <v>58.39</v>
    <v>59.1</v>
    <v>58.51</v>
    <v>58.39</v>
    <v>58.57</v>
    <v>58.93</v>
    <v>59.39</v>
    <v>59.65</v>
    <v>60.1</v>
    <v>60.81</v>
    <v>61.36</v>
    <v>61.08</v>
    <v>61.01</v>
    <v>60.89</v>
    <v>60.94</v>
    <v>60.96</v>
    <v>60.52</v>
    <v>60.71</v>
    <v>60.31</v>
    <v>60.79</v>
    <v>60.25</v>
    <v>60.27</v>
    <v>59.68</v>
    <v>59.57</v>
    <v>59.5</v>
    <v>59.06</v>
    <v>58.79</v>
    <v>58.61</v>
    <v>58.64</v>
    <v>58.28</v>
    <v>58.63</v>
    <v>58.92</v>
    <v>58.89</v>
    <v>59.02</v>
    <v>60.63</v>
    <v>60.64</v>
    <v>60.22</v>
    <v>60.02</v>
    <v>60.07</v>
    <v>60.24</v>
    <v>59.89</v>
    <v>59.77</v>
    <v>60.08</v>
    <v>61.25</v>
    <v>61.3</v>
    <v>62.18</v>
    <v>61.71</v>
    <v>62.01</v>
    <v>61.49</v>
    <v>61.61</v>
    <v>60.97</v>
    <v>59.54</v>
    <v>59.76</v>
    <v>60.17</v>
    <v>61.14</v>
    <v>60.9</v>
    <v>61.13</v>
    <v>60.71</v>
    <v>60.83</v>
    <v>60.79</v>
    <v>60.79</v>
    <v>61.19</v>
    <v>61.29</v>
    <v>61.12</v>
    <v>61.08</v>
    <v>61.04</v>
    <v>61.13</v>
    <v>60.89</v>
    <v>61.32</v>
    <v>60.64</v>
    <v>60.82</v>
    <v>60.48</v>
    <v>59.32</v>
    <v>60.06</v>
    <v>60.02</v>
    <v>60.03</v>
    <v>60.24</v>
    <v>58.91</v>
    <v>57.61</v>
    <v>57.45</v>
    <v>56.73</v>
    <v>57.13</v>
    <v>56.67</v>
    <v>56.65</v>
    <v>56.83</v>
    <v>57.88</v>
    <v>58.72</v>
    <v>58.29</v>
    <v>58.58</v>
    <v>58.99</v>
    <v>58.86</v>
    <v>59.54</v>
    <v>59.21</v>
    <v>59.42</v>
    <v>59.42</v>
    <v>59.11</v>
    <v>59.26</v>
    <v>59.83</v>
    <v>59.79</v>
    <v>59.02</v>
    <v>56.44</v>
    <v>54.1</v>
    <v>55.6</v>
    <v>53.46</v>
    <v>55.15</v>
    <v>54.64</v>
    <v>56.15</v>
    <v>57.16</v>
    <v>57.12</v>
    <v>57.36</v>
    <v>56.91</v>
    <v>57.8</v>
    <v>57.97</v>
    <v>58.1</v>
    <v>58.17</v>
    <v>58.29</v>
    <v>58.39</v>
    <v>59.26</v>
    <v>59.24</v>
    <v>59.55</v>
    <v>59.7</v>
    <v>60.07</v>
    <v>59.6</v>
    <v>59.86</v>
    <v>60.08</v>
    <v>59.64</v>
    <v>60.74</v>
    <v>61.1</v>
    <v>61</v>
    <v>61.39</v>
    <v>60.79</v>
    <v>60.35</v>
    <v>60.46</v>
    <v>60.86</v>
    <v>61.04</v>
    <v>60.77</v>
    <v>60.42</v>
    <v>60.77</v>
    <v>61</v>
    <v>61.14</v>
    <v>61.05</v>
    <v>60.8</v>
    <v>61.03</v>
    <v>61.01</v>
    <v>60.59</v>
    <v>60.6</v>
    <v>60.34</v>
    <v>60.5</v>
    <v>60.6</v>
    <v>60.1</v>
    <v>59.9</v>
    <v>59.7</v>
    <v>59.92</v>
    <v>59.99</v>
    <v>59.8</v>
    <v>59.36</v>
    <v>59.54</v>
    <v>59.88</v>
    <v>59.79</v>
    <v>60</v>
    <v>59.46</v>
    <v>59.71</v>
    <v>59.45</v>
    <v>59.58</v>
    <v>59.2</v>
    <v>59.56</v>
    <v>59.63</v>
    <v>59.55</v>
    <v>60.02</v>
    <v>59.8</v>
    <v>59.58</v>
    <v>60.15</v>
    <v>60.52</v>
    <v>60.48</v>
    <v>60.15</v>
    <v>60.42</v>
    <v>60.11</v>
    <v>60.11</v>
    <v>60.23</v>
    <v>60.96</v>
    <v>61.48</v>
    <v>61.34</v>
    <v>61</v>
    <v>61.75</v>
    <v>61.56</v>
    <v>61.54</v>
    <v>61.46</v>
    <v>61.81</v>
    <v>61.94</v>
    <v>61.64</v>
    <v>61.82</v>
    <v>62.27</v>
    <v>62.11</v>
    <v>62.18</v>
    <v>62.53</v>
    <v>62.82</v>
    <v>62.51</v>
    <v>62.2</v>
    <v>61.77</v>
    <v>61.96</v>
    <v>61.85</v>
    <v>61.41</v>
    <v>61.39</v>
    <v>60.9</v>
    <v>60.88</v>
    <v>61.03</v>
    <v>60.42</v>
    <v>60.67</v>
    <v>60.73</v>
    <v>61.17</v>
    <v>61.61</v>
    <v>62.01</v>
    <v>62.12</v>
    <v>61.14</v>
    <v>60.99</v>
    <v>60.81</v>
    <v>61</v>
    <v>60.92</v>
    <v>61.48</v>
    <v>61.55</v>
    <v>61.74</v>
    <v>61.95</v>
    <v>61.69</v>
    <v>61.7</v>
    <v>62.08</v>
    <v>61.95</v>
    <v>62.62</v>
    <v>62.5</v>
    <v>62.87</v>
    <v>63.39</v>
    <v>63.35</v>
    <v>63.17</v>
    <v>63.26</v>
    <v>63.17</v>
    <v>63.73</v>
    <v>63.4</v>
    <v>63.06</v>
    <v>63.4</v>
    <v>63.15</v>
    <v>63.16</v>
    <v>63.51</v>
    <v>63.51</v>
    <v>63.27</v>
    <v>63.35</v>
    <v>63.01</v>
    <v>63.45</v>
    <v>62.81</v>
    <v>63.17</v>
    <v>63.41</v>
    <v>63.73</v>
    <v>62.95</v>
    <v>62.77</v>
    <v>63.61</v>
    <v>63.96</v>
    <v>64.099999999999994</v>
    <v>63.6</v>
    <v>63.83</v>
    <v>63.77</v>
    <v>63.35</v>
    <v>63.26</v>
    <v>63.68</v>
    <v>63.12</v>
    <v>63.56</v>
    <v>63.77</v>
    <v>64.17</v>
    <v>64.27</v>
    <v>64.819999999999993</v>
    <v>64.040000000000006</v>
    <v>63.89</v>
    <v>63.65</v>
    <v>63.56</v>
    <v>63.41</v>
    <v>63.16</v>
    <v>63.36</v>
    <v>62.87</v>
    <v>62.7</v>
    <v>62.72</v>
    <v>63.01</v>
    <v>62.42</v>
    <v>62.48</v>
    <v>62.97</v>
    <v>63.11</v>
    <v>62.72</v>
    <v>63.29</v>
    <v>63.68</v>
    <v>63.33</v>
    <v>63.71</v>
    <v>63.5</v>
    <v>63.74</v>
    <v>63.83</v>
    <v>64.040000000000006</v>
    <v>64.36</v>
    <v>63.98</v>
    <v>63.78</v>
    <v>64.05</v>
    <v>64.650000000000006</v>
    <v>64.680000000000007</v>
    <v>64.53</v>
    <v>64.540000000000006</v>
    <v>64.25</v>
    <v>64.81</v>
    <v>64.77</v>
    <v>64.39</v>
    <v>64.64</v>
    <v>64.98</v>
    <v>65.33</v>
    <v>65.400000000000006</v>
    <v>65.510000000000005</v>
    <v>66.150000000000006</v>
    <v>66.48</v>
    <v>66.37</v>
    <v>66.959999999999994</v>
    <v>67.28</v>
    <v>67.48</v>
    <v>68.47</v>
    <v>68.819999999999993</v>
    <v>69.69</v>
    <v>69.87</v>
    <v>70.180000000000007</v>
    <v>69.87</v>
    <v>69.599999999999994</v>
    <v>69.98</v>
    <v>70.25</v>
    <v>69.95</v>
    <v>70.41</v>
    <v>70.989999999999995</v>
    <v>70.930000000000007</v>
    <v>71.11</v>
    <v>70.05</v>
    <v>70.3</v>
    <v>69.89</v>
    <v>69.55</v>
    <v>69.61</v>
    <v>69.84</v>
    <v>69.5</v>
    <v>70.14</v>
    <v>70.31</v>
    <v>70.39</v>
    <v>70.91</v>
    <v>70.209999999999994</v>
    <v>69.78</v>
    <v>69.180000000000007</v>
    <v>68.41</v>
    <v>69.37</v>
    <v>69.849999999999994</v>
    <v>69.55</v>
    <v>69.81</v>
    <v>70.39</v>
    <v>69.569999999999993</v>
    <v>69.78</v>
    <v>70.709999999999994</v>
    <v>70.45</v>
    <v>70.599999999999994</v>
    <v>71.55</v>
    <v>70.98</v>
    <v>70.03</v>
    <v>69.38</v>
    <v>69.08</v>
    <v>68.78</v>
    <v>68.78</v>
    <v>69.209999999999994</v>
    <v>68.62</v>
    <v>69.150000000000006</v>
    <v>69.58</v>
    <v>69.48</v>
    <v>69.319999999999993</v>
    <v>69.53</v>
    <v>69.03</v>
    <v>70.069999999999993</v>
    <v>69.91</v>
    <v>70.06</v>
    <v>69.86</v>
    <v>69.069999999999993</v>
    <v>68.91</v>
    <v>68.95</v>
    <v>69.03</v>
    <v>68.819999999999993</v>
    <v>69.489999999999995</v>
    <v>68.66</v>
    <v>68.63</v>
    <v>69.099999999999994</v>
    <v>69.790000000000006</v>
    <v>70.09</v>
    <v>69.81</v>
    <v>70.48</v>
    <v>70.16</v>
    <v>69.73</v>
    <v>69.31</v>
    <v>68.86</v>
    <v>68.19</v>
    <v>68.930000000000007</v>
    <v>69.349999999999994</v>
    <v>68.819999999999993</v>
    <v>69.569999999999993</v>
    <v>68.989999999999995</v>
    <v>68.650000000000006</v>
    <v>69.23</v>
    <v>69.62</v>
    <v>70.11</v>
    <v>70.31</v>
    <v>70.510000000000005</v>
    <v>70.3</v>
    <v>70.81</v>
    <v>70.81</v>
    <v>71.099999999999994</v>
    <v>71.27</v>
    <v>71.7</v>
    <v>72.41</v>
    <v>72.510000000000005</v>
    <v>72.040000000000006</v>
    <v>71.680000000000007</v>
    <v>70.739999999999995</v>
    <v>71.08</v>
    <v>71.77</v>
    <v>71.69</v>
    <v>71.84</v>
    <v>71.67</v>
    <v>71.540000000000006</v>
    <v>71.290000000000006</v>
    <v>71.819999999999993</v>
    <v>71.760000000000005</v>
    <v>71.63</v>
    <v>71.28</v>
    <v>71.900000000000006</v>
    <v>71.72</v>
    <v>71.12</v>
    <v>72</v>
    <v>72.31</v>
    <v>72.44</v>
    <v>71.989999999999995</v>
    <v>71.849999999999994</v>
    <v>71.37</v>
    <v>70.59</v>
    <v>70.900000000000006</v>
    <v>70.650000000000006</v>
    <v>70.3</v>
    <v>69.739999999999995</v>
    <v>70.19</v>
    <v>69.8</v>
    <v>69.349999999999994</v>
    <v>69.58</v>
    <v>69.790000000000006</v>
    <v>69.739999999999995</v>
    <v>69.33</v>
    <v>69.03</v>
    <v>69.569999999999993</v>
    <v>68.91</v>
    <v>68.819999999999993</v>
    <v>68.42</v>
    <v>68.27</v>
    <v>68.680000000000007</v>
    <v>69.22</v>
    <v>68.39</v>
    <v>68.510000000000005</v>
    <v>68.25</v>
    <v>68.16</v>
    <v>67.930000000000007</v>
    <v>68.22</v>
    <v>68.19</v>
    <v>67.97</v>
    <v>68.38</v>
    <v>67.75</v>
    <v>67.37</v>
    <v>67.23</v>
    <v>67</v>
    <v>66.72</v>
    <v>66.900000000000006</v>
    <v>67.47</v>
    <v>67.17</v>
    <v>67.19</v>
    <v>67.599999999999994</v>
    <v>66.94</v>
    <v>66.510000000000005</v>
    <v>66.319999999999993</v>
    <v>66.290000000000006</v>
    <v>66.14</v>
    <v>66.180000000000007</v>
    <v>66.12</v>
    <v>66.650000000000006</v>
    <v>67.27</v>
    <v>67.87</v>
    <v>67.48</v>
    <v>67.349999999999994</v>
    <v>68.099999999999994</v>
    <v>68.67</v>
    <v>68.78</v>
    <v>68.83</v>
    <v>68.459999999999994</v>
    <v>68.91</v>
    <v>68.680000000000007</v>
    <v>69.23</v>
    <v>69.87</v>
    <v>69.73</v>
    <v>70.37</v>
  </a>
  <a r="1" c="254">
    <v>63.51</v>
    <v>63.51</v>
    <v>63.27</v>
    <v>63.35</v>
    <v>63.01</v>
    <v>63.45</v>
    <v>62.81</v>
    <v>63.17</v>
    <v>63.41</v>
    <v>63.73</v>
    <v>62.95</v>
    <v>62.77</v>
    <v>63.61</v>
    <v>63.96</v>
    <v>64.099999999999994</v>
    <v>63.6</v>
    <v>63.83</v>
    <v>63.77</v>
    <v>63.35</v>
    <v>63.26</v>
    <v>63.68</v>
    <v>63.12</v>
    <v>63.56</v>
    <v>63.77</v>
    <v>64.17</v>
    <v>64.27</v>
    <v>64.819999999999993</v>
    <v>64.040000000000006</v>
    <v>63.89</v>
    <v>63.65</v>
    <v>63.56</v>
    <v>63.41</v>
    <v>63.16</v>
    <v>63.36</v>
    <v>62.87</v>
    <v>62.7</v>
    <v>62.72</v>
    <v>63.01</v>
    <v>62.42</v>
    <v>62.48</v>
    <v>62.97</v>
    <v>63.11</v>
    <v>62.72</v>
    <v>63.29</v>
    <v>63.68</v>
    <v>63.33</v>
    <v>63.71</v>
    <v>63.5</v>
    <v>63.74</v>
    <v>63.83</v>
    <v>64.040000000000006</v>
    <v>64.36</v>
    <v>63.98</v>
    <v>63.78</v>
    <v>64.05</v>
    <v>64.650000000000006</v>
    <v>64.680000000000007</v>
    <v>64.53</v>
    <v>64.540000000000006</v>
    <v>64.25</v>
    <v>64.81</v>
    <v>64.77</v>
    <v>64.39</v>
    <v>64.64</v>
    <v>64.98</v>
    <v>65.33</v>
    <v>65.400000000000006</v>
    <v>65.510000000000005</v>
    <v>66.150000000000006</v>
    <v>66.48</v>
    <v>66.37</v>
    <v>66.959999999999994</v>
    <v>67.28</v>
    <v>67.48</v>
    <v>68.47</v>
    <v>68.819999999999993</v>
    <v>69.69</v>
    <v>69.87</v>
    <v>70.180000000000007</v>
    <v>69.87</v>
    <v>69.599999999999994</v>
    <v>69.98</v>
    <v>70.25</v>
    <v>69.95</v>
    <v>70.41</v>
    <v>70.989999999999995</v>
    <v>70.930000000000007</v>
    <v>71.11</v>
    <v>70.05</v>
    <v>70.3</v>
    <v>69.89</v>
    <v>69.55</v>
    <v>69.61</v>
    <v>69.84</v>
    <v>69.5</v>
    <v>70.14</v>
    <v>70.31</v>
    <v>70.39</v>
    <v>70.91</v>
    <v>70.209999999999994</v>
    <v>69.78</v>
    <v>69.180000000000007</v>
    <v>68.41</v>
    <v>69.37</v>
    <v>69.849999999999994</v>
    <v>69.55</v>
    <v>69.81</v>
    <v>70.39</v>
    <v>69.569999999999993</v>
    <v>69.78</v>
    <v>70.709999999999994</v>
    <v>70.45</v>
    <v>70.599999999999994</v>
    <v>71.55</v>
    <v>70.98</v>
    <v>70.03</v>
    <v>69.38</v>
    <v>69.08</v>
    <v>68.78</v>
    <v>68.78</v>
    <v>69.209999999999994</v>
    <v>68.62</v>
    <v>69.150000000000006</v>
    <v>69.58</v>
    <v>69.48</v>
    <v>69.319999999999993</v>
    <v>69.53</v>
    <v>69.03</v>
    <v>70.069999999999993</v>
    <v>69.91</v>
    <v>70.06</v>
    <v>69.86</v>
    <v>69.069999999999993</v>
    <v>68.91</v>
    <v>68.95</v>
    <v>69.03</v>
    <v>68.819999999999993</v>
    <v>69.489999999999995</v>
    <v>68.66</v>
    <v>68.63</v>
    <v>69.099999999999994</v>
    <v>69.790000000000006</v>
    <v>70.09</v>
    <v>69.81</v>
    <v>70.48</v>
    <v>70.16</v>
    <v>69.73</v>
    <v>69.31</v>
    <v>68.86</v>
    <v>68.19</v>
    <v>68.930000000000007</v>
    <v>69.349999999999994</v>
    <v>68.819999999999993</v>
    <v>69.569999999999993</v>
    <v>68.989999999999995</v>
    <v>68.650000000000006</v>
    <v>69.23</v>
    <v>69.62</v>
    <v>70.11</v>
    <v>70.31</v>
    <v>70.510000000000005</v>
    <v>70.3</v>
    <v>70.81</v>
    <v>70.81</v>
    <v>71.099999999999994</v>
    <v>71.27</v>
    <v>71.7</v>
    <v>72.41</v>
    <v>72.510000000000005</v>
    <v>72.040000000000006</v>
    <v>71.680000000000007</v>
    <v>70.739999999999995</v>
    <v>71.08</v>
    <v>71.77</v>
    <v>71.69</v>
    <v>71.84</v>
    <v>71.67</v>
    <v>71.540000000000006</v>
    <v>71.290000000000006</v>
    <v>71.819999999999993</v>
    <v>71.760000000000005</v>
    <v>71.63</v>
    <v>71.28</v>
    <v>71.900000000000006</v>
    <v>71.72</v>
    <v>71.12</v>
    <v>72</v>
    <v>72.31</v>
    <v>72.44</v>
    <v>71.989999999999995</v>
    <v>71.849999999999994</v>
    <v>71.37</v>
    <v>70.59</v>
    <v>70.900000000000006</v>
    <v>70.650000000000006</v>
    <v>70.3</v>
    <v>69.739999999999995</v>
    <v>70.19</v>
    <v>69.8</v>
    <v>69.349999999999994</v>
    <v>69.58</v>
    <v>69.790000000000006</v>
    <v>69.739999999999995</v>
    <v>69.33</v>
    <v>69.03</v>
    <v>69.569999999999993</v>
    <v>68.91</v>
    <v>68.819999999999993</v>
    <v>68.42</v>
    <v>68.27</v>
    <v>68.680000000000007</v>
    <v>69.22</v>
    <v>68.39</v>
    <v>68.510000000000005</v>
    <v>68.25</v>
    <v>68.16</v>
    <v>67.930000000000007</v>
    <v>68.22</v>
    <v>68.19</v>
    <v>67.97</v>
    <v>68.38</v>
    <v>67.75</v>
    <v>67.37</v>
    <v>67.23</v>
    <v>67</v>
    <v>66.72</v>
    <v>66.900000000000006</v>
    <v>67.47</v>
    <v>67.17</v>
    <v>67.19</v>
    <v>67.599999999999994</v>
    <v>66.94</v>
    <v>66.510000000000005</v>
    <v>66.319999999999993</v>
    <v>66.290000000000006</v>
    <v>66.14</v>
    <v>66.180000000000007</v>
    <v>66.12</v>
    <v>66.650000000000006</v>
    <v>67.27</v>
    <v>67.87</v>
    <v>67.48</v>
    <v>67.349999999999994</v>
    <v>68.099999999999994</v>
    <v>68.67</v>
    <v>68.78</v>
    <v>68.83</v>
    <v>68.459999999999994</v>
    <v>68.91</v>
    <v>68.680000000000007</v>
    <v>69.23</v>
    <v>69.87</v>
    <v>69.73</v>
    <v>70.37</v>
  </a>
  <a r="1" c="761">
    <v>115.17</v>
    <v>115.1</v>
    <v>114.95</v>
    <v>115.02</v>
    <v>114.88</v>
    <v>114.7</v>
    <v>114.68</v>
    <v>114.61</v>
    <v>114.27</v>
    <v>114.15</v>
    <v>114.23</v>
    <v>114.05</v>
    <v>113.87</v>
    <v>114.02</v>
    <v>114.21</v>
    <v>114.32</v>
    <v>114.04</v>
    <v>114.07</v>
    <v>113.63</v>
    <v>113.71</v>
    <v>114.02</v>
    <v>113.9</v>
    <v>113.78</v>
    <v>114.3</v>
    <v>114.15</v>
    <v>113.9</v>
    <v>113.78</v>
    <v>113.3</v>
    <v>113.59</v>
    <v>113.64</v>
    <v>113.32</v>
    <v>113.14</v>
    <v>113.06</v>
    <v>113.04</v>
    <v>113.19</v>
    <v>113.14</v>
    <v>113.02</v>
    <v>112.9</v>
    <v>112.95</v>
    <v>112.98</v>
    <v>112.89</v>
    <v>112.84</v>
    <v>113.03</v>
    <v>112.9</v>
    <v>112.91</v>
    <v>112.82</v>
    <v>113.02</v>
    <v>112.86</v>
    <v>113.07</v>
    <v>112.67</v>
    <v>112.53</v>
    <v>112.8</v>
    <v>112.83</v>
    <v>113.06</v>
    <v>112.86</v>
    <v>112.82</v>
    <v>112.93</v>
    <v>113.18</v>
    <v>113.08</v>
    <v>112.97</v>
    <v>113</v>
    <v>113.15</v>
    <v>112.99</v>
    <v>112.95</v>
    <v>112.94</v>
    <v>112.78</v>
    <v>112.87</v>
    <v>112.92</v>
    <v>113.09</v>
    <v>112.82</v>
    <v>113.1</v>
    <v>112.93</v>
    <v>113.1</v>
    <v>113.25</v>
    <v>113.29</v>
    <v>113.41</v>
    <v>113.45</v>
    <v>113.4</v>
    <v>113.48</v>
    <v>113.49</v>
    <v>113.46</v>
    <v>113.29</v>
    <v>113.39</v>
    <v>113.14</v>
    <v>113.18</v>
    <v>113.01</v>
    <v>113.09</v>
    <v>113.12</v>
    <v>113.23</v>
    <v>113.52</v>
    <v>113.64</v>
    <v>113.69</v>
    <v>113.42</v>
    <v>113.27</v>
    <v>113.36</v>
    <v>113.18</v>
    <v>113.22</v>
    <v>113.14</v>
    <v>113.19</v>
    <v>113.38</v>
    <v>113.69</v>
    <v>113.72</v>
    <v>113.65</v>
    <v>113.68</v>
    <v>113.52</v>
    <v>113.58</v>
    <v>113.58</v>
    <v>113.74</v>
    <v>113.75</v>
    <v>113.69</v>
    <v>113.79</v>
    <v>114.1</v>
    <v>114.17</v>
    <v>114.17</v>
    <v>114.38</v>
    <v>114.33</v>
    <v>114.2</v>
    <v>114.48</v>
    <v>114.55</v>
    <v>114.72</v>
    <v>114.9</v>
    <v>115.23</v>
    <v>114.97</v>
    <v>114.97</v>
    <v>114.79</v>
    <v>114.74</v>
    <v>114.81</v>
    <v>114.98</v>
    <v>115.12</v>
    <v>114.94</v>
    <v>114.79</v>
    <v>115.1</v>
    <v>114.96</v>
    <v>114.74</v>
    <v>114.65</v>
    <v>114.54</v>
    <v>114.58</v>
    <v>114.79</v>
    <v>114.77</v>
    <v>114.8</v>
    <v>114.81</v>
    <v>114.76</v>
    <v>114.78</v>
    <v>114.89</v>
    <v>114.86</v>
    <v>114.68</v>
    <v>114.93</v>
    <v>115.11</v>
    <v>114.92</v>
    <v>115</v>
    <v>114.95</v>
    <v>115.21</v>
    <v>115.26</v>
    <v>115.21</v>
    <v>115.05</v>
    <v>114.7</v>
    <v>114.8</v>
    <v>114.98</v>
    <v>115.16</v>
    <v>115.35</v>
    <v>115.17</v>
    <v>115.09</v>
    <v>115.03</v>
    <v>114.84</v>
    <v>115.08</v>
    <v>115.21</v>
    <v>115.16</v>
    <v>115.14</v>
    <v>115.2</v>
    <v>115.05</v>
    <v>114.98</v>
    <v>114.97</v>
    <v>115.09</v>
    <v>115.04</v>
    <v>115.29</v>
    <v>115.18</v>
    <v>115.29</v>
    <v>115.31</v>
    <v>115.33</v>
    <v>115.28</v>
    <v>115.37</v>
    <v>115.28</v>
    <v>115.08</v>
    <v>115.17</v>
    <v>115.25</v>
    <v>115.09</v>
    <v>115.18</v>
    <v>115.18</v>
    <v>115.25</v>
    <v>115.2</v>
    <v>114.94</v>
    <v>115.01</v>
    <v>114.69</v>
    <v>114.73</v>
    <v>114.65</v>
    <v>114.64</v>
    <v>114.79</v>
    <v>115.05</v>
    <v>114.42</v>
    <v>114.03</v>
    <v>114.32</v>
    <v>114.6</v>
    <v>114.59</v>
    <v>114.34</v>
    <v>114.6</v>
    <v>114.51</v>
    <v>114.43</v>
    <v>114.61</v>
    <v>114.41</v>
    <v>114.2</v>
    <v>114.25</v>
    <v>114.33</v>
    <v>114.48</v>
    <v>114.74</v>
    <v>114.52</v>
    <v>114.56</v>
    <v>114.4</v>
    <v>114.35</v>
    <v>114.63</v>
    <v>114.4</v>
    <v>114.14</v>
    <v>114.21</v>
    <v>114.09</v>
    <v>114.12</v>
    <v>113.84</v>
    <v>113.74</v>
    <v>113.93</v>
    <v>114.02</v>
    <v>114.34</v>
    <v>114.25</v>
    <v>114.44</v>
    <v>114.36</v>
    <v>114.45</v>
    <v>114.52</v>
    <v>114.65</v>
    <v>114.61</v>
    <v>114.45</v>
    <v>114.18</v>
    <v>114.25</v>
    <v>114.5</v>
    <v>114.73</v>
    <v>114.94</v>
    <v>115.18</v>
    <v>115.42</v>
    <v>115.08</v>
    <v>115.21</v>
    <v>115.59</v>
    <v>115.68</v>
    <v>115.52</v>
    <v>115.03</v>
    <v>114.84</v>
    <v>114.97</v>
    <v>114.83</v>
    <v>114.93</v>
    <v>115.33</v>
    <v>115.34</v>
    <v>114.99</v>
    <v>114.87</v>
    <v>114.63</v>
    <v>114.62</v>
    <v>114.9</v>
    <v>115.05</v>
    <v>115.28</v>
    <v>115.22</v>
    <v>115.45</v>
    <v>115.59</v>
    <v>115.42</v>
    <v>115.44</v>
    <v>115.08</v>
    <v>115.17</v>
    <v>115.22</v>
    <v>115.22</v>
    <v>115.3</v>
    <v>115.28</v>
    <v>115.13</v>
    <v>115.18</v>
    <v>115.14</v>
    <v>114.99</v>
    <v>115.17</v>
    <v>114.96</v>
    <v>114.87</v>
    <v>114.91</v>
    <v>114.9</v>
    <v>114.87</v>
    <v>114.79</v>
    <v>114.98</v>
    <v>114.85</v>
    <v>114.78</v>
    <v>114.93</v>
    <v>114.85</v>
    <v>114.93</v>
    <v>115.06</v>
    <v>115.23</v>
    <v>115.2</v>
    <v>114.78</v>
    <v>114.98</v>
    <v>115.07</v>
    <v>115.03</v>
    <v>115.28</v>
    <v>115.23</v>
    <v>115.17</v>
    <v>115.63</v>
    <v>115.56</v>
    <v>115.94</v>
    <v>116.03</v>
    <v>115.99</v>
    <v>116.02</v>
    <v>116.22</v>
    <v>116.36</v>
    <v>116.35</v>
    <v>116.34</v>
    <v>116.18</v>
    <v>116.13</v>
    <v>116.1</v>
    <v>115.88</v>
    <v>115.89</v>
    <v>115.97</v>
    <v>116.21</v>
    <v>115.83</v>
    <v>115.98</v>
    <v>116.03</v>
    <v>115.97</v>
    <v>115.81</v>
    <v>116.05</v>
    <v>115.87</v>
    <v>115.56</v>
    <v>115.74</v>
    <v>115.71</v>
    <v>115.81</v>
    <v>115.84</v>
    <v>115.83</v>
    <v>115.58</v>
    <v>115.57</v>
    <v>115.69</v>
    <v>115.64</v>
    <v>115.74</v>
    <v>115.75</v>
    <v>115.66</v>
    <v>115.63</v>
    <v>115.26</v>
    <v>115.44</v>
    <v>115.51</v>
    <v>115.41</v>
    <v>115.79</v>
    <v>115.54</v>
    <v>116.37</v>
    <v>116.25</v>
    <v>116.23</v>
    <v>116.09</v>
    <v>116.67</v>
    <v>116.45</v>
    <v>116.29</v>
    <v>116.51</v>
    <v>116.4</v>
    <v>116.39</v>
    <v>116.4</v>
    <v>116.17</v>
    <v>116.26</v>
    <v>116.26</v>
    <v>116.28</v>
    <v>116.38</v>
    <v>116.19</v>
    <v>116.12</v>
    <v>116.31</v>
    <v>116.38</v>
    <v>116.13</v>
    <v>115.88</v>
    <v>115.58</v>
    <v>115.55</v>
    <v>115.58</v>
    <v>115.17</v>
    <v>115.19</v>
    <v>114.97</v>
    <v>115.13</v>
    <v>115.08</v>
    <v>115.08</v>
    <v>115.18</v>
    <v>115.24</v>
    <v>115.51</v>
    <v>115.69</v>
    <v>115.56</v>
    <v>115.58</v>
    <v>115.35</v>
    <v>115.46</v>
    <v>115.74</v>
    <v>115.56</v>
    <v>115.73</v>
    <v>115.62</v>
    <v>115.71</v>
    <v>115.74</v>
    <v>116</v>
    <v>116.11</v>
    <v>116.13</v>
    <v>115.97</v>
    <v>115.87</v>
    <v>115.93</v>
    <v>115.86</v>
    <v>116.1</v>
    <v>116.05</v>
    <v>115.86</v>
    <v>115.77</v>
    <v>115.57</v>
    <v>115.7</v>
    <v>115.55</v>
    <v>115.56</v>
    <v>115.7</v>
    <v>115.55</v>
    <v>115.57</v>
    <v>115.63</v>
    <v>115.81</v>
    <v>115.97</v>
    <v>115.67</v>
    <v>115.89</v>
    <v>115.88</v>
    <v>116.2</v>
    <v>116.15</v>
    <v>116.25</v>
    <v>116.32</v>
    <v>116.59</v>
    <v>116.3</v>
    <v>116.59</v>
    <v>116.19</v>
    <v>116.32</v>
    <v>116.28</v>
    <v>116.35</v>
    <v>116.3</v>
    <v>116.3</v>
    <v>116.35</v>
    <v>116.31</v>
    <v>116.18</v>
    <v>116.2</v>
    <v>116.43</v>
    <v>116.3</v>
    <v>116.33</v>
    <v>116.35</v>
    <v>116.39</v>
    <v>116.48</v>
    <v>116.01</v>
    <v>116.29</v>
    <v>116.35</v>
    <v>116.3</v>
    <v>116.3</v>
    <v>116.31</v>
    <v>116.45</v>
    <v>116.39</v>
    <v>116.49</v>
    <v>116.48</v>
    <v>116.57</v>
    <v>116.54</v>
    <v>116.5</v>
    <v>116.24</v>
    <v>116.31</v>
    <v>116.4</v>
    <v>116.29</v>
    <v>116.45</v>
    <v>116.37</v>
    <v>116.52</v>
    <v>116.31</v>
    <v>116.47</v>
    <v>116.47</v>
    <v>116.25</v>
    <v>116.36</v>
    <v>116.35</v>
    <v>116.36</v>
    <v>116.6</v>
    <v>116.56</v>
    <v>116.61</v>
    <v>116.45</v>
    <v>116.42</v>
    <v>116.57</v>
    <v>116.69</v>
    <v>116.61</v>
    <v>116.44</v>
    <v>116.31</v>
    <v>116.3</v>
    <v>116.4</v>
    <v>116.46</v>
    <v>116.41</v>
    <v>116.51</v>
    <v>116.45</v>
    <v>116.49</v>
    <v>116.5</v>
    <v>116.65</v>
    <v>116.53</v>
    <v>116.58</v>
    <v>116.69</v>
    <v>116.62</v>
    <v>116.51</v>
    <v>116.72</v>
    <v>116.63</v>
    <v>116.48</v>
    <v>116.56</v>
    <v>116.62</v>
    <v>116.65</v>
    <v>116.65</v>
    <v>116.59</v>
    <v>116.64</v>
    <v>116.71</v>
    <v>116.63</v>
    <v>116.63</v>
    <v>116.51</v>
    <v>116.44</v>
    <v>116.51</v>
    <v>116.42</v>
    <v>116.33</v>
    <v>116.33</v>
    <v>116.4</v>
    <v>116.37</v>
    <v>116.45</v>
    <v>116.48</v>
    <v>116.33</v>
    <v>116.38</v>
    <v>116.5</v>
    <v>116.48</v>
    <v>116.58</v>
    <v>116.41</v>
    <v>116.55</v>
    <v>116.53</v>
    <v>116.54</v>
    <v>116.66</v>
    <v>116.6</v>
    <v>116.64</v>
    <v>116.63</v>
    <v>116.68</v>
    <v>116.84</v>
    <v>116.78</v>
    <v>116.71</v>
    <v>116.77</v>
    <v>116.6</v>
    <v>116.6</v>
    <v>116.58</v>
    <v>116.57</v>
    <v>116.52</v>
    <v>116.61</v>
    <v>116.69</v>
    <v>116.61</v>
    <v>116.65</v>
    <v>116.75</v>
    <v>116.71</v>
    <v>116.91</v>
    <v>116.85</v>
    <v>116.92</v>
    <v>116.93</v>
    <v>116.95</v>
    <v>116.87</v>
    <v>116.68</v>
    <v>116.69</v>
    <v>116.61</v>
    <v>116.65</v>
    <v>116.69</v>
    <v>116.59</v>
    <v>116.66</v>
    <v>116.64</v>
    <v>116.65</v>
    <v>116.7</v>
    <v>116.63</v>
    <v>116.48</v>
    <v>116.62</v>
    <v>116.74</v>
    <v>116.66</v>
    <v>116.87</v>
    <v>116.98</v>
    <v>117.02</v>
    <v>117.13</v>
    <v>117.15</v>
    <v>117.18</v>
    <v>117.19</v>
    <v>117</v>
    <v>117.06</v>
    <v>117.17</v>
    <v>117.36</v>
    <v>117.22</v>
    <v>117.39</v>
    <v>117.43</v>
    <v>117.22</v>
    <v>117.22</v>
    <v>117.15</v>
    <v>117.11</v>
    <v>117.14</v>
    <v>117.11</v>
    <v>116.93</v>
    <v>117.03</v>
    <v>116.92</v>
    <v>117.11</v>
    <v>116.88</v>
    <v>116.79</v>
    <v>116.87</v>
    <v>117.04</v>
    <v>116.89</v>
    <v>116.88</v>
    <v>116.7</v>
    <v>116.8</v>
    <v>117.01</v>
    <v>116.97</v>
    <v>117.24</v>
    <v>117.74</v>
    <v>117.36</v>
    <v>117.59</v>
    <v>118.75</v>
    <v>119.33</v>
    <v>118.68</v>
    <v>118.78</v>
    <v>119.53</v>
    <v>119.41</v>
    <v>119.46</v>
    <v>119.28</v>
    <v>119.68</v>
    <v>119.86</v>
    <v>119.81</v>
    <v>119.5</v>
    <v>119.36</v>
    <v>119.02</v>
    <v>119.35</v>
    <v>119.57</v>
    <v>119.67</v>
    <v>119.75</v>
    <v>119.49</v>
    <v>119.82</v>
    <v>120.02</v>
    <v>119.06</v>
    <v>119.31</v>
    <v>119.35</v>
    <v>119.43</v>
    <v>119.3</v>
    <v>119.39</v>
    <v>119.6</v>
    <v>119.06</v>
    <v>119.29</v>
    <v>119.21</v>
    <v>119.44</v>
    <v>119.67</v>
    <v>119.99</v>
    <v>120.09</v>
    <v>120.27</v>
    <v>120.77</v>
    <v>120.43</v>
    <v>120.94</v>
    <v>121</v>
    <v>120.32</v>
    <v>119.96</v>
    <v>120.34</v>
    <v>120.65</v>
    <v>120.94</v>
    <v>120.94</v>
    <v>120.76</v>
    <v>121</v>
    <v>121.23</v>
    <v>121.05</v>
    <v>120.73</v>
    <v>120.89</v>
    <v>120.5</v>
    <v>119.98</v>
    <v>120.11</v>
    <v>120.17</v>
    <v>120.18</v>
    <v>119.65</v>
    <v>120.37</v>
    <v>120.22</v>
    <v>120.57</v>
    <v>120.19</v>
    <v>120.28</v>
    <v>120.34</v>
    <v>120.26</v>
    <v>120.44</v>
    <v>120.33</v>
    <v>120.15</v>
    <v>119.81</v>
    <v>119.57</v>
    <v>119.73</v>
    <v>119.41</v>
    <v>119.56</v>
    <v>119.48</v>
    <v>119.35</v>
    <v>119.15</v>
    <v>119.33</v>
    <v>119.24</v>
    <v>119.32</v>
    <v>119.32</v>
    <v>119.69</v>
    <v>119.67</v>
    <v>119.66</v>
    <v>119.78</v>
    <v>119.77</v>
    <v>120.51</v>
    <v>120.35</v>
    <v>120.14</v>
    <v>120.42</v>
    <v>120.77</v>
    <v>120.58</v>
    <v>120.84</v>
    <v>120.9</v>
    <v>121</v>
    <v>121.08</v>
    <v>121.17</v>
    <v>121.36</v>
    <v>120.99</v>
    <v>120.53</v>
    <v>120.29</v>
    <v>120.63</v>
    <v>120.69</v>
    <v>120.76</v>
    <v>120.42</v>
    <v>120.17</v>
    <v>120.08</v>
    <v>120.23</v>
    <v>120.32</v>
    <v>120.75</v>
    <v>120.73</v>
    <v>120.78</v>
    <v>120.75</v>
    <v>120.89</v>
    <v>121.1</v>
    <v>121.39</v>
    <v>121.4</v>
    <v>121.3</v>
    <v>121.27</v>
    <v>121.3</v>
    <v>121.1</v>
    <v>121.13</v>
    <v>121.26</v>
    <v>121.28</v>
    <v>121.38</v>
    <v>121.62</v>
    <v>121.79</v>
    <v>121.78</v>
    <v>121.68</v>
    <v>121.98</v>
    <v>122.11</v>
    <v>122.27</v>
    <v>122.24</v>
    <v>122.19</v>
    <v>122.29</v>
    <v>122.13</v>
    <v>122.02</v>
    <v>121.76</v>
    <v>122.26</v>
    <v>121.86</v>
    <v>121.59</v>
    <v>121.86</v>
    <v>122.37</v>
    <v>122.15</v>
    <v>122.29</v>
    <v>122.06</v>
    <v>122.18</v>
    <v>122.16</v>
    <v>121.8</v>
    <v>122.02</v>
    <v>121.78</v>
    <v>122.1</v>
    <v>122.49</v>
    <v>122.38</v>
    <v>122.27</v>
    <v>122.27</v>
    <v>122.47</v>
    <v>122.55</v>
    <v>122.32</v>
    <v>122.64</v>
    <v>122.33</v>
    <v>122.48</v>
    <v>122.28</v>
    <v>122.36</v>
  </a>
  <a r="1" c="208">
    <v>116.65</v>
    <v>116.7</v>
    <v>116.63</v>
    <v>116.48</v>
    <v>116.62</v>
    <v>116.74</v>
    <v>116.66</v>
    <v>116.87</v>
    <v>116.98</v>
    <v>117.02</v>
    <v>117.13</v>
    <v>117.15</v>
    <v>117.18</v>
    <v>117.19</v>
    <v>117</v>
    <v>117.06</v>
    <v>117.17</v>
    <v>117.36</v>
    <v>117.22</v>
    <v>117.39</v>
    <v>117.43</v>
    <v>117.22</v>
    <v>117.22</v>
    <v>117.15</v>
    <v>117.11</v>
    <v>117.14</v>
    <v>117.11</v>
    <v>116.93</v>
    <v>117.03</v>
    <v>116.92</v>
    <v>117.11</v>
    <v>116.88</v>
    <v>116.79</v>
    <v>116.87</v>
    <v>117.04</v>
    <v>116.89</v>
    <v>116.88</v>
    <v>116.7</v>
    <v>116.8</v>
    <v>117.01</v>
    <v>116.97</v>
    <v>117.24</v>
    <v>117.74</v>
    <v>117.36</v>
    <v>117.59</v>
    <v>118.75</v>
    <v>119.33</v>
    <v>118.68</v>
    <v>118.78</v>
    <v>119.53</v>
    <v>119.41</v>
    <v>119.46</v>
    <v>119.28</v>
    <v>119.68</v>
    <v>119.86</v>
    <v>119.81</v>
    <v>119.5</v>
    <v>119.36</v>
    <v>119.02</v>
    <v>119.35</v>
    <v>119.57</v>
    <v>119.67</v>
    <v>119.75</v>
    <v>119.49</v>
    <v>119.82</v>
    <v>120.02</v>
    <v>119.06</v>
    <v>119.31</v>
    <v>119.35</v>
    <v>119.43</v>
    <v>119.3</v>
    <v>119.39</v>
    <v>119.6</v>
    <v>119.06</v>
    <v>119.29</v>
    <v>119.21</v>
    <v>119.44</v>
    <v>119.67</v>
    <v>119.99</v>
    <v>120.09</v>
    <v>120.27</v>
    <v>120.77</v>
    <v>120.43</v>
    <v>120.94</v>
    <v>121</v>
    <v>120.32</v>
    <v>119.96</v>
    <v>120.34</v>
    <v>120.65</v>
    <v>120.94</v>
    <v>120.94</v>
    <v>120.76</v>
    <v>121</v>
    <v>121.23</v>
    <v>121.05</v>
    <v>120.73</v>
    <v>120.89</v>
    <v>120.5</v>
    <v>119.98</v>
    <v>120.11</v>
    <v>120.17</v>
    <v>120.18</v>
    <v>119.65</v>
    <v>120.37</v>
    <v>120.22</v>
    <v>120.57</v>
    <v>120.19</v>
    <v>120.28</v>
    <v>120.34</v>
    <v>120.26</v>
    <v>120.44</v>
    <v>120.33</v>
    <v>120.15</v>
    <v>119.81</v>
    <v>119.57</v>
    <v>119.73</v>
    <v>119.41</v>
    <v>119.56</v>
    <v>119.48</v>
    <v>119.35</v>
    <v>119.15</v>
    <v>119.33</v>
    <v>119.24</v>
    <v>119.32</v>
    <v>119.32</v>
    <v>119.69</v>
    <v>119.67</v>
    <v>119.66</v>
    <v>119.78</v>
    <v>119.77</v>
    <v>120.51</v>
    <v>120.35</v>
    <v>120.14</v>
    <v>120.42</v>
    <v>120.77</v>
    <v>120.58</v>
    <v>120.84</v>
    <v>120.9</v>
    <v>121</v>
    <v>121.08</v>
    <v>121.17</v>
    <v>121.36</v>
    <v>120.99</v>
    <v>120.53</v>
    <v>120.29</v>
    <v>120.63</v>
    <v>120.69</v>
    <v>120.76</v>
    <v>120.42</v>
    <v>120.17</v>
    <v>120.08</v>
    <v>120.23</v>
    <v>120.32</v>
    <v>120.75</v>
    <v>120.73</v>
    <v>120.78</v>
    <v>120.75</v>
    <v>120.89</v>
    <v>121.1</v>
    <v>121.39</v>
    <v>121.4</v>
    <v>121.3</v>
    <v>121.27</v>
    <v>121.3</v>
    <v>121.1</v>
    <v>121.13</v>
    <v>121.26</v>
    <v>121.28</v>
    <v>121.38</v>
    <v>121.62</v>
    <v>121.79</v>
    <v>121.78</v>
    <v>121.68</v>
    <v>121.98</v>
    <v>122.11</v>
    <v>122.27</v>
    <v>122.24</v>
    <v>122.19</v>
    <v>122.29</v>
    <v>122.13</v>
    <v>122.02</v>
    <v>121.76</v>
    <v>122.26</v>
    <v>121.86</v>
    <v>121.59</v>
    <v>121.86</v>
    <v>122.37</v>
    <v>122.15</v>
    <v>122.29</v>
    <v>122.06</v>
    <v>122.18</v>
    <v>122.16</v>
    <v>121.8</v>
    <v>122.02</v>
    <v>121.78</v>
    <v>122.1</v>
    <v>122.49</v>
    <v>122.38</v>
    <v>122.27</v>
    <v>122.27</v>
    <v>122.47</v>
    <v>122.55</v>
    <v>122.32</v>
    <v>122.64</v>
    <v>122.33</v>
    <v>122.48</v>
    <v>122.28</v>
    <v>122.36</v>
  </a>
  <a r="1" c="254">
    <v>116.37</v>
    <v>116.45</v>
    <v>116.48</v>
    <v>116.33</v>
    <v>116.38</v>
    <v>116.5</v>
    <v>116.48</v>
    <v>116.58</v>
    <v>116.41</v>
    <v>116.55</v>
    <v>116.53</v>
    <v>116.54</v>
    <v>116.66</v>
    <v>116.6</v>
    <v>116.64</v>
    <v>116.63</v>
    <v>116.68</v>
    <v>116.84</v>
    <v>116.78</v>
    <v>116.71</v>
    <v>116.77</v>
    <v>116.6</v>
    <v>116.6</v>
    <v>116.58</v>
    <v>116.57</v>
    <v>116.52</v>
    <v>116.61</v>
    <v>116.69</v>
    <v>116.61</v>
    <v>116.65</v>
    <v>116.75</v>
    <v>116.71</v>
    <v>116.91</v>
    <v>116.85</v>
    <v>116.92</v>
    <v>116.93</v>
    <v>116.95</v>
    <v>116.87</v>
    <v>116.68</v>
    <v>116.69</v>
    <v>116.61</v>
    <v>116.65</v>
    <v>116.69</v>
    <v>116.59</v>
    <v>116.66</v>
    <v>116.64</v>
    <v>116.65</v>
    <v>116.7</v>
    <v>116.63</v>
    <v>116.48</v>
    <v>116.62</v>
    <v>116.74</v>
    <v>116.66</v>
    <v>116.87</v>
    <v>116.98</v>
    <v>117.02</v>
    <v>117.13</v>
    <v>117.15</v>
    <v>117.18</v>
    <v>117.19</v>
    <v>117</v>
    <v>117.06</v>
    <v>117.17</v>
    <v>117.36</v>
    <v>117.22</v>
    <v>117.39</v>
    <v>117.43</v>
    <v>117.22</v>
    <v>117.22</v>
    <v>117.15</v>
    <v>117.11</v>
    <v>117.14</v>
    <v>117.11</v>
    <v>116.93</v>
    <v>117.03</v>
    <v>116.92</v>
    <v>117.11</v>
    <v>116.88</v>
    <v>116.79</v>
    <v>116.87</v>
    <v>117.04</v>
    <v>116.89</v>
    <v>116.88</v>
    <v>116.7</v>
    <v>116.8</v>
    <v>117.01</v>
    <v>116.97</v>
    <v>117.24</v>
    <v>117.74</v>
    <v>117.36</v>
    <v>117.59</v>
    <v>118.75</v>
    <v>119.33</v>
    <v>118.68</v>
    <v>118.78</v>
    <v>119.53</v>
    <v>119.41</v>
    <v>119.46</v>
    <v>119.28</v>
    <v>119.68</v>
    <v>119.86</v>
    <v>119.81</v>
    <v>119.5</v>
    <v>119.36</v>
    <v>119.02</v>
    <v>119.35</v>
    <v>119.57</v>
    <v>119.67</v>
    <v>119.75</v>
    <v>119.49</v>
    <v>119.82</v>
    <v>120.02</v>
    <v>119.06</v>
    <v>119.31</v>
    <v>119.35</v>
    <v>119.43</v>
    <v>119.3</v>
    <v>119.39</v>
    <v>119.6</v>
    <v>119.06</v>
    <v>119.29</v>
    <v>119.21</v>
    <v>119.44</v>
    <v>119.67</v>
    <v>119.99</v>
    <v>120.09</v>
    <v>120.27</v>
    <v>120.77</v>
    <v>120.43</v>
    <v>120.94</v>
    <v>121</v>
    <v>120.32</v>
    <v>119.96</v>
    <v>120.34</v>
    <v>120.65</v>
    <v>120.94</v>
    <v>120.94</v>
    <v>120.76</v>
    <v>121</v>
    <v>121.23</v>
    <v>121.05</v>
    <v>120.73</v>
    <v>120.89</v>
    <v>120.5</v>
    <v>119.98</v>
    <v>120.11</v>
    <v>120.17</v>
    <v>120.18</v>
    <v>119.65</v>
    <v>120.37</v>
    <v>120.22</v>
    <v>120.57</v>
    <v>120.19</v>
    <v>120.28</v>
    <v>120.34</v>
    <v>120.26</v>
    <v>120.44</v>
    <v>120.33</v>
    <v>120.15</v>
    <v>119.81</v>
    <v>119.57</v>
    <v>119.73</v>
    <v>119.41</v>
    <v>119.56</v>
    <v>119.48</v>
    <v>119.35</v>
    <v>119.15</v>
    <v>119.33</v>
    <v>119.24</v>
    <v>119.32</v>
    <v>119.32</v>
    <v>119.69</v>
    <v>119.67</v>
    <v>119.66</v>
    <v>119.78</v>
    <v>119.77</v>
    <v>120.51</v>
    <v>120.35</v>
    <v>120.14</v>
    <v>120.42</v>
    <v>120.77</v>
    <v>120.58</v>
    <v>120.84</v>
    <v>120.9</v>
    <v>121</v>
    <v>121.08</v>
    <v>121.17</v>
    <v>121.36</v>
    <v>120.99</v>
    <v>120.53</v>
    <v>120.29</v>
    <v>120.63</v>
    <v>120.69</v>
    <v>120.76</v>
    <v>120.42</v>
    <v>120.17</v>
    <v>120.08</v>
    <v>120.23</v>
    <v>120.32</v>
    <v>120.75</v>
    <v>120.73</v>
    <v>120.78</v>
    <v>120.75</v>
    <v>120.89</v>
    <v>121.1</v>
    <v>121.39</v>
    <v>121.4</v>
    <v>121.3</v>
    <v>121.27</v>
    <v>121.3</v>
    <v>121.1</v>
    <v>121.13</v>
    <v>121.26</v>
    <v>121.28</v>
    <v>121.38</v>
    <v>121.62</v>
    <v>121.79</v>
    <v>121.78</v>
    <v>121.68</v>
    <v>121.98</v>
    <v>122.11</v>
    <v>122.27</v>
    <v>122.24</v>
    <v>122.19</v>
    <v>122.29</v>
    <v>122.13</v>
    <v>122.02</v>
    <v>121.76</v>
    <v>122.26</v>
    <v>121.86</v>
    <v>121.59</v>
    <v>121.86</v>
    <v>122.37</v>
    <v>122.15</v>
    <v>122.29</v>
    <v>122.06</v>
    <v>122.18</v>
    <v>122.16</v>
    <v>121.8</v>
    <v>122.02</v>
    <v>121.78</v>
    <v>122.1</v>
    <v>122.49</v>
    <v>122.38</v>
    <v>122.27</v>
    <v>122.27</v>
    <v>122.47</v>
    <v>122.55</v>
    <v>122.32</v>
    <v>122.64</v>
    <v>122.33</v>
    <v>122.48</v>
    <v>122.28</v>
    <v>122.36</v>
  </a>
  <a r="1" c="205">
    <v>7.14</v>
    <v>8.3800000000000008</v>
    <v>9.0500000000000007</v>
    <v>10.19</v>
    <v>10.31</v>
    <v>10.06</v>
    <v>10.07</v>
    <v>10.43</v>
    <v>9.4550000000000001</v>
    <v>10.039999999999999</v>
    <v>10</v>
    <v>10.91</v>
    <v>9.86</v>
    <v>9.76</v>
    <v>11.29</v>
    <v>10.17</v>
    <v>9.3800000000000008</v>
    <v>9.56</v>
    <v>10.19</v>
    <v>9.4600000000000009</v>
    <v>8.58</v>
    <v>8.6199999999999992</v>
    <v>9.0500000000000007</v>
    <v>8.1999999999999993</v>
    <v>7.43</v>
    <v>8.86</v>
    <v>9.2200000000000006</v>
    <v>8.7899999999999991</v>
    <v>8.76</v>
    <v>8.3699999999999992</v>
    <v>8.3000000000000007</v>
    <v>8.2200000000000006</v>
    <v>8.09</v>
    <v>8.08</v>
    <v>7.88</v>
    <v>8.1199999999999992</v>
    <v>8.26</v>
    <v>9.8800000000000008</v>
    <v>9.51</v>
    <v>9</v>
    <v>9.5500000000000007</v>
    <v>8.9</v>
    <v>9.2200000000000006</v>
    <v>8.9600000000000009</v>
    <v>8.1999999999999993</v>
    <v>8.3800000000000008</v>
    <v>8.68</v>
    <v>10.84</v>
    <v>9.98</v>
    <v>10.1</v>
    <v>10.49</v>
    <v>9.82</v>
    <v>9.06</v>
    <v>9.17</v>
    <v>8.75</v>
    <v>9.18</v>
    <v>9.2799999999999994</v>
    <v>9.48</v>
    <v>9.02</v>
    <v>8.2799999999999994</v>
    <v>7.83</v>
    <v>8.77</v>
    <v>8.5399999999999991</v>
    <v>8.8000000000000007</v>
    <v>8.8350000000000009</v>
    <v>8.57</v>
    <v>9.5500000000000007</v>
    <v>9.42</v>
    <v>9.5399999999999991</v>
    <v>9.82</v>
    <v>9.8699999999999992</v>
    <v>10.26</v>
    <v>12.37</v>
    <v>12.32</v>
    <v>13.2</v>
    <v>15.33</v>
    <v>18.47</v>
    <v>18.510000000000002</v>
    <v>17.28</v>
    <v>18.3</v>
    <v>15.12</v>
    <v>15.48</v>
    <v>16.5</v>
    <v>17.45</v>
    <v>15.92</v>
    <v>17.55</v>
    <v>16.68</v>
    <v>15.79</v>
    <v>18.2</v>
    <v>22.65</v>
    <v>19.25</v>
    <v>21.17</v>
    <v>22.32</v>
    <v>21.32</v>
    <v>19.670000000000002</v>
    <v>19.43</v>
    <v>22.99</v>
    <v>24.38</v>
    <v>29.25</v>
    <v>31.79</v>
    <v>28.88</v>
    <v>28.51</v>
    <v>26.6</v>
    <v>24.86</v>
    <v>25.86</v>
    <v>30.84</v>
    <v>30.67</v>
    <v>25.08</v>
    <v>24.48</v>
    <v>22.85</v>
    <v>20.5</v>
    <v>22.21</v>
    <v>23.39</v>
    <v>23.73</v>
    <v>22.09</v>
    <v>22.34</v>
    <v>24.02</v>
    <v>23.7</v>
    <v>21.4</v>
    <v>18.32</v>
    <v>17.7</v>
    <v>17.3</v>
    <v>17.739999999999998</v>
    <v>17.920000000000002</v>
    <v>16.53</v>
    <v>14.46</v>
    <v>15.23</v>
    <v>13.99</v>
    <v>13.36</v>
    <v>14.18</v>
    <v>13.47</v>
    <v>12.87</v>
    <v>13.09</v>
    <v>13.27</v>
    <v>11.755000000000001</v>
    <v>11.46</v>
    <v>11.54</v>
    <v>12.824999999999999</v>
    <v>12.67</v>
    <v>12.03</v>
    <v>10.92</v>
    <v>11.41</v>
    <v>10.01</v>
    <v>9.7349999999999994</v>
    <v>11.01</v>
    <v>10.86</v>
    <v>11.52</v>
    <v>12.69</v>
    <v>12.35</v>
    <v>12.4</v>
    <v>13.89</v>
    <v>13.17</v>
    <v>13.6</v>
    <v>13.93</v>
    <v>13.66</v>
    <v>14.45</v>
    <v>14.58</v>
    <v>13.17</v>
    <v>12.83</v>
    <v>12.97</v>
    <v>12.97</v>
    <v>12.23</v>
    <v>12.44</v>
    <v>12.67</v>
    <v>12.51</v>
    <v>11.49</v>
    <v>11.59</v>
    <v>10.94</v>
    <v>11.21</v>
    <v>11.1</v>
    <v>11.8</v>
    <v>12</v>
    <v>11.6</v>
    <v>11.15</v>
    <v>11.63</v>
    <v>10.89</v>
    <v>10.81</v>
    <v>10.48</v>
    <v>11.14</v>
    <v>11.43</v>
    <v>12.16</v>
    <v>12.46</v>
    <v>11.84</v>
    <v>11.84</v>
    <v>12.2</v>
    <v>11.73</v>
    <v>11.73</v>
    <v>11.61</v>
    <v>12.12</v>
    <v>12.4</v>
    <v>12.34</v>
    <v>11.97</v>
    <v>11.3</v>
    <v>10.93</v>
    <v>10.78</v>
    <v>9.99</v>
    <v>10.45</v>
    <v>9.3550000000000004</v>
    <v>9.23</v>
    <v>8.34</v>
    <v>8.6300000000000008</v>
    <v>8.74</v>
    <v>9.16</v>
    <v>8.49</v>
    <v>8.3800000000000008</v>
  </a>
  <a r="1" c="252">
    <v>13.61</v>
    <v>14.07</v>
    <v>13.91</v>
    <v>12.83</v>
    <v>13.57</v>
    <v>12.56</v>
    <v>13.46</v>
    <v>12.25</v>
    <v>10.46</v>
    <v>9.86</v>
    <v>8.8350000000000009</v>
    <v>7.84</v>
    <v>9.6</v>
    <v>9.1199999999999992</v>
    <v>8.64</v>
    <v>7.91</v>
    <v>8.11</v>
    <v>7.73</v>
    <v>7.78</v>
    <v>7.72</v>
    <v>7.55</v>
    <v>7.56</v>
    <v>8.2899999999999991</v>
    <v>8.0299999999999994</v>
    <v>8.34</v>
    <v>8.74</v>
    <v>8.3000000000000007</v>
    <v>8.32</v>
    <v>8.69</v>
    <v>9.4499999999999993</v>
    <v>9.48</v>
    <v>9.6</v>
    <v>9.17</v>
    <v>9.1199999999999992</v>
    <v>9.18</v>
    <v>8.59</v>
    <v>7.96</v>
    <v>7.83</v>
    <v>7.38</v>
    <v>7.37</v>
    <v>7.81</v>
    <v>7.9</v>
    <v>7.66</v>
    <v>7.66</v>
    <v>7.4</v>
    <v>7.21</v>
    <v>7.24</v>
    <v>7.14</v>
    <v>8.3800000000000008</v>
    <v>9.0500000000000007</v>
    <v>10.19</v>
    <v>10.31</v>
    <v>10.06</v>
    <v>10.07</v>
    <v>10.43</v>
    <v>9.4550000000000001</v>
    <v>10.039999999999999</v>
    <v>10</v>
    <v>10.91</v>
    <v>9.86</v>
    <v>9.76</v>
    <v>11.29</v>
    <v>10.17</v>
    <v>9.3800000000000008</v>
    <v>9.56</v>
    <v>10.19</v>
    <v>9.4600000000000009</v>
    <v>8.58</v>
    <v>8.6199999999999992</v>
    <v>9.0500000000000007</v>
    <v>8.1999999999999993</v>
    <v>7.43</v>
    <v>8.86</v>
    <v>9.2200000000000006</v>
    <v>8.7899999999999991</v>
    <v>8.76</v>
    <v>8.3699999999999992</v>
    <v>8.3000000000000007</v>
    <v>8.2200000000000006</v>
    <v>8.09</v>
    <v>8.08</v>
    <v>7.88</v>
    <v>8.1199999999999992</v>
    <v>8.26</v>
    <v>9.8800000000000008</v>
    <v>9.51</v>
    <v>9</v>
    <v>9.5500000000000007</v>
    <v>8.9</v>
    <v>9.2200000000000006</v>
    <v>8.9600000000000009</v>
    <v>8.1999999999999993</v>
    <v>8.3800000000000008</v>
    <v>8.68</v>
    <v>10.84</v>
    <v>9.98</v>
    <v>10.1</v>
    <v>10.49</v>
    <v>9.82</v>
    <v>9.06</v>
    <v>9.17</v>
    <v>8.75</v>
    <v>9.18</v>
    <v>9.2799999999999994</v>
    <v>9.48</v>
    <v>9.02</v>
    <v>8.2799999999999994</v>
    <v>7.83</v>
    <v>8.77</v>
    <v>8.5399999999999991</v>
    <v>8.8000000000000007</v>
    <v>8.8350000000000009</v>
    <v>8.57</v>
    <v>9.5500000000000007</v>
    <v>9.42</v>
    <v>9.5399999999999991</v>
    <v>9.82</v>
    <v>9.8699999999999992</v>
    <v>10.26</v>
    <v>12.37</v>
    <v>12.32</v>
    <v>13.2</v>
    <v>15.33</v>
    <v>18.47</v>
    <v>18.510000000000002</v>
    <v>17.28</v>
    <v>18.3</v>
    <v>15.12</v>
    <v>15.48</v>
    <v>16.5</v>
    <v>17.45</v>
    <v>15.92</v>
    <v>17.55</v>
    <v>16.68</v>
    <v>15.79</v>
    <v>18.2</v>
    <v>22.65</v>
    <v>19.25</v>
    <v>21.17</v>
    <v>22.32</v>
    <v>21.32</v>
    <v>19.670000000000002</v>
    <v>19.43</v>
    <v>22.99</v>
    <v>24.38</v>
    <v>29.25</v>
    <v>31.79</v>
    <v>28.88</v>
    <v>28.51</v>
    <v>26.6</v>
    <v>24.86</v>
    <v>25.86</v>
    <v>30.84</v>
    <v>30.67</v>
    <v>25.08</v>
    <v>24.48</v>
    <v>22.85</v>
    <v>20.5</v>
    <v>22.21</v>
    <v>23.39</v>
    <v>23.73</v>
    <v>22.09</v>
    <v>22.34</v>
    <v>24.02</v>
    <v>23.7</v>
    <v>21.4</v>
    <v>18.32</v>
    <v>17.7</v>
    <v>17.3</v>
    <v>17.739999999999998</v>
    <v>17.920000000000002</v>
    <v>16.53</v>
    <v>14.46</v>
    <v>15.23</v>
    <v>13.99</v>
    <v>13.36</v>
    <v>14.18</v>
    <v>13.47</v>
    <v>12.87</v>
    <v>13.09</v>
    <v>13.27</v>
    <v>11.755000000000001</v>
    <v>11.46</v>
    <v>11.54</v>
    <v>12.824999999999999</v>
    <v>12.67</v>
    <v>12.03</v>
    <v>10.92</v>
    <v>11.41</v>
    <v>10.01</v>
    <v>9.7349999999999994</v>
    <v>11.01</v>
    <v>10.86</v>
    <v>11.52</v>
    <v>12.69</v>
    <v>12.35</v>
    <v>12.4</v>
    <v>13.89</v>
    <v>13.17</v>
    <v>13.6</v>
    <v>13.93</v>
    <v>13.66</v>
    <v>14.45</v>
    <v>14.58</v>
    <v>13.17</v>
    <v>12.83</v>
    <v>12.97</v>
    <v>12.97</v>
    <v>12.23</v>
    <v>12.44</v>
    <v>12.67</v>
    <v>12.51</v>
    <v>11.49</v>
    <v>11.59</v>
    <v>10.94</v>
    <v>11.21</v>
    <v>11.1</v>
    <v>11.8</v>
    <v>12</v>
    <v>11.6</v>
    <v>11.15</v>
    <v>11.63</v>
    <v>10.89</v>
    <v>10.81</v>
    <v>10.48</v>
    <v>11.14</v>
    <v>11.43</v>
    <v>12.16</v>
    <v>12.46</v>
    <v>11.84</v>
    <v>11.84</v>
    <v>12.2</v>
    <v>11.73</v>
    <v>11.73</v>
    <v>11.61</v>
    <v>12.12</v>
    <v>12.4</v>
    <v>12.34</v>
    <v>11.97</v>
    <v>11.3</v>
    <v>10.93</v>
    <v>10.78</v>
    <v>9.99</v>
    <v>10.45</v>
    <v>9.3550000000000004</v>
    <v>9.23</v>
    <v>8.34</v>
    <v>8.6300000000000008</v>
    <v>8.74</v>
    <v>9.16</v>
    <v>8.49</v>
    <v>8.3800000000000008</v>
  </a>
  <a r="1" c="754">
    <v>5.38</v>
    <v>5.59</v>
    <v>5.29</v>
    <v>5.2</v>
    <v>5.15</v>
    <v>4.83</v>
    <v>5.24</v>
    <v>5.46</v>
    <v>5.82</v>
    <v>6.17</v>
    <v>5.98</v>
    <v>6.03</v>
    <v>5.83</v>
    <v>5.69</v>
    <v>6.26</v>
    <v>6.01</v>
    <v>6.41</v>
    <v>6.59</v>
    <v>6.74</v>
    <v>6.93</v>
    <v>7.09</v>
    <v>6.86</v>
    <v>7.08</v>
    <v>7.22</v>
    <v>6.97</v>
    <v>7.09</v>
    <v>7.06</v>
    <v>6.94</v>
    <v>7.16</v>
    <v>7.26</v>
    <v>7.13</v>
    <v>7.29</v>
    <v>7.58</v>
    <v>7.54</v>
    <v>7.55</v>
    <v>7.53</v>
    <v>7.85</v>
    <v>8.2899999999999991</v>
    <v>8.16</v>
    <v>8.1300000000000008</v>
    <v>8.19</v>
    <v>7.82</v>
    <v>8.1</v>
    <v>8.15</v>
    <v>8.36</v>
    <v>8.34</v>
    <v>8.3000000000000007</v>
    <v>8.07</v>
    <v>7.63</v>
    <v>7.22</v>
    <v>7.1</v>
    <v>6.93</v>
    <v>7.19</v>
    <v>7.16</v>
    <v>7.11</v>
    <v>6.65</v>
    <v>6.55</v>
    <v>6.33</v>
    <v>6.07</v>
    <v>6.15</v>
    <v>6.28</v>
    <v>6.5</v>
    <v>6.52</v>
    <v>6.38</v>
    <v>6.33</v>
    <v>6.2</v>
    <v>6.41</v>
    <v>6.12</v>
    <v>5.73</v>
    <v>5.68</v>
    <v>5.63</v>
    <v>5.59</v>
    <v>5.71</v>
    <v>5.68</v>
    <v>6.33</v>
    <v>6.7</v>
    <v>6.81</v>
    <v>6.36</v>
    <v>6.79</v>
    <v>6.72</v>
    <v>6.34</v>
    <v>6.28</v>
    <v>5.98</v>
    <v>5.88</v>
    <v>5.7</v>
    <v>5.68</v>
    <v>5.73</v>
    <v>5.77</v>
    <v>6.14</v>
    <v>5.66</v>
    <v>5.77</v>
    <v>5.38</v>
    <v>5.35</v>
    <v>5.38</v>
    <v>4.8499999999999996</v>
    <v>5.14</v>
    <v>5.21</v>
    <v>5.13</v>
    <v>4.6900000000000004</v>
    <v>4.5999999999999996</v>
    <v>4.6900000000000004</v>
    <v>4.76</v>
    <v>4.7</v>
    <v>4.46</v>
    <v>4.2699999999999996</v>
    <v>4.43</v>
    <v>4.29</v>
    <v>4.58</v>
    <v>4.7699999999999996</v>
    <v>4.8600000000000003</v>
    <v>4.6500000000000004</v>
    <v>4.62</v>
    <v>4.5199999999999996</v>
    <v>4.58</v>
    <v>4.58</v>
    <v>4.7</v>
    <v>4.3099999999999996</v>
    <v>4.37</v>
    <v>4.32</v>
    <v>4.1900000000000004</v>
    <v>4.07</v>
    <v>3.9</v>
    <v>3.86</v>
    <v>3.64</v>
    <v>3.67</v>
    <v>3.79</v>
    <v>4.13</v>
    <v>4.1399999999999997</v>
    <v>4.46</v>
    <v>4.45</v>
    <v>4.33</v>
    <v>4.2699999999999996</v>
    <v>4.34</v>
    <v>4.6500000000000004</v>
    <v>4.8</v>
    <v>4.6900000000000004</v>
    <v>4.58</v>
    <v>4.6900000000000004</v>
    <v>4.0999999999999996</v>
    <v>3.97</v>
    <v>4</v>
    <v>3.97</v>
    <v>3.91</v>
    <v>3.82</v>
    <v>3.79</v>
    <v>3.75</v>
    <v>3.79</v>
    <v>3.61</v>
    <v>3.7</v>
    <v>3.63</v>
    <v>3.61</v>
    <v>3.95</v>
    <v>3.91</v>
    <v>4.1100000000000003</v>
    <v>4.1500000000000004</v>
    <v>4.57</v>
    <v>4.6399999999999997</v>
    <v>4.45</v>
    <v>4.55</v>
    <v>4.54</v>
    <v>4.8499999999999996</v>
    <v>4.6399999999999997</v>
    <v>4.3899999999999997</v>
    <v>4.2699999999999996</v>
    <v>4.22</v>
    <v>4.12</v>
    <v>4.17</v>
    <v>4</v>
    <v>3.88</v>
    <v>3.96</v>
    <v>3.96</v>
    <v>3.93</v>
    <v>3.91</v>
    <v>3.98</v>
    <v>4.03</v>
    <v>4.1100000000000003</v>
    <v>4.3899999999999997</v>
    <v>4.28</v>
    <v>4.47</v>
    <v>4.57</v>
    <v>4.7699999999999996</v>
    <v>4.8099999999999996</v>
    <v>4.92</v>
    <v>4.55</v>
    <v>4.17</v>
    <v>4.03</v>
    <v>4.16</v>
    <v>4.16</v>
    <v>3.95</v>
    <v>3.94</v>
    <v>3.83</v>
    <v>3.88</v>
    <v>3.58</v>
    <v>3.71</v>
    <v>3.37</v>
    <v>3.25</v>
    <v>3.05</v>
    <v>3.21</v>
    <v>3.19</v>
    <v>3.13</v>
    <v>3.02</v>
    <v>2.87</v>
    <v>3.08</v>
    <v>2.93</v>
    <v>3.14</v>
    <v>3.1</v>
    <v>3.16</v>
    <v>3.01</v>
    <v>3.12</v>
    <v>3.01</v>
    <v>3.09</v>
    <v>3.12</v>
    <v>3.09</v>
    <v>2.93</v>
    <v>3.1</v>
    <v>3.02</v>
    <v>2.58</v>
    <v>2.52</v>
    <v>2.4300000000000002</v>
    <v>2.33</v>
    <v>2.27</v>
    <v>2.2999999999999998</v>
    <v>2.4700000000000002</v>
    <v>2.3199999999999998</v>
    <v>2.56</v>
    <v>2.54</v>
    <v>2.31</v>
    <v>2.2850000000000001</v>
    <v>2.4</v>
    <v>2.23</v>
    <v>2.1800000000000002</v>
    <v>2.2400000000000002</v>
    <v>2.2000000000000002</v>
    <v>2.44</v>
    <v>2.58</v>
    <v>2.4500000000000002</v>
    <v>2.2999999999999998</v>
    <v>2.48</v>
    <v>2.39</v>
    <v>2.44</v>
    <v>2.42</v>
    <v>2.37</v>
    <v>2.48</v>
    <v>2.41</v>
    <v>2.5499999999999998</v>
    <v>2.52</v>
    <v>2.5099999999999998</v>
    <v>2.59</v>
    <v>2.56</v>
    <v>2.56</v>
    <v>2.56</v>
    <v>2.6</v>
    <v>2.4900000000000002</v>
    <v>2.5</v>
    <v>2.5499999999999998</v>
    <v>2.78</v>
    <v>2.85</v>
    <v>2.67</v>
    <v>2.4700000000000002</v>
    <v>2.58</v>
    <v>2.61</v>
    <v>2.36</v>
    <v>2.2999999999999998</v>
    <v>2.2000000000000002</v>
    <v>2.16</v>
    <v>2.04</v>
    <v>1.88</v>
    <v>1.79</v>
    <v>1.88</v>
    <v>1.78</v>
    <v>1.78</v>
    <v>1.86</v>
    <v>1.83</v>
    <v>2.02</v>
    <v>2.42</v>
    <v>2.78</v>
    <v>2.5499999999999998</v>
    <v>2.46</v>
    <v>2.75</v>
    <v>3.02</v>
    <v>3.14</v>
    <v>3.21</v>
    <v>3.77</v>
    <v>3.77</v>
    <v>4.33</v>
    <v>4.3499999999999996</v>
    <v>4.08</v>
    <v>3.6</v>
    <v>3.44</v>
    <v>3.24</v>
    <v>3.26</v>
    <v>3.3</v>
    <v>2.81</v>
    <v>3.17</v>
    <v>3.86</v>
    <v>3.98</v>
    <v>4.12</v>
    <v>4.03</v>
    <v>3.9</v>
    <v>3.57</v>
    <v>3.49</v>
    <v>3.99</v>
    <v>4.25</v>
    <v>3.91</v>
    <v>3.43</v>
    <v>3.2549999999999999</v>
    <v>2.96</v>
    <v>3.09</v>
    <v>3.52</v>
    <v>3.31</v>
    <v>3.26</v>
    <v>3.56</v>
    <v>3.37</v>
    <v>3.35</v>
    <v>3.45</v>
    <v>2.99</v>
    <v>2.98</v>
    <v>2.98</v>
    <v>3.03</v>
    <v>3.03</v>
    <v>2.9</v>
    <v>3.01</v>
    <v>3.14</v>
    <v>3.04</v>
    <v>2.97</v>
    <v>2.91</v>
    <v>2.76</v>
    <v>2.85</v>
    <v>2.9</v>
    <v>3</v>
    <v>3.33</v>
    <v>3.44</v>
    <v>3.4</v>
    <v>3.17</v>
    <v>2.89</v>
    <v>2.39</v>
    <v>2.6</v>
    <v>2.38</v>
    <v>2.44</v>
    <v>2.29</v>
    <v>2.44</v>
    <v>2.64</v>
    <v>2.4900000000000002</v>
    <v>2.54</v>
    <v>2.2349999999999999</v>
    <v>2.54</v>
    <v>2.44</v>
    <v>2.2400000000000002</v>
    <v>2.5</v>
    <v>2.65</v>
    <v>2.48</v>
    <v>2.5299999999999998</v>
    <v>2.33</v>
    <v>2.33</v>
    <v>2.2599999999999998</v>
    <v>2.21</v>
    <v>2.13</v>
    <v>2.04</v>
    <v>1.83</v>
    <v>2.0499999999999998</v>
    <v>2</v>
    <v>1.91</v>
    <v>1.605</v>
    <v>1.81</v>
    <v>1.75</v>
    <v>1.63</v>
    <v>1.9</v>
    <v>1.76</v>
    <v>1.8</v>
    <v>1.74</v>
    <v>1.74</v>
    <v>1.73</v>
    <v>1.82</v>
    <v>1.8</v>
    <v>1.8</v>
    <v>1.86</v>
    <v>2.0299999999999998</v>
    <v>2.0499999999999998</v>
    <v>2.0099999999999998</v>
    <v>1.96</v>
    <v>1.93</v>
    <v>1.91</v>
    <v>2.0499999999999998</v>
    <v>2</v>
    <v>1.905</v>
    <v>1.9550000000000001</v>
    <v>1.9</v>
    <v>1.88</v>
    <v>2.0699999999999998</v>
    <v>2.14</v>
    <v>2.09</v>
    <v>2.0699999999999998</v>
    <v>2.08</v>
    <v>2.0299999999999998</v>
    <v>2</v>
    <v>1.91</v>
    <v>5.05</v>
    <v>4.41</v>
    <v>6.5</v>
    <v>6.16</v>
    <v>5.39</v>
    <v>5.0999999999999996</v>
    <v>5.52</v>
    <v>5.94</v>
    <v>6.78</v>
    <v>6.05</v>
    <v>6.18</v>
    <v>7.3</v>
    <v>8.09</v>
    <v>7.96</v>
    <v>7.81</v>
    <v>7.32</v>
    <v>7.19</v>
    <v>6.86</v>
    <v>7</v>
    <v>7.01</v>
    <v>6.52</v>
    <v>7.35</v>
    <v>7.02</v>
    <v>6.61</v>
    <v>6.67</v>
    <v>6.55</v>
    <v>6.27</v>
    <v>6.32</v>
    <v>6.44</v>
    <v>6.15</v>
    <v>6.58</v>
    <v>6.43</v>
    <v>6.26</v>
    <v>5.84</v>
    <v>5.87</v>
    <v>6.23</v>
    <v>6.15</v>
    <v>6.27</v>
    <v>6.79</v>
    <v>8.4700000000000006</v>
    <v>8.6199999999999992</v>
    <v>8.82</v>
    <v>8.98</v>
    <v>8.7899999999999991</v>
    <v>8.56</v>
    <v>7.52</v>
    <v>7.21</v>
    <v>7.33</v>
    <v>7.96</v>
    <v>8.0500000000000007</v>
    <v>6.77</v>
    <v>6.35</v>
    <v>6.79</v>
    <v>6.66</v>
    <v>6.6</v>
    <v>6.96</v>
    <v>7.36</v>
    <v>7.25</v>
    <v>6.92</v>
    <v>6.77</v>
    <v>6.43</v>
    <v>6.25</v>
    <v>6.21</v>
    <v>6.43</v>
    <v>6.2</v>
    <v>6.09</v>
    <v>6.07</v>
    <v>6.04</v>
    <v>5.86</v>
    <v>5.76</v>
    <v>5.73</v>
    <v>5.54</v>
    <v>5.6</v>
    <v>5.61</v>
    <v>5.76</v>
    <v>5.64</v>
    <v>6.08</v>
    <v>6.17</v>
    <v>6.11</v>
    <v>5.89</v>
    <v>6.46</v>
    <v>6.73</v>
    <v>7.01</v>
    <v>7.16</v>
    <v>6.88</v>
    <v>6.86</v>
    <v>6.51</v>
    <v>6.43</v>
    <v>7.19</v>
    <v>7.22</v>
    <v>7.3</v>
    <v>8.1950000000000003</v>
    <v>7.82</v>
    <v>8.1300000000000008</v>
    <v>7.78</v>
    <v>7.74</v>
    <v>8</v>
    <v>8.23</v>
    <v>9.9700000000000006</v>
    <v>12.57</v>
    <v>15.16</v>
    <v>15.63</v>
    <v>14.66</v>
    <v>17.100000000000001</v>
    <v>15.03</v>
    <v>13.605</v>
    <v>13.61</v>
    <v>14.07</v>
    <v>13.91</v>
    <v>12.83</v>
    <v>13.57</v>
    <v>12.56</v>
    <v>13.46</v>
    <v>12.25</v>
    <v>10.46</v>
    <v>9.86</v>
    <v>8.8350000000000009</v>
    <v>7.84</v>
    <v>9.6</v>
    <v>9.1199999999999992</v>
    <v>8.64</v>
    <v>7.91</v>
    <v>8.11</v>
    <v>7.73</v>
    <v>7.78</v>
    <v>7.72</v>
    <v>7.55</v>
    <v>7.56</v>
    <v>8.2899999999999991</v>
    <v>8.0299999999999994</v>
    <v>8.34</v>
    <v>8.74</v>
    <v>8.3000000000000007</v>
    <v>8.32</v>
    <v>8.69</v>
    <v>9.4499999999999993</v>
    <v>9.48</v>
    <v>9.6</v>
    <v>9.17</v>
    <v>9.1199999999999992</v>
    <v>9.18</v>
    <v>8.59</v>
    <v>7.96</v>
    <v>7.83</v>
    <v>7.38</v>
    <v>7.37</v>
    <v>7.81</v>
    <v>7.9</v>
    <v>7.66</v>
    <v>7.66</v>
    <v>7.4</v>
    <v>7.21</v>
    <v>7.24</v>
    <v>7.14</v>
    <v>8.3800000000000008</v>
    <v>9.0500000000000007</v>
    <v>10.19</v>
    <v>10.31</v>
    <v>10.06</v>
    <v>10.07</v>
    <v>10.43</v>
    <v>9.4550000000000001</v>
    <v>10.039999999999999</v>
    <v>10</v>
    <v>10.91</v>
    <v>9.86</v>
    <v>9.76</v>
    <v>11.29</v>
    <v>10.17</v>
    <v>9.3800000000000008</v>
    <v>9.56</v>
    <v>10.19</v>
    <v>9.4600000000000009</v>
    <v>8.58</v>
    <v>8.6199999999999992</v>
    <v>9.0500000000000007</v>
    <v>8.1999999999999993</v>
    <v>7.43</v>
    <v>8.86</v>
    <v>9.2200000000000006</v>
    <v>8.7899999999999991</v>
    <v>8.76</v>
    <v>8.3699999999999992</v>
    <v>8.3000000000000007</v>
    <v>8.2200000000000006</v>
    <v>8.09</v>
    <v>8.08</v>
    <v>7.88</v>
    <v>8.1199999999999992</v>
    <v>8.26</v>
    <v>9.8800000000000008</v>
    <v>9.51</v>
    <v>9</v>
    <v>9.5500000000000007</v>
    <v>8.9</v>
    <v>9.2200000000000006</v>
    <v>8.9600000000000009</v>
    <v>8.1999999999999993</v>
    <v>8.3800000000000008</v>
    <v>8.68</v>
    <v>10.84</v>
    <v>9.98</v>
    <v>10.1</v>
    <v>10.49</v>
    <v>9.82</v>
    <v>9.06</v>
    <v>9.17</v>
    <v>8.75</v>
    <v>9.18</v>
    <v>9.2799999999999994</v>
    <v>9.48</v>
    <v>9.02</v>
    <v>8.2799999999999994</v>
    <v>7.83</v>
    <v>8.77</v>
    <v>8.5399999999999991</v>
    <v>8.8000000000000007</v>
    <v>8.8350000000000009</v>
    <v>8.57</v>
    <v>9.5500000000000007</v>
    <v>9.42</v>
    <v>9.5399999999999991</v>
    <v>9.82</v>
    <v>9.8699999999999992</v>
    <v>10.26</v>
    <v>12.37</v>
    <v>12.32</v>
    <v>13.2</v>
    <v>15.33</v>
    <v>18.47</v>
    <v>18.510000000000002</v>
    <v>17.28</v>
    <v>18.3</v>
    <v>15.12</v>
    <v>15.48</v>
    <v>16.5</v>
    <v>17.45</v>
    <v>15.92</v>
    <v>17.55</v>
    <v>16.68</v>
    <v>15.79</v>
    <v>18.2</v>
    <v>22.65</v>
    <v>19.25</v>
    <v>21.17</v>
    <v>22.32</v>
    <v>21.32</v>
    <v>19.670000000000002</v>
    <v>19.43</v>
    <v>22.99</v>
    <v>24.38</v>
    <v>29.25</v>
    <v>31.79</v>
    <v>28.88</v>
    <v>28.51</v>
    <v>26.6</v>
    <v>24.86</v>
    <v>25.86</v>
    <v>30.84</v>
    <v>30.67</v>
    <v>25.08</v>
    <v>24.48</v>
    <v>22.85</v>
    <v>20.5</v>
    <v>22.21</v>
    <v>23.39</v>
    <v>23.73</v>
    <v>22.09</v>
    <v>22.34</v>
    <v>24.02</v>
    <v>23.7</v>
    <v>21.4</v>
    <v>18.32</v>
    <v>17.7</v>
    <v>17.3</v>
    <v>17.739999999999998</v>
    <v>17.920000000000002</v>
    <v>16.53</v>
    <v>14.46</v>
    <v>15.23</v>
    <v>13.99</v>
    <v>13.36</v>
    <v>14.18</v>
    <v>13.47</v>
    <v>12.87</v>
    <v>13.09</v>
    <v>13.27</v>
    <v>11.755000000000001</v>
    <v>11.46</v>
    <v>11.54</v>
    <v>12.824999999999999</v>
    <v>12.67</v>
    <v>12.03</v>
    <v>10.92</v>
    <v>11.41</v>
    <v>10.01</v>
    <v>9.7349999999999994</v>
    <v>11.01</v>
    <v>10.86</v>
    <v>11.52</v>
    <v>12.69</v>
    <v>12.35</v>
    <v>12.4</v>
    <v>13.89</v>
    <v>13.17</v>
    <v>13.6</v>
    <v>13.93</v>
    <v>13.66</v>
    <v>14.45</v>
    <v>14.58</v>
    <v>13.17</v>
    <v>12.83</v>
    <v>12.97</v>
    <v>12.97</v>
    <v>12.23</v>
    <v>12.44</v>
    <v>12.67</v>
    <v>12.51</v>
    <v>11.49</v>
    <v>11.59</v>
    <v>10.94</v>
    <v>11.21</v>
    <v>11.1</v>
    <v>11.8</v>
    <v>12</v>
    <v>11.6</v>
    <v>11.15</v>
    <v>11.63</v>
    <v>10.89</v>
    <v>10.81</v>
    <v>10.48</v>
    <v>11.14</v>
    <v>11.43</v>
    <v>12.16</v>
    <v>12.46</v>
    <v>11.84</v>
    <v>11.84</v>
    <v>12.2</v>
    <v>11.73</v>
    <v>11.73</v>
    <v>11.61</v>
    <v>12.12</v>
    <v>12.4</v>
    <v>12.34</v>
    <v>11.97</v>
    <v>11.3</v>
    <v>10.93</v>
    <v>10.78</v>
    <v>9.99</v>
    <v>10.45</v>
    <v>9.3550000000000004</v>
    <v>9.23</v>
    <v>8.34</v>
    <v>8.6300000000000008</v>
    <v>8.74</v>
    <v>9.16</v>
    <v>8.49</v>
    <v>8.3800000000000008</v>
  </a>
  <a r="1" c="205">
    <v>483.62</v>
    <v>472.94</v>
    <v>472.85</v>
    <v>478.51</v>
    <v>483.47</v>
    <v>478.11</v>
    <v>479.28</v>
    <v>477.18</v>
    <v>470.67</v>
    <v>459.38</v>
    <v>456.66</v>
    <v>459.86</v>
    <v>454.52</v>
    <v>444.11</v>
    <v>451.14</v>
    <v>465.95</v>
    <v>470.28</v>
    <v>480.58</v>
    <v>481.63</v>
    <v>433.5</v>
    <v>430.29</v>
    <v>423.37</v>
    <v>411.21</v>
    <v>414.19</v>
    <v>393.67</v>
    <v>401.14</v>
    <v>413.6</v>
    <v>413.27</v>
    <v>404.37</v>
    <v>401.84</v>
    <v>401.32</v>
    <v>396.86</v>
    <v>399.6</v>
    <v>398.46</v>
    <v>397.23</v>
    <v>384.47</v>
    <v>389</v>
    <v>400.6</v>
    <v>401.72</v>
    <v>392.74</v>
    <v>398.55</v>
    <v>403.93</v>
    <v>405.2</v>
    <v>410.68</v>
    <v>408.96</v>
    <v>409.41</v>
    <v>405.76</v>
    <v>404.88</v>
    <v>401.86</v>
    <v>395.55</v>
    <v>399.95</v>
    <v>399.41</v>
    <v>391.79</v>
    <v>389.02</v>
    <v>381.87</v>
    <v>383</v>
    <v>372.74</v>
    <v>371.04</v>
    <v>365.97</v>
    <v>356.77</v>
    <v>358.96</v>
    <v>370.17</v>
    <v>369.37</v>
    <v>373.46</v>
    <v>372.88</v>
    <v>372.29</v>
    <v>374.33</v>
    <v>373.07</v>
    <v>370.87</v>
    <v>384.37</v>
    <v>393.11</v>
    <v>411.22</v>
    <v>420.26</v>
    <v>422.79</v>
    <v>418.07</v>
    <v>424.16</v>
    <v>432.92</v>
    <v>415.75</v>
    <v>424.62</v>
    <v>424.82</v>
    <v>429.25</v>
    <v>424.46</v>
    <v>407.78</v>
    <v>414.44</v>
    <v>413.62</v>
    <v>411.38</v>
    <v>413.96</v>
    <v>420.77</v>
    <v>415.12</v>
    <v>412.66</v>
    <v>407.77</v>
    <v>405.21</v>
    <v>409.43</v>
    <v>421.92</v>
    <v>423.54</v>
    <v>417.42</v>
    <v>421.06</v>
    <v>419.09</v>
    <v>418.57</v>
    <v>416.03</v>
    <v>412.67</v>
    <v>426.99</v>
    <v>450.24</v>
    <v>460.52</v>
    <v>441.31</v>
    <v>427.34</v>
    <v>428.05</v>
    <v>416.67</v>
    <v>411.74</v>
    <v>403.41</v>
    <v>397.36</v>
    <v>390.34</v>
    <v>390.74</v>
    <v>399.76</v>
    <v>393.83</v>
    <v>378.91</v>
    <v>379.4</v>
    <v>367.34</v>
    <v>373.94</v>
    <v>365.46</v>
    <v>352.83</v>
    <v>372.97</v>
    <v>368.57</v>
    <v>373.02</v>
    <v>384.28</v>
    <v>390.49</v>
    <v>386.74</v>
    <v>388.84</v>
    <v>383.34</v>
    <v>384.36</v>
    <v>385.1</v>
    <v>390.99</v>
    <v>384.93</v>
    <v>395.63</v>
    <v>401.1</v>
    <v>393.82</v>
    <v>402.29</v>
    <v>397.75</v>
    <v>390.34</v>
    <v>381.58</v>
    <v>381.7</v>
    <v>389.1</v>
    <v>393.35</v>
    <v>390.54</v>
    <v>451.1</v>
    <v>464.72</v>
    <v>487.65</v>
    <v>492.81</v>
    <v>487.46</v>
    <v>499.86</v>
    <v>499.99</v>
    <v>506.06</v>
    <v>503.81</v>
    <v>492.43</v>
    <v>496.88</v>
    <v>495.4</v>
    <v>480.35</v>
    <v>481.63</v>
    <v>484.31</v>
    <v>481.15</v>
    <v>483.24</v>
    <v>487.31</v>
    <v>491.71</v>
    <v>496.37</v>
    <v>505.06</v>
    <v>513.53</v>
    <v>507.29</v>
    <v>501.02</v>
    <v>496.82</v>
    <v>510.12</v>
    <v>499.7</v>
    <v>493.95</v>
    <v>491.65</v>
    <v>492.44</v>
    <v>495.63</v>
    <v>505.41</v>
    <v>497.12</v>
    <v>490.3</v>
    <v>497.75</v>
    <v>493.78</v>
    <v>501.61</v>
    <v>498</v>
    <v>500.59</v>
    <v>497.93</v>
    <v>516.16999999999996</v>
    <v>509.22</v>
    <v>508.96</v>
    <v>512.9</v>
    <v>512.79999999999995</v>
    <v>517.53</v>
    <v>525.17999999999995</v>
    <v>529.29999999999995</v>
    <v>529.76</v>
    <v>522.61</v>
    <v>535.07000000000005</v>
    <v>541.15</v>
    <v>543.45000000000005</v>
    <v>533.69000000000005</v>
    <v>539.44000000000005</v>
    <v>529.04999999999995</v>
    <v>533.52</v>
    <v>531.87</v>
    <v>532.95000000000005</v>
    <v>521.08000000000004</v>
    <v>524.51</v>
  </a>
  <a r="1" c="252">
    <v>520.55999999999995</v>
    <v>523.61</v>
    <v>531.52</v>
    <v>542.07000000000005</v>
    <v>541.54999999999995</v>
    <v>525.76</v>
    <v>517.80999999999995</v>
    <v>517.03</v>
    <v>514.33000000000004</v>
    <v>507.16</v>
    <v>497.1</v>
    <v>496.82</v>
    <v>506</v>
    <v>508.68</v>
    <v>511.14</v>
    <v>503.29</v>
    <v>510.18</v>
    <v>507.49</v>
    <v>493.79</v>
    <v>487.12</v>
    <v>478.43</v>
    <v>472.12</v>
    <v>474</v>
    <v>476.99</v>
    <v>485.5</v>
    <v>492.01</v>
    <v>486.74</v>
    <v>490</v>
    <v>477.73</v>
    <v>480.84</v>
    <v>483.16</v>
    <v>491.02</v>
    <v>492.02</v>
    <v>478.56</v>
    <v>483.47</v>
    <v>478.53</v>
    <v>474.82</v>
    <v>476.39</v>
    <v>476.12</v>
    <v>483.98</v>
    <v>485.92</v>
    <v>484.92</v>
    <v>486.85</v>
    <v>488.02</v>
    <v>487.71</v>
    <v>487.1</v>
    <v>487.48</v>
    <v>483.62</v>
    <v>472.94</v>
    <v>472.85</v>
    <v>478.51</v>
    <v>483.47</v>
    <v>478.11</v>
    <v>479.28</v>
    <v>477.18</v>
    <v>470.67</v>
    <v>459.38</v>
    <v>456.66</v>
    <v>459.86</v>
    <v>454.52</v>
    <v>444.11</v>
    <v>451.14</v>
    <v>465.95</v>
    <v>470.28</v>
    <v>480.58</v>
    <v>481.63</v>
    <v>433.5</v>
    <v>430.29</v>
    <v>423.37</v>
    <v>411.21</v>
    <v>414.19</v>
    <v>393.67</v>
    <v>401.14</v>
    <v>413.6</v>
    <v>413.27</v>
    <v>404.37</v>
    <v>401.84</v>
    <v>401.32</v>
    <v>396.86</v>
    <v>399.6</v>
    <v>398.46</v>
    <v>397.23</v>
    <v>384.47</v>
    <v>389</v>
    <v>400.6</v>
    <v>401.72</v>
    <v>392.74</v>
    <v>398.55</v>
    <v>403.93</v>
    <v>405.2</v>
    <v>410.68</v>
    <v>408.96</v>
    <v>409.41</v>
    <v>405.76</v>
    <v>404.88</v>
    <v>401.86</v>
    <v>395.55</v>
    <v>399.95</v>
    <v>399.41</v>
    <v>391.79</v>
    <v>389.02</v>
    <v>381.87</v>
    <v>383</v>
    <v>372.74</v>
    <v>371.04</v>
    <v>365.97</v>
    <v>356.77</v>
    <v>358.96</v>
    <v>370.17</v>
    <v>369.37</v>
    <v>373.46</v>
    <v>372.88</v>
    <v>372.29</v>
    <v>374.33</v>
    <v>373.07</v>
    <v>370.87</v>
    <v>384.37</v>
    <v>393.11</v>
    <v>411.22</v>
    <v>420.26</v>
    <v>422.79</v>
    <v>418.07</v>
    <v>424.16</v>
    <v>432.92</v>
    <v>415.75</v>
    <v>424.62</v>
    <v>424.82</v>
    <v>429.25</v>
    <v>424.46</v>
    <v>407.78</v>
    <v>414.44</v>
    <v>413.62</v>
    <v>411.38</v>
    <v>413.96</v>
    <v>420.77</v>
    <v>415.12</v>
    <v>412.66</v>
    <v>407.77</v>
    <v>405.21</v>
    <v>409.43</v>
    <v>421.92</v>
    <v>423.54</v>
    <v>417.42</v>
    <v>421.06</v>
    <v>419.09</v>
    <v>418.57</v>
    <v>416.03</v>
    <v>412.67</v>
    <v>426.99</v>
    <v>450.24</v>
    <v>460.52</v>
    <v>441.31</v>
    <v>427.34</v>
    <v>428.05</v>
    <v>416.67</v>
    <v>411.74</v>
    <v>403.41</v>
    <v>397.36</v>
    <v>390.34</v>
    <v>390.74</v>
    <v>399.76</v>
    <v>393.83</v>
    <v>378.91</v>
    <v>379.4</v>
    <v>367.34</v>
    <v>373.94</v>
    <v>365.46</v>
    <v>352.83</v>
    <v>372.97</v>
    <v>368.57</v>
    <v>373.02</v>
    <v>384.28</v>
    <v>390.49</v>
    <v>386.74</v>
    <v>388.84</v>
    <v>383.34</v>
    <v>384.36</v>
    <v>385.1</v>
    <v>390.99</v>
    <v>384.93</v>
    <v>395.63</v>
    <v>401.1</v>
    <v>393.82</v>
    <v>402.29</v>
    <v>397.75</v>
    <v>390.34</v>
    <v>381.58</v>
    <v>381.7</v>
    <v>389.1</v>
    <v>393.35</v>
    <v>390.54</v>
    <v>451.1</v>
    <v>464.72</v>
    <v>487.65</v>
    <v>492.81</v>
    <v>487.46</v>
    <v>499.86</v>
    <v>499.99</v>
    <v>506.06</v>
    <v>503.81</v>
    <v>492.43</v>
    <v>496.88</v>
    <v>495.4</v>
    <v>480.35</v>
    <v>481.63</v>
    <v>484.31</v>
    <v>481.15</v>
    <v>483.24</v>
    <v>487.31</v>
    <v>491.71</v>
    <v>496.37</v>
    <v>505.06</v>
    <v>513.53</v>
    <v>507.29</v>
    <v>501.02</v>
    <v>496.82</v>
    <v>510.12</v>
    <v>499.7</v>
    <v>493.95</v>
    <v>491.65</v>
    <v>492.44</v>
    <v>495.63</v>
    <v>505.41</v>
    <v>497.12</v>
    <v>490.3</v>
    <v>497.75</v>
    <v>493.78</v>
    <v>501.61</v>
    <v>498</v>
    <v>500.59</v>
    <v>497.93</v>
    <v>516.16999999999996</v>
    <v>509.22</v>
    <v>508.96</v>
    <v>512.9</v>
    <v>512.79999999999995</v>
    <v>517.53</v>
    <v>525.17999999999995</v>
    <v>529.29999999999995</v>
    <v>529.76</v>
    <v>522.61</v>
    <v>535.07000000000005</v>
    <v>541.15</v>
    <v>543.45000000000005</v>
    <v>533.69000000000005</v>
    <v>539.44000000000005</v>
    <v>529.04999999999995</v>
    <v>533.52</v>
    <v>531.87</v>
    <v>532.95000000000005</v>
    <v>521.08000000000004</v>
    <v>524.51</v>
  </a>
  <a r="1" c="754">
    <v>329.32</v>
    <v>330.53</v>
    <v>340.67</v>
    <v>327.89</v>
    <v>329.81</v>
    <v>337.31</v>
    <v>338.11</v>
    <v>346.07</v>
    <v>348.32</v>
    <v>352.8</v>
    <v>356.53</v>
    <v>360.53</v>
    <v>363.2</v>
    <v>360.69</v>
    <v>369.67</v>
    <v>366.68</v>
    <v>370.27</v>
    <v>369.67</v>
    <v>376.17</v>
    <v>369.85</v>
    <v>377.44</v>
    <v>373.07</v>
    <v>377.85</v>
    <v>377.43</v>
    <v>378.61</v>
    <v>382.7</v>
    <v>378.85</v>
    <v>378.91</v>
    <v>374.51</v>
    <v>369.14</v>
    <v>372.52</v>
    <v>368.8</v>
    <v>370.95</v>
    <v>374.23</v>
    <v>371.3</v>
    <v>374.38</v>
    <v>374.37</v>
    <v>365.93</v>
    <v>370.73</v>
    <v>372.65</v>
    <v>373.26</v>
    <v>370.62</v>
    <v>373.54</v>
    <v>374.58</v>
    <v>374.66</v>
    <v>374.07</v>
    <v>375.28</v>
    <v>376.04</v>
    <v>370.87</v>
    <v>370.6</v>
    <v>367.94</v>
    <v>367.75</v>
    <v>374.69</v>
    <v>375.79</v>
    <v>382.77</v>
    <v>384.63</v>
    <v>388.47</v>
    <v>390.27</v>
    <v>389.47</v>
    <v>393.87</v>
    <v>398.67</v>
    <v>396.51</v>
    <v>398.9</v>
    <v>402.56</v>
    <v>404.87</v>
    <v>403.93</v>
    <v>409.72</v>
    <v>408.59</v>
    <v>397.58</v>
    <v>403.78</v>
    <v>411.22</v>
    <v>405.65</v>
    <v>405.49</v>
    <v>414.05</v>
    <v>414.11</v>
    <v>420.55</v>
    <v>415.26</v>
    <v>406.32</v>
    <v>409.49</v>
    <v>406.56</v>
    <v>404.06</v>
    <v>402.79</v>
    <v>402.18</v>
    <v>411.65</v>
    <v>410.34</v>
    <v>407.54</v>
    <v>407.48</v>
    <v>407.72</v>
    <v>413.64</v>
    <v>415.5</v>
    <v>414.92</v>
    <v>402.65</v>
    <v>402.09</v>
    <v>409.14</v>
    <v>406.22</v>
    <v>404.52</v>
    <v>415.28</v>
    <v>415.1</v>
    <v>425.22</v>
    <v>416.42</v>
    <v>417.32</v>
    <v>421.41</v>
    <v>425.23</v>
    <v>429.37</v>
    <v>428.74</v>
    <v>422.86</v>
    <v>421.65</v>
    <v>421.43</v>
    <v>420.72</v>
    <v>424.57</v>
    <v>421.44</v>
    <v>420.45</v>
    <v>417.88</v>
    <v>425.52</v>
    <v>424.59</v>
    <v>426.28</v>
    <v>423.26</v>
    <v>427.93</v>
    <v>421.9</v>
    <v>413.64</v>
    <v>414.58</v>
    <v>411.84</v>
    <v>404.27</v>
    <v>399.12</v>
    <v>400.96</v>
    <v>407.57</v>
    <v>409.06</v>
    <v>399.04</v>
    <v>406.32</v>
    <v>402.25</v>
    <v>389.33</v>
    <v>394.94</v>
    <v>397.84</v>
    <v>406.66</v>
    <v>413.54</v>
    <v>409.34</v>
    <v>410.54</v>
    <v>412.32</v>
    <v>414.74</v>
    <v>413.72</v>
    <v>416.56</v>
    <v>423.08</v>
    <v>420.99</v>
    <v>420.21</v>
    <v>425.34</v>
    <v>429.04</v>
    <v>430.52</v>
    <v>427</v>
    <v>430.16</v>
    <v>430.32</v>
    <v>429.17</v>
    <v>414.67</v>
    <v>415.13</v>
    <v>413.52</v>
    <v>416.07</v>
    <v>424.01</v>
    <v>424.52</v>
    <v>423.85</v>
    <v>427.87</v>
    <v>432.68</v>
    <v>441.06</v>
    <v>441.58</v>
    <v>442.57</v>
    <v>448.37</v>
    <v>446.34</v>
    <v>445.7</v>
    <v>449.78</v>
    <v>447.67</v>
    <v>450.95</v>
    <v>452.16</v>
    <v>452.85</v>
    <v>446.95</v>
    <v>456.73</v>
    <v>459.28</v>
    <v>460.77</v>
    <v>467.56</v>
    <v>466.24</v>
    <v>459.54</v>
    <v>466.25</v>
    <v>454.7</v>
    <v>453.55</v>
    <v>453.96</v>
    <v>449.52</v>
    <v>443.52</v>
    <v>440.37</v>
    <v>437.11</v>
    <v>442.94</v>
    <v>444.85</v>
    <v>428.9</v>
    <v>418.4</v>
    <v>425.27</v>
    <v>426.73</v>
    <v>422.92</v>
    <v>418.35</v>
    <v>417.11</v>
    <v>408.49</v>
    <v>395.15</v>
    <v>399.61</v>
    <v>398.43</v>
    <v>402.69</v>
    <v>406.02</v>
    <v>406.81</v>
    <v>414.01</v>
    <v>416.86</v>
    <v>421.03</v>
    <v>418.47</v>
    <v>421.53</v>
    <v>424.8</v>
    <v>424.14</v>
    <v>415.55</v>
    <v>416.79</v>
    <v>413.49</v>
    <v>413.84</v>
    <v>410.6</v>
    <v>413.12</v>
    <v>417.14</v>
    <v>409.44</v>
    <v>408.9</v>
    <v>408.39</v>
    <v>401.7</v>
    <v>405.72</v>
    <v>414.2</v>
    <v>423.04</v>
    <v>427</v>
    <v>430.59</v>
    <v>431.34</v>
    <v>435.15</v>
    <v>430.81</v>
    <v>438.69</v>
    <v>435.27</v>
    <v>433.51</v>
    <v>429.17</v>
    <v>432.11</v>
    <v>431.31</v>
    <v>428.02</v>
    <v>430.3</v>
    <v>420.69</v>
    <v>417.13</v>
    <v>416.54</v>
    <v>416.06</v>
    <v>409.54</v>
    <v>414.71</v>
    <v>417.46</v>
    <v>415.84</v>
    <v>416.32</v>
    <v>419.14</v>
    <v>418.74</v>
    <v>416.12</v>
    <v>416.72</v>
    <v>418.16</v>
    <v>418.78</v>
    <v>427.51</v>
    <v>424.6</v>
    <v>424.73</v>
    <v>428.15</v>
    <v>426.59</v>
    <v>431.95</v>
    <v>432.53</v>
    <v>406.35</v>
    <v>410.37</v>
    <v>408.46</v>
    <v>411.46</v>
    <v>420.18</v>
    <v>425.43</v>
    <v>422.54</v>
    <v>418.01</v>
    <v>423.03</v>
    <v>425.2</v>
    <v>426.89</v>
    <v>415</v>
    <v>415.76</v>
    <v>417.79</v>
    <v>415.49</v>
    <v>412.87</v>
    <v>417</v>
    <v>418.79</v>
    <v>427.99</v>
    <v>422.99</v>
    <v>423.46</v>
    <v>430.98</v>
    <v>431.2</v>
    <v>437.42</v>
    <v>442.62</v>
    <v>443.57</v>
    <v>446.02</v>
    <v>443.33</v>
    <v>448.99</v>
    <v>449.56</v>
    <v>447.27</v>
    <v>451.59</v>
    <v>454.46</v>
    <v>437.39</v>
    <v>437.03</v>
    <v>436.6</v>
    <v>435.25</v>
    <v>439.33</v>
    <v>438.11</v>
    <v>430.53</v>
    <v>424.83</v>
    <v>421.5</v>
    <v>418.58</v>
    <v>423.35</v>
    <v>427.85</v>
    <v>422.37</v>
    <v>424.56</v>
    <v>418.95</v>
    <v>417.19</v>
    <v>415.67</v>
    <v>426.31</v>
    <v>424.58</v>
    <v>429.03</v>
    <v>428.5</v>
    <v>446.2</v>
    <v>446.71</v>
    <v>444.06</v>
    <v>434.56</v>
    <v>447.2</v>
    <v>442.33</v>
    <v>414.99</v>
    <v>415.06</v>
    <v>410.92</v>
    <v>412.37</v>
    <v>413.29</v>
    <v>415.82</v>
    <v>409.75</v>
    <v>412.22</v>
    <v>411.44</v>
    <v>409.04</v>
    <v>410.54</v>
    <v>408.43</v>
    <v>409.64</v>
    <v>414.77</v>
    <v>416.13</v>
    <v>408.21</v>
    <v>404</v>
    <v>397.9</v>
    <v>399.73</v>
    <v>392.53</v>
    <v>396.99</v>
    <v>388.49</v>
    <v>388.61</v>
    <v>401.02</v>
    <v>396.89</v>
    <v>393.31</v>
    <v>380.16</v>
    <v>380.45</v>
    <v>383.27</v>
    <v>378.77</v>
    <v>388.56</v>
    <v>388.7</v>
    <v>383.52</v>
    <v>387.82</v>
    <v>386.84</v>
    <v>391.26</v>
    <v>393.08</v>
    <v>395.16</v>
    <v>389.97</v>
    <v>390.58</v>
    <v>378.8</v>
    <v>375.39</v>
    <v>382.19</v>
    <v>382.14</v>
    <v>373.11</v>
    <v>359.84</v>
    <v>357.86</v>
    <v>354.56</v>
    <v>390.49</v>
    <v>381.35</v>
    <v>388.45</v>
    <v>387.81</v>
    <v>385.73</v>
    <v>371.61</v>
    <v>367.78</v>
    <v>359.12</v>
    <v>366.82</v>
    <v>374.39</v>
    <v>387.3</v>
    <v>391.85</v>
    <v>391.16</v>
    <v>394.04</v>
    <v>395.26</v>
    <v>425.4</v>
    <v>435.28</v>
    <v>436.17</v>
    <v>433.31</v>
    <v>433.35</v>
    <v>438.17</v>
    <v>438.73</v>
    <v>449.26</v>
    <v>449.14</v>
    <v>452.94</v>
    <v>453.13</v>
    <v>454.27</v>
    <v>458.87</v>
    <v>458.17</v>
    <v>452.57</v>
    <v>454.86</v>
    <v>450.18</v>
    <v>460.69</v>
    <v>457.36</v>
    <v>458.68</v>
    <v>460.36</v>
    <v>461.97</v>
    <v>462.97</v>
    <v>463.87</v>
    <v>467.68</v>
    <v>470.38</v>
    <v>472.75</v>
    <v>470.92</v>
    <v>472.62</v>
    <v>478.87</v>
    <v>474.96</v>
    <v>479.14</v>
    <v>478.04</v>
    <v>480.24</v>
    <v>477.4</v>
    <v>486</v>
    <v>490.11</v>
    <v>492.27</v>
    <v>497.45</v>
    <v>495.94</v>
    <v>497.41</v>
    <v>492.05</v>
    <v>491.09</v>
    <v>498.84</v>
    <v>497.72</v>
    <v>496.62</v>
    <v>503.51</v>
    <v>501.48</v>
    <v>503.32</v>
    <v>503.02</v>
    <v>505.82</v>
    <v>505.62</v>
    <v>511.7</v>
    <v>510.05</v>
    <v>510.06</v>
    <v>505.27</v>
    <v>505.87</v>
    <v>510.88</v>
    <v>513.71</v>
    <v>512.5</v>
    <v>512.57000000000005</v>
    <v>513.24</v>
    <v>533.5</v>
    <v>524.11</v>
    <v>535.64</v>
    <v>527.75</v>
    <v>524.94000000000005</v>
    <v>520.84</v>
    <v>522.04</v>
    <v>521.77</v>
    <v>529.24</v>
    <v>520.58000000000004</v>
    <v>522.48</v>
    <v>520.16999999999996</v>
    <v>517.1</v>
    <v>509.77</v>
    <v>505.72</v>
    <v>504.24</v>
    <v>507.23</v>
    <v>504.26</v>
    <v>502.04</v>
    <v>506.74</v>
    <v>509.64</v>
    <v>506.69</v>
    <v>505.12</v>
    <v>505.35</v>
    <v>507.97</v>
    <v>495</v>
    <v>498.2</v>
    <v>498.41</v>
    <v>500.37</v>
    <v>501.01</v>
    <v>509.9</v>
    <v>515.36</v>
    <v>509.04</v>
    <v>510.02</v>
    <v>508.45</v>
    <v>517.92999999999995</v>
    <v>514.45000000000005</v>
    <v>509.23</v>
    <v>510.15</v>
    <v>507.03</v>
    <v>511.46</v>
    <v>514.6</v>
    <v>517.95000000000005</v>
    <v>519.71</v>
    <v>515.74</v>
    <v>517.35</v>
    <v>528.57000000000005</v>
    <v>523.98</v>
    <v>524.85</v>
    <v>522.4</v>
    <v>510.96</v>
    <v>514.04999999999995</v>
    <v>513.57000000000005</v>
    <v>513.42999999999995</v>
    <v>511.61</v>
    <v>513.58000000000004</v>
    <v>516.79</v>
    <v>517.66</v>
    <v>520.54</v>
    <v>520.55999999999995</v>
    <v>523.61</v>
    <v>531.52</v>
    <v>542.07000000000005</v>
    <v>541.54999999999995</v>
    <v>525.76</v>
    <v>517.80999999999995</v>
    <v>517.03</v>
    <v>514.33000000000004</v>
    <v>507.16</v>
    <v>497.1</v>
    <v>496.82</v>
    <v>506</v>
    <v>508.68</v>
    <v>511.14</v>
    <v>503.29</v>
    <v>510.18</v>
    <v>507.49</v>
    <v>493.79</v>
    <v>487.12</v>
    <v>478.43</v>
    <v>472.12</v>
    <v>474</v>
    <v>476.99</v>
    <v>485.5</v>
    <v>492.01</v>
    <v>486.74</v>
    <v>490</v>
    <v>477.73</v>
    <v>480.84</v>
    <v>483.16</v>
    <v>491.02</v>
    <v>492.02</v>
    <v>478.56</v>
    <v>483.47</v>
    <v>478.53</v>
    <v>474.82</v>
    <v>476.39</v>
    <v>476.12</v>
    <v>483.98</v>
    <v>485.92</v>
    <v>484.92</v>
    <v>486.85</v>
    <v>488.02</v>
    <v>487.71</v>
    <v>487.1</v>
    <v>487.48</v>
    <v>483.62</v>
    <v>472.94</v>
    <v>472.85</v>
    <v>478.51</v>
    <v>483.47</v>
    <v>478.11</v>
    <v>479.28</v>
    <v>477.18</v>
    <v>470.67</v>
    <v>459.38</v>
    <v>456.66</v>
    <v>459.86</v>
    <v>454.52</v>
    <v>444.11</v>
    <v>451.14</v>
    <v>465.95</v>
    <v>470.28</v>
    <v>480.58</v>
    <v>481.63</v>
    <v>433.5</v>
    <v>430.29</v>
    <v>423.37</v>
    <v>411.21</v>
    <v>414.19</v>
    <v>393.67</v>
    <v>401.14</v>
    <v>413.6</v>
    <v>413.27</v>
    <v>404.37</v>
    <v>401.84</v>
    <v>401.32</v>
    <v>396.86</v>
    <v>399.6</v>
    <v>398.46</v>
    <v>397.23</v>
    <v>384.47</v>
    <v>389</v>
    <v>400.6</v>
    <v>401.72</v>
    <v>392.74</v>
    <v>398.55</v>
    <v>403.93</v>
    <v>405.2</v>
    <v>410.68</v>
    <v>408.96</v>
    <v>409.41</v>
    <v>405.76</v>
    <v>404.88</v>
    <v>401.86</v>
    <v>395.55</v>
    <v>399.95</v>
    <v>399.41</v>
    <v>391.79</v>
    <v>389.02</v>
    <v>381.87</v>
    <v>383</v>
    <v>372.74</v>
    <v>371.04</v>
    <v>365.97</v>
    <v>356.77</v>
    <v>358.96</v>
    <v>370.17</v>
    <v>369.37</v>
    <v>373.46</v>
    <v>372.88</v>
    <v>372.29</v>
    <v>374.33</v>
    <v>373.07</v>
    <v>370.87</v>
    <v>384.37</v>
    <v>393.11</v>
    <v>411.22</v>
    <v>420.26</v>
    <v>422.79</v>
    <v>418.07</v>
    <v>424.16</v>
    <v>432.92</v>
    <v>415.75</v>
    <v>424.62</v>
    <v>424.82</v>
    <v>429.25</v>
    <v>424.46</v>
    <v>407.78</v>
    <v>414.44</v>
    <v>413.62</v>
    <v>411.38</v>
    <v>413.96</v>
    <v>420.77</v>
    <v>415.12</v>
    <v>412.66</v>
    <v>407.77</v>
    <v>405.21</v>
    <v>409.43</v>
    <v>421.92</v>
    <v>423.54</v>
    <v>417.42</v>
    <v>421.06</v>
    <v>419.09</v>
    <v>418.57</v>
    <v>416.03</v>
    <v>412.67</v>
    <v>426.99</v>
    <v>450.24</v>
    <v>460.52</v>
    <v>441.31</v>
    <v>427.34</v>
    <v>428.05</v>
    <v>416.67</v>
    <v>411.74</v>
    <v>403.41</v>
    <v>397.36</v>
    <v>390.34</v>
    <v>390.74</v>
    <v>399.76</v>
    <v>393.83</v>
    <v>378.91</v>
    <v>379.4</v>
    <v>367.34</v>
    <v>373.94</v>
    <v>365.46</v>
    <v>352.83</v>
    <v>372.97</v>
    <v>368.57</v>
    <v>373.02</v>
    <v>384.28</v>
    <v>390.49</v>
    <v>386.74</v>
    <v>388.84</v>
    <v>383.34</v>
    <v>384.36</v>
    <v>385.1</v>
    <v>390.99</v>
    <v>384.93</v>
    <v>395.63</v>
    <v>401.1</v>
    <v>393.82</v>
    <v>402.29</v>
    <v>397.75</v>
    <v>390.34</v>
    <v>381.58</v>
    <v>381.7</v>
    <v>389.1</v>
    <v>393.35</v>
    <v>390.54</v>
    <v>451.1</v>
    <v>464.72</v>
    <v>487.65</v>
    <v>492.81</v>
    <v>487.46</v>
    <v>499.86</v>
    <v>499.99</v>
    <v>506.06</v>
    <v>503.81</v>
    <v>492.43</v>
    <v>496.88</v>
    <v>495.4</v>
    <v>480.35</v>
    <v>481.63</v>
    <v>484.31</v>
    <v>481.15</v>
    <v>483.24</v>
    <v>487.31</v>
    <v>491.71</v>
    <v>496.37</v>
    <v>505.06</v>
    <v>513.53</v>
    <v>507.29</v>
    <v>501.02</v>
    <v>496.82</v>
    <v>510.12</v>
    <v>499.7</v>
    <v>493.95</v>
    <v>491.65</v>
    <v>492.44</v>
    <v>495.63</v>
    <v>505.41</v>
    <v>497.12</v>
    <v>490.3</v>
    <v>497.75</v>
    <v>493.78</v>
    <v>501.61</v>
    <v>498</v>
    <v>500.59</v>
    <v>497.93</v>
    <v>516.16999999999996</v>
    <v>509.22</v>
    <v>508.96</v>
    <v>512.9</v>
    <v>512.79999999999995</v>
    <v>517.53</v>
    <v>525.17999999999995</v>
    <v>529.29999999999995</v>
    <v>529.76</v>
    <v>522.61</v>
    <v>535.07000000000005</v>
    <v>541.15</v>
    <v>543.45000000000005</v>
    <v>533.69000000000005</v>
    <v>539.44000000000005</v>
    <v>529.04999999999995</v>
    <v>533.52</v>
    <v>531.87</v>
    <v>532.95000000000005</v>
    <v>521.08000000000004</v>
    <v>524.51</v>
  </a>
  <a r="1" c="205">
    <v>26.11</v>
    <v>-99999901</v>
    <v>27.98</v>
    <v>28.68</v>
    <v>-99999901</v>
    <v>28.032</v>
    <v>-99999901</v>
    <v>-99999901</v>
    <v>-99999901</v>
    <v>-99999901</v>
    <v>-99999901</v>
    <v>-99999901</v>
    <v>-99999901</v>
    <v>-99999901</v>
    <v>29.17</v>
    <v>29.545999999999999</v>
    <v>-99999901</v>
    <v>-99999901</v>
    <v>-99999901</v>
    <v>28.5</v>
    <v>-99999901</v>
    <v>-99999901</v>
    <v>-99999901</v>
    <v>29.02</v>
    <v>28.67</v>
    <v>30.14</v>
    <v>32.119999999999997</v>
    <v>33</v>
    <v>34.24</v>
    <v>34</v>
    <v>33.46</v>
    <v>-99999901</v>
    <v>-99999901</v>
    <v>-99999901</v>
    <v>33.685000000000002</v>
    <v>-99999901</v>
    <v>34</v>
    <v>-99999901</v>
    <v>33.74</v>
    <v>-99999901</v>
    <v>32.534999999999997</v>
    <v>-99999901</v>
    <v>32.596499999999999</v>
    <v>-99999901</v>
    <v>-99999901</v>
    <v>32.6</v>
    <v>34.15</v>
    <v>-99999901</v>
    <v>33.08</v>
    <v>32.5</v>
    <v>33.734999999999999</v>
    <v>-99999901</v>
    <v>33.1</v>
    <v>31.48</v>
    <v>-99999901</v>
    <v>31.96</v>
    <v>31.91</v>
    <v>-99999901</v>
    <v>33.25</v>
    <v>32.764000000000003</v>
    <v>31.39</v>
    <v>33.409999999999997</v>
    <v>-99999901</v>
    <v>33.983199999999997</v>
    <v>36.01</v>
    <v>35.417700000000004</v>
    <v>-99999901</v>
    <v>38.450000000000003</v>
    <v>-99999901</v>
    <v>39.555</v>
    <v>-99999901</v>
    <v>40.659999999999997</v>
    <v>41.09</v>
    <v>-99999901</v>
    <v>44.72</v>
    <v>44.482999999999997</v>
    <v>44.333399999999997</v>
    <v>50.5</v>
    <v>51.17</v>
    <v>49.91</v>
    <v>49.62</v>
    <v>52.5</v>
    <v>55.15</v>
    <v>55.05</v>
    <v>-99999901</v>
    <v>56.72</v>
    <v>57.38</v>
    <v>55.92</v>
    <v>58.097499999999997</v>
    <v>58.19</v>
    <v>57.56</v>
    <v>62.25</v>
    <v>63.991799999999998</v>
    <v>-99999901</v>
    <v>60.87</v>
    <v>59.25</v>
    <v>-99999901</v>
    <v>64.930000000000007</v>
    <v>-99999901</v>
    <v>69.75</v>
    <v>66.599999999999994</v>
    <v>-99999901</v>
    <v>68.708500000000001</v>
    <v>68.819999999999993</v>
    <v>78.75</v>
    <v>78.599999999999994</v>
    <v>77.164000000000001</v>
    <v>70.56</v>
    <v>-99999901</v>
    <v>71.010000000000005</v>
    <v>71.209999999999994</v>
    <v>78.55</v>
    <v>78.599999999999994</v>
    <v>80.86</v>
    <v>76.097999999999999</v>
    <v>75.7</v>
    <v>-99999901</v>
    <v>78.11</v>
    <v>72.093999999999994</v>
    <v>-99999901</v>
    <v>73.66</v>
    <v>-99999901</v>
    <v>73</v>
    <v>72.63</v>
    <v>70.69</v>
    <v>67.510000000000005</v>
    <v>72.308000000000007</v>
    <v>67.819999999999993</v>
    <v>67.84</v>
    <v>-99999901</v>
    <v>71.756</v>
    <v>70</v>
    <v>70.37</v>
    <v>67.22</v>
    <v>63.21</v>
    <v>62.53</v>
    <v>62.67</v>
    <v>-99999901</v>
    <v>-99999901</v>
    <v>53.74</v>
    <v>51.92</v>
    <v>52.2</v>
    <v>50.58</v>
    <v>49.57</v>
    <v>52.454000000000001</v>
    <v>-99999901</v>
    <v>52.52</v>
    <v>54.22</v>
    <v>-99999901</v>
    <v>54.45</v>
    <v>-99999901</v>
    <v>55.8</v>
    <v>-99999901</v>
    <v>54.93</v>
    <v>55.019399999999997</v>
    <v>-99999901</v>
    <v>-99999901</v>
    <v>-99999901</v>
    <v>50.95</v>
    <v>50.2</v>
    <v>-99999901</v>
    <v>-99999901</v>
    <v>-99999901</v>
    <v>-99999901</v>
    <v>50.94</v>
    <v>49.887799999999999</v>
    <v>-99999901</v>
    <v>-99999901</v>
    <v>-99999901</v>
    <v>-99999901</v>
    <v>-99999901</v>
    <v>52.26</v>
    <v>51.55</v>
    <v>-99999901</v>
    <v>-99999901</v>
    <v>-99999901</v>
    <v>-99999901</v>
    <v>-99999901</v>
    <v>-99999901</v>
    <v>50.000999999999998</v>
    <v>-99999901</v>
    <v>53.58</v>
    <v>-99999901</v>
    <v>-99999901</v>
    <v>-99999901</v>
    <v>-99999901</v>
    <v>53</v>
    <v>-99999901</v>
    <v>55</v>
    <v>55.954999999999998</v>
    <v>56.924999999999997</v>
    <v>-99999901</v>
    <v>-99999901</v>
    <v>53.305999999999997</v>
    <v>52.104999999999997</v>
    <v>-99999901</v>
    <v>-99999901</v>
    <v>47.23</v>
    <v>-99999901</v>
    <v>-99999901</v>
    <v>46.246000000000002</v>
    <v>46.5</v>
    <v>-99999901</v>
    <v>44.34</v>
    <v>44.1</v>
  </a>
  <a r="1" c="754">
    <v>39.99</v>
    <v>39.118000000000002</v>
    <v>38.594000000000001</v>
    <v>40.252000000000002</v>
    <v>39.293999999999997</v>
    <v>37.143999999999998</v>
    <v>38.502000000000002</v>
    <v>37.731999999999999</v>
    <v>39.582000000000001</v>
    <v>41.5</v>
    <v>40.549999999999997</v>
    <v>40.590000000000003</v>
    <v>40.4</v>
    <v>41.421999999999997</v>
    <v>41.81</v>
    <v>40.768000000000001</v>
    <v>43.064</v>
    <v>44.994</v>
    <v>44.488</v>
    <v>45.687399999999997</v>
    <v>46.66</v>
    <v>46.235999999999997</v>
    <v>44.308</v>
    <v>44.96</v>
    <v>46.27</v>
    <v>45.204000000000001</v>
    <v>46.966000000000001</v>
    <v>48.334000000000003</v>
    <v>48.56</v>
    <v>46.65</v>
    <v>46.85</v>
    <v>47.838000000000001</v>
    <v>46.936</v>
    <v>47.7547</v>
    <v>47.536000000000001</v>
    <v>47.612000000000002</v>
    <v>48.207999999999998</v>
    <v>49.667999999999999</v>
    <v>50.72</v>
    <v>49.298000000000002</v>
    <v>51.048000000000002</v>
    <v>49.234000000000002</v>
    <v>51.01</v>
    <v>50.978000000000002</v>
    <v>51.314</v>
    <v>50.3</v>
    <v>50.868000000000002</v>
    <v>49.503999999999998</v>
    <v>49.112000000000002</v>
    <v>47.322000000000003</v>
    <v>45.276000000000003</v>
    <v>44.61</v>
    <v>45.634</v>
    <v>44.945999999999998</v>
    <v>43.88</v>
    <v>43.436</v>
    <v>43.9</v>
    <v>42.838000000000001</v>
    <v>42.636000000000003</v>
    <v>44.101999999999997</v>
    <v>43.84</v>
    <v>45.673999999999999</v>
    <v>46.244</v>
    <v>45.921999999999997</v>
    <v>45.19</v>
    <v>44.417999999999999</v>
    <v>43.86</v>
    <v>44.146000000000001</v>
    <v>44.021999999999998</v>
    <v>43.36</v>
    <v>43.13</v>
    <v>44.55</v>
    <v>44.41</v>
    <v>43.22</v>
    <v>45.01</v>
    <v>45.572000000000003</v>
    <v>46.01</v>
    <v>45.024000000000001</v>
    <v>44.784999999999997</v>
    <v>45.4</v>
    <v>45.45</v>
    <v>44.811999999999998</v>
    <v>44</v>
    <v>46.061999999999998</v>
    <v>45.438000000000002</v>
    <v>44.433999999999997</v>
    <v>45.411999999999999</v>
    <v>45.432000000000002</v>
    <v>45.533499999999997</v>
    <v>46.188000000000002</v>
    <v>46.881999999999998</v>
    <v>45.753999999999998</v>
    <v>46.95</v>
    <v>48.295999999999999</v>
    <v>47.497999999999998</v>
    <v>47.308</v>
    <v>48.325000000000003</v>
    <v>47.914000000000001</v>
    <v>46.41</v>
    <v>44.673999999999999</v>
    <v>45.61</v>
    <v>43</v>
    <v>44.08</v>
    <v>43.37</v>
    <v>41.844000000000001</v>
    <v>43.411999999999999</v>
    <v>42.997999999999998</v>
    <v>43.527999999999999</v>
    <v>43.381999999999998</v>
    <v>43.878</v>
    <v>42.12</v>
    <v>42.05</v>
    <v>42.308</v>
    <v>42.597999999999999</v>
    <v>41.582000000000001</v>
    <v>42.706000000000003</v>
    <v>-99999901</v>
    <v>42.106000000000002</v>
    <v>41.136000000000003</v>
    <v>40.585999999999999</v>
    <v>39.265999999999998</v>
    <v>40.39</v>
    <v>40.835999999999999</v>
    <v>40.1</v>
    <v>39.601999999999997</v>
    <v>39.334000000000003</v>
    <v>41.243200000000002</v>
    <v>41.32</v>
    <v>40.847999999999999</v>
    <v>40.270000000000003</v>
    <v>40.018000000000001</v>
    <v>39.74</v>
    <v>40.28</v>
    <v>40.320799999999998</v>
    <v>40.835999999999999</v>
    <v>42.155999999999999</v>
    <v>39.85</v>
    <v>41.207999999999998</v>
    <v>40</v>
    <v>41.9</v>
    <v>42.066000000000003</v>
    <v>43.067999999999998</v>
    <v>43.16</v>
    <v>42.46</v>
    <v>41.14</v>
    <v>41.024000000000001</v>
    <v>42.661999999999999</v>
    <v>43.67</v>
    <v>41.5</v>
    <v>42.527999999999999</v>
    <v>41.225999999999999</v>
    <v>40.308</v>
    <v>41.7</v>
    <v>42.142000000000003</v>
    <v>43.228000000000002</v>
    <v>44.26</v>
    <v>45</v>
    <v>44.5</v>
    <v>44.872</v>
    <v>42.954000000000001</v>
    <v>45.564</v>
    <v>42.95</v>
    <v>42.866</v>
    <v>42.25</v>
    <v>43.91</v>
    <v>42.076000000000001</v>
    <v>41.277999999999999</v>
    <v>40.945999999999998</v>
    <v>40.454000000000001</v>
    <v>38.521999999999998</v>
    <v>40.128</v>
    <v>38.74</v>
    <v>39.652000000000001</v>
    <v>40.46</v>
    <v>41.41</v>
    <v>41.39</v>
    <v>41.503999999999998</v>
    <v>40.898000000000003</v>
    <v>41.247999999999998</v>
    <v>41.92</v>
    <v>43.16</v>
    <v>43.5</v>
    <v>40.83</v>
    <v>42.246000000000002</v>
    <v>40.816000000000003</v>
    <v>39.5</v>
    <v>40.18</v>
    <v>41.71</v>
    <v>39.366</v>
    <v>33.94</v>
    <v>33.9</v>
    <v>32.792000000000002</v>
    <v>32.323999999999998</v>
    <v>32.723999999999997</v>
    <v>31.6</v>
    <v>31.71</v>
    <v>27.62</v>
    <v>27.994</v>
    <v>30.13</v>
    <v>28.318000000000001</v>
    <v>29.75</v>
    <v>27.45</v>
    <v>29.49</v>
    <v>30.91</v>
    <v>28.456</v>
    <v>29.655999999999999</v>
    <v>30.044</v>
    <v>30.54</v>
    <v>31.41</v>
    <v>32.93</v>
    <v>30.47</v>
    <v>32.276000000000003</v>
    <v>30.173999999999999</v>
    <v>30.695799999999998</v>
    <v>30.817499999999999</v>
    <v>30.905999999999999</v>
    <v>32.076000000000001</v>
    <v>28.59</v>
    <v>29.3</v>
    <v>28.49</v>
    <v>27.58</v>
    <v>27.4</v>
    <v>27.198</v>
    <v>28.731999999999999</v>
    <v>28.51</v>
    <v>27.004000000000001</v>
    <v>27.603999999999999</v>
    <v>27.468</v>
    <v>29.858000000000001</v>
    <v>27.52</v>
    <v>28.414000000000001</v>
    <v>27.751999999999999</v>
    <v>28.49</v>
    <v>29.79</v>
    <v>29.521999999999998</v>
    <v>28.962</v>
    <v>28.9</v>
    <v>28.692</v>
    <v>28.032</v>
    <v>27.61</v>
    <v>28.994</v>
    <v>27.871700000000001</v>
    <v>27.79</v>
    <v>27.968599999999999</v>
    <v>27.82</v>
    <v>29.283999999999999</v>
    <v>26.899799999999999</v>
    <v>26.643999999999998</v>
    <v>26.77</v>
    <v>27.533999999999999</v>
    <v>28.085999999999999</v>
    <v>27.605</v>
    <v>27.097999999999999</v>
    <v>27.442</v>
    <v>27.5</v>
    <v>27.423999999999999</v>
    <v>27.902000000000001</v>
    <v>27.827999999999999</v>
    <v>26.527999999999999</v>
    <v>26.068000000000001</v>
    <v>26.158100000000001</v>
    <v>25.853999999999999</v>
    <v>25.82</v>
    <v>28</v>
    <v>25.754000000000001</v>
    <v>26.463999999999999</v>
    <v>26.815999999999999</v>
    <v>25.686</v>
    <v>26.503599999999999</v>
    <v>25.03</v>
    <v>24.765999999999998</v>
    <v>24.542300000000001</v>
    <v>24.437799999999999</v>
    <v>23.852</v>
    <v>23.39</v>
    <v>24.66</v>
    <v>25.356000000000002</v>
    <v>24.78</v>
    <v>24.538</v>
    <v>26.43</v>
    <v>24.98</v>
    <v>25.68</v>
    <v>26.58</v>
    <v>25.5</v>
    <v>25.94</v>
    <v>26.1</v>
    <v>25.434000000000001</v>
    <v>26.1142</v>
    <v>26.6</v>
    <v>25.269600000000001</v>
    <v>24.64</v>
    <v>24.74</v>
    <v>23.95</v>
    <v>-99999901</v>
    <v>-99999901</v>
    <v>-99999901</v>
    <v>-99999901</v>
    <v>26.85</v>
    <v>25.1</v>
    <v>25.1</v>
    <v>-99999901</v>
    <v>23.24</v>
    <v>26.004999999999999</v>
    <v>-99999901</v>
    <v>-99999901</v>
    <v>25.33</v>
    <v>-99999901</v>
    <v>24.375</v>
    <v>24.83</v>
    <v>24.787500000000001</v>
    <v>25.375</v>
    <v>26.5</v>
    <v>-99999901</v>
    <v>24.6</v>
    <v>25.7</v>
    <v>24.59</v>
    <v>-99999901</v>
    <v>-99999901</v>
    <v>-99999901</v>
    <v>21.96</v>
    <v>22</v>
    <v>-99999901</v>
    <v>-99999901</v>
    <v>-99999901</v>
    <v>-99999901</v>
    <v>21.03</v>
    <v>22.934999999999999</v>
    <v>23.7</v>
    <v>-99999901</v>
    <v>-99999901</v>
    <v>24.42</v>
    <v>26.48</v>
    <v>27.77</v>
    <v>27.84</v>
    <v>-99999901</v>
    <v>27.215</v>
    <v>26.1</v>
    <v>25.07</v>
    <v>-99999901</v>
    <v>23.98</v>
    <v>23.69</v>
    <v>25.65</v>
    <v>-99999901</v>
    <v>26.14</v>
    <v>-99999901</v>
    <v>24.6</v>
    <v>24.655000000000001</v>
    <v>-99999901</v>
    <v>-99999901</v>
    <v>25.62</v>
    <v>-99999901</v>
    <v>-99999901</v>
    <v>-99999901</v>
    <v>-99999901</v>
    <v>24.18</v>
    <v>24.195</v>
    <v>22.78</v>
    <v>-99999901</v>
    <v>-99999901</v>
    <v>-99999901</v>
    <v>-99999901</v>
    <v>21.5</v>
    <v>20.010000000000002</v>
    <v>18.79</v>
    <v>18.57</v>
    <v>17.63</v>
    <v>21.05</v>
    <v>19.04</v>
    <v>20.28</v>
    <v>-99999901</v>
    <v>20.635000000000002</v>
    <v>19.89</v>
    <v>20.217500000000001</v>
    <v>19.93</v>
    <v>-99999901</v>
    <v>-99999901</v>
    <v>-99999901</v>
    <v>-99999901</v>
    <v>-99999901</v>
    <v>-99999901</v>
    <v>-99999901</v>
    <v>-99999901</v>
    <v>23.4</v>
    <v>-99999901</v>
    <v>-99999901</v>
    <v>-99999901</v>
    <v>-99999901</v>
    <v>23.914999999999999</v>
    <v>-99999901</v>
    <v>-99999901</v>
    <v>-99999901</v>
    <v>-99999901</v>
    <v>-99999901</v>
    <v>-99999901</v>
    <v>-99999901</v>
    <v>25.53</v>
    <v>-99999901</v>
    <v>-99999901</v>
    <v>25.57</v>
    <v>25.24</v>
    <v>-99999901</v>
    <v>-99999901</v>
    <v>-99999901</v>
    <v>25.58</v>
    <v>28.42</v>
    <v>28.47</v>
    <v>-99999901</v>
    <v>-99999901</v>
    <v>30.07</v>
    <v>30.17</v>
    <v>29.965</v>
    <v>-99999901</v>
    <v>-99999901</v>
    <v>-99999901</v>
    <v>-99999901</v>
    <v>28.44</v>
    <v>28.126000000000001</v>
    <v>-99999901</v>
    <v>-99999901</v>
    <v>-99999901</v>
    <v>-99999901</v>
    <v>-99999901</v>
    <v>-99999901</v>
    <v>31.72</v>
    <v>-99999901</v>
    <v>-99999901</v>
    <v>-99999901</v>
    <v>32.07</v>
    <v>-99999901</v>
    <v>32.408700000000003</v>
    <v>-99999901</v>
    <v>-99999901</v>
    <v>-99999901</v>
    <v>-99999901</v>
    <v>-99999901</v>
    <v>33.17</v>
    <v>-99999901</v>
    <v>32.299999999999997</v>
    <v>26.4985</v>
    <v>-99999901</v>
    <v>26.3</v>
    <v>-99999901</v>
    <v>-99999901</v>
    <v>-99999901</v>
    <v>24.98</v>
    <v>-99999901</v>
    <v>-99999901</v>
    <v>-99999901</v>
    <v>-99999901</v>
    <v>-99999901</v>
    <v>24.98</v>
    <v>25.95</v>
    <v>25.95</v>
    <v>26</v>
    <v>-99999901</v>
    <v>-99999901</v>
    <v>25.768000000000001</v>
    <v>-99999901</v>
    <v>-99999901</v>
    <v>27.16</v>
    <v>27.7</v>
    <v>27.27</v>
    <v>-99999901</v>
    <v>-99999901</v>
    <v>-99999901</v>
    <v>-99999901</v>
    <v>25.86</v>
    <v>26.23</v>
    <v>-99999901</v>
    <v>-99999901</v>
    <v>-99999901</v>
    <v>-99999901</v>
    <v>-99999901</v>
    <v>-99999901</v>
    <v>-99999901</v>
    <v>27.123999999999999</v>
    <v>-99999901</v>
    <v>-99999901</v>
    <v>-99999901</v>
    <v>28</v>
    <v>-99999901</v>
    <v>-99999901</v>
    <v>-99999901</v>
    <v>-99999901</v>
    <v>-99999901</v>
    <v>-99999901</v>
    <v>-99999901</v>
    <v>-99999901</v>
    <v>-99999901</v>
    <v>-99999901</v>
    <v>28.7545</v>
    <v>-99999901</v>
    <v>28.332000000000001</v>
    <v>27.626000000000001</v>
    <v>28.53</v>
    <v>-99999901</v>
    <v>-99999901</v>
    <v>-99999901</v>
    <v>28.898800000000001</v>
    <v>-99999901</v>
    <v>30.63</v>
    <v>30.1</v>
    <v>26</v>
    <v>24.79</v>
    <v>25.417999999999999</v>
    <v>-99999901</v>
    <v>-99999901</v>
    <v>-99999901</v>
    <v>-99999901</v>
    <v>24.42</v>
    <v>-99999901</v>
    <v>-99999901</v>
    <v>-99999901</v>
    <v>-99999901</v>
    <v>-99999901</v>
    <v>-99999901</v>
    <v>-99999901</v>
    <v>-99999901</v>
    <v>23.39</v>
    <v>-99999901</v>
    <v>-99999901</v>
    <v>-99999901</v>
    <v>-99999901</v>
    <v>-99999901</v>
    <v>-99999901</v>
    <v>-99999901</v>
    <v>-99999901</v>
    <v>-99999901</v>
    <v>23.204999999999998</v>
    <v>23.515000000000001</v>
    <v>25.05</v>
    <v>25.85</v>
    <v>-99999901</v>
    <v>-99999901</v>
    <v>-99999901</v>
    <v>-99999901</v>
    <v>-99999901</v>
    <v>-99999901</v>
    <v>-99999901</v>
    <v>25.84</v>
    <v>-99999901</v>
    <v>-99999901</v>
    <v>-99999901</v>
    <v>25.765000000000001</v>
    <v>-99999901</v>
    <v>-99999901</v>
    <v>-99999901</v>
    <v>-99999901</v>
    <v>-99999901</v>
    <v>26.11</v>
    <v>-99999901</v>
    <v>27.98</v>
    <v>28.68</v>
    <v>-99999901</v>
    <v>28.032</v>
    <v>-99999901</v>
    <v>-99999901</v>
    <v>-99999901</v>
    <v>-99999901</v>
    <v>-99999901</v>
    <v>-99999901</v>
    <v>-99999901</v>
    <v>-99999901</v>
    <v>29.17</v>
    <v>29.545999999999999</v>
    <v>-99999901</v>
    <v>-99999901</v>
    <v>-99999901</v>
    <v>28.5</v>
    <v>-99999901</v>
    <v>-99999901</v>
    <v>-99999901</v>
    <v>29.02</v>
    <v>28.67</v>
    <v>30.14</v>
    <v>32.119999999999997</v>
    <v>33</v>
    <v>34.24</v>
    <v>34</v>
    <v>33.46</v>
    <v>-99999901</v>
    <v>-99999901</v>
    <v>-99999901</v>
    <v>33.685000000000002</v>
    <v>-99999901</v>
    <v>34</v>
    <v>-99999901</v>
    <v>33.74</v>
    <v>-99999901</v>
    <v>32.534999999999997</v>
    <v>-99999901</v>
    <v>32.596499999999999</v>
    <v>-99999901</v>
    <v>-99999901</v>
    <v>32.6</v>
    <v>34.15</v>
    <v>-99999901</v>
    <v>33.08</v>
    <v>32.5</v>
    <v>33.734999999999999</v>
    <v>-99999901</v>
    <v>33.1</v>
    <v>31.48</v>
    <v>-99999901</v>
    <v>31.96</v>
    <v>31.91</v>
    <v>-99999901</v>
    <v>33.25</v>
    <v>32.764000000000003</v>
    <v>31.39</v>
    <v>33.409999999999997</v>
    <v>-99999901</v>
    <v>33.983199999999997</v>
    <v>36.01</v>
    <v>35.417700000000004</v>
    <v>-99999901</v>
    <v>38.450000000000003</v>
    <v>-99999901</v>
    <v>39.555</v>
    <v>-99999901</v>
    <v>40.659999999999997</v>
    <v>41.09</v>
    <v>-99999901</v>
    <v>44.72</v>
    <v>44.482999999999997</v>
    <v>44.333399999999997</v>
    <v>50.5</v>
    <v>51.17</v>
    <v>49.91</v>
    <v>49.62</v>
    <v>52.5</v>
    <v>55.15</v>
    <v>55.05</v>
    <v>-99999901</v>
    <v>56.72</v>
    <v>57.38</v>
    <v>55.92</v>
    <v>58.097499999999997</v>
    <v>58.19</v>
    <v>57.56</v>
    <v>62.25</v>
    <v>63.991799999999998</v>
    <v>-99999901</v>
    <v>60.87</v>
    <v>59.25</v>
    <v>-99999901</v>
    <v>64.930000000000007</v>
    <v>-99999901</v>
    <v>69.75</v>
    <v>66.599999999999994</v>
    <v>-99999901</v>
    <v>68.708500000000001</v>
    <v>68.819999999999993</v>
    <v>78.75</v>
    <v>78.599999999999994</v>
    <v>77.164000000000001</v>
    <v>70.56</v>
    <v>-99999901</v>
    <v>71.010000000000005</v>
    <v>71.209999999999994</v>
    <v>78.55</v>
    <v>78.599999999999994</v>
    <v>80.86</v>
    <v>76.097999999999999</v>
    <v>75.7</v>
    <v>-99999901</v>
    <v>78.11</v>
    <v>72.093999999999994</v>
    <v>-99999901</v>
    <v>73.66</v>
    <v>-99999901</v>
    <v>73</v>
    <v>72.63</v>
    <v>70.69</v>
    <v>67.510000000000005</v>
    <v>72.308000000000007</v>
    <v>67.819999999999993</v>
    <v>67.84</v>
    <v>-99999901</v>
    <v>71.756</v>
    <v>70</v>
    <v>70.37</v>
    <v>67.22</v>
    <v>63.21</v>
    <v>62.53</v>
    <v>62.67</v>
    <v>-99999901</v>
    <v>-99999901</v>
    <v>53.74</v>
    <v>51.92</v>
    <v>52.2</v>
    <v>50.58</v>
    <v>49.57</v>
    <v>52.454000000000001</v>
    <v>-99999901</v>
    <v>52.52</v>
    <v>54.22</v>
    <v>-99999901</v>
    <v>54.45</v>
    <v>-99999901</v>
    <v>55.8</v>
    <v>-99999901</v>
    <v>54.93</v>
    <v>55.019399999999997</v>
    <v>-99999901</v>
    <v>-99999901</v>
    <v>-99999901</v>
    <v>50.95</v>
    <v>50.2</v>
    <v>-99999901</v>
    <v>-99999901</v>
    <v>-99999901</v>
    <v>-99999901</v>
    <v>50.94</v>
    <v>49.887799999999999</v>
    <v>-99999901</v>
    <v>-99999901</v>
    <v>-99999901</v>
    <v>-99999901</v>
    <v>-99999901</v>
    <v>52.26</v>
    <v>51.55</v>
    <v>-99999901</v>
    <v>-99999901</v>
    <v>-99999901</v>
    <v>-99999901</v>
    <v>-99999901</v>
    <v>-99999901</v>
    <v>50.000999999999998</v>
    <v>-99999901</v>
    <v>53.58</v>
    <v>-99999901</v>
    <v>-99999901</v>
    <v>-99999901</v>
    <v>-99999901</v>
    <v>53</v>
    <v>-99999901</v>
    <v>55</v>
    <v>55.954999999999998</v>
    <v>56.924999999999997</v>
    <v>-99999901</v>
    <v>-99999901</v>
    <v>53.305999999999997</v>
    <v>52.104999999999997</v>
    <v>-99999901</v>
    <v>-99999901</v>
    <v>47.23</v>
    <v>-99999901</v>
    <v>-99999901</v>
    <v>46.246000000000002</v>
    <v>46.5</v>
    <v>-99999901</v>
    <v>44.34</v>
    <v>44.1</v>
  </a>
  <a r="1" c="252">
    <v>26</v>
    <v>24.79</v>
    <v>25.417999999999999</v>
    <v>-99999901</v>
    <v>-99999901</v>
    <v>-99999901</v>
    <v>-99999901</v>
    <v>24.42</v>
    <v>-99999901</v>
    <v>-99999901</v>
    <v>-99999901</v>
    <v>-99999901</v>
    <v>-99999901</v>
    <v>-99999901</v>
    <v>-99999901</v>
    <v>-99999901</v>
    <v>23.39</v>
    <v>-99999901</v>
    <v>-99999901</v>
    <v>-99999901</v>
    <v>-99999901</v>
    <v>-99999901</v>
    <v>-99999901</v>
    <v>-99999901</v>
    <v>-99999901</v>
    <v>-99999901</v>
    <v>23.204999999999998</v>
    <v>23.515000000000001</v>
    <v>25.05</v>
    <v>25.85</v>
    <v>-99999901</v>
    <v>-99999901</v>
    <v>-99999901</v>
    <v>-99999901</v>
    <v>-99999901</v>
    <v>-99999901</v>
    <v>-99999901</v>
    <v>25.84</v>
    <v>-99999901</v>
    <v>-99999901</v>
    <v>-99999901</v>
    <v>25.765000000000001</v>
    <v>-99999901</v>
    <v>-99999901</v>
    <v>-99999901</v>
    <v>-99999901</v>
    <v>-99999901</v>
    <v>26.11</v>
    <v>-99999901</v>
    <v>27.98</v>
    <v>28.68</v>
    <v>-99999901</v>
    <v>28.032</v>
    <v>-99999901</v>
    <v>-99999901</v>
    <v>-99999901</v>
    <v>-99999901</v>
    <v>-99999901</v>
    <v>-99999901</v>
    <v>-99999901</v>
    <v>-99999901</v>
    <v>29.17</v>
    <v>29.545999999999999</v>
    <v>-99999901</v>
    <v>-99999901</v>
    <v>-99999901</v>
    <v>28.5</v>
    <v>-99999901</v>
    <v>-99999901</v>
    <v>-99999901</v>
    <v>29.02</v>
    <v>28.67</v>
    <v>30.14</v>
    <v>32.119999999999997</v>
    <v>33</v>
    <v>34.24</v>
    <v>34</v>
    <v>33.46</v>
    <v>-99999901</v>
    <v>-99999901</v>
    <v>-99999901</v>
    <v>33.685000000000002</v>
    <v>-99999901</v>
    <v>34</v>
    <v>-99999901</v>
    <v>33.74</v>
    <v>-99999901</v>
    <v>32.534999999999997</v>
    <v>-99999901</v>
    <v>32.596499999999999</v>
    <v>-99999901</v>
    <v>-99999901</v>
    <v>32.6</v>
    <v>34.15</v>
    <v>-99999901</v>
    <v>33.08</v>
    <v>32.5</v>
    <v>33.734999999999999</v>
    <v>-99999901</v>
    <v>33.1</v>
    <v>31.48</v>
    <v>-99999901</v>
    <v>31.96</v>
    <v>31.91</v>
    <v>-99999901</v>
    <v>33.25</v>
    <v>32.764000000000003</v>
    <v>31.39</v>
    <v>33.409999999999997</v>
    <v>-99999901</v>
    <v>33.983199999999997</v>
    <v>36.01</v>
    <v>35.417700000000004</v>
    <v>-99999901</v>
    <v>38.450000000000003</v>
    <v>-99999901</v>
    <v>39.555</v>
    <v>-99999901</v>
    <v>40.659999999999997</v>
    <v>41.09</v>
    <v>-99999901</v>
    <v>44.72</v>
    <v>44.482999999999997</v>
    <v>44.333399999999997</v>
    <v>50.5</v>
    <v>51.17</v>
    <v>49.91</v>
    <v>49.62</v>
    <v>52.5</v>
    <v>55.15</v>
    <v>55.05</v>
    <v>-99999901</v>
    <v>56.72</v>
    <v>57.38</v>
    <v>55.92</v>
    <v>58.097499999999997</v>
    <v>58.19</v>
    <v>57.56</v>
    <v>62.25</v>
    <v>63.991799999999998</v>
    <v>-99999901</v>
    <v>60.87</v>
    <v>59.25</v>
    <v>-99999901</v>
    <v>64.930000000000007</v>
    <v>-99999901</v>
    <v>69.75</v>
    <v>66.599999999999994</v>
    <v>-99999901</v>
    <v>68.708500000000001</v>
    <v>68.819999999999993</v>
    <v>78.75</v>
    <v>78.599999999999994</v>
    <v>77.164000000000001</v>
    <v>70.56</v>
    <v>-99999901</v>
    <v>71.010000000000005</v>
    <v>71.209999999999994</v>
    <v>78.55</v>
    <v>78.599999999999994</v>
    <v>80.86</v>
    <v>76.097999999999999</v>
    <v>75.7</v>
    <v>-99999901</v>
    <v>78.11</v>
    <v>72.093999999999994</v>
    <v>-99999901</v>
    <v>73.66</v>
    <v>-99999901</v>
    <v>73</v>
    <v>72.63</v>
    <v>70.69</v>
    <v>67.510000000000005</v>
    <v>72.308000000000007</v>
    <v>67.819999999999993</v>
    <v>67.84</v>
    <v>-99999901</v>
    <v>71.756</v>
    <v>70</v>
    <v>70.37</v>
    <v>67.22</v>
    <v>63.21</v>
    <v>62.53</v>
    <v>62.67</v>
    <v>-99999901</v>
    <v>-99999901</v>
    <v>53.74</v>
    <v>51.92</v>
    <v>52.2</v>
    <v>50.58</v>
    <v>49.57</v>
    <v>52.454000000000001</v>
    <v>-99999901</v>
    <v>52.52</v>
    <v>54.22</v>
    <v>-99999901</v>
    <v>54.45</v>
    <v>-99999901</v>
    <v>55.8</v>
    <v>-99999901</v>
    <v>54.93</v>
    <v>55.019399999999997</v>
    <v>-99999901</v>
    <v>-99999901</v>
    <v>-99999901</v>
    <v>50.95</v>
    <v>50.2</v>
    <v>-99999901</v>
    <v>-99999901</v>
    <v>-99999901</v>
    <v>-99999901</v>
    <v>50.94</v>
    <v>49.887799999999999</v>
    <v>-99999901</v>
    <v>-99999901</v>
    <v>-99999901</v>
    <v>-99999901</v>
    <v>-99999901</v>
    <v>52.26</v>
    <v>51.55</v>
    <v>-99999901</v>
    <v>-99999901</v>
    <v>-99999901</v>
    <v>-99999901</v>
    <v>-99999901</v>
    <v>-99999901</v>
    <v>50.000999999999998</v>
    <v>-99999901</v>
    <v>53.58</v>
    <v>-99999901</v>
    <v>-99999901</v>
    <v>-99999901</v>
    <v>-99999901</v>
    <v>53</v>
    <v>-99999901</v>
    <v>55</v>
    <v>55.954999999999998</v>
    <v>56.924999999999997</v>
    <v>-99999901</v>
    <v>-99999901</v>
    <v>53.305999999999997</v>
    <v>52.104999999999997</v>
    <v>-99999901</v>
    <v>-99999901</v>
    <v>47.23</v>
    <v>-99999901</v>
    <v>-99999901</v>
    <v>46.246000000000002</v>
    <v>46.5</v>
    <v>-99999901</v>
    <v>44.34</v>
    <v>44.1</v>
  </a>
  <a r="1" c="209">
    <v>366.6</v>
    <v>364.7</v>
    <v>363.3</v>
    <v>368.7</v>
    <v>356</v>
    <v>362.9</v>
    <v>385.85</v>
    <v>392.4</v>
    <v>391.4</v>
    <v>391.45</v>
    <v>387.15</v>
    <v>384.85</v>
    <v>380.95</v>
    <v>384.35</v>
    <v>385.4</v>
    <v>387.25</v>
    <v>386.25</v>
    <v>384.9</v>
    <v>380</v>
    <v>380.45</v>
    <v>388.1</v>
    <v>387</v>
    <v>388.7</v>
    <v>386.45</v>
    <v>399.4</v>
    <v>394.7</v>
    <v>394.05</v>
    <v>387.95</v>
    <v>391.4</v>
    <v>391.9</v>
    <v>391.65</v>
    <v>372.35</v>
    <v>385.05</v>
    <v>390.45</v>
    <v>394.55</v>
    <v>395</v>
    <v>401.15</v>
    <v>397.1</v>
    <v>403.1</v>
    <v>398.5</v>
    <v>397.45</v>
    <v>397.4</v>
    <v>380.95</v>
    <v>363.75</v>
    <v>374.3</v>
    <v>371.45</v>
    <v>370.9</v>
    <v>362.9</v>
    <v>363.05</v>
    <v>361.9</v>
    <v>359.25</v>
    <v>353.65</v>
    <v>352.05</v>
    <v>352.4</v>
    <v>350.2</v>
    <v>345.3</v>
    <v>347.7</v>
    <v>344.9</v>
    <v>348.4</v>
    <v>352</v>
    <v>350.85</v>
    <v>350</v>
    <v>351.25</v>
    <v>349.35</v>
    <v>357.15</v>
    <v>358.2</v>
    <v>350.8</v>
    <v>366.8</v>
    <v>360.95</v>
    <v>358.9</v>
    <v>356.8</v>
    <v>360.7</v>
    <v>358.3</v>
    <v>349.9</v>
    <v>356.75</v>
    <v>350.95</v>
    <v>345.15</v>
    <v>344.9</v>
    <v>375.85</v>
    <v>377.45</v>
    <v>373.8</v>
    <v>373.7</v>
    <v>365.6</v>
    <v>366.05</v>
    <v>359.7</v>
    <v>361.35</v>
    <v>373.4</v>
    <v>367</v>
    <v>363</v>
    <v>353.6</v>
    <v>358.85</v>
    <v>355.6</v>
    <v>358.9</v>
    <v>357.1</v>
    <v>357.85</v>
    <v>357.2</v>
    <v>360.2</v>
    <v>359.45</v>
    <v>361.65</v>
    <v>367.65</v>
    <v>368.7</v>
    <v>385.85</v>
    <v>386.65</v>
    <v>382.55</v>
    <v>379.4</v>
    <v>378.85</v>
    <v>370.45</v>
    <v>370.9</v>
    <v>375.5</v>
    <v>378.45</v>
    <v>384.55</v>
    <v>384.05</v>
    <v>383.3</v>
    <v>390.25</v>
    <v>385.85</v>
    <v>386.15</v>
    <v>382.15</v>
    <v>387.5</v>
    <v>380.1</v>
    <v>378.1</v>
    <v>376</v>
    <v>386.65</v>
    <v>387.95</v>
    <v>388</v>
    <v>387.05</v>
    <v>383.65</v>
    <v>380.35</v>
    <v>387.95</v>
    <v>382.45</v>
    <v>378</v>
    <v>388.35</v>
    <v>380.75</v>
    <v>379.65</v>
    <v>381</v>
    <v>381.8</v>
    <v>378.8</v>
    <v>378.6</v>
    <v>381.35</v>
    <v>381.75</v>
    <v>380.4</v>
    <v>378.75</v>
    <v>380.65</v>
    <v>368.85</v>
    <v>374.7</v>
    <v>375.55</v>
    <v>382.9</v>
    <v>383.5</v>
    <v>394</v>
    <v>386.95</v>
    <v>389.75</v>
    <v>387.5</v>
    <v>388.6</v>
    <v>390.4</v>
    <v>385.9</v>
    <v>388.5</v>
    <v>383.7</v>
    <v>380.45</v>
    <v>383.3</v>
    <v>379.5</v>
    <v>370</v>
    <v>375.4</v>
    <v>382.55</v>
    <v>385.8</v>
    <v>386.6</v>
    <v>392.5</v>
    <v>388.5</v>
    <v>387.2</v>
    <v>384.85</v>
    <v>388.5</v>
    <v>384.7</v>
    <v>379.35</v>
    <v>385</v>
    <v>378.5</v>
    <v>383.9</v>
    <v>384.65</v>
    <v>388.2</v>
    <v>381.7</v>
    <v>375.55</v>
    <v>379.85</v>
    <v>384.2</v>
    <v>381.2</v>
    <v>381.9</v>
    <v>380.1</v>
    <v>376.05</v>
    <v>383.8</v>
    <v>389.5</v>
    <v>380.5</v>
    <v>384.65</v>
    <v>381.85</v>
    <v>385</v>
    <v>380.75</v>
    <v>379.45</v>
    <v>371.75</v>
    <v>372.75</v>
    <v>373.45</v>
    <v>373.6</v>
    <v>374.4</v>
    <v>374.05</v>
    <v>381.2</v>
    <v>383.05</v>
    <v>387.15</v>
    <v>394.2</v>
    <v>406.85</v>
    <v>407.4</v>
    <v>403.6</v>
    <v>403.95</v>
    <v>405.7</v>
    <v>413</v>
    <v>436.3</v>
  </a>
  <a r="1" c="256">
    <v>375.25</v>
    <v>374.7</v>
    <v>375.65</v>
    <v>370.45</v>
    <v>368.3</v>
    <v>367.35</v>
    <v>362.65</v>
    <v>361.85</v>
    <v>364.05</v>
    <v>362.5</v>
    <v>354.25</v>
    <v>354.45</v>
    <v>353.95</v>
    <v>356.7</v>
    <v>356.9</v>
    <v>359.1</v>
    <v>359</v>
    <v>354.55</v>
    <v>351.75</v>
    <v>350.65</v>
    <v>352.15</v>
    <v>361.5</v>
    <v>365.3</v>
    <v>367.2</v>
    <v>373.9</v>
    <v>372.6</v>
    <v>375.6</v>
    <v>377.95</v>
    <v>371.75</v>
    <v>369.25</v>
    <v>368.8</v>
    <v>372.75</v>
    <v>365.35</v>
    <v>368.2</v>
    <v>370.8</v>
    <v>371.95</v>
    <v>370.05</v>
    <v>373.2</v>
    <v>373.7</v>
    <v>375.7</v>
    <v>375.9</v>
    <v>371</v>
    <v>366.45</v>
    <v>362.55</v>
    <v>363.8</v>
    <v>365.3</v>
    <v>366.95</v>
    <v>366.6</v>
    <v>364.7</v>
    <v>363.3</v>
    <v>368.7</v>
    <v>356</v>
    <v>362.9</v>
    <v>385.85</v>
    <v>392.4</v>
    <v>391.4</v>
    <v>391.45</v>
    <v>387.15</v>
    <v>384.85</v>
    <v>380.95</v>
    <v>384.35</v>
    <v>385.4</v>
    <v>387.25</v>
    <v>386.25</v>
    <v>384.9</v>
    <v>380</v>
    <v>380.45</v>
    <v>388.1</v>
    <v>387</v>
    <v>388.7</v>
    <v>386.45</v>
    <v>399.4</v>
    <v>394.7</v>
    <v>394.05</v>
    <v>387.95</v>
    <v>391.4</v>
    <v>391.9</v>
    <v>391.65</v>
    <v>372.35</v>
    <v>385.05</v>
    <v>390.45</v>
    <v>394.55</v>
    <v>395</v>
    <v>401.15</v>
    <v>397.1</v>
    <v>403.1</v>
    <v>398.5</v>
    <v>397.45</v>
    <v>397.4</v>
    <v>380.95</v>
    <v>363.75</v>
    <v>374.3</v>
    <v>371.45</v>
    <v>370.9</v>
    <v>362.9</v>
    <v>363.05</v>
    <v>361.9</v>
    <v>359.25</v>
    <v>353.65</v>
    <v>352.05</v>
    <v>352.4</v>
    <v>350.2</v>
    <v>345.3</v>
    <v>347.7</v>
    <v>344.9</v>
    <v>348.4</v>
    <v>352</v>
    <v>350.85</v>
    <v>350</v>
    <v>351.25</v>
    <v>349.35</v>
    <v>357.15</v>
    <v>358.2</v>
    <v>350.8</v>
    <v>366.8</v>
    <v>360.95</v>
    <v>358.9</v>
    <v>356.8</v>
    <v>360.7</v>
    <v>358.3</v>
    <v>349.9</v>
    <v>356.75</v>
    <v>350.95</v>
    <v>345.15</v>
    <v>344.9</v>
    <v>375.85</v>
    <v>377.45</v>
    <v>373.8</v>
    <v>373.7</v>
    <v>365.6</v>
    <v>366.05</v>
    <v>359.7</v>
    <v>361.35</v>
    <v>373.4</v>
    <v>367</v>
    <v>363</v>
    <v>353.6</v>
    <v>358.85</v>
    <v>355.6</v>
    <v>358.9</v>
    <v>357.1</v>
    <v>357.85</v>
    <v>357.2</v>
    <v>360.2</v>
    <v>359.45</v>
    <v>361.65</v>
    <v>367.65</v>
    <v>368.7</v>
    <v>385.85</v>
    <v>386.65</v>
    <v>382.55</v>
    <v>379.4</v>
    <v>378.85</v>
    <v>370.45</v>
    <v>370.9</v>
    <v>375.5</v>
    <v>378.45</v>
    <v>384.55</v>
    <v>384.05</v>
    <v>383.3</v>
    <v>390.25</v>
    <v>385.85</v>
    <v>386.15</v>
    <v>382.15</v>
    <v>387.5</v>
    <v>380.1</v>
    <v>378.1</v>
    <v>376</v>
    <v>386.65</v>
    <v>387.95</v>
    <v>388</v>
    <v>387.05</v>
    <v>383.65</v>
    <v>380.35</v>
    <v>387.95</v>
    <v>382.45</v>
    <v>378</v>
    <v>388.35</v>
    <v>380.75</v>
    <v>379.65</v>
    <v>381</v>
    <v>381.8</v>
    <v>378.8</v>
    <v>378.6</v>
    <v>381.35</v>
    <v>381.75</v>
    <v>380.4</v>
    <v>378.75</v>
    <v>380.65</v>
    <v>368.85</v>
    <v>374.7</v>
    <v>375.55</v>
    <v>382.9</v>
    <v>383.5</v>
    <v>394</v>
    <v>386.95</v>
    <v>389.75</v>
    <v>387.5</v>
    <v>388.6</v>
    <v>390.4</v>
    <v>385.9</v>
    <v>388.5</v>
    <v>383.7</v>
    <v>380.45</v>
    <v>383.3</v>
    <v>379.5</v>
    <v>370</v>
    <v>375.4</v>
    <v>382.55</v>
    <v>385.8</v>
    <v>386.6</v>
    <v>392.5</v>
    <v>388.5</v>
    <v>387.2</v>
    <v>384.85</v>
    <v>388.5</v>
    <v>384.7</v>
    <v>379.35</v>
    <v>385</v>
    <v>378.5</v>
    <v>383.9</v>
    <v>384.65</v>
    <v>388.2</v>
    <v>381.7</v>
    <v>375.55</v>
    <v>379.85</v>
    <v>384.2</v>
    <v>381.2</v>
    <v>381.9</v>
    <v>380.1</v>
    <v>376.05</v>
    <v>383.8</v>
    <v>389.5</v>
    <v>380.5</v>
    <v>384.65</v>
    <v>381.85</v>
    <v>385</v>
    <v>380.75</v>
    <v>379.45</v>
    <v>371.75</v>
    <v>372.75</v>
    <v>373.45</v>
    <v>373.6</v>
    <v>374.4</v>
    <v>374.05</v>
    <v>381.2</v>
    <v>383.05</v>
    <v>387.15</v>
    <v>394.2</v>
    <v>406.85</v>
    <v>407.4</v>
    <v>403.6</v>
    <v>403.95</v>
    <v>405.7</v>
    <v>413</v>
    <v>436.3</v>
  </a>
  <a r="1" c="767">
    <v>386.85</v>
    <v>394.1</v>
    <v>399.2</v>
    <v>393.15</v>
    <v>390.55</v>
    <v>392.05</v>
    <v>396.15</v>
    <v>397</v>
    <v>403.25</v>
    <v>403.7</v>
    <v>403.15</v>
    <v>405.45</v>
    <v>415.45</v>
    <v>419</v>
    <v>414.25</v>
    <v>414.65</v>
    <v>424.6</v>
    <v>423.9</v>
    <v>421</v>
    <v>423.95</v>
    <v>421.75</v>
    <v>425.65</v>
    <v>429.65</v>
    <v>429.25</v>
    <v>431.45</v>
    <v>432.95</v>
    <v>430.7</v>
    <v>431.85</v>
    <v>431.05</v>
    <v>436.15</v>
    <v>436.9</v>
    <v>439.75</v>
    <v>441.4</v>
    <v>438.75</v>
    <v>441.95</v>
    <v>443.85</v>
    <v>444.7</v>
    <v>445.45</v>
    <v>443.55</v>
    <v>446.55</v>
    <v>447.45</v>
    <v>450.75</v>
    <v>449.25</v>
    <v>448.2</v>
    <v>447.55</v>
    <v>448.7</v>
    <v>451.3</v>
    <v>450.65</v>
    <v>443.8</v>
    <v>438.8</v>
    <v>437.35</v>
    <v>434.25</v>
    <v>438.45</v>
    <v>440.5</v>
    <v>440</v>
    <v>441.5</v>
    <v>445.4</v>
    <v>424.2</v>
    <v>424.8</v>
    <v>422.1</v>
    <v>426.2</v>
    <v>426.2</v>
    <v>424.75</v>
    <v>426.5</v>
    <v>429</v>
    <v>432.4</v>
    <v>445.1</v>
    <v>444.65</v>
    <v>446.3</v>
    <v>444.7</v>
    <v>449.35</v>
    <v>447.65</v>
    <v>455.75</v>
    <v>453.95</v>
    <v>452.2</v>
    <v>453.15</v>
    <v>418.8</v>
    <v>428.65</v>
    <v>428</v>
    <v>431.3</v>
    <v>437.75</v>
    <v>442.4</v>
    <v>441.3</v>
    <v>443.6</v>
    <v>444.55</v>
    <v>451.15</v>
    <v>450.2</v>
    <v>450.65</v>
    <v>451.35</v>
    <v>446.55</v>
    <v>441.7</v>
    <v>441.95</v>
    <v>443.6</v>
    <v>438.35</v>
    <v>438.15</v>
    <v>445.35</v>
    <v>449</v>
    <v>448.25</v>
    <v>450.6</v>
    <v>454.2</v>
    <v>451.25</v>
    <v>446.15</v>
    <v>441.55</v>
    <v>441.2</v>
    <v>436.75</v>
    <v>434.95</v>
    <v>432.65</v>
    <v>435.45</v>
    <v>433.95</v>
    <v>439</v>
    <v>438.65</v>
    <v>430.95</v>
    <v>421.35</v>
    <v>420.45</v>
    <v>412.7</v>
    <v>411.2</v>
    <v>415.5</v>
    <v>415</v>
    <v>418.85</v>
    <v>414.5</v>
    <v>415.45</v>
    <v>415.1</v>
    <v>418.25</v>
    <v>423.6</v>
    <v>444.95</v>
    <v>441</v>
    <v>440.7</v>
    <v>440.25</v>
    <v>435.75</v>
    <v>435.65</v>
    <v>436.5</v>
    <v>439.65</v>
    <v>436.7</v>
    <v>440.9</v>
    <v>443</v>
    <v>444.9</v>
    <v>447.05</v>
    <v>453.85</v>
    <v>453.45</v>
    <v>455.55</v>
    <v>456.9</v>
    <v>456.8</v>
    <v>453.5</v>
    <v>447.6</v>
    <v>448.9</v>
    <v>447.55</v>
    <v>453.4</v>
    <v>450.95</v>
    <v>447.35</v>
    <v>449.35</v>
    <v>445.65</v>
    <v>440.3</v>
    <v>444.7</v>
    <v>452.1</v>
    <v>449.25</v>
    <v>452.1</v>
    <v>455.6</v>
    <v>456.15</v>
    <v>455.35</v>
    <v>452.55</v>
    <v>451.4</v>
    <v>455.35</v>
    <v>450.9</v>
    <v>440.45</v>
    <v>446.9</v>
    <v>441.55</v>
    <v>436.65</v>
    <v>442.65</v>
    <v>440.65</v>
    <v>442.1</v>
    <v>436.5</v>
    <v>437.6</v>
    <v>422.85</v>
    <v>410.05</v>
    <v>412.25</v>
    <v>405.65</v>
    <v>405.45</v>
    <v>408</v>
    <v>410.05</v>
    <v>405.45</v>
    <v>400.05</v>
    <v>403.4</v>
    <v>405.5</v>
    <v>412.6</v>
    <v>406.3</v>
    <v>400</v>
    <v>403.55</v>
    <v>406.2</v>
    <v>404.45</v>
    <v>409.35</v>
    <v>404.7</v>
    <v>398.25</v>
    <v>392.35</v>
    <v>398.8</v>
    <v>392.6</v>
    <v>392.3</v>
    <v>400.65</v>
    <v>387.85</v>
    <v>381.05</v>
    <v>384.95</v>
    <v>385.25</v>
    <v>391</v>
    <v>386</v>
    <v>382.75</v>
    <v>376.65</v>
    <v>376.8</v>
    <v>380.55</v>
    <v>384.2</v>
    <v>385.35</v>
    <v>385.7</v>
    <v>385.1</v>
    <v>390.5</v>
    <v>392.25</v>
    <v>394.4</v>
    <v>395.3</v>
    <v>392.25</v>
    <v>391.4</v>
    <v>398.55</v>
    <v>396.6</v>
    <v>395.35</v>
    <v>397.5</v>
    <v>391.45</v>
    <v>387.55</v>
    <v>382.8</v>
    <v>383.55</v>
    <v>376.55</v>
    <v>367.7</v>
    <v>365.2</v>
    <v>366.65</v>
    <v>365.9</v>
    <v>368.35</v>
    <v>365.8</v>
    <v>379</v>
    <v>370.5</v>
    <v>367.8</v>
    <v>383.3</v>
    <v>382.05</v>
    <v>408.65</v>
    <v>405.95</v>
    <v>402.05</v>
    <v>391.6</v>
    <v>394.3</v>
    <v>389.7</v>
    <v>393.35</v>
    <v>394.55</v>
    <v>386.9</v>
    <v>390</v>
    <v>390</v>
    <v>394.6</v>
    <v>391.55</v>
    <v>376.4</v>
    <v>368.2</v>
    <v>372.15</v>
    <v>372.7</v>
    <v>363.7</v>
    <v>367.25</v>
    <v>358.1</v>
    <v>358.7</v>
    <v>355.65</v>
    <v>359.55</v>
    <v>355.6</v>
    <v>348.7</v>
    <v>344.25</v>
    <v>346.5</v>
    <v>344.4</v>
    <v>347.3</v>
    <v>337.7</v>
    <v>345.95</v>
    <v>334.7</v>
    <v>337</v>
    <v>329</v>
    <v>326.95</v>
    <v>329.8</v>
    <v>327.2</v>
    <v>324.89999999999998</v>
    <v>321.95</v>
    <v>320.2</v>
    <v>322.89999999999998</v>
    <v>329.05</v>
    <v>333.7</v>
    <v>332.45</v>
    <v>332.85</v>
    <v>328.9</v>
    <v>328.65</v>
    <v>333.5</v>
    <v>329.6</v>
    <v>333.25</v>
    <v>336.15</v>
    <v>343.6</v>
    <v>349.7</v>
    <v>345.25</v>
    <v>341.5</v>
    <v>344.5</v>
    <v>343.35</v>
    <v>341.6</v>
    <v>344.85</v>
    <v>342</v>
    <v>339.35</v>
    <v>336.95</v>
    <v>338.05</v>
    <v>339.85</v>
    <v>344.5</v>
    <v>337.4</v>
    <v>341.85</v>
    <v>338.1</v>
    <v>332</v>
    <v>338</v>
    <v>336.25</v>
    <v>331.45</v>
    <v>331.9</v>
    <v>327.39999999999998</v>
    <v>328.4</v>
    <v>326.64999999999998</v>
    <v>329.5</v>
    <v>338.9</v>
    <v>343.45</v>
    <v>340.8</v>
    <v>341.2</v>
    <v>349.65</v>
    <v>354.55</v>
    <v>358.45</v>
    <v>363.15</v>
    <v>367.6</v>
    <v>356.35</v>
    <v>363.55</v>
    <v>358.5</v>
    <v>353.85</v>
    <v>350.65</v>
    <v>345.6</v>
    <v>353.1</v>
    <v>340.6</v>
    <v>342.45</v>
    <v>341.35</v>
    <v>333.95</v>
    <v>342.25</v>
    <v>343.35</v>
    <v>343</v>
    <v>341.8</v>
    <v>333.95</v>
    <v>337.9</v>
    <v>346.1</v>
    <v>347.75</v>
    <v>347.75</v>
    <v>350.55</v>
    <v>350.1</v>
    <v>353</v>
    <v>359.05</v>
    <v>358</v>
    <v>364.4</v>
    <v>365.8</v>
    <v>359.55</v>
    <v>364.5</v>
    <v>356.25</v>
    <v>350</v>
    <v>354.85</v>
    <v>366.9</v>
    <v>363.45</v>
    <v>360.25</v>
    <v>361.85</v>
    <v>360.6</v>
    <v>352.75</v>
    <v>349.2</v>
    <v>348.2</v>
    <v>342.75</v>
    <v>342</v>
    <v>345.1</v>
    <v>342.85</v>
    <v>353.1</v>
    <v>356.25</v>
    <v>350.9</v>
    <v>349.7</v>
    <v>335.85</v>
    <v>343.6</v>
    <v>335.6</v>
    <v>347.05</v>
    <v>347.6</v>
    <v>350.8</v>
    <v>343.8</v>
    <v>341.6</v>
    <v>341.85</v>
    <v>363.4</v>
    <v>374.5</v>
    <v>380.8</v>
    <v>374.2</v>
    <v>379.2</v>
    <v>388</v>
    <v>387</v>
    <v>393.3</v>
    <v>389.85</v>
    <v>381.1</v>
    <v>374.4</v>
    <v>375.35</v>
    <v>383.2</v>
    <v>394.55</v>
    <v>385.15</v>
    <v>372.6</v>
    <v>376.9</v>
    <v>373.85</v>
    <v>378.55</v>
    <v>381.05</v>
    <v>385.45</v>
    <v>379.75</v>
    <v>372.95</v>
    <v>374.05</v>
    <v>373.4</v>
    <v>366.45</v>
    <v>366.1</v>
    <v>372.4</v>
    <v>371.05</v>
    <v>374.7</v>
    <v>384.85</v>
    <v>382.25</v>
    <v>381.35</v>
    <v>378.9</v>
    <v>382.3</v>
    <v>378.3</v>
    <v>375.75</v>
    <v>371.05</v>
    <v>370.2</v>
    <v>369</v>
    <v>370</v>
    <v>363.6</v>
    <v>364.95</v>
    <v>359</v>
    <v>363.55</v>
    <v>356.1</v>
    <v>349.75</v>
    <v>355.15</v>
    <v>363.1</v>
    <v>372.85</v>
    <v>372.85</v>
    <v>372.85</v>
    <v>369.95</v>
    <v>372.75</v>
    <v>374</v>
    <v>374.35</v>
    <v>382.25</v>
    <v>373.85</v>
    <v>373.1</v>
    <v>367.6</v>
    <v>364</v>
    <v>364.05</v>
    <v>362.55</v>
    <v>362.7</v>
    <v>367.95</v>
    <v>374.95</v>
    <v>373.65</v>
    <v>374.7</v>
    <v>373.6</v>
    <v>373.6</v>
    <v>388.55</v>
    <v>389.35</v>
    <v>376.1</v>
    <v>379.85</v>
    <v>373.3</v>
    <v>374.65</v>
    <v>382.15</v>
    <v>384.35</v>
    <v>380.4</v>
    <v>379.35</v>
    <v>388.15</v>
    <v>388.75</v>
    <v>392.9</v>
    <v>393.3</v>
    <v>400</v>
    <v>406.7</v>
    <v>400.7</v>
    <v>399</v>
    <v>397.1</v>
    <v>396.7</v>
    <v>401.25</v>
    <v>402.35</v>
    <v>397.9</v>
    <v>396.95</v>
    <v>396.8</v>
    <v>399.6</v>
    <v>404.4</v>
    <v>402.65</v>
    <v>402.15</v>
    <v>396.35</v>
    <v>388.15</v>
    <v>383.85</v>
    <v>381.05</v>
    <v>388.6</v>
    <v>377.35</v>
    <v>377.15</v>
    <v>378.2</v>
    <v>369.65</v>
    <v>362</v>
    <v>374.7</v>
    <v>367.1</v>
    <v>366.1</v>
    <v>366.9</v>
    <v>365.05</v>
    <v>368.5</v>
    <v>366.35</v>
    <v>374.2</v>
    <v>376.55</v>
    <v>374</v>
    <v>379.25</v>
    <v>383.1</v>
    <v>376.15</v>
    <v>369.65</v>
    <v>370</v>
    <v>368.5</v>
    <v>380.05</v>
    <v>386.35</v>
    <v>390.65</v>
    <v>395.35</v>
    <v>398</v>
    <v>371.35</v>
    <v>375.25</v>
    <v>374.7</v>
    <v>375.65</v>
    <v>370.45</v>
    <v>368.3</v>
    <v>367.35</v>
    <v>362.65</v>
    <v>361.85</v>
    <v>364.05</v>
    <v>362.5</v>
    <v>354.25</v>
    <v>354.45</v>
    <v>353.95</v>
    <v>356.7</v>
    <v>356.9</v>
    <v>359.1</v>
    <v>359</v>
    <v>354.55</v>
    <v>351.75</v>
    <v>350.65</v>
    <v>352.15</v>
    <v>361.5</v>
    <v>365.3</v>
    <v>367.2</v>
    <v>373.9</v>
    <v>372.6</v>
    <v>375.6</v>
    <v>377.95</v>
    <v>371.75</v>
    <v>369.25</v>
    <v>368.8</v>
    <v>372.75</v>
    <v>365.35</v>
    <v>368.2</v>
    <v>370.8</v>
    <v>371.95</v>
    <v>370.05</v>
    <v>373.2</v>
    <v>373.7</v>
    <v>375.7</v>
    <v>375.9</v>
    <v>371</v>
    <v>366.45</v>
    <v>362.55</v>
    <v>363.8</v>
    <v>365.3</v>
    <v>366.95</v>
    <v>366.6</v>
    <v>364.7</v>
    <v>363.3</v>
    <v>368.7</v>
    <v>356</v>
    <v>362.9</v>
    <v>385.85</v>
    <v>392.4</v>
    <v>391.4</v>
    <v>391.45</v>
    <v>387.15</v>
    <v>384.85</v>
    <v>380.95</v>
    <v>384.35</v>
    <v>385.4</v>
    <v>387.25</v>
    <v>386.25</v>
    <v>384.9</v>
    <v>380</v>
    <v>380.45</v>
    <v>388.1</v>
    <v>387</v>
    <v>388.7</v>
    <v>386.45</v>
    <v>399.4</v>
    <v>394.7</v>
    <v>394.05</v>
    <v>387.95</v>
    <v>391.4</v>
    <v>391.9</v>
    <v>391.65</v>
    <v>372.35</v>
    <v>385.05</v>
    <v>390.45</v>
    <v>394.55</v>
    <v>395</v>
    <v>401.15</v>
    <v>397.1</v>
    <v>403.1</v>
    <v>398.5</v>
    <v>397.45</v>
    <v>397.4</v>
    <v>380.95</v>
    <v>363.75</v>
    <v>374.3</v>
    <v>371.45</v>
    <v>370.9</v>
    <v>362.9</v>
    <v>363.05</v>
    <v>361.9</v>
    <v>359.25</v>
    <v>353.65</v>
    <v>352.05</v>
    <v>352.4</v>
    <v>350.2</v>
    <v>345.3</v>
    <v>347.7</v>
    <v>344.9</v>
    <v>348.4</v>
    <v>352</v>
    <v>350.85</v>
    <v>350</v>
    <v>351.25</v>
    <v>349.35</v>
    <v>357.15</v>
    <v>358.2</v>
    <v>350.8</v>
    <v>366.8</v>
    <v>360.95</v>
    <v>358.9</v>
    <v>356.8</v>
    <v>360.7</v>
    <v>358.3</v>
    <v>349.9</v>
    <v>356.75</v>
    <v>350.95</v>
    <v>345.15</v>
    <v>344.9</v>
    <v>375.85</v>
    <v>377.45</v>
    <v>373.8</v>
    <v>373.7</v>
    <v>365.6</v>
    <v>366.05</v>
    <v>359.7</v>
    <v>361.35</v>
    <v>373.4</v>
    <v>367</v>
    <v>363</v>
    <v>353.6</v>
    <v>358.85</v>
    <v>355.6</v>
    <v>358.9</v>
    <v>357.1</v>
    <v>357.85</v>
    <v>357.2</v>
    <v>360.2</v>
    <v>359.45</v>
    <v>361.65</v>
    <v>367.65</v>
    <v>368.7</v>
    <v>385.85</v>
    <v>386.65</v>
    <v>382.55</v>
    <v>379.4</v>
    <v>378.85</v>
    <v>370.45</v>
    <v>370.9</v>
    <v>375.5</v>
    <v>378.45</v>
    <v>384.55</v>
    <v>384.05</v>
    <v>383.3</v>
    <v>390.25</v>
    <v>385.85</v>
    <v>386.15</v>
    <v>382.15</v>
    <v>387.5</v>
    <v>380.1</v>
    <v>378.1</v>
    <v>376</v>
    <v>386.65</v>
    <v>387.95</v>
    <v>388</v>
    <v>387.05</v>
    <v>383.65</v>
    <v>380.35</v>
    <v>387.95</v>
    <v>382.45</v>
    <v>378</v>
    <v>388.35</v>
    <v>380.75</v>
    <v>379.65</v>
    <v>381</v>
    <v>381.8</v>
    <v>378.8</v>
    <v>378.6</v>
    <v>381.35</v>
    <v>381.75</v>
    <v>380.4</v>
    <v>378.75</v>
    <v>380.65</v>
    <v>368.85</v>
    <v>374.7</v>
    <v>375.55</v>
    <v>382.9</v>
    <v>383.5</v>
    <v>394</v>
    <v>386.95</v>
    <v>389.75</v>
    <v>387.5</v>
    <v>388.6</v>
    <v>390.4</v>
    <v>385.9</v>
    <v>388.5</v>
    <v>383.7</v>
    <v>380.45</v>
    <v>383.3</v>
    <v>379.5</v>
    <v>370</v>
    <v>375.4</v>
    <v>382.55</v>
    <v>385.8</v>
    <v>386.6</v>
    <v>392.5</v>
    <v>388.5</v>
    <v>387.2</v>
    <v>384.85</v>
    <v>388.5</v>
    <v>384.7</v>
    <v>379.35</v>
    <v>385</v>
    <v>378.5</v>
    <v>383.9</v>
    <v>384.65</v>
    <v>388.2</v>
    <v>381.7</v>
    <v>375.55</v>
    <v>379.85</v>
    <v>384.2</v>
    <v>381.2</v>
    <v>381.9</v>
    <v>380.1</v>
    <v>376.05</v>
    <v>383.8</v>
    <v>389.5</v>
    <v>380.5</v>
    <v>384.65</v>
    <v>381.85</v>
    <v>385</v>
    <v>380.75</v>
    <v>379.45</v>
    <v>371.75</v>
    <v>372.75</v>
    <v>373.45</v>
    <v>373.6</v>
    <v>374.4</v>
    <v>374.05</v>
    <v>381.2</v>
    <v>383.05</v>
    <v>387.15</v>
    <v>394.2</v>
    <v>406.85</v>
    <v>407.4</v>
    <v>403.6</v>
    <v>403.95</v>
    <v>405.7</v>
    <v>413</v>
    <v>436.3</v>
  </a>
  <a r="1" c="205">
    <v>125.88</v>
    <v>127.8</v>
    <v>124.01</v>
    <v>123.93</v>
    <v>120.07</v>
    <v>118.5</v>
    <v>120.62</v>
    <v>120.47</v>
    <v>119.66</v>
    <v>118.69</v>
    <v>119.66</v>
    <v>120.53</v>
    <v>111.07</v>
    <v>113.26</v>
    <v>117.17</v>
    <v>115.43</v>
    <v>115.93</v>
    <v>114.66</v>
    <v>117.32</v>
    <v>118.49</v>
    <v>114.44</v>
    <v>119.16</v>
    <v>117.15</v>
    <v>122.04</v>
    <v>115.39</v>
    <v>121.05</v>
    <v>120.91</v>
    <v>126.01</v>
    <v>124.16</v>
    <v>112.82</v>
    <v>117.49</v>
    <v>116.09</v>
    <v>116.78</v>
    <v>119.06</v>
    <v>122.27</v>
    <v>119.14</v>
    <v>119.78</v>
    <v>123.48</v>
    <v>121.45</v>
    <v>148.08000000000001</v>
    <v>153.55000000000001</v>
    <v>145.18</v>
    <v>147.1</v>
    <v>146.52000000000001</v>
    <v>146.47999999999999</v>
    <v>146.51</v>
    <v>143.80000000000001</v>
    <v>147.37</v>
    <v>149.91</v>
    <v>151.62</v>
    <v>156.54</v>
    <v>153.01</v>
    <v>149.21</v>
    <v>156.76</v>
    <v>157.66999999999999</v>
    <v>164.59</v>
    <v>176.91</v>
    <v>184.01</v>
    <v>175.82</v>
    <v>171.81</v>
    <v>164.66</v>
    <v>164.13</v>
    <v>169.38</v>
    <v>174.37</v>
    <v>173.18</v>
    <v>177.69</v>
    <v>185.47</v>
    <v>181.46</v>
    <v>177.8</v>
    <v>189.79</v>
    <v>184.51</v>
    <v>177.28</v>
    <v>193.09</v>
    <v>196.55</v>
    <v>204.24</v>
    <v>212.36</v>
    <v>214.65</v>
    <v>212.14</v>
    <v>216.09</v>
    <v>215.97</v>
    <v>205.93</v>
    <v>205.66</v>
    <v>208.95</v>
    <v>210.17</v>
    <v>211.64</v>
    <v>216.32</v>
    <v>238.8</v>
    <v>230.27</v>
    <v>260.45999999999998</v>
    <v>247.04</v>
    <v>238.94</v>
    <v>243.87</v>
    <v>247.89</v>
    <v>241.99</v>
    <v>238.03</v>
    <v>235.26</v>
    <v>242.93</v>
    <v>252.8</v>
    <v>295.19</v>
    <v>305.08</v>
    <v>305.32</v>
    <v>317.05</v>
    <v>420.91</v>
    <v>465.96</v>
    <v>435.31</v>
    <v>421.08</v>
    <v>422.05</v>
    <v>394.39</v>
    <v>400.77</v>
    <v>381.78</v>
    <v>369.83</v>
    <v>391.45</v>
    <v>395.57</v>
    <v>409.07</v>
    <v>404.08</v>
    <v>419.32</v>
    <v>409.5</v>
    <v>418.71</v>
    <v>427.78</v>
    <v>434.06</v>
    <v>409.45</v>
    <v>399.49</v>
    <v>414.61</v>
    <v>431.46</v>
    <v>425.25</v>
    <v>394.32</v>
    <v>411.8</v>
    <v>417.28</v>
    <v>431.97</v>
    <v>450.22</v>
    <v>434.97</v>
    <v>427.11</v>
    <v>457.54</v>
    <v>412.68</v>
    <v>391.38</v>
    <v>396.34</v>
    <v>381.88</v>
    <v>404.15</v>
    <v>441.8</v>
    <v>439.34</v>
    <v>437.5</v>
    <v>426.91</v>
    <v>392.1</v>
    <v>369.64</v>
    <v>404.81</v>
    <v>405.37</v>
    <v>429.02</v>
    <v>467.27</v>
    <v>462.7</v>
    <v>437.65</v>
    <v>453.77</v>
    <v>457.88</v>
    <v>440.97</v>
    <v>484.5</v>
    <v>494.51</v>
    <v>490.81</v>
    <v>479.81</v>
    <v>468.65</v>
    <v>437.55</v>
    <v>434.78</v>
    <v>442.08</v>
    <v>433.19</v>
    <v>451.5</v>
    <v>463.82</v>
    <v>472.26</v>
    <v>456.24</v>
    <v>456.01</v>
    <v>425</v>
    <v>492.2</v>
    <v>516.39</v>
    <v>524.14</v>
    <v>533.88</v>
    <v>535.25</v>
    <v>506.62</v>
    <v>567.29</v>
    <v>534.28</v>
    <v>543.51</v>
    <v>563.29</v>
    <v>588.4</v>
    <v>568.05999999999995</v>
    <v>575.30999999999995</v>
    <v>548.91999999999996</v>
    <v>549.83000000000004</v>
    <v>536.02</v>
    <v>562.89</v>
    <v>543.42999999999995</v>
    <v>539.59</v>
    <v>537.95000000000005</v>
    <v>541.74</v>
    <v>562.52</v>
    <v>552.29</v>
    <v>574</v>
    <v>578.96</v>
    <v>574.54999999999995</v>
    <v>586.05999999999995</v>
    <v>576.76</v>
    <v>572.47</v>
    <v>507.93</v>
    <v>473.39</v>
    <v>451.71</v>
    <v>455.44</v>
    <v>461.56</v>
    <v>485.88</v>
    <v>452.95</v>
    <v>456.44</v>
  </a>
  <a r="1" c="754">
    <v>65.540000000000006</v>
    <v>66.95</v>
    <v>66.34</v>
    <v>64.510000000000005</v>
    <v>65.959999999999994</v>
    <v>66.430000000000007</v>
    <v>66.91</v>
    <v>68.67</v>
    <v>68.650000000000006</v>
    <v>69.510000000000005</v>
    <v>71.97</v>
    <v>71.61</v>
    <v>72.48</v>
    <v>72.239999999999995</v>
    <v>73.5</v>
    <v>73.77</v>
    <v>73.89</v>
    <v>72.94</v>
    <v>72.540000000000006</v>
    <v>73.599999999999994</v>
    <v>73.36</v>
    <v>73.62</v>
    <v>74.680000000000007</v>
    <v>74.41</v>
    <v>74.459999999999994</v>
    <v>74.03</v>
    <v>75.06</v>
    <v>75.87</v>
    <v>71.930000000000007</v>
    <v>69.319999999999993</v>
    <v>69.290000000000006</v>
    <v>67.63</v>
    <v>68.59</v>
    <v>68.7</v>
    <v>69.239999999999995</v>
    <v>69.989999999999995</v>
    <v>69.87</v>
    <v>72.430000000000007</v>
    <v>71.62</v>
    <v>73.37</v>
    <v>73.53</v>
    <v>72.42</v>
    <v>75.319999999999993</v>
    <v>75.709999999999994</v>
    <v>77</v>
    <v>77.260000000000005</v>
    <v>76.680000000000007</v>
    <v>76.5</v>
    <v>74.790000000000006</v>
    <v>76.599999999999994</v>
    <v>75.97</v>
    <v>75.84</v>
    <v>79.36</v>
    <v>77.11</v>
    <v>78.25</v>
    <v>79.709999999999994</v>
    <v>79.31</v>
    <v>79.52</v>
    <v>77.66</v>
    <v>78.41</v>
    <v>83.19</v>
    <v>81.14</v>
    <v>82.43</v>
    <v>83.71</v>
    <v>83.04</v>
    <v>84.22</v>
    <v>83.41</v>
    <v>84.8</v>
    <v>82.88</v>
    <v>85.78</v>
    <v>86.32</v>
    <v>85.71</v>
    <v>82.68</v>
    <v>83.74</v>
    <v>84.8</v>
    <v>86.2</v>
    <v>86.62</v>
    <v>83.98</v>
    <v>86.04</v>
    <v>82.72</v>
    <v>84.21</v>
    <v>82.46</v>
    <v>81.39</v>
    <v>87.79</v>
    <v>90.35</v>
    <v>92.77</v>
    <v>91.56</v>
    <v>93.25</v>
    <v>94.66</v>
    <v>124.59</v>
    <v>121.78</v>
    <v>117.75</v>
    <v>118.5</v>
    <v>120.5</v>
    <v>116.25</v>
    <v>115.86</v>
    <v>113.55</v>
    <v>110</v>
    <v>106.45</v>
    <v>107</v>
    <v>106.63</v>
    <v>107.52</v>
    <v>111.07</v>
    <v>114.04</v>
    <v>112.24</v>
    <v>113</v>
    <v>114.65</v>
    <v>111.68</v>
    <v>114.11</v>
    <v>119.64</v>
    <v>118.44</v>
    <v>128.58000000000001</v>
    <v>127.16</v>
    <v>132.72</v>
    <v>127.15</v>
    <v>123.73</v>
    <v>123.37</v>
    <v>124.04</v>
    <v>117.76</v>
    <v>117.81</v>
    <v>121.08</v>
    <v>119.62</v>
    <v>118.37</v>
    <v>114.87</v>
    <v>115.54</v>
    <v>120.63</v>
    <v>120.2</v>
    <v>124.91</v>
    <v>125.06</v>
    <v>127.7</v>
    <v>124.64</v>
    <v>118.78</v>
    <v>123.39</v>
    <v>125.1</v>
    <v>129.33000000000001</v>
    <v>127.55</v>
    <v>131.61000000000001</v>
    <v>131.68</v>
    <v>132.77000000000001</v>
    <v>131.01</v>
    <v>134.12</v>
    <v>149.16</v>
    <v>146.30000000000001</v>
    <v>149.52000000000001</v>
    <v>145.44999999999999</v>
    <v>147.24</v>
    <v>147.78</v>
    <v>153.57</v>
    <v>160.18</v>
    <v>166.08</v>
    <v>179.21</v>
    <v>169.92</v>
    <v>139.56</v>
    <v>132.03</v>
    <v>135.76</v>
    <v>137.66</v>
    <v>133.96</v>
    <v>129.97</v>
    <v>132.44999999999999</v>
    <v>131.63999999999999</v>
    <v>131.81</v>
    <v>135.02000000000001</v>
    <v>134.97999999999999</v>
    <v>142.03</v>
    <v>149.15</v>
    <v>148.52000000000001</v>
    <v>145.06</v>
    <v>137.56</v>
    <v>140.35</v>
    <v>138.24</v>
    <v>139.43</v>
    <v>137.91</v>
    <v>142.82</v>
    <v>143.47</v>
    <v>142.66999999999999</v>
    <v>138.96</v>
    <v>145.97</v>
    <v>145.74</v>
    <v>145.77000000000001</v>
    <v>140.72</v>
    <v>139.57</v>
    <v>137.22</v>
    <v>134.26</v>
    <v>125.17</v>
    <v>125.34</v>
    <v>125.79</v>
    <v>128.74</v>
    <v>125.85</v>
    <v>116.12</v>
    <v>111.43</v>
    <v>113.56</v>
    <v>111.2</v>
    <v>108.61</v>
    <v>113.68</v>
    <v>108.43</v>
    <v>102.29</v>
    <v>98.18</v>
    <v>94.67</v>
    <v>87.89</v>
    <v>91.46</v>
    <v>92.55</v>
    <v>95.27</v>
    <v>99.94</v>
    <v>102.95</v>
    <v>110.21</v>
    <v>111.3</v>
    <v>111.87</v>
    <v>110.71</v>
    <v>111.7</v>
    <v>108.98</v>
    <v>112.01</v>
    <v>111.67</v>
    <v>111.86</v>
    <v>111.56</v>
    <v>110.74</v>
    <v>115.54</v>
    <v>110.77</v>
    <v>109.06</v>
    <v>107.16</v>
    <v>102</v>
    <v>105.89</v>
    <v>106.64</v>
    <v>108.8</v>
    <v>112.15</v>
    <v>114.3</v>
    <v>115.4</v>
    <v>116.82</v>
    <v>115.99</v>
    <v>117.77</v>
    <v>117.5</v>
    <v>117.57</v>
    <v>117.31</v>
    <v>120.17</v>
    <v>126.49</v>
    <v>120.22</v>
    <v>118.54</v>
    <v>113.16</v>
    <v>113.46</v>
    <v>115.67</v>
    <v>120.42</v>
    <v>119.09</v>
    <v>121.93</v>
    <v>122.34</v>
    <v>124.8</v>
    <v>127.73</v>
    <v>128.35</v>
    <v>125.83</v>
    <v>126.73</v>
    <v>129.18</v>
    <v>126.46</v>
    <v>125.66</v>
    <v>120.4</v>
    <v>119.49</v>
    <v>120.57</v>
    <v>122.55</v>
    <v>120.66</v>
    <v>121.63</v>
    <v>129.4</v>
    <v>123.63</v>
    <v>130.87</v>
    <v>129.85</v>
    <v>133.46</v>
    <v>138.35</v>
    <v>137.87</v>
    <v>134.22999999999999</v>
    <v>138.51</v>
    <v>136.47</v>
    <v>134.53</v>
    <v>134.43</v>
    <v>131.63999999999999</v>
    <v>136.01</v>
    <v>135.9</v>
    <v>133.96</v>
    <v>138.91999999999999</v>
    <v>144.21</v>
    <v>144.16</v>
    <v>141.74</v>
    <v>124.38</v>
    <v>127.59</v>
    <v>125.84</v>
    <v>125.56</v>
    <v>126.1</v>
    <v>125.07</v>
    <v>123.4</v>
    <v>123.81</v>
    <v>116.79</v>
    <v>118.69</v>
    <v>119.18</v>
    <v>118.45</v>
    <v>119.27</v>
    <v>118.28</v>
    <v>112.67</v>
    <v>111.96</v>
    <v>115.77</v>
    <v>118.82</v>
    <v>118.94</v>
    <v>119.28</v>
    <v>117.33</v>
    <v>114.82</v>
    <v>115.24</v>
    <v>116.53</v>
    <v>119.91</v>
    <v>124.66</v>
    <v>121.27</v>
    <v>119.31</v>
    <v>114.77</v>
    <v>110.17</v>
    <v>109.06</v>
    <v>109.23</v>
    <v>110.11</v>
    <v>109.64</v>
    <v>111.55</v>
    <v>115.12</v>
    <v>114.22</v>
    <v>113.73</v>
    <v>103.84</v>
    <v>101.29</v>
    <v>103.1</v>
    <v>105.35</v>
    <v>103.6</v>
    <v>100.09</v>
    <v>101.67</v>
    <v>104.45</v>
    <v>105.92</v>
    <v>106.37</v>
    <v>112.31</v>
    <v>111.44</v>
    <v>112.92</v>
    <v>110.26</v>
    <v>114.38</v>
    <v>120.34</v>
    <v>120.96</v>
    <v>119.89</v>
    <v>117.6</v>
    <v>114.14</v>
    <v>110.65</v>
    <v>115.65</v>
    <v>107.83</v>
    <v>102.76</v>
    <v>95.56</v>
    <v>94.07</v>
    <v>97.25</v>
    <v>93.02</v>
    <v>91.46</v>
    <v>90.34</v>
    <v>91.57</v>
    <v>94.58</v>
    <v>92.45</v>
    <v>95.67</v>
    <v>97.66</v>
    <v>96.44</v>
    <v>98.72</v>
    <v>98.92</v>
    <v>97.57</v>
    <v>99.81</v>
    <v>98.86</v>
    <v>96.26</v>
    <v>97.1</v>
    <v>92.29</v>
    <v>91.15</v>
    <v>91.96</v>
    <v>95.33</v>
    <v>77.23</v>
    <v>71.63</v>
    <v>75</v>
    <v>72.59</v>
    <v>84.19</v>
    <v>78.94</v>
    <v>81.93</v>
    <v>85.19</v>
    <v>85.49</v>
    <v>83.36</v>
    <v>84.8</v>
    <v>82.39</v>
    <v>84.08</v>
    <v>89.16</v>
    <v>94.4</v>
    <v>94.89</v>
    <v>94.47</v>
    <v>93.78</v>
    <v>91.76</v>
    <v>91.95</v>
    <v>94.59</v>
    <v>94.36</v>
    <v>93.95</v>
    <v>95.79</v>
    <v>96.22</v>
    <v>95.91</v>
    <v>103.42</v>
    <v>107.85</v>
    <v>111.02</v>
    <v>110.87</v>
    <v>114.19</v>
    <v>114.28</v>
    <v>114.23</v>
    <v>111.93</v>
    <v>111.95</v>
    <v>112.11</v>
    <v>113.99</v>
    <v>113.77</v>
    <v>113.63</v>
    <v>111.27</v>
    <v>108.08</v>
    <v>111.9</v>
    <v>112.7</v>
    <v>111.82</v>
    <v>113.75</v>
    <v>114.22</v>
    <v>113.25</v>
    <v>111.24</v>
    <v>113.4</v>
    <v>109.56</v>
    <v>113.74</v>
    <v>115.93</v>
    <v>116.56</v>
    <v>119.37</v>
    <v>118.02</v>
    <v>120.59</v>
    <v>120.46</v>
    <v>125.98</v>
    <v>123.99</v>
    <v>122.6</v>
    <v>121.73</v>
    <v>123.48</v>
    <v>125.22</v>
    <v>124.77</v>
    <v>124.39</v>
    <v>126.63</v>
    <v>127.91</v>
    <v>126.83</v>
    <v>125.67</v>
    <v>125.69</v>
    <v>123.57</v>
    <v>123.88</v>
    <v>131.24</v>
    <v>128.96</v>
    <v>124.33</v>
    <v>127.22</v>
    <v>128.35</v>
    <v>131.22</v>
    <v>133.86000000000001</v>
    <v>133.51</v>
    <v>133.54</v>
    <v>132.69</v>
    <v>127.32</v>
    <v>130.22999999999999</v>
    <v>130.47999999999999</v>
    <v>128.13999999999999</v>
    <v>133.93</v>
    <v>137.61000000000001</v>
    <v>138.32</v>
    <v>141.63999999999999</v>
    <v>139.13999999999999</v>
    <v>138.86000000000001</v>
    <v>138.28</v>
    <v>138.13</v>
    <v>135.19999999999999</v>
    <v>128.47999999999999</v>
    <v>127.83</v>
    <v>130.84</v>
    <v>131.01</v>
    <v>130.99</v>
    <v>132.5</v>
    <v>134.05000000000001</v>
    <v>122.15</v>
    <v>120.96</v>
    <v>124.02</v>
    <v>126.67</v>
    <v>124.83</v>
    <v>123</v>
    <v>121.29</v>
    <v>124.45</v>
    <v>125.37</v>
    <v>125.04</v>
    <v>126.8</v>
    <v>127.68</v>
    <v>130.34</v>
    <v>132.11000000000001</v>
    <v>131.94</v>
    <v>135.69</v>
    <v>134.34</v>
    <v>132.09</v>
    <v>130.96</v>
    <v>130.76</v>
    <v>133.9</v>
    <v>141.77000000000001</v>
    <v>149.68</v>
    <v>147.37</v>
    <v>140.74</v>
    <v>145.76</v>
    <v>150.87</v>
    <v>164.53</v>
    <v>155.94999999999999</v>
    <v>150.57</v>
    <v>153.4</v>
    <v>148.77000000000001</v>
    <v>153.69999999999999</v>
    <v>151.31</v>
    <v>149.59</v>
    <v>147.87</v>
    <v>149.43</v>
    <v>150.13</v>
    <v>154.22999999999999</v>
    <v>158.63999999999999</v>
    <v>162.19</v>
    <v>164.88</v>
    <v>163.6</v>
    <v>161.01</v>
    <v>162.01</v>
    <v>160.11000000000001</v>
    <v>154.63999999999999</v>
    <v>152.41</v>
    <v>149.18</v>
    <v>146.69999999999999</v>
    <v>142.69</v>
    <v>138.76</v>
    <v>140.71</v>
    <v>133.94</v>
    <v>133.76</v>
    <v>122.48</v>
    <v>122.69</v>
    <v>119.38</v>
    <v>117.4</v>
    <v>122.51</v>
    <v>127.22</v>
    <v>125.92</v>
    <v>133.26</v>
    <v>133.35</v>
    <v>132.09</v>
    <v>135.94999999999999</v>
    <v>133.63</v>
    <v>138.99</v>
    <v>138.91</v>
    <v>140.41</v>
    <v>138.22</v>
    <v>140.63</v>
    <v>138.6</v>
    <v>129.97999999999999</v>
    <v>130.51</v>
    <v>133.75</v>
    <v>127.89</v>
    <v>122.94</v>
    <v>126.42</v>
    <v>126.61</v>
    <v>127.62</v>
    <v>128.38</v>
    <v>129.24</v>
    <v>127.46</v>
    <v>127.92</v>
    <v>125.88</v>
    <v>127.8</v>
    <v>124.01</v>
    <v>123.93</v>
    <v>120.07</v>
    <v>118.5</v>
    <v>120.62</v>
    <v>120.47</v>
    <v>119.66</v>
    <v>118.69</v>
    <v>119.66</v>
    <v>120.53</v>
    <v>111.07</v>
    <v>113.26</v>
    <v>117.17</v>
    <v>115.43</v>
    <v>115.93</v>
    <v>114.66</v>
    <v>117.32</v>
    <v>118.49</v>
    <v>114.44</v>
    <v>119.16</v>
    <v>117.15</v>
    <v>122.04</v>
    <v>115.39</v>
    <v>121.05</v>
    <v>120.91</v>
    <v>126.01</v>
    <v>124.16</v>
    <v>112.82</v>
    <v>117.49</v>
    <v>116.09</v>
    <v>116.78</v>
    <v>119.06</v>
    <v>122.27</v>
    <v>119.14</v>
    <v>119.78</v>
    <v>123.48</v>
    <v>121.45</v>
    <v>148.08000000000001</v>
    <v>153.55000000000001</v>
    <v>145.18</v>
    <v>147.1</v>
    <v>146.52000000000001</v>
    <v>146.47999999999999</v>
    <v>146.51</v>
    <v>143.80000000000001</v>
    <v>147.37</v>
    <v>149.91</v>
    <v>151.62</v>
    <v>156.54</v>
    <v>153.01</v>
    <v>149.21</v>
    <v>156.76</v>
    <v>157.66999999999999</v>
    <v>164.59</v>
    <v>176.91</v>
    <v>184.01</v>
    <v>175.82</v>
    <v>171.81</v>
    <v>164.66</v>
    <v>164.13</v>
    <v>169.38</v>
    <v>174.37</v>
    <v>173.18</v>
    <v>177.69</v>
    <v>185.47</v>
    <v>181.46</v>
    <v>177.8</v>
    <v>189.79</v>
    <v>184.51</v>
    <v>177.28</v>
    <v>193.09</v>
    <v>196.55</v>
    <v>204.24</v>
    <v>212.36</v>
    <v>214.65</v>
    <v>212.14</v>
    <v>216.09</v>
    <v>215.97</v>
    <v>205.93</v>
    <v>205.66</v>
    <v>208.95</v>
    <v>210.17</v>
    <v>211.64</v>
    <v>216.32</v>
    <v>238.8</v>
    <v>230.27</v>
    <v>260.45999999999998</v>
    <v>247.04</v>
    <v>238.94</v>
    <v>243.87</v>
    <v>247.89</v>
    <v>241.99</v>
    <v>238.03</v>
    <v>235.26</v>
    <v>242.93</v>
    <v>252.8</v>
    <v>295.19</v>
    <v>305.08</v>
    <v>305.32</v>
    <v>317.05</v>
    <v>420.91</v>
    <v>465.96</v>
    <v>435.31</v>
    <v>421.08</v>
    <v>422.05</v>
    <v>394.39</v>
    <v>400.77</v>
    <v>381.78</v>
    <v>369.83</v>
    <v>391.45</v>
    <v>395.57</v>
    <v>409.07</v>
    <v>404.08</v>
    <v>419.32</v>
    <v>409.5</v>
    <v>418.71</v>
    <v>427.78</v>
    <v>434.06</v>
    <v>409.45</v>
    <v>399.49</v>
    <v>414.61</v>
    <v>431.46</v>
    <v>425.25</v>
    <v>394.32</v>
    <v>411.8</v>
    <v>417.28</v>
    <v>431.97</v>
    <v>450.22</v>
    <v>434.97</v>
    <v>427.11</v>
    <v>457.54</v>
    <v>412.68</v>
    <v>391.38</v>
    <v>396.34</v>
    <v>381.88</v>
    <v>404.15</v>
    <v>441.8</v>
    <v>439.34</v>
    <v>437.5</v>
    <v>426.91</v>
    <v>392.1</v>
    <v>369.64</v>
    <v>404.81</v>
    <v>405.37</v>
    <v>429.02</v>
    <v>467.27</v>
    <v>462.7</v>
    <v>437.65</v>
    <v>453.77</v>
    <v>457.88</v>
    <v>440.97</v>
    <v>484.5</v>
    <v>494.51</v>
    <v>490.81</v>
    <v>479.81</v>
    <v>468.65</v>
    <v>437.55</v>
    <v>434.78</v>
    <v>442.08</v>
    <v>433.19</v>
    <v>451.5</v>
    <v>463.82</v>
    <v>472.26</v>
    <v>456.24</v>
    <v>456.01</v>
    <v>425</v>
    <v>492.2</v>
    <v>516.39</v>
    <v>524.14</v>
    <v>533.88</v>
    <v>535.25</v>
    <v>506.62</v>
    <v>567.29</v>
    <v>534.28</v>
    <v>543.51</v>
    <v>563.29</v>
    <v>588.4</v>
    <v>568.05999999999995</v>
    <v>575.30999999999995</v>
    <v>548.91999999999996</v>
    <v>549.83000000000004</v>
    <v>536.02</v>
    <v>562.89</v>
    <v>543.42999999999995</v>
    <v>539.59</v>
    <v>537.95000000000005</v>
    <v>541.74</v>
    <v>562.52</v>
    <v>552.29</v>
    <v>574</v>
    <v>578.96</v>
    <v>574.54999999999995</v>
    <v>586.05999999999995</v>
    <v>576.76</v>
    <v>572.47</v>
    <v>507.93</v>
    <v>473.39</v>
    <v>451.71</v>
    <v>455.44</v>
    <v>461.56</v>
    <v>485.88</v>
    <v>452.95</v>
    <v>456.44</v>
  </a>
  <a r="1" c="252">
    <v>154.22999999999999</v>
    <v>158.63999999999999</v>
    <v>162.19</v>
    <v>164.88</v>
    <v>163.6</v>
    <v>161.01</v>
    <v>162.01</v>
    <v>160.11000000000001</v>
    <v>154.63999999999999</v>
    <v>152.41</v>
    <v>149.18</v>
    <v>146.69999999999999</v>
    <v>142.69</v>
    <v>138.76</v>
    <v>140.71</v>
    <v>133.94</v>
    <v>133.76</v>
    <v>122.48</v>
    <v>122.69</v>
    <v>119.38</v>
    <v>117.4</v>
    <v>122.51</v>
    <v>127.22</v>
    <v>125.92</v>
    <v>133.26</v>
    <v>133.35</v>
    <v>132.09</v>
    <v>135.94999999999999</v>
    <v>133.63</v>
    <v>138.99</v>
    <v>138.91</v>
    <v>140.41</v>
    <v>138.22</v>
    <v>140.63</v>
    <v>138.6</v>
    <v>129.97999999999999</v>
    <v>130.51</v>
    <v>133.75</v>
    <v>127.89</v>
    <v>122.94</v>
    <v>126.42</v>
    <v>126.61</v>
    <v>127.62</v>
    <v>128.38</v>
    <v>129.24</v>
    <v>127.46</v>
    <v>127.92</v>
    <v>125.88</v>
    <v>127.8</v>
    <v>124.01</v>
    <v>123.93</v>
    <v>120.07</v>
    <v>118.5</v>
    <v>120.62</v>
    <v>120.47</v>
    <v>119.66</v>
    <v>118.69</v>
    <v>119.66</v>
    <v>120.53</v>
    <v>111.07</v>
    <v>113.26</v>
    <v>117.17</v>
    <v>115.43</v>
    <v>115.93</v>
    <v>114.66</v>
    <v>117.32</v>
    <v>118.49</v>
    <v>114.44</v>
    <v>119.16</v>
    <v>117.15</v>
    <v>122.04</v>
    <v>115.39</v>
    <v>121.05</v>
    <v>120.91</v>
    <v>126.01</v>
    <v>124.16</v>
    <v>112.82</v>
    <v>117.49</v>
    <v>116.09</v>
    <v>116.78</v>
    <v>119.06</v>
    <v>122.27</v>
    <v>119.14</v>
    <v>119.78</v>
    <v>123.48</v>
    <v>121.45</v>
    <v>148.08000000000001</v>
    <v>153.55000000000001</v>
    <v>145.18</v>
    <v>147.1</v>
    <v>146.52000000000001</v>
    <v>146.47999999999999</v>
    <v>146.51</v>
    <v>143.80000000000001</v>
    <v>147.37</v>
    <v>149.91</v>
    <v>151.62</v>
    <v>156.54</v>
    <v>153.01</v>
    <v>149.21</v>
    <v>156.76</v>
    <v>157.66999999999999</v>
    <v>164.59</v>
    <v>176.91</v>
    <v>184.01</v>
    <v>175.82</v>
    <v>171.81</v>
    <v>164.66</v>
    <v>164.13</v>
    <v>169.38</v>
    <v>174.37</v>
    <v>173.18</v>
    <v>177.69</v>
    <v>185.47</v>
    <v>181.46</v>
    <v>177.8</v>
    <v>189.79</v>
    <v>184.51</v>
    <v>177.28</v>
    <v>193.09</v>
    <v>196.55</v>
    <v>204.24</v>
    <v>212.36</v>
    <v>214.65</v>
    <v>212.14</v>
    <v>216.09</v>
    <v>215.97</v>
    <v>205.93</v>
    <v>205.66</v>
    <v>208.95</v>
    <v>210.17</v>
    <v>211.64</v>
    <v>216.32</v>
    <v>238.8</v>
    <v>230.27</v>
    <v>260.45999999999998</v>
    <v>247.04</v>
    <v>238.94</v>
    <v>243.87</v>
    <v>247.89</v>
    <v>241.99</v>
    <v>238.03</v>
    <v>235.26</v>
    <v>242.93</v>
    <v>252.8</v>
    <v>295.19</v>
    <v>305.08</v>
    <v>305.32</v>
    <v>317.05</v>
    <v>420.91</v>
    <v>465.96</v>
    <v>435.31</v>
    <v>421.08</v>
    <v>422.05</v>
    <v>394.39</v>
    <v>400.77</v>
    <v>381.78</v>
    <v>369.83</v>
    <v>391.45</v>
    <v>395.57</v>
    <v>409.07</v>
    <v>404.08</v>
    <v>419.32</v>
    <v>409.5</v>
    <v>418.71</v>
    <v>427.78</v>
    <v>434.06</v>
    <v>409.45</v>
    <v>399.49</v>
    <v>414.61</v>
    <v>431.46</v>
    <v>425.25</v>
    <v>394.32</v>
    <v>411.8</v>
    <v>417.28</v>
    <v>431.97</v>
    <v>450.22</v>
    <v>434.97</v>
    <v>427.11</v>
    <v>457.54</v>
    <v>412.68</v>
    <v>391.38</v>
    <v>396.34</v>
    <v>381.88</v>
    <v>404.15</v>
    <v>441.8</v>
    <v>439.34</v>
    <v>437.5</v>
    <v>426.91</v>
    <v>392.1</v>
    <v>369.64</v>
    <v>404.81</v>
    <v>405.37</v>
    <v>429.02</v>
    <v>467.27</v>
    <v>462.7</v>
    <v>437.65</v>
    <v>453.77</v>
    <v>457.88</v>
    <v>440.97</v>
    <v>484.5</v>
    <v>494.51</v>
    <v>490.81</v>
    <v>479.81</v>
    <v>468.65</v>
    <v>437.55</v>
    <v>434.78</v>
    <v>442.08</v>
    <v>433.19</v>
    <v>451.5</v>
    <v>463.82</v>
    <v>472.26</v>
    <v>456.24</v>
    <v>456.01</v>
    <v>425</v>
    <v>492.2</v>
    <v>516.39</v>
    <v>524.14</v>
    <v>533.88</v>
    <v>535.25</v>
    <v>506.62</v>
    <v>567.29</v>
    <v>534.28</v>
    <v>543.51</v>
    <v>563.29</v>
    <v>588.4</v>
    <v>568.05999999999995</v>
    <v>575.30999999999995</v>
    <v>548.91999999999996</v>
    <v>549.83000000000004</v>
    <v>536.02</v>
    <v>562.89</v>
    <v>543.42999999999995</v>
    <v>539.59</v>
    <v>537.95000000000005</v>
    <v>541.74</v>
    <v>562.52</v>
    <v>552.29</v>
    <v>574</v>
    <v>578.96</v>
    <v>574.54999999999995</v>
    <v>586.05999999999995</v>
    <v>576.76</v>
    <v>572.47</v>
    <v>507.93</v>
    <v>473.39</v>
    <v>451.71</v>
    <v>455.44</v>
    <v>461.56</v>
    <v>485.88</v>
    <v>452.95</v>
    <v>456.44</v>
  </a>
  <a r="1" c="208">
    <v>68.260000000000005</v>
    <v>68.930000000000007</v>
    <v>69.25</v>
    <v>69.709999999999994</v>
    <v>69.680000000000007</v>
    <v>70.13</v>
    <v>70.069999999999993</v>
    <v>69.790000000000006</v>
    <v>69.89</v>
    <v>70.63</v>
    <v>70.62</v>
    <v>69.75</v>
    <v>69.13</v>
    <v>69.37</v>
    <v>70.64</v>
    <v>70.73</v>
    <v>70.64</v>
    <v>70.81</v>
    <v>70.75</v>
    <v>70.52</v>
    <v>70.540000000000006</v>
    <v>70.849999999999994</v>
    <v>70.86</v>
    <v>70.989999999999995</v>
    <v>70.34</v>
    <v>70.88</v>
    <v>71.540000000000006</v>
    <v>71.849999999999994</v>
    <v>71.36</v>
    <v>70.790000000000006</v>
    <v>70.89</v>
    <v>70.8</v>
    <v>71.03</v>
    <v>71.61</v>
    <v>71.3</v>
    <v>71.739999999999995</v>
    <v>71.05</v>
    <v>71.260000000000005</v>
    <v>71.63</v>
    <v>71.88</v>
    <v>72.05</v>
    <v>70.98</v>
    <v>68.8</v>
    <v>69.86</v>
    <v>69.08</v>
    <v>68.739999999999995</v>
    <v>67.55</v>
    <v>68.86</v>
    <v>68.400000000000006</v>
    <v>67.930000000000007</v>
    <v>67.23</v>
    <v>67.239999999999995</v>
    <v>67.69</v>
    <v>67.760000000000005</v>
    <v>65.959999999999994</v>
    <v>64.63</v>
    <v>65.33</v>
    <v>65.37</v>
    <v>66.489999999999995</v>
    <v>66.03</v>
    <v>65.03</v>
    <v>65.42</v>
    <v>66.33</v>
    <v>67.72</v>
    <v>67.42</v>
    <v>66.97</v>
    <v>69.77</v>
    <v>69.64</v>
    <v>70.02</v>
    <v>69.989999999999995</v>
    <v>70.989999999999995</v>
    <v>71</v>
    <v>71.39</v>
    <v>72.63</v>
    <v>72.010000000000005</v>
    <v>71.73</v>
    <v>71.67</v>
    <v>71.39</v>
    <v>70.83</v>
    <v>70.790000000000006</v>
    <v>70.31</v>
    <v>70.05</v>
    <v>71.05</v>
    <v>70.760000000000005</v>
    <v>71.33</v>
    <v>72.709999999999994</v>
    <v>72.16</v>
    <v>72.06</v>
    <v>72.010000000000005</v>
    <v>70.989999999999995</v>
    <v>71.58</v>
    <v>72.44</v>
    <v>71.27</v>
    <v>71.63</v>
    <v>71.55</v>
    <v>72.540000000000006</v>
    <v>72.790000000000006</v>
    <v>73.39</v>
    <v>74.69</v>
    <v>73.790000000000006</v>
    <v>73.73</v>
    <v>73.72</v>
    <v>73.64</v>
    <v>73</v>
    <v>73.31</v>
    <v>72.7</v>
    <v>72.989999999999995</v>
    <v>72.430000000000007</v>
    <v>72.14</v>
    <v>71.64</v>
    <v>71.55</v>
    <v>71.64</v>
    <v>73.010000000000005</v>
    <v>73.45</v>
    <v>73.11</v>
    <v>73.19</v>
    <v>72.680000000000007</v>
    <v>72.48</v>
    <v>72.78</v>
    <v>72.09</v>
    <v>72.08</v>
    <v>72.22</v>
    <v>71.78</v>
    <v>71.430000000000007</v>
    <v>71.73</v>
    <v>72.209999999999994</v>
    <v>72.930000000000007</v>
    <v>73.900000000000006</v>
    <v>73.790000000000006</v>
    <v>73.040000000000006</v>
    <v>71.760000000000005</v>
    <v>72.41</v>
    <v>72.55</v>
    <v>72.709999999999994</v>
    <v>72.88</v>
    <v>73.239999999999995</v>
    <v>73.459999999999994</v>
    <v>73.17</v>
    <v>72.88</v>
    <v>73.400000000000006</v>
    <v>73.819999999999993</v>
    <v>72.91</v>
    <v>73.55</v>
    <v>73.599999999999994</v>
    <v>73.92</v>
    <v>73.72</v>
    <v>74.290000000000006</v>
    <v>73.95</v>
    <v>74.650000000000006</v>
    <v>75.27</v>
    <v>75.349999999999994</v>
    <v>75.56</v>
    <v>75.77</v>
    <v>75.5</v>
    <v>75.55</v>
    <v>75.709999999999994</v>
    <v>75.98</v>
    <v>76.069999999999993</v>
    <v>75.650000000000006</v>
    <v>74.87</v>
    <v>74.849999999999994</v>
    <v>74.56</v>
    <v>75.260000000000005</v>
    <v>75.23</v>
    <v>75.77</v>
    <v>75.86</v>
    <v>75.989999999999995</v>
    <v>76.260000000000005</v>
    <v>75.77</v>
    <v>75.19</v>
    <v>74.61</v>
    <v>75.31</v>
    <v>75.510000000000005</v>
    <v>75.42</v>
    <v>75.36</v>
    <v>74.45</v>
    <v>73.77</v>
    <v>73.97</v>
    <v>73.3</v>
    <v>73.239999999999995</v>
    <v>73.88</v>
    <v>74.45</v>
    <v>73.760000000000005</v>
    <v>74.680000000000007</v>
    <v>75.010000000000005</v>
    <v>74.41</v>
    <v>73.5</v>
    <v>73.69</v>
    <v>73.86</v>
    <v>73.77</v>
    <v>73.91</v>
    <v>73.03</v>
    <v>73.37</v>
    <v>73.47</v>
    <v>73.86</v>
    <v>73.08</v>
    <v>72.459999999999994</v>
    <v>73.45</v>
    <v>73.62</v>
    <v>73.930000000000007</v>
    <v>73.989999999999995</v>
    <v>73.97</v>
    <v>74.63</v>
    <v>74.209999999999994</v>
    <v>74.17</v>
    <v>74.77</v>
    <v>73.78</v>
    <v>73.69</v>
  </a>
  <a r="1" c="761">
    <v>46.89</v>
    <v>47.034999999999997</v>
    <v>46.5</v>
    <v>46.48</v>
    <v>46.5</v>
    <v>46.82</v>
    <v>47.32</v>
    <v>47.59</v>
    <v>48.744999999999997</v>
    <v>49.49</v>
    <v>49.08</v>
    <v>48.945</v>
    <v>49.17</v>
    <v>49.865000000000002</v>
    <v>49.22</v>
    <v>49.575000000000003</v>
    <v>51.19</v>
    <v>51.44</v>
    <v>50.59</v>
    <v>51.23</v>
    <v>51.42</v>
    <v>50.98</v>
    <v>51.22</v>
    <v>51.3</v>
    <v>51.54</v>
    <v>51.37</v>
    <v>51.36</v>
    <v>51.8</v>
    <v>51.66</v>
    <v>52.36</v>
    <v>51.98</v>
    <v>52.33</v>
    <v>52.77</v>
    <v>52.62</v>
    <v>52.91</v>
    <v>53.1</v>
    <v>52.75</v>
    <v>52.66</v>
    <v>54.29</v>
    <v>54.37</v>
    <v>54.18</v>
    <v>54.66</v>
    <v>54.97</v>
    <v>54.94</v>
    <v>55.24</v>
    <v>55.4</v>
    <v>55.3</v>
    <v>55.13</v>
    <v>55.01</v>
    <v>54.05</v>
    <v>54.44</v>
    <v>54.16</v>
    <v>54.62</v>
    <v>54.5</v>
    <v>54.31</v>
    <v>53.78</v>
    <v>54.36</v>
    <v>53.89</v>
    <v>53.68</v>
    <v>52.87</v>
    <v>53.22</v>
    <v>52.95</v>
    <v>53.59</v>
    <v>53.43</v>
    <v>54.22</v>
    <v>54.45</v>
    <v>54.79</v>
    <v>54.67</v>
    <v>54.79</v>
    <v>54.8</v>
    <v>54.47</v>
    <v>54.14</v>
    <v>53.86</v>
    <v>54.34</v>
    <v>54.18</v>
    <v>54.37</v>
    <v>54.29</v>
    <v>54.86</v>
    <v>54.13</v>
    <v>54.37</v>
    <v>54.78</v>
    <v>55.08</v>
    <v>55.01</v>
    <v>54.67</v>
    <v>54.61</v>
    <v>55.13</v>
    <v>54.94</v>
    <v>54.94</v>
    <v>55.09</v>
    <v>54.8</v>
    <v>54.71</v>
    <v>55.46</v>
    <v>55.02</v>
    <v>55.04</v>
    <v>55.32</v>
    <v>55.8</v>
    <v>55.93</v>
    <v>55.67</v>
    <v>56.06</v>
    <v>55.99</v>
    <v>55.82</v>
    <v>55.89</v>
    <v>55.76</v>
    <v>55.87</v>
    <v>55.91</v>
    <v>56.39</v>
    <v>56.43</v>
    <v>56.4</v>
    <v>56.84</v>
    <v>57.02</v>
    <v>57.19</v>
    <v>56.69</v>
    <v>56.97</v>
    <v>57.14</v>
    <v>56.73</v>
    <v>57.2</v>
    <v>56.86</v>
    <v>56.81</v>
    <v>56.68</v>
    <v>56.44</v>
    <v>56.5</v>
    <v>55.5</v>
    <v>55.6</v>
    <v>55.81</v>
    <v>55.42</v>
    <v>55.71</v>
    <v>56.39</v>
    <v>56.1</v>
    <v>55.58</v>
    <v>56.32</v>
    <v>56.95</v>
    <v>56.48</v>
    <v>56.95</v>
    <v>57.24</v>
    <v>57.59</v>
    <v>58.02</v>
    <v>58.13</v>
    <v>58.45</v>
    <v>58.76</v>
    <v>58.7</v>
    <v>59.11</v>
    <v>59.68</v>
    <v>59.7</v>
    <v>59.7</v>
    <v>60.01</v>
    <v>59.81</v>
    <v>59.85</v>
    <v>59.8</v>
    <v>59.98</v>
    <v>60.29</v>
    <v>60.13</v>
    <v>59.19</v>
    <v>59.86</v>
    <v>59.97</v>
    <v>60.42</v>
    <v>59.82</v>
    <v>60.16</v>
    <v>60.18</v>
    <v>59.94</v>
    <v>59.72</v>
    <v>59.15</v>
    <v>59.95</v>
    <v>58.91</v>
    <v>58.13</v>
    <v>58.19</v>
    <v>58.81</v>
    <v>58.56</v>
    <v>59.06</v>
    <v>58.6</v>
    <v>59.26</v>
    <v>58.58</v>
    <v>58.1</v>
    <v>58.24</v>
    <v>58.06</v>
    <v>58.24</v>
    <v>58.13</v>
    <v>58.85</v>
    <v>59.19</v>
    <v>59.44</v>
    <v>59.43</v>
    <v>58.76</v>
    <v>59.36</v>
    <v>60.05</v>
    <v>60.4</v>
    <v>59.95</v>
    <v>60.11</v>
    <v>60.03</v>
    <v>60.27</v>
    <v>59.6</v>
    <v>60.14</v>
    <v>59.92</v>
    <v>59.68</v>
    <v>59.18</v>
    <v>59.73</v>
    <v>59.71</v>
    <v>60.24</v>
    <v>60.47</v>
    <v>59.73</v>
    <v>57.87</v>
    <v>56.19</v>
    <v>56.46</v>
    <v>57.43</v>
    <v>57.23</v>
    <v>57.61</v>
    <v>57.58</v>
    <v>57.79</v>
    <v>58.12</v>
    <v>58.78</v>
    <v>59.15</v>
    <v>58.81</v>
    <v>59.1</v>
    <v>59.25</v>
    <v>59.78</v>
    <v>59.73</v>
    <v>59.72</v>
    <v>59.72</v>
    <v>59.97</v>
    <v>60.17</v>
    <v>60.12</v>
    <v>59.23</v>
    <v>59.03</v>
    <v>58.97</v>
    <v>58.14</v>
    <v>58.45</v>
    <v>58.5</v>
    <v>58.17</v>
    <v>58.71</v>
    <v>59.38</v>
    <v>59.35</v>
    <v>59.64</v>
    <v>59.42</v>
    <v>60.63</v>
    <v>59.62</v>
    <v>59.81</v>
    <v>59.76</v>
    <v>59.71</v>
    <v>60.73</v>
    <v>61.08</v>
    <v>60.53</v>
    <v>60.13</v>
    <v>59.9</v>
    <v>59.37</v>
    <v>59.98</v>
    <v>59.62</v>
    <v>59.17</v>
    <v>59.69</v>
    <v>59.32</v>
    <v>59.66</v>
    <v>59.67</v>
    <v>59.97</v>
    <v>59.86</v>
    <v>60.15</v>
    <v>60.11</v>
    <v>59.62</v>
    <v>59.69</v>
    <v>59.42</v>
    <v>59.36</v>
    <v>59.31</v>
    <v>59.61</v>
    <v>59.15</v>
    <v>58.73</v>
    <v>57.83</v>
    <v>58.25</v>
    <v>58.02</v>
    <v>57.97</v>
    <v>57.85</v>
    <v>58.74</v>
    <v>58.42</v>
    <v>59</v>
    <v>57.81</v>
    <v>57.67</v>
    <v>58.22</v>
    <v>58.02</v>
    <v>57.7</v>
    <v>57.46</v>
    <v>57.22</v>
    <v>57.33</v>
    <v>58.13</v>
    <v>58.65</v>
    <v>57.85</v>
    <v>58.14</v>
    <v>58.44</v>
    <v>58.53</v>
    <v>58.73</v>
    <v>58.83</v>
    <v>59.36</v>
    <v>59.42</v>
    <v>59.61</v>
    <v>59.55</v>
    <v>59.64</v>
    <v>59.83</v>
    <v>59.57</v>
    <v>59.18</v>
    <v>58.98</v>
    <v>58.36</v>
    <v>58.57</v>
    <v>57.72</v>
    <v>57.75</v>
    <v>57.48</v>
    <v>58.21</v>
    <v>57.94</v>
    <v>58.91</v>
    <v>58.56</v>
    <v>59.04</v>
    <v>58.61</v>
    <v>57.96</v>
    <v>57.99</v>
    <v>57.38</v>
    <v>56.96</v>
    <v>56.91</v>
    <v>58.22</v>
    <v>58.47</v>
    <v>58.88</v>
    <v>58.92</v>
    <v>59.22</v>
    <v>59.33</v>
    <v>59.36</v>
    <v>59.38</v>
    <v>59.36</v>
    <v>59.81</v>
    <v>59.94</v>
    <v>60.64</v>
    <v>60.82</v>
    <v>60.07</v>
    <v>60.32</v>
    <v>60.5</v>
    <v>61.17</v>
    <v>60.88</v>
    <v>61.28</v>
    <v>61.29</v>
    <v>61.18</v>
    <v>61.74</v>
    <v>61.82</v>
    <v>62.16</v>
    <v>62.18</v>
    <v>61.45</v>
    <v>61.34</v>
    <v>61.57</v>
    <v>61.48</v>
    <v>61.33</v>
    <v>61.81</v>
    <v>61.52</v>
    <v>61.04</v>
    <v>61.48</v>
    <v>59.74</v>
    <v>60.87</v>
    <v>61.24</v>
    <v>61.12</v>
    <v>60.19</v>
    <v>59.4</v>
    <v>59.96</v>
    <v>59.52</v>
    <v>60.59</v>
    <v>61.18</v>
    <v>61.66</v>
    <v>61.81</v>
    <v>61.55</v>
    <v>61.15</v>
    <v>61.06</v>
    <v>61.54</v>
    <v>61.23</v>
    <v>60.99</v>
    <v>60.33</v>
    <v>59.25</v>
    <v>59.83</v>
    <v>59.55</v>
    <v>58.07</v>
    <v>54.88</v>
    <v>53.12</v>
    <v>54.65</v>
    <v>52.64</v>
    <v>54.56</v>
    <v>54.74</v>
    <v>56.46</v>
    <v>57.65</v>
    <v>57.27</v>
    <v>57.37</v>
    <v>57.26</v>
    <v>58.28</v>
    <v>58.57</v>
    <v>58.83</v>
    <v>59.39</v>
    <v>59.52</v>
    <v>60.07</v>
    <v>61.51</v>
    <v>61.39</v>
    <v>61.44</v>
    <v>61.41</v>
    <v>61.93</v>
    <v>62.13</v>
    <v>62.92</v>
    <v>63.31</v>
    <v>63.39</v>
    <v>63.63</v>
    <v>63.81</v>
    <v>63.97</v>
    <v>64.48</v>
    <v>64.42</v>
    <v>63.87</v>
    <v>63.69</v>
    <v>64.489999999999995</v>
    <v>64.650000000000006</v>
    <v>64.569999999999993</v>
    <v>64.59</v>
    <v>64.62</v>
    <v>64.66</v>
    <v>64.59</v>
    <v>64.900000000000006</v>
    <v>65.08</v>
    <v>65.06</v>
    <v>65.430000000000007</v>
    <v>65.5</v>
    <v>65.44</v>
    <v>65.08</v>
    <v>64.34</v>
    <v>64.75</v>
    <v>64.41</v>
    <v>64.180000000000007</v>
    <v>63.65</v>
    <v>63.84</v>
    <v>63.64</v>
    <v>64.45</v>
    <v>64.14</v>
    <v>64.67</v>
    <v>65.42</v>
    <v>65.150000000000006</v>
    <v>65.06</v>
    <v>64.72</v>
    <v>65.34</v>
    <v>64.98</v>
    <v>65.239999999999995</v>
    <v>65.53</v>
    <v>66.040000000000006</v>
    <v>66.33</v>
    <v>65.819999999999993</v>
    <v>65.77</v>
    <v>65.709999999999994</v>
    <v>65.239999999999995</v>
    <v>66.02</v>
    <v>66.16</v>
    <v>66.17</v>
    <v>65.83</v>
    <v>66.34</v>
    <v>66.53</v>
    <v>66.28</v>
    <v>66.19</v>
    <v>66.16</v>
    <v>65.91</v>
    <v>65.959999999999994</v>
    <v>64.58</v>
    <v>65.22</v>
    <v>65.38</v>
    <v>65.349999999999994</v>
    <v>65.92</v>
    <v>65.930000000000007</v>
    <v>65.72</v>
    <v>65.86</v>
    <v>65.81</v>
    <v>65.87</v>
    <v>65.77</v>
    <v>66.239999999999995</v>
    <v>66.13</v>
    <v>66.13</v>
    <v>66.959999999999994</v>
    <v>66.7</v>
    <v>66.13</v>
    <v>66.010000000000005</v>
    <v>65.91</v>
    <v>65.47</v>
    <v>65.72</v>
    <v>64.150000000000006</v>
    <v>64.36</v>
    <v>64.72</v>
    <v>64.87</v>
    <v>65.430000000000007</v>
    <v>65.37</v>
    <v>65.180000000000007</v>
    <v>65.52</v>
    <v>65.59</v>
    <v>65.91</v>
    <v>65.3</v>
    <v>65.42</v>
    <v>65.790000000000006</v>
    <v>65.45</v>
    <v>65.430000000000007</v>
    <v>65.72</v>
    <v>65.38</v>
    <v>64.680000000000007</v>
    <v>65.03</v>
    <v>65.290000000000006</v>
    <v>65.66</v>
    <v>66.05</v>
    <v>66.12</v>
    <v>66.66</v>
    <v>66.69</v>
    <v>66.55</v>
    <v>66.83</v>
    <v>66.78</v>
    <v>65.760000000000005</v>
    <v>66.5</v>
    <v>65.89</v>
    <v>66.08</v>
    <v>66.25</v>
    <v>65.459999999999994</v>
    <v>66.06</v>
    <v>66.349999999999994</v>
    <v>66.69</v>
    <v>67.23</v>
    <v>67.41</v>
    <v>67.44</v>
    <v>67.099999999999994</v>
    <v>66.849999999999994</v>
    <v>66.739999999999995</v>
    <v>66.41</v>
    <v>66.37</v>
    <v>65.53</v>
    <v>65.44</v>
    <v>64.599999999999994</v>
    <v>64.36</v>
    <v>65.02</v>
    <v>65.58</v>
    <v>65.86</v>
    <v>65.72</v>
    <v>65.12</v>
    <v>64.75</v>
    <v>63.74</v>
    <v>63.85</v>
    <v>64.02</v>
    <v>63.81</v>
    <v>64.25</v>
    <v>64.86</v>
    <v>65.42</v>
    <v>66.010000000000005</v>
    <v>66.28</v>
    <v>65.900000000000006</v>
    <v>65.650000000000006</v>
    <v>65.73</v>
    <v>66.17</v>
    <v>66.28</v>
    <v>66.040000000000006</v>
    <v>65.92</v>
    <v>65.81</v>
    <v>66.11</v>
    <v>66</v>
    <v>66.260000000000005</v>
    <v>66.16</v>
    <v>66.09</v>
    <v>66.78</v>
    <v>66.91</v>
    <v>67.17</v>
    <v>67.349999999999994</v>
    <v>67.8</v>
    <v>68.2</v>
    <v>68.260000000000005</v>
    <v>68.930000000000007</v>
    <v>69.25</v>
    <v>69.709999999999994</v>
    <v>69.680000000000007</v>
    <v>70.13</v>
    <v>70.069999999999993</v>
    <v>69.790000000000006</v>
    <v>69.89</v>
    <v>70.63</v>
    <v>70.62</v>
    <v>69.75</v>
    <v>69.13</v>
    <v>69.37</v>
    <v>70.64</v>
    <v>70.73</v>
    <v>70.64</v>
    <v>70.81</v>
    <v>70.75</v>
    <v>70.52</v>
    <v>70.540000000000006</v>
    <v>70.849999999999994</v>
    <v>70.86</v>
    <v>70.989999999999995</v>
    <v>70.34</v>
    <v>70.88</v>
    <v>71.540000000000006</v>
    <v>71.849999999999994</v>
    <v>71.36</v>
    <v>70.790000000000006</v>
    <v>70.89</v>
    <v>70.8</v>
    <v>71.03</v>
    <v>71.61</v>
    <v>71.3</v>
    <v>71.739999999999995</v>
    <v>71.05</v>
    <v>71.260000000000005</v>
    <v>71.63</v>
    <v>71.88</v>
    <v>72.05</v>
    <v>70.98</v>
    <v>68.8</v>
    <v>69.86</v>
    <v>69.08</v>
    <v>68.739999999999995</v>
    <v>67.55</v>
    <v>68.86</v>
    <v>68.400000000000006</v>
    <v>67.930000000000007</v>
    <v>67.23</v>
    <v>67.239999999999995</v>
    <v>67.69</v>
    <v>67.760000000000005</v>
    <v>65.959999999999994</v>
    <v>64.63</v>
    <v>65.33</v>
    <v>65.37</v>
    <v>66.489999999999995</v>
    <v>66.03</v>
    <v>65.03</v>
    <v>65.42</v>
    <v>66.33</v>
    <v>67.72</v>
    <v>67.42</v>
    <v>66.97</v>
    <v>69.77</v>
    <v>69.64</v>
    <v>70.02</v>
    <v>69.989999999999995</v>
    <v>70.989999999999995</v>
    <v>71</v>
    <v>71.39</v>
    <v>72.63</v>
    <v>72.010000000000005</v>
    <v>71.73</v>
    <v>71.67</v>
    <v>71.39</v>
    <v>70.83</v>
    <v>70.790000000000006</v>
    <v>70.31</v>
    <v>70.05</v>
    <v>71.05</v>
    <v>70.760000000000005</v>
    <v>71.33</v>
    <v>72.709999999999994</v>
    <v>72.16</v>
    <v>72.06</v>
    <v>72.010000000000005</v>
    <v>70.989999999999995</v>
    <v>71.58</v>
    <v>72.44</v>
    <v>71.27</v>
    <v>71.63</v>
    <v>71.55</v>
    <v>72.540000000000006</v>
    <v>72.790000000000006</v>
    <v>73.39</v>
    <v>74.69</v>
    <v>73.790000000000006</v>
    <v>73.73</v>
    <v>73.72</v>
    <v>73.64</v>
    <v>73</v>
    <v>73.31</v>
    <v>72.7</v>
    <v>72.989999999999995</v>
    <v>72.430000000000007</v>
    <v>72.14</v>
    <v>71.64</v>
    <v>71.55</v>
    <v>71.64</v>
    <v>73.010000000000005</v>
    <v>73.45</v>
    <v>73.11</v>
    <v>73.19</v>
    <v>72.680000000000007</v>
    <v>72.48</v>
    <v>72.78</v>
    <v>72.09</v>
    <v>72.08</v>
    <v>72.22</v>
    <v>71.78</v>
    <v>71.430000000000007</v>
    <v>71.73</v>
    <v>72.209999999999994</v>
    <v>72.930000000000007</v>
    <v>73.900000000000006</v>
    <v>73.790000000000006</v>
    <v>73.040000000000006</v>
    <v>71.760000000000005</v>
    <v>72.41</v>
    <v>72.55</v>
    <v>72.709999999999994</v>
    <v>72.88</v>
    <v>73.239999999999995</v>
    <v>73.459999999999994</v>
    <v>73.17</v>
    <v>72.88</v>
    <v>73.400000000000006</v>
    <v>73.819999999999993</v>
    <v>72.91</v>
    <v>73.55</v>
    <v>73.599999999999994</v>
    <v>73.92</v>
    <v>73.72</v>
    <v>74.290000000000006</v>
    <v>73.95</v>
    <v>74.650000000000006</v>
    <v>75.27</v>
    <v>75.349999999999994</v>
    <v>75.56</v>
    <v>75.77</v>
    <v>75.5</v>
    <v>75.55</v>
    <v>75.709999999999994</v>
    <v>75.98</v>
    <v>76.069999999999993</v>
    <v>75.650000000000006</v>
    <v>74.87</v>
    <v>74.849999999999994</v>
    <v>74.56</v>
    <v>75.260000000000005</v>
    <v>75.23</v>
    <v>75.77</v>
    <v>75.86</v>
    <v>75.989999999999995</v>
    <v>76.260000000000005</v>
    <v>75.77</v>
    <v>75.19</v>
    <v>74.61</v>
    <v>75.31</v>
    <v>75.510000000000005</v>
    <v>75.42</v>
    <v>75.36</v>
    <v>74.45</v>
    <v>73.77</v>
    <v>73.97</v>
    <v>73.3</v>
    <v>73.239999999999995</v>
    <v>73.88</v>
    <v>74.45</v>
    <v>73.760000000000005</v>
    <v>74.680000000000007</v>
    <v>75.010000000000005</v>
    <v>74.41</v>
    <v>73.5</v>
    <v>73.69</v>
    <v>73.86</v>
    <v>73.77</v>
    <v>73.91</v>
    <v>73.03</v>
    <v>73.37</v>
    <v>73.47</v>
    <v>73.86</v>
    <v>73.08</v>
    <v>72.459999999999994</v>
    <v>73.45</v>
    <v>73.62</v>
    <v>73.930000000000007</v>
    <v>73.989999999999995</v>
    <v>73.97</v>
    <v>74.63</v>
    <v>74.209999999999994</v>
    <v>74.17</v>
    <v>74.77</v>
    <v>73.78</v>
    <v>73.69</v>
  </a>
  <a r="1" c="254">
    <v>67.23</v>
    <v>67.41</v>
    <v>67.44</v>
    <v>67.099999999999994</v>
    <v>66.849999999999994</v>
    <v>66.739999999999995</v>
    <v>66.41</v>
    <v>66.37</v>
    <v>65.53</v>
    <v>65.44</v>
    <v>64.599999999999994</v>
    <v>64.36</v>
    <v>65.02</v>
    <v>65.58</v>
    <v>65.86</v>
    <v>65.72</v>
    <v>65.12</v>
    <v>64.75</v>
    <v>63.74</v>
    <v>63.85</v>
    <v>64.02</v>
    <v>63.81</v>
    <v>64.25</v>
    <v>64.86</v>
    <v>65.42</v>
    <v>66.010000000000005</v>
    <v>66.28</v>
    <v>65.900000000000006</v>
    <v>65.650000000000006</v>
    <v>65.73</v>
    <v>66.17</v>
    <v>66.28</v>
    <v>66.040000000000006</v>
    <v>65.92</v>
    <v>65.81</v>
    <v>66.11</v>
    <v>66</v>
    <v>66.260000000000005</v>
    <v>66.16</v>
    <v>66.09</v>
    <v>66.78</v>
    <v>66.91</v>
    <v>67.17</v>
    <v>67.349999999999994</v>
    <v>67.8</v>
    <v>68.2</v>
    <v>68.260000000000005</v>
    <v>68.930000000000007</v>
    <v>69.25</v>
    <v>69.709999999999994</v>
    <v>69.680000000000007</v>
    <v>70.13</v>
    <v>70.069999999999993</v>
    <v>69.790000000000006</v>
    <v>69.89</v>
    <v>70.63</v>
    <v>70.62</v>
    <v>69.75</v>
    <v>69.13</v>
    <v>69.37</v>
    <v>70.64</v>
    <v>70.73</v>
    <v>70.64</v>
    <v>70.81</v>
    <v>70.75</v>
    <v>70.52</v>
    <v>70.540000000000006</v>
    <v>70.849999999999994</v>
    <v>70.86</v>
    <v>70.989999999999995</v>
    <v>70.34</v>
    <v>70.88</v>
    <v>71.540000000000006</v>
    <v>71.849999999999994</v>
    <v>71.36</v>
    <v>70.790000000000006</v>
    <v>70.89</v>
    <v>70.8</v>
    <v>71.03</v>
    <v>71.61</v>
    <v>71.3</v>
    <v>71.739999999999995</v>
    <v>71.05</v>
    <v>71.260000000000005</v>
    <v>71.63</v>
    <v>71.88</v>
    <v>72.05</v>
    <v>70.98</v>
    <v>68.8</v>
    <v>69.86</v>
    <v>69.08</v>
    <v>68.739999999999995</v>
    <v>67.55</v>
    <v>68.86</v>
    <v>68.400000000000006</v>
    <v>67.930000000000007</v>
    <v>67.23</v>
    <v>67.239999999999995</v>
    <v>67.69</v>
    <v>67.760000000000005</v>
    <v>65.959999999999994</v>
    <v>64.63</v>
    <v>65.33</v>
    <v>65.37</v>
    <v>66.489999999999995</v>
    <v>66.03</v>
    <v>65.03</v>
    <v>65.42</v>
    <v>66.33</v>
    <v>67.72</v>
    <v>67.42</v>
    <v>66.97</v>
    <v>69.77</v>
    <v>69.64</v>
    <v>70.02</v>
    <v>69.989999999999995</v>
    <v>70.989999999999995</v>
    <v>71</v>
    <v>71.39</v>
    <v>72.63</v>
    <v>72.010000000000005</v>
    <v>71.73</v>
    <v>71.67</v>
    <v>71.39</v>
    <v>70.83</v>
    <v>70.790000000000006</v>
    <v>70.31</v>
    <v>70.05</v>
    <v>71.05</v>
    <v>70.760000000000005</v>
    <v>71.33</v>
    <v>72.709999999999994</v>
    <v>72.16</v>
    <v>72.06</v>
    <v>72.010000000000005</v>
    <v>70.989999999999995</v>
    <v>71.58</v>
    <v>72.44</v>
    <v>71.27</v>
    <v>71.63</v>
    <v>71.55</v>
    <v>72.540000000000006</v>
    <v>72.790000000000006</v>
    <v>73.39</v>
    <v>74.69</v>
    <v>73.790000000000006</v>
    <v>73.73</v>
    <v>73.72</v>
    <v>73.64</v>
    <v>73</v>
    <v>73.31</v>
    <v>72.7</v>
    <v>72.989999999999995</v>
    <v>72.430000000000007</v>
    <v>72.14</v>
    <v>71.64</v>
    <v>71.55</v>
    <v>71.64</v>
    <v>73.010000000000005</v>
    <v>73.45</v>
    <v>73.11</v>
    <v>73.19</v>
    <v>72.680000000000007</v>
    <v>72.48</v>
    <v>72.78</v>
    <v>72.09</v>
    <v>72.08</v>
    <v>72.22</v>
    <v>71.78</v>
    <v>71.430000000000007</v>
    <v>71.73</v>
    <v>72.209999999999994</v>
    <v>72.930000000000007</v>
    <v>73.900000000000006</v>
    <v>73.790000000000006</v>
    <v>73.040000000000006</v>
    <v>71.760000000000005</v>
    <v>72.41</v>
    <v>72.55</v>
    <v>72.709999999999994</v>
    <v>72.88</v>
    <v>73.239999999999995</v>
    <v>73.459999999999994</v>
    <v>73.17</v>
    <v>72.88</v>
    <v>73.400000000000006</v>
    <v>73.819999999999993</v>
    <v>72.91</v>
    <v>73.55</v>
    <v>73.599999999999994</v>
    <v>73.92</v>
    <v>73.72</v>
    <v>74.290000000000006</v>
    <v>73.95</v>
    <v>74.650000000000006</v>
    <v>75.27</v>
    <v>75.349999999999994</v>
    <v>75.56</v>
    <v>75.77</v>
    <v>75.5</v>
    <v>75.55</v>
    <v>75.709999999999994</v>
    <v>75.98</v>
    <v>76.069999999999993</v>
    <v>75.650000000000006</v>
    <v>74.87</v>
    <v>74.849999999999994</v>
    <v>74.56</v>
    <v>75.260000000000005</v>
    <v>75.23</v>
    <v>75.77</v>
    <v>75.86</v>
    <v>75.989999999999995</v>
    <v>76.260000000000005</v>
    <v>75.77</v>
    <v>75.19</v>
    <v>74.61</v>
    <v>75.31</v>
    <v>75.510000000000005</v>
    <v>75.42</v>
    <v>75.36</v>
    <v>74.45</v>
    <v>73.77</v>
    <v>73.97</v>
    <v>73.3</v>
    <v>73.239999999999995</v>
    <v>73.88</v>
    <v>74.45</v>
    <v>73.760000000000005</v>
    <v>74.680000000000007</v>
    <v>75.010000000000005</v>
    <v>74.41</v>
    <v>73.5</v>
    <v>73.69</v>
    <v>73.86</v>
    <v>73.77</v>
    <v>73.91</v>
    <v>73.03</v>
    <v>73.37</v>
    <v>73.47</v>
    <v>73.86</v>
    <v>73.08</v>
    <v>72.459999999999994</v>
    <v>73.45</v>
    <v>73.62</v>
    <v>73.930000000000007</v>
    <v>73.989999999999995</v>
    <v>73.97</v>
    <v>74.63</v>
    <v>74.209999999999994</v>
    <v>74.17</v>
    <v>74.77</v>
    <v>73.78</v>
    <v>73.69</v>
  </a>
  <a r="1" c="761">
    <v>11.804</v>
    <v>11.938000000000001</v>
    <v>11.794</v>
    <v>11.57</v>
    <v>11.694000000000001</v>
    <v>11.558</v>
    <v>11.644</v>
    <v>11.834</v>
    <v>12.036</v>
    <v>12.04</v>
    <v>12.156000000000001</v>
    <v>12.314</v>
    <v>12.25</v>
    <v>12.327999999999999</v>
    <v>12.358000000000001</v>
    <v>12.45</v>
    <v>12.506</v>
    <v>12.56</v>
    <v>12.468</v>
    <v>12.484</v>
    <v>12.536</v>
    <v>12.507999999999999</v>
    <v>12.662000000000001</v>
    <v>12.63</v>
    <v>12.55</v>
    <v>12.57</v>
    <v>12.522</v>
    <v>12.558</v>
    <v>12.516</v>
    <v>12.972</v>
    <v>12.522</v>
    <v>12.651999999999999</v>
    <v>12.654</v>
    <v>12.708</v>
    <v>13.141999999999999</v>
    <v>12.912000000000001</v>
    <v>12.988</v>
    <v>13.183999999999999</v>
    <v>12.95</v>
    <v>13.14</v>
    <v>13.238</v>
    <v>13.164</v>
    <v>13.214</v>
    <v>13.086</v>
    <v>13.134</v>
    <v>13.093999999999999</v>
    <v>13.157999999999999</v>
    <v>13.061999999999999</v>
    <v>12.94</v>
    <v>12.916</v>
    <v>12.946</v>
    <v>12.852</v>
    <v>12.938000000000001</v>
    <v>13.128</v>
    <v>13.128</v>
    <v>13.098000000000001</v>
    <v>13.75</v>
    <v>13.234</v>
    <v>13.346</v>
    <v>13.254</v>
    <v>13.478</v>
    <v>13.528</v>
    <v>13.734</v>
    <v>13.752000000000001</v>
    <v>13.888</v>
    <v>13.992000000000001</v>
    <v>13.853999999999999</v>
    <v>13.906000000000001</v>
    <v>13.93</v>
    <v>13.657999999999999</v>
    <v>14.43</v>
    <v>14.016</v>
    <v>14.054</v>
    <v>14.077999999999999</v>
    <v>14.25</v>
    <v>14.242000000000001</v>
    <v>14.318</v>
    <v>14.488</v>
    <v>14.198</v>
    <v>14.366</v>
    <v>14.304</v>
    <v>14.224</v>
    <v>14.173999999999999</v>
    <v>13.912000000000001</v>
    <v>13.978</v>
    <v>14.288</v>
    <v>14.294</v>
    <v>14.257999999999999</v>
    <v>14.194000000000001</v>
    <v>14.23</v>
    <v>14.295999999999999</v>
    <v>14.452</v>
    <v>14.488</v>
    <v>14.206</v>
    <v>14.262</v>
    <v>14.382</v>
    <v>14.304</v>
    <v>14.2</v>
    <v>14.324</v>
    <v>14.23</v>
    <v>14.273999999999999</v>
    <v>14.112</v>
    <v>14.26</v>
    <v>14.252000000000001</v>
    <v>14.3</v>
    <v>14.667999999999999</v>
    <v>14.568</v>
    <v>14.55</v>
    <v>14.584</v>
    <v>14.497999999999999</v>
    <v>14.56</v>
    <v>14.452</v>
    <v>14.542</v>
    <v>14.504</v>
    <v>14.404</v>
    <v>14.42</v>
    <v>14.324</v>
    <v>14.385999999999999</v>
    <v>14.555999999999999</v>
    <v>14.625999999999999</v>
    <v>14.624000000000001</v>
    <v>14.378</v>
    <v>14.268000000000001</v>
    <v>14.167999999999999</v>
    <v>13.906000000000001</v>
    <v>13.811999999999999</v>
    <v>14.055999999999999</v>
    <v>14.135999999999999</v>
    <v>13.885999999999999</v>
    <v>14.288</v>
    <v>14.272</v>
    <v>14</v>
    <v>14.023999999999999</v>
    <v>14.278</v>
    <v>14.391999999999999</v>
    <v>14.504</v>
    <v>14.497999999999999</v>
    <v>14.497999999999999</v>
    <v>14.518000000000001</v>
    <v>14.53</v>
    <v>14.552</v>
    <v>14.678000000000001</v>
    <v>14.802</v>
    <v>14.724</v>
    <v>14.816000000000001</v>
    <v>14.832000000000001</v>
    <v>14.922000000000001</v>
    <v>14.994</v>
    <v>14.96</v>
    <v>14.972</v>
    <v>14.95</v>
    <v>14.978</v>
    <v>14.802</v>
    <v>14.538</v>
    <v>14.708</v>
    <v>14.708</v>
    <v>15.01</v>
    <v>15.08</v>
    <v>15.19</v>
    <v>15.282</v>
    <v>15.343999999999999</v>
    <v>15.494</v>
    <v>15.62</v>
    <v>15.832000000000001</v>
    <v>15.846</v>
    <v>15.956</v>
    <v>16.018000000000001</v>
    <v>16.038</v>
    <v>15.928000000000001</v>
    <v>15.795999999999999</v>
    <v>15.843999999999999</v>
    <v>15.9</v>
    <v>15.885999999999999</v>
    <v>15.986000000000001</v>
    <v>15.858000000000001</v>
    <v>15.974</v>
    <v>16.058</v>
    <v>16.084</v>
    <v>16.2</v>
    <v>16.276</v>
    <v>16.332000000000001</v>
    <v>16.367999999999999</v>
    <v>16.132000000000001</v>
    <v>16.173999999999999</v>
    <v>16.231999999999999</v>
    <v>16.134</v>
    <v>15.73</v>
    <v>15.536</v>
    <v>15.51</v>
    <v>15.576000000000001</v>
    <v>15.81</v>
    <v>15.3</v>
    <v>15.138</v>
    <v>15.074</v>
    <v>15.18</v>
    <v>15.082000000000001</v>
    <v>15.432</v>
    <v>15.308</v>
    <v>14.51</v>
    <v>14.16</v>
    <v>14.326000000000001</v>
    <v>14.492000000000001</v>
    <v>14.465999999999999</v>
    <v>14.552</v>
    <v>14.624000000000001</v>
    <v>14.872</v>
    <v>14.882</v>
    <v>15.273999999999999</v>
    <v>15.268000000000001</v>
    <v>15.334</v>
    <v>15.327999999999999</v>
    <v>15.334</v>
    <v>15.202</v>
    <v>15.103999999999999</v>
    <v>15.13</v>
    <v>14.992000000000001</v>
    <v>15.252000000000001</v>
    <v>15.151999999999999</v>
    <v>15.29</v>
    <v>14.978</v>
    <v>14.784000000000001</v>
    <v>14.673999999999999</v>
    <v>14.398</v>
    <v>14.507999999999999</v>
    <v>14.682</v>
    <v>14.634</v>
    <v>15.076000000000001</v>
    <v>15.192</v>
    <v>15.036</v>
    <v>15.164</v>
    <v>15.082000000000001</v>
    <v>15.42</v>
    <v>15.257999999999999</v>
    <v>15.407999999999999</v>
    <v>15.401999999999999</v>
    <v>15.468</v>
    <v>15.48</v>
    <v>15.518000000000001</v>
    <v>15.494</v>
    <v>15.372</v>
    <v>15.53</v>
    <v>15.542</v>
    <v>15.641999999999999</v>
    <v>15.714</v>
    <v>15.788</v>
    <v>15.942</v>
    <v>16.007999999999999</v>
    <v>15.976000000000001</v>
    <v>16.141999999999999</v>
    <v>16.018000000000001</v>
    <v>16.006</v>
    <v>16.187999999999999</v>
    <v>16.192</v>
    <v>16.122</v>
    <v>16.236000000000001</v>
    <v>16.152000000000001</v>
    <v>16.149999999999999</v>
    <v>16.358000000000001</v>
    <v>16.3</v>
    <v>16.378</v>
    <v>16.315999999999999</v>
    <v>15.884</v>
    <v>16.007999999999999</v>
    <v>15.92</v>
    <v>15.98</v>
    <v>16.622</v>
    <v>16.852</v>
    <v>16.995999999999999</v>
    <v>17.117999999999999</v>
    <v>17.166</v>
    <v>17.190000000000001</v>
    <v>17.173999999999999</v>
    <v>16.782</v>
    <v>16.846</v>
    <v>16.808</v>
    <v>16.850000000000001</v>
    <v>17.058</v>
    <v>17.213999999999999</v>
    <v>17.2</v>
    <v>17.236000000000001</v>
    <v>16.905999999999999</v>
    <v>17.071999999999999</v>
    <v>17.14</v>
    <v>17.408000000000001</v>
    <v>17.440000000000001</v>
    <v>17.574000000000002</v>
    <v>17.571999999999999</v>
    <v>17.652000000000001</v>
    <v>17.538</v>
    <v>17.643999999999998</v>
    <v>17.908000000000001</v>
    <v>17.87</v>
    <v>17.861999999999998</v>
    <v>18.134</v>
    <v>18.141999999999999</v>
    <v>18.149999999999999</v>
    <v>17.763999999999999</v>
    <v>17.77</v>
    <v>17.78</v>
    <v>17.768000000000001</v>
    <v>17.655999999999999</v>
    <v>17.794</v>
    <v>17.834</v>
    <v>18.05</v>
    <v>17.832000000000001</v>
    <v>17.792000000000002</v>
    <v>17.768000000000001</v>
    <v>17.536000000000001</v>
    <v>17.472000000000001</v>
    <v>17.443999999999999</v>
    <v>17.792000000000002</v>
    <v>17.847999999999999</v>
    <v>18.042000000000002</v>
    <v>17.936</v>
    <v>17.84</v>
    <v>18.184000000000001</v>
    <v>18.12</v>
    <v>17.995999999999999</v>
    <v>17.36</v>
    <v>17.648</v>
    <v>17.736000000000001</v>
    <v>17.78</v>
    <v>18.138000000000002</v>
    <v>17.873999999999999</v>
    <v>17.962</v>
    <v>17.858000000000001</v>
    <v>18.091999999999999</v>
    <v>18.044</v>
    <v>18.254000000000001</v>
    <v>18.16</v>
    <v>18.013999999999999</v>
    <v>18.155999999999999</v>
    <v>18.166</v>
    <v>18.3</v>
    <v>18.294</v>
    <v>18.414000000000001</v>
    <v>18.175999999999998</v>
    <v>18.149999999999999</v>
    <v>17.79</v>
    <v>17.29</v>
    <v>17.57</v>
    <v>17.495999999999999</v>
    <v>17.173999999999999</v>
    <v>17.198</v>
    <v>16.536000000000001</v>
    <v>16.251999999999999</v>
    <v>16.303999999999998</v>
    <v>15.843999999999999</v>
    <v>15.667999999999999</v>
    <v>15.337999999999999</v>
    <v>15.586</v>
    <v>15.37</v>
    <v>15.614000000000001</v>
    <v>15.58</v>
    <v>15.442</v>
    <v>15.66</v>
    <v>15.704000000000001</v>
    <v>15.696</v>
    <v>16.143999999999998</v>
    <v>16.204000000000001</v>
    <v>16.056000000000001</v>
    <v>15.952</v>
    <v>15.444000000000001</v>
    <v>15.263999999999999</v>
    <v>15.548</v>
    <v>15.57</v>
    <v>14.65</v>
    <v>14.042</v>
    <v>13.683999999999999</v>
    <v>14.156000000000001</v>
    <v>13.5</v>
    <v>14.19</v>
    <v>13.974</v>
    <v>14.326000000000001</v>
    <v>14.465999999999999</v>
    <v>14.173999999999999</v>
    <v>13.88</v>
    <v>13.757999999999999</v>
    <v>14.31</v>
    <v>14.52</v>
    <v>14.656000000000001</v>
    <v>14.63</v>
    <v>14.776</v>
    <v>14.77</v>
    <v>15.314</v>
    <v>15.294</v>
    <v>15.151999999999999</v>
    <v>15.061999999999999</v>
    <v>15.45</v>
    <v>15.42</v>
    <v>16.128</v>
    <v>16.436</v>
    <v>16.457999999999998</v>
    <v>16.526</v>
    <v>16.577999999999999</v>
    <v>16.422000000000001</v>
    <v>16.43</v>
    <v>16.39</v>
    <v>16.231999999999999</v>
    <v>15.974</v>
    <v>16.135999999999999</v>
    <v>16.309999999999999</v>
    <v>16.420000000000002</v>
    <v>16.315999999999999</v>
    <v>16.282</v>
    <v>16.167999999999999</v>
    <v>16.475999999999999</v>
    <v>16.478000000000002</v>
    <v>16.57</v>
    <v>16.553999999999998</v>
    <v>16.544</v>
    <v>16.52</v>
    <v>16.596</v>
    <v>16.405999999999999</v>
    <v>16.327999999999999</v>
    <v>16.416</v>
    <v>16.423999999999999</v>
    <v>16.411999999999999</v>
    <v>16.262</v>
    <v>16.303999999999998</v>
    <v>16.326000000000001</v>
    <v>16.524000000000001</v>
    <v>16.588000000000001</v>
    <v>16.565999999999999</v>
    <v>16.704000000000001</v>
    <v>16.68</v>
    <v>16.556000000000001</v>
    <v>16.638000000000002</v>
    <v>16.850000000000001</v>
    <v>16.722000000000001</v>
    <v>16.783999999999999</v>
    <v>16.795999999999999</v>
    <v>16.872</v>
    <v>16.93</v>
    <v>16.882000000000001</v>
    <v>16.948</v>
    <v>17.170000000000002</v>
    <v>16.925999999999998</v>
    <v>17.251999999999999</v>
    <v>17.161999999999999</v>
    <v>17.198</v>
    <v>17.036000000000001</v>
    <v>17.036000000000001</v>
    <v>17.108000000000001</v>
    <v>17.196000000000002</v>
    <v>17.41</v>
    <v>17.55</v>
    <v>17.638000000000002</v>
    <v>17.756</v>
    <v>17.106000000000002</v>
    <v>17.312000000000001</v>
    <v>17.257999999999999</v>
    <v>17.303999999999998</v>
    <v>17.454000000000001</v>
    <v>17.5</v>
    <v>17.666</v>
    <v>17.634</v>
    <v>17.64</v>
    <v>17.712</v>
    <v>17.584</v>
    <v>17.462</v>
    <v>17.244</v>
    <v>17.306000000000001</v>
    <v>17.422000000000001</v>
    <v>17.472000000000001</v>
    <v>17.452000000000002</v>
    <v>17.591999999999999</v>
    <v>17.564</v>
    <v>17.372</v>
    <v>17.384</v>
    <v>17.149999999999999</v>
    <v>17.364000000000001</v>
    <v>17.521999999999998</v>
    <v>17.428000000000001</v>
    <v>17.608000000000001</v>
    <v>17.568000000000001</v>
    <v>17.687999999999999</v>
    <v>17.751999999999999</v>
    <v>17.821999999999999</v>
    <v>17.878</v>
    <v>17.786000000000001</v>
    <v>17.702000000000002</v>
    <v>18.074000000000002</v>
    <v>18.094000000000001</v>
    <v>18.181999999999999</v>
    <v>18.187999999999999</v>
    <v>18.155999999999999</v>
    <v>18.158000000000001</v>
    <v>18.108000000000001</v>
    <v>18.234000000000002</v>
    <v>18.186</v>
    <v>18.276</v>
    <v>18.425999999999998</v>
    <v>18.423999999999999</v>
    <v>18.510000000000002</v>
    <v>18.494</v>
    <v>18.706</v>
    <v>18.803999999999998</v>
    <v>18.329999999999998</v>
    <v>18.533999999999999</v>
    <v>18.382000000000001</v>
    <v>18.53</v>
    <v>18.492000000000001</v>
    <v>18.288</v>
    <v>18.725999999999999</v>
    <v>18.765999999999998</v>
    <v>18.588000000000001</v>
    <v>18.712</v>
    <v>18.936</v>
    <v>19.206</v>
    <v>19.309999999999999</v>
    <v>19.434000000000001</v>
    <v>19.452000000000002</v>
    <v>19.468</v>
    <v>19.515999999999998</v>
    <v>19.36</v>
    <v>19.373999999999999</v>
    <v>18.931999999999999</v>
    <v>18.501999999999999</v>
    <v>19.068000000000001</v>
    <v>19.02</v>
    <v>19.082000000000001</v>
    <v>18.738</v>
    <v>18.792000000000002</v>
    <v>18.718</v>
    <v>18.416</v>
    <v>18.53</v>
    <v>18.690000000000001</v>
    <v>18.196000000000002</v>
    <v>18.675999999999998</v>
    <v>18.622</v>
    <v>18.908000000000001</v>
    <v>18.898</v>
    <v>18.972000000000001</v>
    <v>18.922000000000001</v>
    <v>18.995999999999999</v>
    <v>19</v>
    <v>19.032</v>
    <v>19.148</v>
    <v>19.158000000000001</v>
    <v>19.166</v>
    <v>19.11</v>
    <v>18.818000000000001</v>
    <v>18.658000000000001</v>
    <v>18.606000000000002</v>
    <v>18.46</v>
    <v>18.321999999999999</v>
    <v>18.622</v>
    <v>18.774000000000001</v>
    <v>18.82</v>
    <v>18.826000000000001</v>
    <v>18.832000000000001</v>
    <v>18.884</v>
    <v>18.666</v>
    <v>18.904</v>
    <v>18.95</v>
    <v>19.117999999999999</v>
    <v>18.968</v>
    <v>19.190000000000001</v>
    <v>19.172000000000001</v>
    <v>19.236000000000001</v>
    <v>18.934000000000001</v>
    <v>19.27</v>
    <v>19.154</v>
    <v>18.794</v>
    <v>18.712</v>
    <v>18.794</v>
    <v>18.891999999999999</v>
    <v>18.925999999999998</v>
    <v>18.844000000000001</v>
    <v>18.824000000000002</v>
    <v>18.96</v>
    <v>18.606000000000002</v>
    <v>18.797999999999998</v>
    <v>18.978000000000002</v>
    <v>18.7</v>
    <v>18.382000000000001</v>
    <v>18.193999999999999</v>
    <v>18.341999999999999</v>
    <v>18.454000000000001</v>
    <v>18.431999999999999</v>
    <v>18.382000000000001</v>
    <v>18.138000000000002</v>
    <v>18.143999999999998</v>
    <v>18.077999999999999</v>
    <v>18.117999999999999</v>
    <v>18.41</v>
    <v>18.350000000000001</v>
    <v>18.425999999999998</v>
    <v>18.202000000000002</v>
    <v>18.39</v>
    <v>18.596</v>
    <v>18.440000000000001</v>
    <v>18.350000000000001</v>
    <v>18.489999999999998</v>
    <v>18.436</v>
    <v>18.739999999999998</v>
    <v>18.757999999999999</v>
    <v>18.576000000000001</v>
    <v>18.510000000000002</v>
    <v>18.742000000000001</v>
    <v>18.756</v>
    <v>18.61</v>
    <v>18.579999999999998</v>
    <v>18.654</v>
    <v>18.693999999999999</v>
    <v>18.606000000000002</v>
    <v>18.282</v>
    <v>18.114000000000001</v>
    <v>18.132000000000001</v>
    <v>18.09</v>
    <v>18.21</v>
    <v>17.952000000000002</v>
    <v>17.588000000000001</v>
    <v>17.622</v>
    <v>17.622</v>
    <v>18.05</v>
    <v>18.071999999999999</v>
    <v>17.962</v>
    <v>18.495999999999999</v>
    <v>18.553999999999998</v>
    <v>18.666</v>
    <v>18.692</v>
    <v>18.931999999999999</v>
    <v>19.178000000000001</v>
    <v>19.456</v>
    <v>19.678000000000001</v>
    <v>19.558</v>
    <v>19.678000000000001</v>
    <v>19.920000000000002</v>
    <v>20.055</v>
    <v>20.204999999999998</v>
    <v>20.18</v>
    <v>19.975999999999999</v>
    <v>20.204999999999998</v>
    <v>20.234999999999999</v>
    <v>20.52</v>
    <v>20.81</v>
    <v>21.065000000000001</v>
    <v>21.265000000000001</v>
    <v>21.484999999999999</v>
    <v>21.64</v>
    <v>21.36</v>
    <v>21.69</v>
    <v>22.08</v>
    <v>21.9</v>
    <v>21.605</v>
    <v>21.524999999999999</v>
    <v>21.86</v>
    <v>21.87</v>
    <v>22.21</v>
    <v>22.31</v>
    <v>22.405000000000001</v>
    <v>22.36</v>
    <v>22.555</v>
    <v>22.605</v>
    <v>22.815000000000001</v>
    <v>22.885000000000002</v>
    <v>22.925000000000001</v>
    <v>22.745000000000001</v>
    <v>22.355</v>
    <v>22.28</v>
    <v>21.69</v>
    <v>21.645</v>
    <v>21.74</v>
    <v>22.3</v>
    <v>22.88</v>
    <v>22.684999999999999</v>
    <v>22.59</v>
    <v>22.95</v>
    <v>23.035</v>
    <v>23.03</v>
    <v>22.53</v>
    <v>22.6</v>
    <v>22.434999999999999</v>
    <v>22.364999999999998</v>
    <v>22.44</v>
    <v>22.975000000000001</v>
    <v>22.995000000000001</v>
    <v>22.45</v>
    <v>22.56</v>
    <v>22.725000000000001</v>
    <v>22.12</v>
    <v>22.065000000000001</v>
    <v>22.58</v>
    <v>22.67</v>
    <v>22.52</v>
    <v>22.535</v>
    <v>22.405000000000001</v>
    <v>22.25</v>
    <v>21.745000000000001</v>
    <v>22.02</v>
    <v>22.23</v>
    <v>22.225000000000001</v>
    <v>21.715</v>
    <v>21.664999999999999</v>
    <v>21.34</v>
    <v>21.28</v>
    <v>20.98</v>
    <v>21.135000000000002</v>
    <v>21.24</v>
    <v>21.67</v>
    <v>22.315000000000001</v>
    <v>22.405000000000001</v>
    <v>22.265000000000001</v>
    <v>22.405000000000001</v>
    <v>22.355</v>
    <v>22.32</v>
    <v>22.44</v>
    <v>22.7</v>
    <v>22.524999999999999</v>
    <v>22.664999999999999</v>
    <v>22.19</v>
    <v>22.03</v>
    <v>21.79</v>
    <v>21.87</v>
    <v>21.69</v>
    <v>21.795000000000002</v>
    <v>21.81</v>
    <v>22.074999999999999</v>
    <v>22.305</v>
    <v>22.004999999999999</v>
    <v>21.93</v>
    <v>21.9</v>
    <v>22.105</v>
    <v>22.085000000000001</v>
    <v>22.14</v>
    <v>22.15</v>
    <v>22.04</v>
    <v>21.9</v>
    <v>22.125</v>
    <v>21.995000000000001</v>
    <v>21.875</v>
    <v>22.035</v>
    <v>22.32</v>
    <v>22.375</v>
    <v>22.995000000000001</v>
    <v>23.335000000000001</v>
    <v>23.315000000000001</v>
    <v>23.195</v>
    <v>23.35</v>
    <v>23.15</v>
    <v>23.315000000000001</v>
    <v>23.47</v>
    <v>23.52</v>
    <v>23.85</v>
    <v>24.065000000000001</v>
    <v>24.225000000000001</v>
    <v>24.19</v>
    <v>24.114999999999998</v>
    <v>23.99</v>
    <v>23.945</v>
    <v>23.684999999999999</v>
    <v>23.645</v>
    <v>23.145</v>
    <v>22.88</v>
    <v>23.125</v>
    <v>22.925000000000001</v>
    <v>23.145</v>
    <v>22.66</v>
    <v>22.66</v>
  </a>
  <a r="1" c="208">
    <v>18.666</v>
    <v>18.904</v>
    <v>18.95</v>
    <v>19.117999999999999</v>
    <v>18.968</v>
    <v>19.190000000000001</v>
    <v>19.172000000000001</v>
    <v>19.236000000000001</v>
    <v>18.934000000000001</v>
    <v>19.27</v>
    <v>19.154</v>
    <v>18.794</v>
    <v>18.712</v>
    <v>18.794</v>
    <v>18.891999999999999</v>
    <v>18.925999999999998</v>
    <v>18.844000000000001</v>
    <v>18.824000000000002</v>
    <v>18.96</v>
    <v>18.606000000000002</v>
    <v>18.797999999999998</v>
    <v>18.978000000000002</v>
    <v>18.7</v>
    <v>18.382000000000001</v>
    <v>18.193999999999999</v>
    <v>18.341999999999999</v>
    <v>18.454000000000001</v>
    <v>18.431999999999999</v>
    <v>18.382000000000001</v>
    <v>18.138000000000002</v>
    <v>18.143999999999998</v>
    <v>18.077999999999999</v>
    <v>18.117999999999999</v>
    <v>18.41</v>
    <v>18.350000000000001</v>
    <v>18.425999999999998</v>
    <v>18.202000000000002</v>
    <v>18.39</v>
    <v>18.596</v>
    <v>18.440000000000001</v>
    <v>18.350000000000001</v>
    <v>18.489999999999998</v>
    <v>18.436</v>
    <v>18.739999999999998</v>
    <v>18.757999999999999</v>
    <v>18.576000000000001</v>
    <v>18.510000000000002</v>
    <v>18.742000000000001</v>
    <v>18.756</v>
    <v>18.61</v>
    <v>18.579999999999998</v>
    <v>18.654</v>
    <v>18.693999999999999</v>
    <v>18.606000000000002</v>
    <v>18.282</v>
    <v>18.114000000000001</v>
    <v>18.132000000000001</v>
    <v>18.09</v>
    <v>18.21</v>
    <v>17.952000000000002</v>
    <v>17.588000000000001</v>
    <v>17.622</v>
    <v>17.622</v>
    <v>18.05</v>
    <v>18.071999999999999</v>
    <v>17.962</v>
    <v>18.495999999999999</v>
    <v>18.553999999999998</v>
    <v>18.666</v>
    <v>18.692</v>
    <v>18.931999999999999</v>
    <v>19.178000000000001</v>
    <v>19.456</v>
    <v>19.678000000000001</v>
    <v>19.558</v>
    <v>19.678000000000001</v>
    <v>19.920000000000002</v>
    <v>20.055</v>
    <v>20.204999999999998</v>
    <v>20.18</v>
    <v>19.975999999999999</v>
    <v>20.204999999999998</v>
    <v>20.234999999999999</v>
    <v>20.52</v>
    <v>20.81</v>
    <v>21.065000000000001</v>
    <v>21.265000000000001</v>
    <v>21.484999999999999</v>
    <v>21.64</v>
    <v>21.36</v>
    <v>21.69</v>
    <v>22.08</v>
    <v>21.9</v>
    <v>21.605</v>
    <v>21.524999999999999</v>
    <v>21.86</v>
    <v>21.87</v>
    <v>22.21</v>
    <v>22.31</v>
    <v>22.405000000000001</v>
    <v>22.36</v>
    <v>22.555</v>
    <v>22.605</v>
    <v>22.815000000000001</v>
    <v>22.885000000000002</v>
    <v>22.925000000000001</v>
    <v>22.745000000000001</v>
    <v>22.355</v>
    <v>22.28</v>
    <v>21.69</v>
    <v>21.645</v>
    <v>21.74</v>
    <v>22.3</v>
    <v>22.88</v>
    <v>22.684999999999999</v>
    <v>22.59</v>
    <v>22.95</v>
    <v>23.035</v>
    <v>23.03</v>
    <v>22.53</v>
    <v>22.6</v>
    <v>22.434999999999999</v>
    <v>22.364999999999998</v>
    <v>22.44</v>
    <v>22.975000000000001</v>
    <v>22.995000000000001</v>
    <v>22.45</v>
    <v>22.56</v>
    <v>22.725000000000001</v>
    <v>22.12</v>
    <v>22.065000000000001</v>
    <v>22.58</v>
    <v>22.67</v>
    <v>22.52</v>
    <v>22.535</v>
    <v>22.405000000000001</v>
    <v>22.25</v>
    <v>21.745000000000001</v>
    <v>22.02</v>
    <v>22.23</v>
    <v>22.225000000000001</v>
    <v>21.715</v>
    <v>21.664999999999999</v>
    <v>21.34</v>
    <v>21.28</v>
    <v>20.98</v>
    <v>21.135000000000002</v>
    <v>21.24</v>
    <v>21.67</v>
    <v>22.315000000000001</v>
    <v>22.405000000000001</v>
    <v>22.265000000000001</v>
    <v>22.405000000000001</v>
    <v>22.355</v>
    <v>22.32</v>
    <v>22.44</v>
    <v>22.7</v>
    <v>22.524999999999999</v>
    <v>22.664999999999999</v>
    <v>22.19</v>
    <v>22.03</v>
    <v>21.79</v>
    <v>21.87</v>
    <v>21.69</v>
    <v>21.795000000000002</v>
    <v>21.81</v>
    <v>22.074999999999999</v>
    <v>22.305</v>
    <v>22.004999999999999</v>
    <v>21.93</v>
    <v>21.9</v>
    <v>22.105</v>
    <v>22.085000000000001</v>
    <v>22.14</v>
    <v>22.15</v>
    <v>22.04</v>
    <v>21.9</v>
    <v>22.125</v>
    <v>21.995000000000001</v>
    <v>21.875</v>
    <v>22.035</v>
    <v>22.32</v>
    <v>22.375</v>
    <v>22.995000000000001</v>
    <v>23.335000000000001</v>
    <v>23.315000000000001</v>
    <v>23.195</v>
    <v>23.35</v>
    <v>23.15</v>
    <v>23.315000000000001</v>
    <v>23.47</v>
    <v>23.52</v>
    <v>23.85</v>
    <v>24.065000000000001</v>
    <v>24.225000000000001</v>
    <v>24.19</v>
    <v>24.114999999999998</v>
    <v>23.99</v>
    <v>23.945</v>
    <v>23.684999999999999</v>
    <v>23.645</v>
    <v>23.145</v>
    <v>22.88</v>
    <v>23.125</v>
    <v>22.925000000000001</v>
    <v>23.145</v>
    <v>22.66</v>
    <v>22.66</v>
  </a>
  <a r="1" c="254">
    <v>18.712</v>
    <v>18.936</v>
    <v>19.206</v>
    <v>19.309999999999999</v>
    <v>19.434000000000001</v>
    <v>19.452000000000002</v>
    <v>19.468</v>
    <v>19.515999999999998</v>
    <v>19.36</v>
    <v>19.373999999999999</v>
    <v>18.931999999999999</v>
    <v>18.501999999999999</v>
    <v>19.068000000000001</v>
    <v>19.02</v>
    <v>19.082000000000001</v>
    <v>18.738</v>
    <v>18.792000000000002</v>
    <v>18.718</v>
    <v>18.416</v>
    <v>18.53</v>
    <v>18.690000000000001</v>
    <v>18.196000000000002</v>
    <v>18.675999999999998</v>
    <v>18.622</v>
    <v>18.908000000000001</v>
    <v>18.898</v>
    <v>18.972000000000001</v>
    <v>18.922000000000001</v>
    <v>18.995999999999999</v>
    <v>19</v>
    <v>19.032</v>
    <v>19.148</v>
    <v>19.158000000000001</v>
    <v>19.166</v>
    <v>19.11</v>
    <v>18.818000000000001</v>
    <v>18.658000000000001</v>
    <v>18.606000000000002</v>
    <v>18.46</v>
    <v>18.321999999999999</v>
    <v>18.622</v>
    <v>18.774000000000001</v>
    <v>18.82</v>
    <v>18.826000000000001</v>
    <v>18.832000000000001</v>
    <v>18.884</v>
    <v>18.666</v>
    <v>18.904</v>
    <v>18.95</v>
    <v>19.117999999999999</v>
    <v>18.968</v>
    <v>19.190000000000001</v>
    <v>19.172000000000001</v>
    <v>19.236000000000001</v>
    <v>18.934000000000001</v>
    <v>19.27</v>
    <v>19.154</v>
    <v>18.794</v>
    <v>18.712</v>
    <v>18.794</v>
    <v>18.891999999999999</v>
    <v>18.925999999999998</v>
    <v>18.844000000000001</v>
    <v>18.824000000000002</v>
    <v>18.96</v>
    <v>18.606000000000002</v>
    <v>18.797999999999998</v>
    <v>18.978000000000002</v>
    <v>18.7</v>
    <v>18.382000000000001</v>
    <v>18.193999999999999</v>
    <v>18.341999999999999</v>
    <v>18.454000000000001</v>
    <v>18.431999999999999</v>
    <v>18.382000000000001</v>
    <v>18.138000000000002</v>
    <v>18.143999999999998</v>
    <v>18.077999999999999</v>
    <v>18.117999999999999</v>
    <v>18.41</v>
    <v>18.350000000000001</v>
    <v>18.425999999999998</v>
    <v>18.202000000000002</v>
    <v>18.39</v>
    <v>18.596</v>
    <v>18.440000000000001</v>
    <v>18.350000000000001</v>
    <v>18.489999999999998</v>
    <v>18.436</v>
    <v>18.739999999999998</v>
    <v>18.757999999999999</v>
    <v>18.576000000000001</v>
    <v>18.510000000000002</v>
    <v>18.742000000000001</v>
    <v>18.756</v>
    <v>18.61</v>
    <v>18.579999999999998</v>
    <v>18.654</v>
    <v>18.693999999999999</v>
    <v>18.606000000000002</v>
    <v>18.282</v>
    <v>18.114000000000001</v>
    <v>18.132000000000001</v>
    <v>18.09</v>
    <v>18.21</v>
    <v>17.952000000000002</v>
    <v>17.588000000000001</v>
    <v>17.622</v>
    <v>17.622</v>
    <v>18.05</v>
    <v>18.071999999999999</v>
    <v>17.962</v>
    <v>18.495999999999999</v>
    <v>18.553999999999998</v>
    <v>18.666</v>
    <v>18.692</v>
    <v>18.931999999999999</v>
    <v>19.178000000000001</v>
    <v>19.456</v>
    <v>19.678000000000001</v>
    <v>19.558</v>
    <v>19.678000000000001</v>
    <v>19.920000000000002</v>
    <v>20.055</v>
    <v>20.204999999999998</v>
    <v>20.18</v>
    <v>19.975999999999999</v>
    <v>20.204999999999998</v>
    <v>20.234999999999999</v>
    <v>20.52</v>
    <v>20.81</v>
    <v>21.065000000000001</v>
    <v>21.265000000000001</v>
    <v>21.484999999999999</v>
    <v>21.64</v>
    <v>21.36</v>
    <v>21.69</v>
    <v>22.08</v>
    <v>21.9</v>
    <v>21.605</v>
    <v>21.524999999999999</v>
    <v>21.86</v>
    <v>21.87</v>
    <v>22.21</v>
    <v>22.31</v>
    <v>22.405000000000001</v>
    <v>22.36</v>
    <v>22.555</v>
    <v>22.605</v>
    <v>22.815000000000001</v>
    <v>22.885000000000002</v>
    <v>22.925000000000001</v>
    <v>22.745000000000001</v>
    <v>22.355</v>
    <v>22.28</v>
    <v>21.69</v>
    <v>21.645</v>
    <v>21.74</v>
    <v>22.3</v>
    <v>22.88</v>
    <v>22.684999999999999</v>
    <v>22.59</v>
    <v>22.95</v>
    <v>23.035</v>
    <v>23.03</v>
    <v>22.53</v>
    <v>22.6</v>
    <v>22.434999999999999</v>
    <v>22.364999999999998</v>
    <v>22.44</v>
    <v>22.975000000000001</v>
    <v>22.995000000000001</v>
    <v>22.45</v>
    <v>22.56</v>
    <v>22.725000000000001</v>
    <v>22.12</v>
    <v>22.065000000000001</v>
    <v>22.58</v>
    <v>22.67</v>
    <v>22.52</v>
    <v>22.535</v>
    <v>22.405000000000001</v>
    <v>22.25</v>
    <v>21.745000000000001</v>
    <v>22.02</v>
    <v>22.23</v>
    <v>22.225000000000001</v>
    <v>21.715</v>
    <v>21.664999999999999</v>
    <v>21.34</v>
    <v>21.28</v>
    <v>20.98</v>
    <v>21.135000000000002</v>
    <v>21.24</v>
    <v>21.67</v>
    <v>22.315000000000001</v>
    <v>22.405000000000001</v>
    <v>22.265000000000001</v>
    <v>22.405000000000001</v>
    <v>22.355</v>
    <v>22.32</v>
    <v>22.44</v>
    <v>22.7</v>
    <v>22.524999999999999</v>
    <v>22.664999999999999</v>
    <v>22.19</v>
    <v>22.03</v>
    <v>21.79</v>
    <v>21.87</v>
    <v>21.69</v>
    <v>21.795000000000002</v>
    <v>21.81</v>
    <v>22.074999999999999</v>
    <v>22.305</v>
    <v>22.004999999999999</v>
    <v>21.93</v>
    <v>21.9</v>
    <v>22.105</v>
    <v>22.085000000000001</v>
    <v>22.14</v>
    <v>22.15</v>
    <v>22.04</v>
    <v>21.9</v>
    <v>22.125</v>
    <v>21.995000000000001</v>
    <v>21.875</v>
    <v>22.035</v>
    <v>22.32</v>
    <v>22.375</v>
    <v>22.995000000000001</v>
    <v>23.335000000000001</v>
    <v>23.315000000000001</v>
    <v>23.195</v>
    <v>23.35</v>
    <v>23.15</v>
    <v>23.315000000000001</v>
    <v>23.47</v>
    <v>23.52</v>
    <v>23.85</v>
    <v>24.065000000000001</v>
    <v>24.225000000000001</v>
    <v>24.19</v>
    <v>24.114999999999998</v>
    <v>23.99</v>
    <v>23.945</v>
    <v>23.684999999999999</v>
    <v>23.645</v>
    <v>23.145</v>
    <v>22.88</v>
    <v>23.125</v>
    <v>22.925000000000001</v>
    <v>23.145</v>
    <v>22.66</v>
    <v>22.66</v>
  </a>
  <a r="1" c="205">
    <v>2.21</v>
    <v>2.36</v>
    <v>2.39</v>
    <v>2.29</v>
    <v>2.4700000000000002</v>
    <v>2.36</v>
    <v>2.31</v>
    <v>2.33</v>
    <v>2.29</v>
    <v>2.37</v>
    <v>2.41</v>
    <v>2.37</v>
    <v>2.34</v>
    <v>2.4500000000000002</v>
    <v>2.67</v>
    <v>2.65</v>
    <v>2.84</v>
    <v>3.31</v>
    <v>2.8</v>
    <v>3.05</v>
    <v>2.93</v>
    <v>2.77</v>
    <v>2.66</v>
    <v>2.4900000000000002</v>
    <v>2.3199999999999998</v>
    <v>2.57</v>
    <v>2.52</v>
    <v>2.46</v>
    <v>2.46</v>
    <v>2.39</v>
    <v>3.92</v>
    <v>5.73</v>
    <v>5.48</v>
    <v>6.66</v>
    <v>7</v>
    <v>5.9850000000000003</v>
    <v>5.3049999999999997</v>
    <v>6.13</v>
    <v>5.21</v>
    <v>5.04</v>
    <v>5.24</v>
    <v>4.8099999999999996</v>
    <v>4.79</v>
    <v>4.76</v>
    <v>4.54</v>
    <v>4.5599999999999996</v>
    <v>5.0199999999999996</v>
    <v>5.0999999999999996</v>
    <v>4.8899999999999997</v>
    <v>4.5999999999999996</v>
    <v>4.7699999999999996</v>
    <v>4.72</v>
    <v>4.3600000000000003</v>
    <v>4.3600000000000003</v>
    <v>4.25</v>
    <v>4.59</v>
    <v>4.82</v>
    <v>4.55</v>
    <v>3.9049999999999998</v>
    <v>3.74</v>
    <v>3.58</v>
    <v>3.81</v>
    <v>4.04</v>
    <v>4.07</v>
    <v>4.2</v>
    <v>4.07</v>
    <v>4.42</v>
    <v>4.53</v>
    <v>5.09</v>
    <v>5.45</v>
    <v>5.04</v>
    <v>5.14</v>
    <v>5.32</v>
    <v>5.35</v>
    <v>6.34</v>
    <v>6.61</v>
    <v>6.34</v>
    <v>6.19</v>
    <v>8.6</v>
    <v>7.63</v>
    <v>7.31</v>
    <v>7.25</v>
    <v>8.18</v>
    <v>11.09</v>
    <v>10.37</v>
    <v>10.56</v>
    <v>9.1300000000000008</v>
    <v>8.1</v>
    <v>8.41</v>
    <v>8.2799999999999994</v>
    <v>8.35</v>
    <v>9.89</v>
    <v>9.6300000000000008</v>
    <v>8.8000000000000007</v>
    <v>8.0050000000000008</v>
    <v>7.49</v>
    <v>7.68</v>
    <v>8.51</v>
    <v>9.24</v>
    <v>12.11</v>
    <v>11.03</v>
    <v>11.17</v>
    <v>9.98</v>
    <v>9.67</v>
    <v>9.85</v>
    <v>9.1</v>
    <v>9.0500000000000007</v>
    <v>8.26</v>
    <v>8.36</v>
    <v>8.0500000000000007</v>
    <v>8.02</v>
    <v>8.75</v>
    <v>9</v>
    <v>9.5</v>
    <v>8.81</v>
    <v>8.17</v>
    <v>9</v>
    <v>8.26</v>
    <v>7.53</v>
    <v>7.41</v>
    <v>7.31</v>
    <v>7.08</v>
    <v>7.61</v>
    <v>8.7100000000000009</v>
    <v>8.2799999999999994</v>
    <v>7.41</v>
    <v>7.3550000000000004</v>
    <v>6.78</v>
    <v>6.82</v>
    <v>6.83</v>
    <v>6.63</v>
    <v>6.25</v>
    <v>6.39</v>
    <v>6.14</v>
    <v>5.69</v>
    <v>5.62</v>
    <v>5.48</v>
    <v>5.8550000000000004</v>
    <v>5.78</v>
    <v>5.58</v>
    <v>5.18</v>
    <v>5.25</v>
    <v>4.83</v>
    <v>4.4649999999999999</v>
    <v>5.09</v>
    <v>5.16</v>
    <v>5.29</v>
    <v>5.65</v>
    <v>5.24</v>
    <v>5.3150000000000004</v>
    <v>5.48</v>
    <v>5.37</v>
    <v>5.57</v>
    <v>5.53</v>
    <v>5.42</v>
    <v>5.6</v>
    <v>5.42</v>
    <v>4.92</v>
    <v>4.7300000000000004</v>
    <v>4.79</v>
    <v>4.78</v>
    <v>4.5199999999999996</v>
    <v>4.57</v>
    <v>4.5</v>
    <v>4.47</v>
    <v>4.2</v>
    <v>4.16</v>
    <v>3.94</v>
    <v>4</v>
    <v>3.94</v>
    <v>4.04</v>
    <v>4.1399999999999997</v>
    <v>4.1100000000000003</v>
    <v>4.07</v>
    <v>4.1500000000000004</v>
    <v>3.93</v>
    <v>3.84</v>
    <v>3.87</v>
    <v>3.98</v>
    <v>4.12</v>
    <v>4.3899999999999997</v>
    <v>4.4800000000000004</v>
    <v>4.3099999999999996</v>
    <v>4.34</v>
    <v>4.3499999999999996</v>
    <v>4.1500000000000004</v>
    <v>4.2300000000000004</v>
    <v>4.3600000000000003</v>
    <v>4.6900000000000004</v>
    <v>4.71</v>
    <v>4.62</v>
    <v>4.46</v>
    <v>4.37</v>
    <v>4.13</v>
    <v>4.16</v>
    <v>3.91</v>
    <v>3.8</v>
    <v>3.49</v>
    <v>3.3250000000000002</v>
    <v>3.08</v>
    <v>3.06</v>
    <v>2.99</v>
    <v>3.02</v>
    <v>3.08</v>
    <v>2.94</v>
  </a>
  <a r="1" c="252">
    <v>3.23</v>
    <v>3.15</v>
    <v>3.3</v>
    <v>3.25</v>
    <v>3.17</v>
    <v>3.01</v>
    <v>3.16</v>
    <v>2.87</v>
    <v>2.84</v>
    <v>2.82</v>
    <v>2.58</v>
    <v>2.7</v>
    <v>2.5099999999999998</v>
    <v>2.4500000000000002</v>
    <v>2.4</v>
    <v>2.31</v>
    <v>2.17</v>
    <v>2.1</v>
    <v>2.19</v>
    <v>2.19</v>
    <v>1.99</v>
    <v>1.99</v>
    <v>2.1800000000000002</v>
    <v>2.41</v>
    <v>2.38</v>
    <v>2.48</v>
    <v>2.4</v>
    <v>2.29</v>
    <v>2.46</v>
    <v>2.5099999999999998</v>
    <v>2.4900000000000002</v>
    <v>2.41</v>
    <v>2.6</v>
    <v>2.58</v>
    <v>2.54</v>
    <v>2.37</v>
    <v>2.33</v>
    <v>2.44</v>
    <v>2.29</v>
    <v>2.21</v>
    <v>2.33</v>
    <v>2.2400000000000002</v>
    <v>2.2599999999999998</v>
    <v>2.25</v>
    <v>2.16</v>
    <v>2.2000000000000002</v>
    <v>2.19</v>
    <v>2.21</v>
    <v>2.36</v>
    <v>2.39</v>
    <v>2.29</v>
    <v>2.4700000000000002</v>
    <v>2.36</v>
    <v>2.31</v>
    <v>2.33</v>
    <v>2.29</v>
    <v>2.37</v>
    <v>2.41</v>
    <v>2.37</v>
    <v>2.34</v>
    <v>2.4500000000000002</v>
    <v>2.67</v>
    <v>2.65</v>
    <v>2.84</v>
    <v>3.31</v>
    <v>2.8</v>
    <v>3.05</v>
    <v>2.93</v>
    <v>2.77</v>
    <v>2.66</v>
    <v>2.4900000000000002</v>
    <v>2.3199999999999998</v>
    <v>2.57</v>
    <v>2.52</v>
    <v>2.46</v>
    <v>2.46</v>
    <v>2.39</v>
    <v>3.92</v>
    <v>5.73</v>
    <v>5.48</v>
    <v>6.66</v>
    <v>7</v>
    <v>5.9850000000000003</v>
    <v>5.3049999999999997</v>
    <v>6.13</v>
    <v>5.21</v>
    <v>5.04</v>
    <v>5.24</v>
    <v>4.8099999999999996</v>
    <v>4.79</v>
    <v>4.76</v>
    <v>4.54</v>
    <v>4.5599999999999996</v>
    <v>5.0199999999999996</v>
    <v>5.0999999999999996</v>
    <v>4.8899999999999997</v>
    <v>4.5999999999999996</v>
    <v>4.7699999999999996</v>
    <v>4.72</v>
    <v>4.3600000000000003</v>
    <v>4.3600000000000003</v>
    <v>4.25</v>
    <v>4.59</v>
    <v>4.82</v>
    <v>4.55</v>
    <v>3.9049999999999998</v>
    <v>3.74</v>
    <v>3.58</v>
    <v>3.81</v>
    <v>4.04</v>
    <v>4.07</v>
    <v>4.2</v>
    <v>4.07</v>
    <v>4.42</v>
    <v>4.53</v>
    <v>5.09</v>
    <v>5.45</v>
    <v>5.04</v>
    <v>5.14</v>
    <v>5.32</v>
    <v>5.35</v>
    <v>6.34</v>
    <v>6.61</v>
    <v>6.34</v>
    <v>6.19</v>
    <v>8.6</v>
    <v>7.63</v>
    <v>7.31</v>
    <v>7.25</v>
    <v>8.18</v>
    <v>11.09</v>
    <v>10.37</v>
    <v>10.56</v>
    <v>9.1300000000000008</v>
    <v>8.1</v>
    <v>8.41</v>
    <v>8.2799999999999994</v>
    <v>8.35</v>
    <v>9.89</v>
    <v>9.6300000000000008</v>
    <v>8.8000000000000007</v>
    <v>8.0050000000000008</v>
    <v>7.49</v>
    <v>7.68</v>
    <v>8.51</v>
    <v>9.24</v>
    <v>12.11</v>
    <v>11.03</v>
    <v>11.17</v>
    <v>9.98</v>
    <v>9.67</v>
    <v>9.85</v>
    <v>9.1</v>
    <v>9.0500000000000007</v>
    <v>8.26</v>
    <v>8.36</v>
    <v>8.0500000000000007</v>
    <v>8.02</v>
    <v>8.75</v>
    <v>9</v>
    <v>9.5</v>
    <v>8.81</v>
    <v>8.17</v>
    <v>9</v>
    <v>8.26</v>
    <v>7.53</v>
    <v>7.41</v>
    <v>7.31</v>
    <v>7.08</v>
    <v>7.61</v>
    <v>8.7100000000000009</v>
    <v>8.2799999999999994</v>
    <v>7.41</v>
    <v>7.3550000000000004</v>
    <v>6.78</v>
    <v>6.82</v>
    <v>6.83</v>
    <v>6.63</v>
    <v>6.25</v>
    <v>6.39</v>
    <v>6.14</v>
    <v>5.69</v>
    <v>5.62</v>
    <v>5.48</v>
    <v>5.8550000000000004</v>
    <v>5.78</v>
    <v>5.58</v>
    <v>5.18</v>
    <v>5.25</v>
    <v>4.83</v>
    <v>4.4649999999999999</v>
    <v>5.09</v>
    <v>5.16</v>
    <v>5.29</v>
    <v>5.65</v>
    <v>5.24</v>
    <v>5.3150000000000004</v>
    <v>5.48</v>
    <v>5.37</v>
    <v>5.57</v>
    <v>5.53</v>
    <v>5.42</v>
    <v>5.6</v>
    <v>5.42</v>
    <v>4.92</v>
    <v>4.7300000000000004</v>
    <v>4.79</v>
    <v>4.78</v>
    <v>4.5199999999999996</v>
    <v>4.57</v>
    <v>4.5</v>
    <v>4.47</v>
    <v>4.2</v>
    <v>4.16</v>
    <v>3.94</v>
    <v>4</v>
    <v>3.94</v>
    <v>4.04</v>
    <v>4.1399999999999997</v>
    <v>4.1100000000000003</v>
    <v>4.07</v>
    <v>4.1500000000000004</v>
    <v>3.93</v>
    <v>3.84</v>
    <v>3.87</v>
    <v>3.98</v>
    <v>4.12</v>
    <v>4.3899999999999997</v>
    <v>4.4800000000000004</v>
    <v>4.3099999999999996</v>
    <v>4.34</v>
    <v>4.3499999999999996</v>
    <v>4.1500000000000004</v>
    <v>4.2300000000000004</v>
    <v>4.3600000000000003</v>
    <v>4.6900000000000004</v>
    <v>4.71</v>
    <v>4.62</v>
    <v>4.46</v>
    <v>4.37</v>
    <v>4.13</v>
    <v>4.16</v>
    <v>3.91</v>
    <v>3.8</v>
    <v>3.49</v>
    <v>3.3250000000000002</v>
    <v>3.08</v>
    <v>3.06</v>
    <v>2.99</v>
    <v>3.02</v>
    <v>3.08</v>
    <v>2.94</v>
  </a>
  <a r="1" c="754">
    <v>6.82</v>
    <v>6.83</v>
    <v>6.29</v>
    <v>6.53</v>
    <v>6.32</v>
    <v>6.16</v>
    <v>6.4</v>
    <v>6.2</v>
    <v>5.95</v>
    <v>5.84</v>
    <v>5.3150000000000004</v>
    <v>5.2350000000000003</v>
    <v>5.26</v>
    <v>5.23</v>
    <v>5.1100000000000003</v>
    <v>5.33</v>
    <v>5.85</v>
    <v>7.15</v>
    <v>6.3550000000000004</v>
    <v>6.27</v>
    <v>6.85</v>
    <v>6.95</v>
    <v>6.97</v>
    <v>7.04</v>
    <v>6.61</v>
    <v>6.56</v>
    <v>6.75</v>
    <v>6.89</v>
    <v>7.3</v>
    <v>7.1</v>
    <v>6.98</v>
    <v>6.73</v>
    <v>6.78</v>
    <v>7.04</v>
    <v>6.86</v>
    <v>6.8</v>
    <v>7.06</v>
    <v>7.01</v>
    <v>7.07</v>
    <v>7.63</v>
    <v>7.67</v>
    <v>7.13</v>
    <v>7.6</v>
    <v>7.57</v>
    <v>7.75</v>
    <v>7.47</v>
    <v>7.47</v>
    <v>7.01</v>
    <v>6.49</v>
    <v>6.28</v>
    <v>6.15</v>
    <v>6.11</v>
    <v>6.61</v>
    <v>6.6150000000000002</v>
    <v>6.92</v>
    <v>6.73</v>
    <v>6.66</v>
    <v>6.62</v>
    <v>6.68</v>
    <v>6.7</v>
    <v>7</v>
    <v>7.29</v>
    <v>7.81</v>
    <v>7.4</v>
    <v>7.92</v>
    <v>7.84</v>
    <v>8.42</v>
    <v>8.0399999999999991</v>
    <v>7.86</v>
    <v>8.0299999999999994</v>
    <v>8.01</v>
    <v>7.6</v>
    <v>7.66</v>
    <v>7.2850000000000001</v>
    <v>7.6349999999999998</v>
    <v>8.4</v>
    <v>9.1150000000000002</v>
    <v>8.26</v>
    <v>7.15</v>
    <v>7.09</v>
    <v>7.09</v>
    <v>6.6849999999999996</v>
    <v>6.46</v>
    <v>6.31</v>
    <v>6.12</v>
    <v>6.38</v>
    <v>6.27</v>
    <v>6.07</v>
    <v>6.3</v>
    <v>6.83</v>
    <v>6.77</v>
    <v>6.56</v>
    <v>6.58</v>
    <v>6.84</v>
    <v>6.69</v>
    <v>6.54</v>
    <v>6.36</v>
    <v>6.23</v>
    <v>6.1</v>
    <v>6.1</v>
    <v>5.89</v>
    <v>5.91</v>
    <v>6.25</v>
    <v>6.48</v>
    <v>6.06</v>
    <v>6</v>
    <v>5.83</v>
    <v>6.03</v>
    <v>6.16</v>
    <v>6.27</v>
    <v>6.12</v>
    <v>6.4</v>
    <v>6.19</v>
    <v>5.94</v>
    <v>6.06</v>
    <v>6.61</v>
    <v>6.16</v>
    <v>6.37</v>
    <v>6.05</v>
    <v>6.02</v>
    <v>6.04</v>
    <v>5.64</v>
    <v>5.75</v>
    <v>5.7</v>
    <v>5.46</v>
    <v>5.63</v>
    <v>5.7</v>
    <v>5.37</v>
    <v>4.45</v>
    <v>4.93</v>
    <v>4.6399999999999997</v>
    <v>4.4000000000000004</v>
    <v>4.45</v>
    <v>4.5</v>
    <v>4.25</v>
    <v>4.24</v>
    <v>4.2</v>
    <v>4.22</v>
    <v>4.42</v>
    <v>4.6399999999999997</v>
    <v>4.6900000000000004</v>
    <v>4.53</v>
    <v>4.54</v>
    <v>4.45</v>
    <v>4.37</v>
    <v>4.22</v>
    <v>4.1100000000000003</v>
    <v>4.0999999999999996</v>
    <v>4.22</v>
    <v>4.51</v>
    <v>4.34</v>
    <v>4.09</v>
    <v>4.16</v>
    <v>4.07</v>
    <v>3.87</v>
    <v>4</v>
    <v>3.88</v>
    <v>3.76</v>
    <v>3.87</v>
    <v>3.76</v>
    <v>3.9</v>
    <v>3.89</v>
    <v>3.71</v>
    <v>3.93</v>
    <v>3.85</v>
    <v>3.96</v>
    <v>3.88</v>
    <v>3.89</v>
    <v>3.92</v>
    <v>3.87</v>
    <v>4.0199999999999996</v>
    <v>3.81</v>
    <v>3.75</v>
    <v>3.86</v>
    <v>3.87</v>
    <v>4</v>
    <v>3.99</v>
    <v>3.96</v>
    <v>4.0199999999999996</v>
    <v>4.21</v>
    <v>4.16</v>
    <v>4.12</v>
    <v>4.0999999999999996</v>
    <v>3.94</v>
    <v>3.89</v>
    <v>3.77</v>
    <v>3.86</v>
    <v>3.68</v>
    <v>3.53</v>
    <v>3.5</v>
    <v>3.49</v>
    <v>3.18</v>
    <v>3.1</v>
    <v>3.51</v>
    <v>3.125</v>
    <v>3.08</v>
    <v>2.89</v>
    <v>2.96</v>
    <v>2.82</v>
    <v>3.1</v>
    <v>3.03</v>
    <v>2.92</v>
    <v>2.98</v>
    <v>2.76</v>
    <v>3.0049999999999999</v>
    <v>2.91</v>
    <v>3.02</v>
    <v>2.96</v>
    <v>2.94</v>
    <v>2.84</v>
    <v>3.02</v>
    <v>2.96</v>
    <v>2.9</v>
    <v>2.71</v>
    <v>2.73</v>
    <v>2.69</v>
    <v>2.4900000000000002</v>
    <v>2.61</v>
    <v>2.58</v>
    <v>2.54</v>
    <v>2.57</v>
    <v>2.52</v>
    <v>2.61</v>
    <v>2.54</v>
    <v>2.4700000000000002</v>
    <v>2.57</v>
    <v>2.74</v>
    <v>2.58</v>
    <v>2.7</v>
    <v>2.61</v>
    <v>2.4500000000000002</v>
    <v>2.56</v>
    <v>2.52</v>
    <v>2.66</v>
    <v>2.66</v>
    <v>2.63</v>
    <v>2.4900000000000002</v>
    <v>2.46</v>
    <v>2.46</v>
    <v>2.52</v>
    <v>2.67</v>
    <v>2.8</v>
    <v>3.23</v>
    <v>3.62</v>
    <v>3.63</v>
    <v>3.69</v>
    <v>3.42</v>
    <v>3.62</v>
    <v>3.39</v>
    <v>3.52</v>
    <v>3.48</v>
    <v>3.46</v>
    <v>3.37</v>
    <v>3.32</v>
    <v>3.36</v>
    <v>3.69</v>
    <v>3.33</v>
    <v>4.2699999999999996</v>
    <v>4.16</v>
    <v>4.4800000000000004</v>
    <v>4.6399999999999997</v>
    <v>4.4800000000000004</v>
    <v>4.58</v>
    <v>5.25</v>
    <v>5.3</v>
    <v>5.78</v>
    <v>5.92</v>
    <v>6.35</v>
    <v>5.94</v>
    <v>5.79</v>
    <v>5.4</v>
    <v>5.56</v>
    <v>5.45</v>
    <v>5.8150000000000004</v>
    <v>5.8</v>
    <v>6.7</v>
    <v>6.15</v>
    <v>5.84</v>
    <v>6.18</v>
    <v>6.37</v>
    <v>6.2</v>
    <v>6.33</v>
    <v>6.61</v>
    <v>6.76</v>
    <v>7.57</v>
    <v>7.17</v>
    <v>7.34</v>
    <v>7.1</v>
    <v>7.48</v>
    <v>7.74</v>
    <v>7.99</v>
    <v>8.5399999999999991</v>
    <v>8.23</v>
    <v>8.99</v>
    <v>9.26</v>
    <v>10.220000000000001</v>
    <v>12.58</v>
    <v>14.27</v>
    <v>12.91</v>
    <v>11.6</v>
    <v>12.94</v>
    <v>16.55</v>
    <v>16.55</v>
    <v>16.239999999999998</v>
    <v>11.86</v>
    <v>10.97</v>
    <v>10.55</v>
    <v>9.3000000000000007</v>
    <v>11.17</v>
    <v>8.4</v>
    <v>8.64</v>
    <v>9.94</v>
    <v>10.71</v>
    <v>10.71</v>
    <v>11.04</v>
    <v>8.7200000000000006</v>
    <v>8.65</v>
    <v>8.82</v>
    <v>8.3699999999999992</v>
    <v>8.76</v>
    <v>8.2799999999999994</v>
    <v>9.0500000000000007</v>
    <v>9.26</v>
    <v>9.86</v>
    <v>9.02</v>
    <v>8.57</v>
    <v>8.65</v>
    <v>5.32</v>
    <v>6.65</v>
    <v>6.11</v>
    <v>5.88</v>
    <v>6.32</v>
    <v>6.4</v>
    <v>6.12</v>
    <v>5.67</v>
    <v>5.35</v>
    <v>5.61</v>
    <v>5.2</v>
    <v>5.87</v>
    <v>5.3150000000000004</v>
    <v>5.5949999999999998</v>
    <v>6.01</v>
    <v>6</v>
    <v>6.06</v>
    <v>5.61</v>
    <v>5.47</v>
    <v>5.82</v>
    <v>5.43</v>
    <v>5.9</v>
    <v>6.11</v>
    <v>5.98</v>
    <v>5.83</v>
    <v>5.75</v>
    <v>5.64</v>
    <v>5.77</v>
    <v>4.88</v>
    <v>4.97</v>
    <v>4.58</v>
    <v>4.1399999999999997</v>
    <v>4</v>
    <v>4.0999999999999996</v>
    <v>4.34</v>
    <v>3.91</v>
    <v>3.5</v>
    <v>3.86</v>
    <v>3.56</v>
    <v>4.21</v>
    <v>4.08</v>
    <v>4.1399999999999997</v>
    <v>4</v>
    <v>4.08</v>
    <v>3.94</v>
    <v>3.99</v>
    <v>3.82</v>
    <v>3.9</v>
    <v>3.91</v>
    <v>4.2050000000000001</v>
    <v>4.26</v>
    <v>4.1399999999999997</v>
    <v>4.1900000000000004</v>
    <v>4.3899999999999997</v>
    <v>4.46</v>
    <v>5.0199999999999996</v>
    <v>4.74</v>
    <v>5.07</v>
    <v>6.01</v>
    <v>6.5</v>
    <v>6.44</v>
    <v>6.92</v>
    <v>7.18</v>
    <v>7.63</v>
    <v>7.25</v>
    <v>7.49</v>
    <v>7.31</v>
    <v>7.19</v>
    <v>6.665</v>
    <v>6.62</v>
    <v>6.77</v>
    <v>7.02</v>
    <v>6.59</v>
    <v>6.28</v>
    <v>6.15</v>
    <v>6.09</v>
    <v>6.27</v>
    <v>6.14</v>
    <v>6.07</v>
    <v>6.23</v>
    <v>6.04</v>
    <v>6.12</v>
    <v>6.25</v>
    <v>5.79</v>
    <v>5.28</v>
    <v>5.31</v>
    <v>5.0599999999999996</v>
    <v>5.0599999999999996</v>
    <v>4.99</v>
    <v>4.9000000000000004</v>
    <v>5.14</v>
    <v>4.92</v>
    <v>5.19</v>
    <v>5.0199999999999996</v>
    <v>5.04</v>
    <v>4.96</v>
    <v>4.97</v>
    <v>5.07</v>
    <v>5.1100000000000003</v>
    <v>5.24</v>
    <v>5.38</v>
    <v>5.19</v>
    <v>4.7649999999999997</v>
    <v>4.72</v>
    <v>4.53</v>
    <v>4.7300000000000004</v>
    <v>5.15</v>
    <v>4.97</v>
    <v>5.12</v>
    <v>5.2</v>
    <v>5.29</v>
    <v>5.25</v>
    <v>5.28</v>
    <v>5.24</v>
    <v>4.99</v>
    <v>5.03</v>
    <v>5</v>
    <v>4.66</v>
    <v>4.57</v>
    <v>4.66</v>
    <v>3.5950000000000002</v>
    <v>3.8250000000000002</v>
    <v>3.52</v>
    <v>3.6</v>
    <v>3.76</v>
    <v>3.6</v>
    <v>3.38</v>
    <v>3.39</v>
    <v>3.26</v>
    <v>3.24</v>
    <v>3.32</v>
    <v>3.31</v>
    <v>3.36</v>
    <v>3.31</v>
    <v>3.38</v>
    <v>3.39</v>
    <v>3.33</v>
    <v>3.28</v>
    <v>3.22</v>
    <v>3.1</v>
    <v>3.28</v>
    <v>3.17</v>
    <v>3.42</v>
    <v>3.31</v>
    <v>3.21</v>
    <v>3.28</v>
    <v>3.37</v>
    <v>3.33</v>
    <v>3.46</v>
    <v>3.39</v>
    <v>3.65</v>
    <v>3.72</v>
    <v>4.41</v>
    <v>4.3600000000000003</v>
    <v>4.1399999999999997</v>
    <v>3.91</v>
    <v>3.81</v>
    <v>3.83</v>
    <v>4.42</v>
    <v>4.62</v>
    <v>4.67</v>
    <v>4.9800000000000004</v>
    <v>4.97</v>
    <v>4.84</v>
    <v>5</v>
    <v>4.62</v>
    <v>4.2300000000000004</v>
    <v>4.8499999999999996</v>
    <v>4.97</v>
    <v>5.08</v>
    <v>4.74</v>
    <v>4.59</v>
    <v>4.51</v>
    <v>4.25</v>
    <v>2.8650000000000002</v>
    <v>3.23</v>
    <v>3.15</v>
    <v>3.3</v>
    <v>3.25</v>
    <v>3.17</v>
    <v>3.01</v>
    <v>3.16</v>
    <v>2.87</v>
    <v>2.84</v>
    <v>2.82</v>
    <v>2.58</v>
    <v>2.7</v>
    <v>2.5099999999999998</v>
    <v>2.4500000000000002</v>
    <v>2.4</v>
    <v>2.31</v>
    <v>2.17</v>
    <v>2.1</v>
    <v>2.19</v>
    <v>2.19</v>
    <v>1.99</v>
    <v>1.99</v>
    <v>2.1800000000000002</v>
    <v>2.41</v>
    <v>2.38</v>
    <v>2.48</v>
    <v>2.4</v>
    <v>2.29</v>
    <v>2.46</v>
    <v>2.5099999999999998</v>
    <v>2.4900000000000002</v>
    <v>2.41</v>
    <v>2.6</v>
    <v>2.58</v>
    <v>2.54</v>
    <v>2.37</v>
    <v>2.33</v>
    <v>2.44</v>
    <v>2.29</v>
    <v>2.21</v>
    <v>2.33</v>
    <v>2.2400000000000002</v>
    <v>2.2599999999999998</v>
    <v>2.25</v>
    <v>2.16</v>
    <v>2.2000000000000002</v>
    <v>2.19</v>
    <v>2.21</v>
    <v>2.36</v>
    <v>2.39</v>
    <v>2.29</v>
    <v>2.4700000000000002</v>
    <v>2.36</v>
    <v>2.31</v>
    <v>2.33</v>
    <v>2.29</v>
    <v>2.37</v>
    <v>2.41</v>
    <v>2.37</v>
    <v>2.34</v>
    <v>2.4500000000000002</v>
    <v>2.67</v>
    <v>2.65</v>
    <v>2.84</v>
    <v>3.31</v>
    <v>2.8</v>
    <v>3.05</v>
    <v>2.93</v>
    <v>2.77</v>
    <v>2.66</v>
    <v>2.4900000000000002</v>
    <v>2.3199999999999998</v>
    <v>2.57</v>
    <v>2.52</v>
    <v>2.46</v>
    <v>2.46</v>
    <v>2.39</v>
    <v>3.92</v>
    <v>5.73</v>
    <v>5.48</v>
    <v>6.66</v>
    <v>7</v>
    <v>5.9850000000000003</v>
    <v>5.3049999999999997</v>
    <v>6.13</v>
    <v>5.21</v>
    <v>5.04</v>
    <v>5.24</v>
    <v>4.8099999999999996</v>
    <v>4.79</v>
    <v>4.76</v>
    <v>4.54</v>
    <v>4.5599999999999996</v>
    <v>5.0199999999999996</v>
    <v>5.0999999999999996</v>
    <v>4.8899999999999997</v>
    <v>4.5999999999999996</v>
    <v>4.7699999999999996</v>
    <v>4.72</v>
    <v>4.3600000000000003</v>
    <v>4.3600000000000003</v>
    <v>4.25</v>
    <v>4.59</v>
    <v>4.82</v>
    <v>4.55</v>
    <v>3.9049999999999998</v>
    <v>3.74</v>
    <v>3.58</v>
    <v>3.81</v>
    <v>4.04</v>
    <v>4.07</v>
    <v>4.2</v>
    <v>4.07</v>
    <v>4.42</v>
    <v>4.53</v>
    <v>5.09</v>
    <v>5.45</v>
    <v>5.04</v>
    <v>5.14</v>
    <v>5.32</v>
    <v>5.35</v>
    <v>6.34</v>
    <v>6.61</v>
    <v>6.34</v>
    <v>6.19</v>
    <v>8.6</v>
    <v>7.63</v>
    <v>7.31</v>
    <v>7.25</v>
    <v>8.18</v>
    <v>11.09</v>
    <v>10.37</v>
    <v>10.56</v>
    <v>9.1300000000000008</v>
    <v>8.1</v>
    <v>8.41</v>
    <v>8.2799999999999994</v>
    <v>8.35</v>
    <v>9.89</v>
    <v>9.6300000000000008</v>
    <v>8.8000000000000007</v>
    <v>8.0050000000000008</v>
    <v>7.49</v>
    <v>7.68</v>
    <v>8.51</v>
    <v>9.24</v>
    <v>12.11</v>
    <v>11.03</v>
    <v>11.17</v>
    <v>9.98</v>
    <v>9.67</v>
    <v>9.85</v>
    <v>9.1</v>
    <v>9.0500000000000007</v>
    <v>8.26</v>
    <v>8.36</v>
    <v>8.0500000000000007</v>
    <v>8.02</v>
    <v>8.75</v>
    <v>9</v>
    <v>9.5</v>
    <v>8.81</v>
    <v>8.17</v>
    <v>9</v>
    <v>8.26</v>
    <v>7.53</v>
    <v>7.41</v>
    <v>7.31</v>
    <v>7.08</v>
    <v>7.61</v>
    <v>8.7100000000000009</v>
    <v>8.2799999999999994</v>
    <v>7.41</v>
    <v>7.3550000000000004</v>
    <v>6.78</v>
    <v>6.82</v>
    <v>6.83</v>
    <v>6.63</v>
    <v>6.25</v>
    <v>6.39</v>
    <v>6.14</v>
    <v>5.69</v>
    <v>5.62</v>
    <v>5.48</v>
    <v>5.8550000000000004</v>
    <v>5.78</v>
    <v>5.58</v>
    <v>5.18</v>
    <v>5.25</v>
    <v>4.83</v>
    <v>4.4649999999999999</v>
    <v>5.09</v>
    <v>5.16</v>
    <v>5.29</v>
    <v>5.65</v>
    <v>5.24</v>
    <v>5.3150000000000004</v>
    <v>5.48</v>
    <v>5.37</v>
    <v>5.57</v>
    <v>5.53</v>
    <v>5.42</v>
    <v>5.6</v>
    <v>5.42</v>
    <v>4.92</v>
    <v>4.7300000000000004</v>
    <v>4.79</v>
    <v>4.78</v>
    <v>4.5199999999999996</v>
    <v>4.57</v>
    <v>4.5</v>
    <v>4.47</v>
    <v>4.2</v>
    <v>4.16</v>
    <v>3.94</v>
    <v>4</v>
    <v>3.94</v>
    <v>4.04</v>
    <v>4.1399999999999997</v>
    <v>4.1100000000000003</v>
    <v>4.07</v>
    <v>4.1500000000000004</v>
    <v>3.93</v>
    <v>3.84</v>
    <v>3.87</v>
    <v>3.98</v>
    <v>4.12</v>
    <v>4.3899999999999997</v>
    <v>4.4800000000000004</v>
    <v>4.3099999999999996</v>
    <v>4.34</v>
    <v>4.3499999999999996</v>
    <v>4.1500000000000004</v>
    <v>4.2300000000000004</v>
    <v>4.3600000000000003</v>
    <v>4.6900000000000004</v>
    <v>4.71</v>
    <v>4.62</v>
    <v>4.46</v>
    <v>4.37</v>
    <v>4.13</v>
    <v>4.16</v>
    <v>3.91</v>
    <v>3.8</v>
    <v>3.49</v>
    <v>3.3250000000000002</v>
    <v>3.08</v>
    <v>3.06</v>
    <v>2.99</v>
    <v>3.02</v>
    <v>3.08</v>
    <v>2.94</v>
  </a>
  <a r="1" c="205">
    <v>-99999901</v>
    <v>178.55</v>
    <v>-99999901</v>
    <v>-99999901</v>
    <v>174.09</v>
    <v>-99999901</v>
    <v>-99999901</v>
    <v>-99999901</v>
    <v>-99999901</v>
    <v>-99999901</v>
    <v>169.45</v>
    <v>-99999901</v>
    <v>-99999901</v>
    <v>-99999901</v>
    <v>-99999901</v>
    <v>-99999901</v>
    <v>-99999901</v>
    <v>165</v>
    <v>-99999901</v>
    <v>-99999901</v>
    <v>-99999901</v>
    <v>-99999901</v>
    <v>-99999901</v>
    <v>-99999901</v>
    <v>-99999901</v>
    <v>-99999901</v>
    <v>-99999901</v>
    <v>-99999901</v>
    <v>-99999901</v>
    <v>-99999901</v>
    <v>-99999901</v>
    <v>-99999901</v>
    <v>-99999901</v>
    <v>-99999901</v>
    <v>-99999901</v>
    <v>-99999901</v>
    <v>-99999901</v>
    <v>-99999901</v>
    <v>-99999901</v>
    <v>-99999901</v>
    <v>-99999901</v>
    <v>-99999901</v>
    <v>-99999901</v>
    <v>153.5</v>
    <v>-99999901</v>
    <v>-99999901</v>
    <v>-99999901</v>
    <v>-99999901</v>
    <v>-99999901</v>
    <v>-99999901</v>
    <v>-99999901</v>
    <v>-99999901</v>
    <v>153.07</v>
    <v>-99999901</v>
    <v>-99999901</v>
    <v>150</v>
    <v>-99999901</v>
    <v>-99999901</v>
    <v>-99999901</v>
    <v>-99999901</v>
    <v>-99999901</v>
    <v>-99999901</v>
    <v>-99999901</v>
    <v>-99999901</v>
    <v>-99999901</v>
    <v>-99999901</v>
    <v>-99999901</v>
    <v>-99999901</v>
    <v>-99999901</v>
    <v>-99999901</v>
    <v>138.29</v>
    <v>-99999901</v>
    <v>145.4</v>
    <v>-99999901</v>
    <v>-99999901</v>
    <v>-99999901</v>
    <v>149.34</v>
    <v>-99999901</v>
    <v>-99999901</v>
    <v>-99999901</v>
    <v>-99999901</v>
    <v>137.46</v>
    <v>-99999901</v>
    <v>-99999901</v>
    <v>-99999901</v>
    <v>-99999901</v>
    <v>-99999901</v>
    <v>137.85</v>
    <v>-99999901</v>
    <v>131</v>
    <v>-99999901</v>
    <v>-99999901</v>
    <v>-99999901</v>
    <v>-99999901</v>
    <v>-99999901</v>
    <v>-99999901</v>
    <v>-99999901</v>
    <v>-99999901</v>
    <v>-99999901</v>
    <v>-99999901</v>
    <v>156.30000000000001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126.7</v>
    <v>-99999901</v>
    <v>161.56</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167.26</v>
    <v>-99999901</v>
    <v>-99999901</v>
    <v>-99999901</v>
    <v>-99999901</v>
    <v>-99999901</v>
    <v>-99999901</v>
    <v>-99999901</v>
    <v>-99999901</v>
    <v>-99999901</v>
    <v>-99999901</v>
    <v>-99999901</v>
    <v>-99999901</v>
    <v>-99999901</v>
    <v>-99999901</v>
    <v>-99999901</v>
    <v>-99999901</v>
    <v>-99999901</v>
    <v>-99999901</v>
    <v>-99999901</v>
    <v>-99999901</v>
    <v>-99999901</v>
    <v>208.55</v>
    <v>-99999901</v>
    <v>-99999901</v>
    <v>-99999901</v>
    <v>193.64</v>
    <v>-99999901</v>
    <v>-99999901</v>
    <v>-99999901</v>
  </a>
  <a r="1" c="225">
    <v t="i">767</v>
    <v t="i">770</v>
    <v t="i">771</v>
    <v t="i">772</v>
    <v t="i">773</v>
    <v t="i">774</v>
    <v t="i">777</v>
    <v t="i">778</v>
    <v t="i">779</v>
    <v t="i">780</v>
    <v t="i">781</v>
    <v t="i">784</v>
    <v t="i">785</v>
    <v t="i">786</v>
    <v t="i">787</v>
    <v t="i">788</v>
    <v t="i">791</v>
    <v t="i">792</v>
    <v t="i">798</v>
    <v t="i">799</v>
    <v t="i">805</v>
    <v t="i">806</v>
    <v t="i">807</v>
    <v t="i">808</v>
    <v t="i">809</v>
    <v t="i">812</v>
    <v t="i">813</v>
    <v t="i">814</v>
    <v t="i">815</v>
    <v t="i">816</v>
    <v t="i">819</v>
    <v t="i">820</v>
    <v t="i">821</v>
    <v t="i">822</v>
    <v t="i">823</v>
    <v t="i">826</v>
    <v t="i">827</v>
    <v t="i">828</v>
    <v t="i">829</v>
    <v t="i">830</v>
    <v t="i">833</v>
    <v t="i">834</v>
    <v t="i">835</v>
    <v t="i">836</v>
    <v t="i">837</v>
    <v t="i">840</v>
    <v t="i">841</v>
    <v t="i">842</v>
    <v t="i">843</v>
    <v t="i">844</v>
    <v t="i">847</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897</v>
    <v t="i">898</v>
    <v t="i">899</v>
    <v t="i">900</v>
    <v t="i">903</v>
    <v t="i">904</v>
    <v t="i">905</v>
    <v t="i">906</v>
    <v t="i">907</v>
    <v t="i">910</v>
    <v t="i">911</v>
    <v t="i">912</v>
    <v t="i">913</v>
    <v t="i">914</v>
    <v t="i">917</v>
    <v t="i">918</v>
    <v t="i">919</v>
    <v t="i">920</v>
    <v t="i">924</v>
    <v t="i">925</v>
    <v t="i">926</v>
    <v t="i">927</v>
    <v t="i">928</v>
    <v t="i">931</v>
    <v t="i">932</v>
    <v t="i">933</v>
    <v t="i">935</v>
    <v t="i">938</v>
    <v t="i">939</v>
    <v t="i">940</v>
    <v t="i">941</v>
    <v t="i">942</v>
    <v t="i">946</v>
    <v t="i">947</v>
    <v t="i">948</v>
    <v t="i">949</v>
    <v t="i">952</v>
    <v t="i">953</v>
    <v t="i">954</v>
    <v t="i">955</v>
    <v t="i">956</v>
    <v t="i">959</v>
    <v t="i">960</v>
    <v t="i">961</v>
    <v t="i">962</v>
    <v t="i">963</v>
    <v t="i">966</v>
    <v t="i">967</v>
    <v t="i">968</v>
    <v t="i">969</v>
    <v t="i">970</v>
    <v t="i">973</v>
    <v t="i">974</v>
    <v t="i">975</v>
    <v t="i">976</v>
    <v t="i">977</v>
    <v t="i">980</v>
    <v t="i">981</v>
    <v t="i">982</v>
    <v t="i">983</v>
    <v t="i">984</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1050</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225">
    <v>-99999901</v>
    <v>-99999901</v>
    <v>-99999901</v>
    <v>-99999901</v>
    <v>-99999901</v>
    <v>-99999901</v>
    <v>-99999901</v>
    <v>-99999901</v>
    <v>-99999901</v>
    <v>-99999901</v>
    <v>-99999901</v>
    <v>-99999901</v>
    <v>182.62</v>
    <v>-99999901</v>
    <v>-99999901</v>
    <v>-99999901</v>
    <v>-99999901</v>
    <v>-99999901</v>
    <v>-99999901</v>
    <v>-99999901</v>
    <v>-99999901</v>
    <v>178.55</v>
    <v>-99999901</v>
    <v>-99999901</v>
    <v>174.09</v>
    <v>-99999901</v>
    <v>-99999901</v>
    <v>-99999901</v>
    <v>-99999901</v>
    <v>-99999901</v>
    <v>169.45</v>
    <v>-99999901</v>
    <v>-99999901</v>
    <v>-99999901</v>
    <v>-99999901</v>
    <v>-99999901</v>
    <v>-99999901</v>
    <v>165</v>
    <v>-99999901</v>
    <v>-99999901</v>
    <v>-99999901</v>
    <v>-99999901</v>
    <v>-99999901</v>
    <v>-99999901</v>
    <v>-99999901</v>
    <v>-99999901</v>
    <v>-99999901</v>
    <v>-99999901</v>
    <v>-99999901</v>
    <v>-99999901</v>
    <v>-99999901</v>
    <v>-99999901</v>
    <v>-99999901</v>
    <v>-99999901</v>
    <v>-99999901</v>
    <v>-99999901</v>
    <v>-99999901</v>
    <v>-99999901</v>
    <v>-99999901</v>
    <v>-99999901</v>
    <v>-99999901</v>
    <v>-99999901</v>
    <v>-99999901</v>
    <v>153.5</v>
    <v>-99999901</v>
    <v>-99999901</v>
    <v>-99999901</v>
    <v>-99999901</v>
    <v>-99999901</v>
    <v>-99999901</v>
    <v>-99999901</v>
    <v>-99999901</v>
    <v>153.07</v>
    <v>-99999901</v>
    <v>-99999901</v>
    <v>150</v>
    <v>-99999901</v>
    <v>-99999901</v>
    <v>-99999901</v>
    <v>-99999901</v>
    <v>-99999901</v>
    <v>-99999901</v>
    <v>-99999901</v>
    <v>-99999901</v>
    <v>-99999901</v>
    <v>-99999901</v>
    <v>-99999901</v>
    <v>-99999901</v>
    <v>-99999901</v>
    <v>-99999901</v>
    <v>138.29</v>
    <v>-99999901</v>
    <v>145.4</v>
    <v>-99999901</v>
    <v>-99999901</v>
    <v>-99999901</v>
    <v>149.34</v>
    <v>-99999901</v>
    <v>-99999901</v>
    <v>-99999901</v>
    <v>-99999901</v>
    <v>137.46</v>
    <v>-99999901</v>
    <v>-99999901</v>
    <v>-99999901</v>
    <v>-99999901</v>
    <v>-99999901</v>
    <v>137.85</v>
    <v>-99999901</v>
    <v>131</v>
    <v>-99999901</v>
    <v>-99999901</v>
    <v>-99999901</v>
    <v>-99999901</v>
    <v>-99999901</v>
    <v>-99999901</v>
    <v>-99999901</v>
    <v>-99999901</v>
    <v>-99999901</v>
    <v>-99999901</v>
    <v>156.30000000000001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126.7</v>
    <v>-99999901</v>
    <v>161.56</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-99999901</v>
    <v>167.26</v>
    <v>-99999901</v>
    <v>-99999901</v>
    <v>-99999901</v>
    <v>-99999901</v>
    <v>-99999901</v>
    <v>-99999901</v>
    <v>-99999901</v>
    <v>-99999901</v>
    <v>-99999901</v>
    <v>-99999901</v>
    <v>-99999901</v>
    <v>-99999901</v>
    <v>-99999901</v>
    <v>-99999901</v>
    <v>-99999901</v>
    <v>-99999901</v>
    <v>-99999901</v>
    <v>-99999901</v>
    <v>-99999901</v>
    <v>-99999901</v>
    <v>-99999901</v>
    <v>208.55</v>
    <v>-99999901</v>
    <v>-99999901</v>
    <v>-99999901</v>
    <v>193.64</v>
    <v>-99999901</v>
    <v>-99999901</v>
    <v>-99999901</v>
  </a>
  <a r="1" c="225">
    <v t="i">36</v>
    <v t="i">39</v>
    <v t="i">40</v>
    <v t="i">41</v>
    <v t="i">42</v>
    <v t="i">43</v>
    <v t="i">46</v>
    <v t="i">47</v>
    <v t="i">48</v>
    <v t="i">49</v>
    <v t="i">50</v>
    <v t="i">53</v>
    <v t="i">54</v>
    <v t="i">55</v>
    <v t="i">56</v>
    <v t="i">57</v>
    <v t="i">60</v>
    <v t="i">61</v>
    <v t="i">67</v>
    <v t="i">68</v>
    <v t="i">74</v>
    <v t="i">75</v>
    <v t="i">76</v>
    <v t="i">77</v>
    <v t="i">78</v>
    <v t="i">81</v>
    <v t="i">82</v>
    <v t="i">83</v>
    <v t="i">84</v>
    <v t="i">85</v>
    <v t="i">88</v>
    <v t="i">89</v>
    <v t="i">90</v>
    <v t="i">91</v>
    <v t="i">92</v>
    <v t="i">95</v>
    <v t="i">96</v>
    <v t="i">97</v>
    <v t="i">98</v>
    <v t="i">99</v>
    <v t="i">102</v>
    <v t="i">103</v>
    <v t="i">104</v>
    <v t="i">105</v>
    <v t="i">106</v>
    <v t="i">109</v>
    <v t="i">110</v>
    <v t="i">111</v>
    <v t="i">112</v>
    <v t="i">113</v>
    <v t="i">116</v>
    <v t="i">117</v>
    <v t="i">118</v>
    <v t="i">119</v>
    <v t="i">120</v>
    <v t="i">123</v>
    <v t="i">124</v>
    <v t="i">125</v>
    <v t="i">126</v>
    <v t="i">127</v>
    <v t="i">130</v>
    <v t="i">131</v>
    <v t="i">132</v>
    <v t="i">133</v>
    <v t="i">134</v>
    <v t="i">137</v>
    <v t="i">138</v>
    <v t="i">139</v>
    <v t="i">140</v>
    <v t="i">141</v>
    <v t="i">144</v>
    <v t="i">145</v>
    <v t="i">146</v>
    <v t="i">147</v>
    <v t="i">148</v>
    <v t="i">151</v>
    <v t="i">152</v>
    <v t="i">153</v>
    <v t="i">154</v>
    <v t="i">155</v>
    <v t="i">158</v>
    <v t="i">159</v>
    <v t="i">160</v>
    <v t="i">161</v>
    <v t="i">166</v>
    <v t="i">167</v>
    <v t="i">168</v>
    <v t="i">169</v>
    <v t="i">172</v>
    <v t="i">173</v>
    <v t="i">174</v>
    <v t="i">175</v>
    <v t="i">176</v>
    <v t="i">179</v>
    <v t="i">180</v>
    <v t="i">181</v>
    <v t="i">182</v>
    <v t="i">183</v>
    <v t="i">186</v>
    <v t="i">187</v>
    <v t="i">188</v>
    <v t="i">189</v>
    <v t="i">193</v>
    <v t="i">194</v>
    <v t="i">195</v>
    <v t="i">196</v>
    <v t="i">197</v>
    <v t="i">200</v>
    <v t="i">201</v>
    <v t="i">202</v>
    <v t="i">204</v>
    <v t="i">207</v>
    <v t="i">208</v>
    <v t="i">209</v>
    <v t="i">210</v>
    <v t="i">211</v>
    <v t="i">215</v>
    <v t="i">216</v>
    <v t="i">217</v>
    <v t="i">218</v>
    <v t="i">221</v>
    <v t="i">222</v>
    <v t="i">223</v>
    <v t="i">224</v>
    <v t="i">225</v>
    <v t="i">228</v>
    <v t="i">229</v>
    <v t="i">230</v>
    <v t="i">231</v>
    <v t="i">232</v>
    <v t="i">235</v>
    <v t="i">236</v>
    <v t="i">237</v>
    <v t="i">238</v>
    <v t="i">239</v>
    <v t="i">242</v>
    <v t="i">243</v>
    <v t="i">244</v>
    <v t="i">245</v>
    <v t="i">246</v>
    <v t="i">249</v>
    <v t="i">250</v>
    <v t="i">251</v>
    <v t="i">252</v>
    <v t="i">253</v>
    <v t="i">256</v>
    <v t="i">257</v>
    <v t="i">258</v>
    <v t="i">259</v>
    <v t="i">260</v>
    <v t="i">263</v>
    <v t="i">264</v>
    <v t="i">265</v>
    <v t="i">266</v>
    <v t="i">267</v>
    <v t="i">270</v>
    <v t="i">271</v>
    <v t="i">272</v>
    <v t="i">273</v>
    <v t="i">274</v>
    <v t="i">277</v>
    <v t="i">278</v>
    <v t="i">279</v>
    <v t="i">280</v>
    <v t="i">281</v>
    <v t="i">284</v>
    <v t="i">285</v>
    <v t="i">286</v>
    <v t="i">287</v>
    <v t="i">288</v>
    <v t="i">291</v>
    <v t="i">292</v>
    <v t="i">293</v>
    <v t="i">294</v>
    <v t="i">295</v>
    <v t="i">298</v>
    <v t="i">299</v>
    <v t="i">300</v>
    <v t="i">301</v>
    <v t="i">302</v>
    <v t="i">305</v>
    <v t="i">306</v>
    <v t="i">307</v>
    <v t="i">308</v>
    <v t="i">309</v>
    <v t="i">312</v>
    <v t="i">313</v>
    <v t="i">314</v>
    <v t="i">315</v>
    <v t="i">316</v>
    <v t="i">319</v>
    <v t="i">320</v>
    <v t="i">321</v>
    <v t="i">322</v>
    <v t="i">323</v>
    <v t="i">326</v>
    <v t="i">327</v>
    <v t="i">328</v>
    <v t="i">329</v>
    <v t="i">330</v>
    <v t="i">333</v>
    <v t="i">334</v>
    <v t="i">335</v>
    <v t="i">336</v>
    <v t="i">337</v>
    <v t="i">340</v>
    <v t="i">341</v>
    <v t="i">342</v>
    <v t="i">343</v>
    <v t="i">344</v>
    <v t="i">347</v>
    <v t="i">348</v>
    <v t="i">349</v>
    <v t="i">350</v>
    <v t="i">351</v>
    <v t="i">354</v>
    <v t="i">355</v>
    <v t="i">356</v>
    <v t="i">357</v>
    <v t="i">358</v>
    <v t="i">361</v>
    <v t="i">362</v>
    <v t="i">363</v>
    <v t="i">364</v>
    <v t="i">365</v>
  </a>
  <a r="1" c="205">
    <v>172.27</v>
    <v>187.7</v>
    <v>187.88</v>
    <v>219.38</v>
    <v>199.88</v>
    <v>187.68</v>
    <v>200.46</v>
    <v>212.14</v>
    <v>214</v>
    <v>215</v>
    <v>222.1</v>
    <v>221.51</v>
    <v>222.97</v>
    <v>241.9</v>
    <v>243.29</v>
    <v>236.39</v>
    <v>240.85</v>
    <v>252.66</v>
    <v>279.7</v>
    <v>278.41000000000003</v>
    <v>250.23</v>
    <v>270.23</v>
    <v>290.24</v>
    <v>269.41000000000003</v>
    <v>260.19</v>
    <v>282.58</v>
    <v>285.99</v>
    <v>262.56</v>
    <v>273.74</v>
    <v>284.10000000000002</v>
    <v>281.58</v>
    <v>284.11</v>
    <v>296.56</v>
    <v>284.67</v>
    <v>285.52</v>
    <v>280.42</v>
    <v>270.57</v>
    <v>290.95</v>
    <v>282.25</v>
    <v>279.7</v>
    <v>270.08</v>
    <v>250.61</v>
    <v>261.3</v>
    <v>259.02999999999997</v>
    <v>245.25</v>
    <v>262.06</v>
    <v>266.22000000000003</v>
    <v>268.81</v>
    <v>261.18</v>
    <v>272.29000000000002</v>
    <v>286.20999999999998</v>
    <v>313.81</v>
    <v>304.89999999999998</v>
    <v>316.93</v>
    <v>293.10000000000002</v>
    <v>294.79000000000002</v>
    <v>301.05</v>
    <v>296.14</v>
    <v>273.35000000000002</v>
    <v>275.33999999999997</v>
    <v>251.67</v>
    <v>270.49</v>
    <v>297.73</v>
    <v>294.97000000000003</v>
    <v>304.14999999999998</v>
    <v>311.95999999999998</v>
    <v>338.78</v>
    <v>337.88</v>
    <v>343.43</v>
    <v>350.16</v>
    <v>366.22</v>
    <v>365</v>
    <v>361.69</v>
    <v>372.52</v>
    <v>374.11</v>
    <v>383.81</v>
    <v>389.1</v>
    <v>403.12</v>
    <v>404</v>
    <v>400.73</v>
    <v>390.99</v>
    <v>412.76</v>
    <v>434.52</v>
    <v>431.52</v>
    <v>442.36</v>
    <v>465.26</v>
    <v>483.15</v>
    <v>463.91</v>
    <v>480</v>
    <v>515.83000000000004</v>
    <v>488.74</v>
    <v>494.09</v>
    <v>489.15</v>
    <v>482.02</v>
    <v>458.68</v>
    <v>455.8</v>
    <v>459.62</v>
    <v>486.46</v>
    <v>484.28</v>
    <v>524.65</v>
    <v>530.6</v>
    <v>531.17999999999995</v>
    <v>531.21</v>
    <v>546.20000000000005</v>
    <v>563.1</v>
    <v>594.11</v>
    <v>575.5</v>
    <v>511.72</v>
    <v>526.92999999999995</v>
    <v>517.72</v>
    <v>490.09</v>
    <v>529.29</v>
    <v>562.92499999999995</v>
    <v>653.53</v>
    <v>681.08</v>
    <v>712.13</v>
    <v>746.23</v>
    <v>732.62</v>
    <v>670.75</v>
    <v>643.83000000000004</v>
    <v>675.39</v>
    <v>586.45000000000005</v>
    <v>651.88</v>
    <v>638.72</v>
    <v>598.37</v>
    <v>539</v>
    <v>577.46</v>
    <v>532.1</v>
    <v>550.29999999999995</v>
    <v>578.04999999999995</v>
    <v>582.58500000000004</v>
    <v>555.54999999999995</v>
    <v>563.32000000000005</v>
    <v>513.84</v>
    <v>466.81</v>
    <v>477.22</v>
    <v>487.42</v>
    <v>548.39</v>
    <v>556.66999999999996</v>
    <v>558.29999999999995</v>
    <v>519.79999999999995</v>
    <v>497.92</v>
    <v>463.51</v>
    <v>462.04</v>
    <v>533.04</v>
    <v>544.84</v>
    <v>527.22</v>
    <v>548.55999999999995</v>
    <v>519.16999999999996</v>
    <v>451.52</v>
    <v>434.3</v>
    <v>438.34</v>
    <v>437.93</v>
    <v>454.1</v>
    <v>487.29</v>
    <v>508.8</v>
    <v>536.01</v>
    <v>496.16</v>
    <v>462.09</v>
    <v>469.05</v>
    <v>459.44</v>
    <v>435.38</v>
    <v>450.75</v>
    <v>468.88</v>
    <v>462</v>
    <v>459.45</v>
    <v>450.55</v>
    <v>450.44</v>
    <v>448.9</v>
    <v>441.57</v>
    <v>467.46</v>
    <v>477.3</v>
    <v>482.28</v>
    <v>460.93</v>
    <v>447.18</v>
    <v>426.94</v>
    <v>411.96</v>
    <v>416.97</v>
    <v>423.87</v>
    <v>441.36</v>
    <v>448.17</v>
    <v>464.6</v>
    <v>473.69</v>
    <v>450.31</v>
    <v>456.81</v>
    <v>453.23</v>
    <v>453.48</v>
    <v>454.46</v>
    <v>462.56</v>
    <v>415.29</v>
    <v>441.64</v>
    <v>411.04</v>
    <v>405.42</v>
    <v>393.31</v>
    <v>397.28</v>
    <v>386.94</v>
    <v>380.71</v>
    <v>364.1</v>
    <v>356.45</v>
    <v>332</v>
    <v>352.21</v>
    <v>364.32</v>
    <v>378.51</v>
    <v>354.19</v>
    <v>343.67</v>
  </a>
  <a r="1" c="252">
    <v>125.72</v>
    <v>129.43</v>
    <v>126.67</v>
    <v>124.92</v>
    <v>141.38</v>
    <v>138.13</v>
    <v>150.21</v>
    <v>158.02000000000001</v>
    <v>152.18</v>
    <v>160.1</v>
    <v>163.6</v>
    <v>162.95500000000001</v>
    <v>174.22</v>
    <v>169.99</v>
    <v>166.11</v>
    <v>157.16</v>
    <v>157.83000000000001</v>
    <v>162.44999999999999</v>
    <v>152.86000000000001</v>
    <v>153.97</v>
    <v>140.22999999999999</v>
    <v>139.19</v>
    <v>150.93</v>
    <v>155.41</v>
    <v>157.74</v>
    <v>163.33000000000001</v>
    <v>163.54</v>
    <v>159.99</v>
    <v>155.59</v>
    <v>161</v>
    <v>168.89</v>
    <v>169.78</v>
    <v>169.54</v>
    <v>181.95</v>
    <v>187.2</v>
    <v>176.34</v>
    <v>172.04</v>
    <v>174.57499999999999</v>
    <v>166.26</v>
    <v>175.01</v>
    <v>181.08</v>
    <v>176.76</v>
    <v>178.25</v>
    <v>179.56</v>
    <v>181.54</v>
    <v>179.68</v>
    <v>176.06</v>
    <v>172.27</v>
    <v>187.7</v>
    <v>187.88</v>
    <v>219.38</v>
    <v>199.88</v>
    <v>187.68</v>
    <v>200.46</v>
    <v>212.14</v>
    <v>214</v>
    <v>215</v>
    <v>222.1</v>
    <v>221.51</v>
    <v>222.97</v>
    <v>241.9</v>
    <v>243.29</v>
    <v>236.39</v>
    <v>240.85</v>
    <v>252.66</v>
    <v>279.7</v>
    <v>278.41000000000003</v>
    <v>250.23</v>
    <v>270.23</v>
    <v>290.24</v>
    <v>269.41000000000003</v>
    <v>260.19</v>
    <v>282.58</v>
    <v>285.99</v>
    <v>262.56</v>
    <v>273.74</v>
    <v>284.10000000000002</v>
    <v>281.58</v>
    <v>284.11</v>
    <v>296.56</v>
    <v>284.67</v>
    <v>285.52</v>
    <v>280.42</v>
    <v>270.57</v>
    <v>290.95</v>
    <v>282.25</v>
    <v>279.7</v>
    <v>270.08</v>
    <v>250.61</v>
    <v>261.3</v>
    <v>259.02999999999997</v>
    <v>245.25</v>
    <v>262.06</v>
    <v>266.22000000000003</v>
    <v>268.81</v>
    <v>261.18</v>
    <v>272.29000000000002</v>
    <v>286.20999999999998</v>
    <v>313.81</v>
    <v>304.89999999999998</v>
    <v>316.93</v>
    <v>293.10000000000002</v>
    <v>294.79000000000002</v>
    <v>301.05</v>
    <v>296.14</v>
    <v>273.35000000000002</v>
    <v>275.33999999999997</v>
    <v>251.67</v>
    <v>270.49</v>
    <v>297.73</v>
    <v>294.97000000000003</v>
    <v>304.14999999999998</v>
    <v>311.95999999999998</v>
    <v>338.78</v>
    <v>337.88</v>
    <v>343.43</v>
    <v>350.16</v>
    <v>366.22</v>
    <v>365</v>
    <v>361.69</v>
    <v>372.52</v>
    <v>374.11</v>
    <v>383.81</v>
    <v>389.1</v>
    <v>403.12</v>
    <v>404</v>
    <v>400.73</v>
    <v>390.99</v>
    <v>412.76</v>
    <v>434.52</v>
    <v>431.52</v>
    <v>442.36</v>
    <v>465.26</v>
    <v>483.15</v>
    <v>463.91</v>
    <v>480</v>
    <v>515.83000000000004</v>
    <v>488.74</v>
    <v>494.09</v>
    <v>489.15</v>
    <v>482.02</v>
    <v>458.68</v>
    <v>455.8</v>
    <v>459.62</v>
    <v>486.46</v>
    <v>484.28</v>
    <v>524.65</v>
    <v>530.6</v>
    <v>531.17999999999995</v>
    <v>531.21</v>
    <v>546.20000000000005</v>
    <v>563.1</v>
    <v>594.11</v>
    <v>575.5</v>
    <v>511.72</v>
    <v>526.92999999999995</v>
    <v>517.72</v>
    <v>490.09</v>
    <v>529.29</v>
    <v>562.92499999999995</v>
    <v>653.53</v>
    <v>681.08</v>
    <v>712.13</v>
    <v>746.23</v>
    <v>732.62</v>
    <v>670.75</v>
    <v>643.83000000000004</v>
    <v>675.39</v>
    <v>586.45000000000005</v>
    <v>651.88</v>
    <v>638.72</v>
    <v>598.37</v>
    <v>539</v>
    <v>577.46</v>
    <v>532.1</v>
    <v>550.29999999999995</v>
    <v>578.04999999999995</v>
    <v>582.58500000000004</v>
    <v>555.54999999999995</v>
    <v>563.32000000000005</v>
    <v>513.84</v>
    <v>466.81</v>
    <v>477.22</v>
    <v>487.42</v>
    <v>548.39</v>
    <v>556.66999999999996</v>
    <v>558.29999999999995</v>
    <v>519.79999999999995</v>
    <v>497.92</v>
    <v>463.51</v>
    <v>462.04</v>
    <v>533.04</v>
    <v>544.84</v>
    <v>527.22</v>
    <v>548.55999999999995</v>
    <v>519.16999999999996</v>
    <v>451.52</v>
    <v>434.3</v>
    <v>438.34</v>
    <v>437.93</v>
    <v>454.1</v>
    <v>487.29</v>
    <v>508.8</v>
    <v>536.01</v>
    <v>496.16</v>
    <v>462.09</v>
    <v>469.05</v>
    <v>459.44</v>
    <v>435.38</v>
    <v>450.75</v>
    <v>468.88</v>
    <v>462</v>
    <v>459.45</v>
    <v>450.55</v>
    <v>450.44</v>
    <v>448.9</v>
    <v>441.57</v>
    <v>467.46</v>
    <v>477.3</v>
    <v>482.28</v>
    <v>460.93</v>
    <v>447.18</v>
    <v>426.94</v>
    <v>411.96</v>
    <v>416.97</v>
    <v>423.87</v>
    <v>441.36</v>
    <v>448.17</v>
    <v>464.6</v>
    <v>473.69</v>
    <v>450.31</v>
    <v>456.81</v>
    <v>453.23</v>
    <v>453.48</v>
    <v>454.46</v>
    <v>462.56</v>
    <v>415.29</v>
    <v>441.64</v>
    <v>411.04</v>
    <v>405.42</v>
    <v>393.31</v>
    <v>397.28</v>
    <v>386.94</v>
    <v>380.71</v>
    <v>364.1</v>
    <v>356.45</v>
    <v>332</v>
    <v>352.21</v>
    <v>364.32</v>
    <v>378.51</v>
    <v>354.19</v>
    <v>343.67</v>
  </a>
  <a r="1" c="754">
    <v>31.592500000000001</v>
    <v>32.461399999999998</v>
    <v>31.8721</v>
    <v>28.91</v>
    <v>29.4465</v>
    <v>31.584900000000001</v>
    <v>30.338100000000001</v>
    <v>31.5396</v>
    <v>31.8569</v>
    <v>32.499200000000002</v>
    <v>32.620100000000001</v>
    <v>32.559699999999999</v>
    <v>32.6843</v>
    <v>33.383299999999998</v>
    <v>34.002899999999997</v>
    <v>34.1389</v>
    <v>34.660299999999999</v>
    <v>34.781199999999998</v>
    <v>34.766100000000002</v>
    <v>35.226999999999997</v>
    <v>35.778599999999997</v>
    <v>34.939900000000002</v>
    <v>35.446100000000001</v>
    <v>35.2119</v>
    <v>35.672800000000002</v>
    <v>35.430999999999997</v>
    <v>35.755899999999997</v>
    <v>36.503999999999998</v>
    <v>36.564500000000002</v>
    <v>35.869300000000003</v>
    <v>35.340299999999999</v>
    <v>35.378100000000003</v>
    <v>35.748399999999997</v>
    <v>36.164000000000001</v>
    <v>37.206699999999998</v>
    <v>37.493899999999996</v>
    <v>38.105899999999998</v>
    <v>38.65</v>
    <v>38.294800000000002</v>
    <v>38.173900000000003</v>
    <v>38.491300000000003</v>
    <v>37.3352</v>
    <v>39.5794</v>
    <v>39.790900000000001</v>
    <v>39.866500000000002</v>
    <v>39.6096</v>
    <v>39.994999999999997</v>
    <v>39.571800000000003</v>
    <v>38.430799999999998</v>
    <v>38.0379</v>
    <v>37.796100000000003</v>
    <v>37.818800000000003</v>
    <v>37.924599999999998</v>
    <v>37.350299999999997</v>
    <v>38.166400000000003</v>
    <v>38.234400000000001</v>
    <v>37.784799999999997</v>
    <v>39.466000000000001</v>
    <v>39.533999999999999</v>
    <v>40.463500000000003</v>
    <v>41.385300000000001</v>
    <v>43.070300000000003</v>
    <v>43.621899999999997</v>
    <v>43.848599999999998</v>
    <v>45.586599999999997</v>
    <v>43.9998</v>
    <v>45.148299999999999</v>
    <v>43.916600000000003</v>
    <v>43.2592</v>
    <v>43.372599999999998</v>
    <v>43.946899999999999</v>
    <v>44.181100000000001</v>
    <v>44.165999999999997</v>
    <v>43.7806</v>
    <v>43.161000000000001</v>
    <v>42.9343</v>
    <v>43.312100000000001</v>
    <v>41.816000000000003</v>
    <v>42.3752</v>
    <v>42.322299999999998</v>
    <v>40.8035</v>
    <v>40.901699999999998</v>
    <v>40.342599999999997</v>
    <v>42.088000000000001</v>
    <v>42.360100000000003</v>
    <v>43.130800000000001</v>
    <v>43.433</v>
    <v>43.417900000000003</v>
    <v>44.936700000000002</v>
    <v>48.586399999999998</v>
    <v>48.601500000000001</v>
    <v>47.974299999999999</v>
    <v>48.888599999999997</v>
    <v>48.571300000000001</v>
    <v>47.604100000000003</v>
    <v>46.886200000000002</v>
    <v>47.581400000000002</v>
    <v>47.211100000000002</v>
    <v>45.941699999999997</v>
    <v>45.1785</v>
    <v>44.815800000000003</v>
    <v>45.193600000000004</v>
    <v>45.8812</v>
    <v>48.163200000000003</v>
    <v>48.314300000000003</v>
    <v>49.100200000000001</v>
    <v>51.4955</v>
    <v>51.110100000000003</v>
    <v>51.563499999999998</v>
    <v>53.535699999999999</v>
    <v>52.009300000000003</v>
    <v>54.1175</v>
    <v>53.301400000000001</v>
    <v>55.243400000000001</v>
    <v>55.122500000000002</v>
    <v>54.895800000000001</v>
    <v>54.593499999999999</v>
    <v>55.840299999999999</v>
    <v>54.446199999999997</v>
    <v>53.218299999999999</v>
    <v>53.694400000000002</v>
    <v>53.021900000000002</v>
    <v>51.624000000000002</v>
    <v>49.908700000000003</v>
    <v>50.664299999999997</v>
    <v>52.832999999999998</v>
    <v>52.553400000000003</v>
    <v>52.470300000000002</v>
    <v>53.920999999999999</v>
    <v>52.787599999999998</v>
    <v>53.520600000000002</v>
    <v>53.278799999999997</v>
    <v>52.681800000000003</v>
    <v>53.611199999999997</v>
    <v>54.857999999999997</v>
    <v>54.019300000000001</v>
    <v>54.434899999999999</v>
    <v>54.4726</v>
    <v>54.102400000000003</v>
    <v>53.626399999999997</v>
    <v>55.568300000000001</v>
    <v>57.192900000000002</v>
    <v>55.991399999999999</v>
    <v>54.480200000000004</v>
    <v>55.198</v>
    <v>55.923400000000001</v>
    <v>55.568300000000001</v>
    <v>56.036799999999999</v>
    <v>56.527900000000002</v>
    <v>57.532899999999998</v>
    <v>58.5077</v>
    <v>57.056899999999999</v>
    <v>56.890599999999999</v>
    <v>56.656399999999998</v>
    <v>55.8705</v>
    <v>58.107199999999999</v>
    <v>56.860399999999998</v>
    <v>56.656399999999998</v>
    <v>58.258299999999998</v>
    <v>57.82</v>
    <v>59.837499999999999</v>
    <v>60.132199999999997</v>
    <v>59.029000000000003</v>
    <v>60.343800000000002</v>
    <v>60.623399999999997</v>
    <v>57.6462</v>
    <v>57.253300000000003</v>
    <v>56.973700000000001</v>
    <v>58.076999999999998</v>
    <v>57.026600000000002</v>
    <v>57.895600000000002</v>
    <v>57.253300000000003</v>
    <v>57.714300000000001</v>
    <v>58.976100000000002</v>
    <v>58.779699999999998</v>
    <v>58.311199999999999</v>
    <v>59.316200000000002</v>
    <v>59.263300000000001</v>
    <v>60.630899999999997</v>
    <v>58.817500000000003</v>
    <v>59.520200000000003</v>
    <v>59.558</v>
    <v>58.228099999999998</v>
    <v>54.246000000000002</v>
    <v>53.0747</v>
    <v>52.757399999999997</v>
    <v>55.205599999999997</v>
    <v>55.13</v>
    <v>54.412199999999999</v>
    <v>50.241199999999999</v>
    <v>51.578600000000002</v>
    <v>50.195799999999998</v>
    <v>47.740099999999998</v>
    <v>50.664299999999997</v>
    <v>45.737699999999997</v>
    <v>43.244100000000003</v>
    <v>43.062800000000003</v>
    <v>43.357500000000002</v>
    <v>42.503599999999999</v>
    <v>44.566499999999998</v>
    <v>45.095399999999998</v>
    <v>45.616799999999998</v>
    <v>46.531100000000002</v>
    <v>46.478200000000001</v>
    <v>47.981900000000003</v>
    <v>48.397500000000001</v>
    <v>49.190899999999999</v>
    <v>48.677</v>
    <v>49.137999999999998</v>
    <v>48.389899999999997</v>
    <v>48.624099999999999</v>
    <v>47.369799999999998</v>
    <v>47.490699999999997</v>
    <v>47.173400000000001</v>
    <v>47.6267</v>
    <v>49.561100000000003</v>
    <v>47.6494</v>
    <v>47.566299999999998</v>
    <v>47.309399999999997</v>
    <v>45.918999999999997</v>
    <v>47.309399999999997</v>
    <v>47.445399999999999</v>
    <v>47.838299999999997</v>
    <v>47.792999999999999</v>
    <v>49.130400000000002</v>
    <v>48.427700000000002</v>
    <v>49.787799999999997</v>
    <v>48.677</v>
    <v>49.848300000000002</v>
    <v>50.437600000000003</v>
    <v>50.09</v>
    <v>50.218499999999999</v>
    <v>49.870899999999999</v>
    <v>53.241</v>
    <v>52.455100000000002</v>
    <v>51.601300000000002</v>
    <v>50.4452</v>
    <v>50.263800000000003</v>
    <v>50.309199999999997</v>
    <v>50.135399999999997</v>
    <v>50.203400000000002</v>
    <v>49.999400000000001</v>
    <v>48.7224</v>
    <v>48.397500000000001</v>
    <v>49.0246</v>
    <v>50.498100000000001</v>
    <v>50.588799999999999</v>
    <v>51.223500000000001</v>
    <v>50.890999999999998</v>
    <v>50.6492</v>
    <v>50.823</v>
    <v>51.200800000000001</v>
    <v>50.331800000000001</v>
    <v>50.112699999999997</v>
    <v>52.477800000000002</v>
    <v>52.674300000000002</v>
    <v>51.608800000000002</v>
    <v>50.6417</v>
    <v>49.349499999999999</v>
    <v>49.780200000000001</v>
    <v>49.281500000000001</v>
    <v>50.498100000000001</v>
    <v>52.825400000000002</v>
    <v>53.225900000000003</v>
    <v>52.598700000000001</v>
    <v>50.913699999999999</v>
    <v>48.329500000000003</v>
    <v>47.4</v>
    <v>47.770299999999999</v>
    <v>47.4529</v>
    <v>48.797899999999998</v>
    <v>49.334400000000002</v>
    <v>48.238799999999998</v>
    <v>49.780200000000001</v>
    <v>50.195799999999998</v>
    <v>52.4589</v>
    <v>55.175400000000003</v>
    <v>54.026800000000001</v>
    <v>55.152700000000003</v>
    <v>55.485199999999999</v>
    <v>54.170400000000001</v>
    <v>54.6616</v>
    <v>54.4878</v>
    <v>53.701900000000002</v>
    <v>53.452599999999997</v>
    <v>52.001800000000003</v>
    <v>52.817799999999998</v>
    <v>49.863399999999999</v>
    <v>49.206000000000003</v>
    <v>49.341999999999999</v>
    <v>48.843299999999999</v>
    <v>48.012099999999997</v>
    <v>45.0501</v>
    <v>45.518500000000003</v>
    <v>46.515999999999998</v>
    <v>46.6218</v>
    <v>46.629300000000001</v>
    <v>45.866100000000003</v>
    <v>45.0501</v>
    <v>45.057600000000001</v>
    <v>46.7502</v>
    <v>48.412599999999998</v>
    <v>49.606499999999997</v>
    <v>49.017099999999999</v>
    <v>48.405000000000001</v>
    <v>47.468000000000004</v>
    <v>46.863599999999998</v>
    <v>47.407600000000002</v>
    <v>48.835700000000003</v>
    <v>48.5486</v>
    <v>49.145499999999998</v>
    <v>50.951500000000003</v>
    <v>51.858199999999997</v>
    <v>51.896000000000001</v>
    <v>50.936300000000003</v>
    <v>48.661900000000003</v>
    <v>47.505800000000001</v>
    <v>47.4529</v>
    <v>49.704700000000003</v>
    <v>49.213500000000003</v>
    <v>48.677</v>
    <v>48.216099999999997</v>
    <v>48.903700000000001</v>
    <v>48.7224</v>
    <v>48.707299999999996</v>
    <v>52.167999999999999</v>
    <v>52.077300000000001</v>
    <v>50.838099999999997</v>
    <v>51.049700000000001</v>
    <v>51.676900000000003</v>
    <v>54.427300000000002</v>
    <v>54.026800000000001</v>
    <v>53.868099999999998</v>
    <v>51.914900000000003</v>
    <v>49.02</v>
    <v>49.07</v>
    <v>50.16</v>
    <v>48.2</v>
    <v>48.93</v>
    <v>47.01</v>
    <v>44.63</v>
    <v>44.2</v>
    <v>41.45</v>
    <v>41.7</v>
    <v>40.54</v>
    <v>41.8</v>
    <v>42.96</v>
    <v>42.03</v>
    <v>44.53</v>
    <v>44.75</v>
    <v>44.34</v>
    <v>44.9</v>
    <v>44.51</v>
    <v>43.66</v>
    <v>44.31</v>
    <v>43.39</v>
    <v>42.62</v>
    <v>41.91</v>
    <v>40.619999999999997</v>
    <v>40.43</v>
    <v>40.89</v>
    <v>41.78</v>
    <v>34.15</v>
    <v>30.54</v>
    <v>31.16</v>
    <v>31.55</v>
    <v>36.299999999999997</v>
    <v>34.869999999999997</v>
    <v>34.4</v>
    <v>35.82</v>
    <v>35.93</v>
    <v>35.619999999999997</v>
    <v>36.51</v>
    <v>35.96</v>
    <v>36.68</v>
    <v>37.700000000000003</v>
    <v>40.17</v>
    <v>40.78</v>
    <v>40.909999999999997</v>
    <v>40.619999999999997</v>
    <v>43.86</v>
    <v>43.95</v>
    <v>44.69</v>
    <v>45.03</v>
    <v>44.29</v>
    <v>44.3</v>
    <v>44.3</v>
    <v>44.1</v>
    <v>46.57</v>
    <v>49.01</v>
    <v>49.2</v>
    <v>49.75</v>
    <v>49.99</v>
    <v>50.72</v>
    <v>50.63</v>
    <v>49.49</v>
    <v>49.84</v>
    <v>50.18</v>
    <v>51.82</v>
    <v>52.35</v>
    <v>52.55</v>
    <v>51.55</v>
    <v>52.19</v>
    <v>53.77</v>
    <v>54.43</v>
    <v>55.05</v>
    <v>55.45</v>
    <v>57.02</v>
    <v>55.95</v>
    <v>55.67</v>
    <v>55.78</v>
    <v>55.7</v>
    <v>57.41</v>
    <v>58.57</v>
    <v>59.19</v>
    <v>59.29</v>
    <v>60.38</v>
    <v>62.07</v>
    <v>62.55</v>
    <v>63.51</v>
    <v>63.29</v>
    <v>63.99</v>
    <v>63.84</v>
    <v>65.78</v>
    <v>66.08</v>
    <v>65.215000000000003</v>
    <v>64.02</v>
    <v>64.64</v>
    <v>65.06</v>
    <v>66.14</v>
    <v>66.930000000000007</v>
    <v>67.53</v>
    <v>66.53</v>
    <v>67.02</v>
    <v>68</v>
    <v>68.739999999999995</v>
    <v>67.06</v>
    <v>69.319999999999993</v>
    <v>69.02</v>
    <v>68.819999999999993</v>
    <v>68.984999999999999</v>
    <v>70.61</v>
    <v>71.430000000000007</v>
    <v>78.69</v>
    <v>76.55</v>
    <v>77.290000000000006</v>
    <v>75.84</v>
    <v>73.78</v>
    <v>74.44</v>
    <v>74.97</v>
    <v>74.64</v>
    <v>75.91</v>
    <v>76.069999999999993</v>
    <v>76.239999999999995</v>
    <v>75.06</v>
    <v>76.290000000000006</v>
    <v>75.86</v>
    <v>75.64</v>
    <v>74.66</v>
    <v>76.97</v>
    <v>79.22</v>
    <v>79.709999999999994</v>
    <v>80.67</v>
    <v>82.04</v>
    <v>80.34</v>
    <v>81.91</v>
    <v>86</v>
    <v>90.49</v>
    <v>92.04</v>
    <v>93.29</v>
    <v>94.54</v>
    <v>95.02</v>
    <v>96.15</v>
    <v>97.66</v>
    <v>102.39</v>
    <v>103.09</v>
    <v>100.94</v>
    <v>105.15</v>
    <v>106.63</v>
    <v>112.41</v>
    <v>110.25</v>
    <v>109.69</v>
    <v>107.21</v>
    <v>106.88</v>
    <v>116.74</v>
    <v>120.06</v>
    <v>130.59</v>
    <v>131.26</v>
    <v>131.31</v>
    <v>125.28</v>
    <v>119.93</v>
    <v>121.18</v>
    <v>119.7</v>
    <v>115.42</v>
    <v>118.86</v>
    <v>113.13</v>
    <v>120.44</v>
    <v>125.92</v>
    <v>126.2</v>
    <v>121.53</v>
    <v>121.41</v>
    <v>120.47</v>
    <v>125.72</v>
    <v>129.43</v>
    <v>126.67</v>
    <v>124.92</v>
    <v>141.38</v>
    <v>138.13</v>
    <v>150.21</v>
    <v>158.02000000000001</v>
    <v>152.18</v>
    <v>160.1</v>
    <v>163.6</v>
    <v>162.95500000000001</v>
    <v>174.22</v>
    <v>169.99</v>
    <v>166.11</v>
    <v>157.16</v>
    <v>157.83000000000001</v>
    <v>162.44999999999999</v>
    <v>152.86000000000001</v>
    <v>153.97</v>
    <v>140.22999999999999</v>
    <v>139.19</v>
    <v>150.93</v>
    <v>155.41</v>
    <v>157.74</v>
    <v>163.33000000000001</v>
    <v>163.54</v>
    <v>159.99</v>
    <v>155.59</v>
    <v>161</v>
    <v>168.89</v>
    <v>169.78</v>
    <v>169.54</v>
    <v>181.95</v>
    <v>187.2</v>
    <v>176.34</v>
    <v>172.04</v>
    <v>174.57499999999999</v>
    <v>166.26</v>
    <v>175.01</v>
    <v>181.08</v>
    <v>176.76</v>
    <v>178.25</v>
    <v>179.56</v>
    <v>181.54</v>
    <v>179.68</v>
    <v>176.06</v>
    <v>172.27</v>
    <v>187.7</v>
    <v>187.88</v>
    <v>219.38</v>
    <v>199.88</v>
    <v>187.68</v>
    <v>200.46</v>
    <v>212.14</v>
    <v>214</v>
    <v>215</v>
    <v>222.1</v>
    <v>221.51</v>
    <v>222.97</v>
    <v>241.9</v>
    <v>243.29</v>
    <v>236.39</v>
    <v>240.85</v>
    <v>252.66</v>
    <v>279.7</v>
    <v>278.41000000000003</v>
    <v>250.23</v>
    <v>270.23</v>
    <v>290.24</v>
    <v>269.41000000000003</v>
    <v>260.19</v>
    <v>282.58</v>
    <v>285.99</v>
    <v>262.56</v>
    <v>273.74</v>
    <v>284.10000000000002</v>
    <v>281.58</v>
    <v>284.11</v>
    <v>296.56</v>
    <v>284.67</v>
    <v>285.52</v>
    <v>280.42</v>
    <v>270.57</v>
    <v>290.95</v>
    <v>282.25</v>
    <v>279.7</v>
    <v>270.08</v>
    <v>250.61</v>
    <v>261.3</v>
    <v>259.02999999999997</v>
    <v>245.25</v>
    <v>262.06</v>
    <v>266.22000000000003</v>
    <v>268.81</v>
    <v>261.18</v>
    <v>272.29000000000002</v>
    <v>286.20999999999998</v>
    <v>313.81</v>
    <v>304.89999999999998</v>
    <v>316.93</v>
    <v>293.10000000000002</v>
    <v>294.79000000000002</v>
    <v>301.05</v>
    <v>296.14</v>
    <v>273.35000000000002</v>
    <v>275.33999999999997</v>
    <v>251.67</v>
    <v>270.49</v>
    <v>297.73</v>
    <v>294.97000000000003</v>
    <v>304.14999999999998</v>
    <v>311.95999999999998</v>
    <v>338.78</v>
    <v>337.88</v>
    <v>343.43</v>
    <v>350.16</v>
    <v>366.22</v>
    <v>365</v>
    <v>361.69</v>
    <v>372.52</v>
    <v>374.11</v>
    <v>383.81</v>
    <v>389.1</v>
    <v>403.12</v>
    <v>404</v>
    <v>400.73</v>
    <v>390.99</v>
    <v>412.76</v>
    <v>434.52</v>
    <v>431.52</v>
    <v>442.36</v>
    <v>465.26</v>
    <v>483.15</v>
    <v>463.91</v>
    <v>480</v>
    <v>515.83000000000004</v>
    <v>488.74</v>
    <v>494.09</v>
    <v>489.15</v>
    <v>482.02</v>
    <v>458.68</v>
    <v>455.8</v>
    <v>459.62</v>
    <v>486.46</v>
    <v>484.28</v>
    <v>524.65</v>
    <v>530.6</v>
    <v>531.17999999999995</v>
    <v>531.21</v>
    <v>546.20000000000005</v>
    <v>563.1</v>
    <v>594.11</v>
    <v>575.5</v>
    <v>511.72</v>
    <v>526.92999999999995</v>
    <v>517.72</v>
    <v>490.09</v>
    <v>529.29</v>
    <v>562.92499999999995</v>
    <v>653.53</v>
    <v>681.08</v>
    <v>712.13</v>
    <v>746.23</v>
    <v>732.62</v>
    <v>670.75</v>
    <v>643.83000000000004</v>
    <v>675.39</v>
    <v>586.45000000000005</v>
    <v>651.88</v>
    <v>638.72</v>
    <v>598.37</v>
    <v>539</v>
    <v>577.46</v>
    <v>532.1</v>
    <v>550.29999999999995</v>
    <v>578.04999999999995</v>
    <v>582.58500000000004</v>
    <v>555.54999999999995</v>
    <v>563.32000000000005</v>
    <v>513.84</v>
    <v>466.81</v>
    <v>477.22</v>
    <v>487.42</v>
    <v>548.39</v>
    <v>556.66999999999996</v>
    <v>558.29999999999995</v>
    <v>519.79999999999995</v>
    <v>497.92</v>
    <v>463.51</v>
    <v>462.04</v>
    <v>533.04</v>
    <v>544.84</v>
    <v>527.22</v>
    <v>548.55999999999995</v>
    <v>519.16999999999996</v>
    <v>451.52</v>
    <v>434.3</v>
    <v>438.34</v>
    <v>437.93</v>
    <v>454.1</v>
    <v>487.29</v>
    <v>508.8</v>
    <v>536.01</v>
    <v>496.16</v>
    <v>462.09</v>
    <v>469.05</v>
    <v>459.44</v>
    <v>435.38</v>
    <v>450.75</v>
    <v>468.88</v>
    <v>462</v>
    <v>459.45</v>
    <v>450.55</v>
    <v>450.44</v>
    <v>448.9</v>
    <v>441.57</v>
    <v>467.46</v>
    <v>477.3</v>
    <v>482.28</v>
    <v>460.93</v>
    <v>447.18</v>
    <v>426.94</v>
    <v>411.96</v>
    <v>416.97</v>
    <v>423.87</v>
    <v>441.36</v>
    <v>448.17</v>
    <v>464.6</v>
    <v>473.69</v>
    <v>450.31</v>
    <v>456.81</v>
    <v>453.23</v>
    <v>453.48</v>
    <v>454.46</v>
    <v>462.56</v>
    <v>415.29</v>
    <v>441.64</v>
    <v>411.04</v>
    <v>405.42</v>
    <v>393.31</v>
    <v>397.28</v>
    <v>386.94</v>
    <v>380.71</v>
    <v>364.1</v>
    <v>356.45</v>
    <v>332</v>
    <v>352.21</v>
    <v>364.32</v>
    <v>378.51</v>
    <v>354.19</v>
    <v>343.67</v>
  </a>
  <a r="1" c="763">
    <v>56.25</v>
    <v>56.47</v>
    <v>56.47</v>
    <v>56.44</v>
    <v>55.72</v>
    <v>55.76</v>
    <v>56.16</v>
    <v>56.65</v>
    <v>57.23</v>
    <v>57.61</v>
    <v>57.3</v>
    <v>57.2</v>
    <v>56.86</v>
    <v>56.99</v>
    <v>56.73</v>
    <v>57.01</v>
    <v>57.43</v>
    <v>57.57</v>
    <v>57.19</v>
    <v>57.53</v>
    <v>57.48</v>
    <v>57.53</v>
    <v>57.81</v>
    <v>57.8</v>
    <v>57.85</v>
    <v>57.66</v>
    <v>57.57</v>
    <v>57.67</v>
    <v>58.05</v>
    <v>58.79</v>
    <v>58.82</v>
    <v>58.91</v>
    <v>59.1</v>
    <v>59.07</v>
    <v>59.24</v>
    <v>59.63</v>
    <v>59.4</v>
    <v>59.42</v>
    <v>59.89</v>
    <v>60.11</v>
    <v>60.02</v>
    <v>60.05</v>
    <v>60.16</v>
    <v>59.91</v>
    <v>60.27</v>
    <v>60</v>
    <v>60.3</v>
    <v>60.6</v>
    <v>60.85</v>
    <v>60.72</v>
    <v>60.94</v>
    <v>60.9</v>
    <v>60.85</v>
    <v>60.72</v>
    <v>60.5</v>
    <v>60.16</v>
    <v>60.61</v>
    <v>60.67</v>
    <v>60.51</v>
    <v>59.91</v>
    <v>59.92</v>
    <v>60.04</v>
    <v>60.47</v>
    <v>60.6</v>
    <v>61.03</v>
    <v>61.15</v>
    <v>61.34</v>
    <v>61.62</v>
    <v>61.61</v>
    <v>61.76</v>
    <v>61.35</v>
    <v>61.62</v>
    <v>61.53</v>
    <v>61.86</v>
    <v>61.79</v>
    <v>61.56</v>
    <v>61.34</v>
    <v>61.81</v>
    <v>61.51</v>
    <v>61.64</v>
    <v>61.97</v>
    <v>62.39</v>
    <v>62.52</v>
    <v>62.26</v>
    <v>62.31</v>
    <v>62.77</v>
    <v>62.91</v>
    <v>62.6</v>
    <v>62.61</v>
    <v>62.54</v>
    <v>62.7</v>
    <v>63.13</v>
    <v>62.97</v>
    <v>63.2</v>
    <v>63.37</v>
    <v>63.51</v>
    <v>63.4</v>
    <v>63.27</v>
    <v>63.61</v>
    <v>63.71</v>
    <v>63.65</v>
    <v>63.57</v>
    <v>63.75</v>
    <v>63.96</v>
    <v>64.010000000000005</v>
    <v>64.849999999999994</v>
    <v>64.900000000000006</v>
    <v>64.7</v>
    <v>64.78</v>
    <v>65.02</v>
    <v>65.55</v>
    <v>65.290000000000006</v>
    <v>65.16</v>
    <v>65.349999999999994</v>
    <v>64.72</v>
    <v>64.94</v>
    <v>64.819999999999993</v>
    <v>64.87</v>
    <v>64.790000000000006</v>
    <v>64.900000000000006</v>
    <v>64.75</v>
    <v>63.7</v>
    <v>63.59</v>
    <v>63.96</v>
    <v>63.93</v>
    <v>64.39</v>
    <v>64.7</v>
    <v>64.739999999999995</v>
    <v>64.38</v>
    <v>64.819999999999993</v>
    <v>65.17</v>
    <v>65.040000000000006</v>
    <v>64.83</v>
    <v>64.819999999999993</v>
    <v>65.2</v>
    <v>65.540000000000006</v>
    <v>65.66</v>
    <v>65.95</v>
    <v>66.290000000000006</v>
    <v>66.27</v>
    <v>66.209999999999994</v>
    <v>66.56</v>
    <v>66.680000000000007</v>
    <v>66.89</v>
    <v>66.87</v>
    <v>66.58</v>
    <v>66.36</v>
    <v>66.069999999999993</v>
    <v>65.8</v>
    <v>66.150000000000006</v>
    <v>65.83</v>
    <v>64.91</v>
    <v>65.14</v>
    <v>65.489999999999995</v>
    <v>65.599999999999994</v>
    <v>65.31</v>
    <v>65.56</v>
    <v>65.84</v>
    <v>66.13</v>
    <v>65.97</v>
    <v>65.59</v>
    <v>65.5</v>
    <v>65.290000000000006</v>
    <v>65.42</v>
    <v>65.37</v>
    <v>65.900000000000006</v>
    <v>65.98</v>
    <v>66.09</v>
    <v>66.19</v>
    <v>66.510000000000005</v>
    <v>66.34</v>
    <v>65.98</v>
    <v>65.98</v>
    <v>66.16</v>
    <v>66.47</v>
    <v>66.13</v>
    <v>66.31</v>
    <v>66.47</v>
    <v>66.150000000000006</v>
    <v>66.23</v>
    <v>66.09</v>
    <v>66.569999999999993</v>
    <v>66.819999999999993</v>
    <v>67.14</v>
    <v>67.05</v>
    <v>67.39</v>
    <v>67.47</v>
    <v>67.59</v>
    <v>66.75</v>
    <v>66.95</v>
    <v>67.239999999999995</v>
    <v>66.760000000000005</v>
    <v>66.73</v>
    <v>67.05</v>
    <v>67.11</v>
    <v>67.23</v>
    <v>68.13</v>
    <v>67.209999999999994</v>
    <v>65.23</v>
    <v>63.45</v>
    <v>63.89</v>
    <v>64.989999999999995</v>
    <v>64.77</v>
    <v>64.989999999999995</v>
    <v>65.099999999999994</v>
    <v>65.430000000000007</v>
    <v>65.78</v>
    <v>66.489999999999995</v>
    <v>66.73</v>
    <v>67.2</v>
    <v>66.53</v>
    <v>66.61</v>
    <v>66.77</v>
    <v>67.040000000000006</v>
    <v>67.510000000000005</v>
    <v>67.45</v>
    <v>67.47</v>
    <v>67.92</v>
    <v>68.03</v>
    <v>68.209999999999994</v>
    <v>67.72</v>
    <v>67.489999999999995</v>
    <v>67.06</v>
    <v>66.19</v>
    <v>66.86</v>
    <v>66.52</v>
    <v>66.23</v>
    <v>66.790000000000006</v>
    <v>67.25</v>
    <v>67.099999999999994</v>
    <v>67.489999999999995</v>
    <v>67.28</v>
    <v>67.83</v>
    <v>67.56</v>
    <v>68.150000000000006</v>
    <v>68.5</v>
    <v>68.19</v>
    <v>68.84</v>
    <v>69.239999999999995</v>
    <v>68.959999999999994</v>
    <v>69.3</v>
    <v>69.48</v>
    <v>69.180000000000007</v>
    <v>69.36</v>
    <v>69.8</v>
    <v>69.319999999999993</v>
    <v>69.569999999999993</v>
    <v>69.73</v>
    <v>69.91</v>
    <v>70.47</v>
    <v>70.48</v>
    <v>70.58</v>
    <v>70.760000000000005</v>
    <v>70.75</v>
    <v>70.2</v>
    <v>70.099999999999994</v>
    <v>70.13</v>
    <v>70.06</v>
    <v>69.95</v>
    <v>70.069999999999993</v>
    <v>69.84</v>
    <v>69.22</v>
    <v>68.819999999999993</v>
    <v>69.31</v>
    <v>68.91</v>
    <v>69.22</v>
    <v>70.930000000000007</v>
    <v>70.849999999999994</v>
    <v>70.64</v>
    <v>71.33</v>
    <v>70.650000000000006</v>
    <v>70.930000000000007</v>
    <v>71</v>
    <v>70.81</v>
    <v>71</v>
    <v>71.02</v>
    <v>70.86</v>
    <v>71.599999999999994</v>
    <v>72.41</v>
    <v>72.430000000000007</v>
    <v>72.13</v>
    <v>71.66</v>
    <v>71.64</v>
    <v>72.31</v>
    <v>72.150000000000006</v>
    <v>72.459999999999994</v>
    <v>72.06</v>
    <v>72.150000000000006</v>
    <v>71.63</v>
    <v>72.12</v>
    <v>71.89</v>
    <v>71.97</v>
    <v>71.67</v>
    <v>71.290000000000006</v>
    <v>71.03</v>
    <v>70.55</v>
    <v>70.55</v>
    <v>69.680000000000007</v>
    <v>69.88</v>
    <v>69.790000000000006</v>
    <v>70.77</v>
    <v>70.05</v>
    <v>71.180000000000007</v>
    <v>70.900000000000006</v>
    <v>70.97</v>
    <v>70.92</v>
    <v>70.97</v>
    <v>71.680000000000007</v>
    <v>70.44</v>
    <v>70.62</v>
    <v>70.540000000000006</v>
    <v>71.650000000000006</v>
    <v>71.760000000000005</v>
    <v>72.45</v>
    <v>72.3</v>
    <v>72.44</v>
    <v>72.400000000000006</v>
    <v>72.31</v>
    <v>72.180000000000007</v>
    <v>72.25</v>
    <v>72.760000000000005</v>
    <v>72.92</v>
    <v>73.400000000000006</v>
    <v>73.680000000000007</v>
    <v>73.150000000000006</v>
    <v>73.3</v>
    <v>73.099999999999994</v>
    <v>73.95</v>
    <v>73.92</v>
    <v>74.02</v>
    <v>74.099999999999994</v>
    <v>73.88</v>
    <v>74.260000000000005</v>
    <v>73.89</v>
    <v>74.37</v>
    <v>74.3</v>
    <v>74.489999999999995</v>
    <v>74.16</v>
    <v>74.52</v>
    <v>74.459999999999994</v>
    <v>74.22</v>
    <v>74.510000000000005</v>
    <v>74.739999999999995</v>
    <v>74.56</v>
    <v>75.06</v>
    <v>73</v>
    <v>72.239999999999995</v>
    <v>72.14</v>
    <v>72.02</v>
    <v>72.12</v>
    <v>70.400000000000006</v>
    <v>70.77</v>
    <v>70.78</v>
    <v>71.42</v>
    <v>71.87</v>
    <v>71.97</v>
    <v>72.37</v>
    <v>72.42</v>
    <v>72.33</v>
    <v>72.83</v>
    <v>72.91</v>
    <v>72.930000000000007</v>
    <v>72.819999999999993</v>
    <v>71.959999999999994</v>
    <v>71.510000000000005</v>
    <v>72.13</v>
    <v>71.94</v>
    <v>69.67</v>
    <v>66.31</v>
    <v>64.28</v>
    <v>65.34</v>
    <v>62.73</v>
    <v>64</v>
    <v>64.010000000000005</v>
    <v>65.45</v>
    <v>66.540000000000006</v>
    <v>66.56</v>
    <v>66.23</v>
    <v>66.02</v>
    <v>67.069999999999993</v>
    <v>67.540000000000006</v>
    <v>67.38</v>
    <v>67.63</v>
    <v>68.040000000000006</v>
    <v>68.290000000000006</v>
    <v>69.13</v>
    <v>69.760000000000005</v>
    <v>69.25</v>
    <v>68.8</v>
    <v>69.64</v>
    <v>69.78</v>
    <v>71.37</v>
    <v>71.2</v>
    <v>70.66</v>
    <v>71.38</v>
    <v>71.790000000000006</v>
    <v>71.59</v>
    <v>71.650000000000006</v>
    <v>70.92</v>
    <v>70.430000000000007</v>
    <v>70.31</v>
    <v>70.41</v>
    <v>71.28</v>
    <v>71.11</v>
    <v>70.709999999999994</v>
    <v>70.959999999999994</v>
    <v>70.64</v>
    <v>71.27</v>
    <v>71.209999999999994</v>
    <v>71.09</v>
    <v>71.349999999999994</v>
    <v>71.599999999999994</v>
    <v>71.680000000000007</v>
    <v>71.650000000000006</v>
    <v>70.98</v>
    <v>70.81</v>
    <v>71.069999999999993</v>
    <v>70.62</v>
    <v>70.739999999999995</v>
    <v>70.25</v>
    <v>70.09</v>
    <v>70.25</v>
    <v>70.72</v>
    <v>70.5</v>
    <v>70.16</v>
    <v>70.73</v>
    <v>70.510000000000005</v>
    <v>70.849999999999994</v>
    <v>71.02</v>
    <v>71.739999999999995</v>
    <v>71.31</v>
    <v>71.260000000000005</v>
    <v>71.319999999999993</v>
    <v>71.56</v>
    <v>72.209999999999994</v>
    <v>71.52</v>
    <v>71.599999999999994</v>
    <v>71.47</v>
    <v>70.91</v>
    <v>71.819999999999993</v>
    <v>71.760000000000005</v>
    <v>71.91</v>
    <v>71.739999999999995</v>
    <v>72.47</v>
    <v>72.599999999999994</v>
    <v>72.239999999999995</v>
    <v>72.66</v>
    <v>72.84</v>
    <v>73.16</v>
    <v>72.78</v>
    <v>71.33</v>
    <v>72.11</v>
    <v>72.069999999999993</v>
    <v>72.349999999999994</v>
    <v>72.42</v>
    <v>72.64</v>
    <v>72.900000000000006</v>
    <v>73.13</v>
    <v>73.34</v>
    <v>73.709999999999994</v>
    <v>73.37</v>
    <v>73.72</v>
    <v>73.88</v>
    <v>74.069999999999993</v>
    <v>74.02</v>
    <v>74.77</v>
    <v>74.44</v>
    <v>74</v>
    <v>74.319999999999993</v>
    <v>74.319999999999993</v>
    <v>73.95</v>
    <v>74.099999999999994</v>
    <v>73.760000000000005</v>
    <v>73.540000000000006</v>
    <v>74.099999999999994</v>
    <v>73.63</v>
    <v>73.7</v>
    <v>74.09</v>
    <v>74.180000000000007</v>
    <v>74.86</v>
    <v>74.56</v>
    <v>74.58</v>
    <v>73.88</v>
    <v>74.31</v>
    <v>74.459999999999994</v>
    <v>74.41</v>
    <v>74.41</v>
    <v>74.7</v>
    <v>74.739999999999995</v>
    <v>74.38</v>
    <v>74.75</v>
    <v>74.92</v>
    <v>74.87</v>
    <v>75.36</v>
    <v>75.459999999999994</v>
    <v>75.680000000000007</v>
    <v>75.95</v>
    <v>76.05</v>
    <v>76.260000000000005</v>
    <v>76.2</v>
    <v>75.22</v>
    <v>75.38</v>
    <v>75.5</v>
    <v>75.81</v>
    <v>76</v>
    <v>75.290000000000006</v>
    <v>76.150000000000006</v>
    <v>76.45</v>
    <v>76.63</v>
    <v>76.37</v>
    <v>76.7</v>
    <v>76.819999999999993</v>
    <v>76.709999999999994</v>
    <v>76.52</v>
    <v>76.75</v>
    <v>76.459999999999994</v>
    <v>76.37</v>
    <v>76.33</v>
    <v>76.52</v>
    <v>76.09</v>
    <v>75.56</v>
    <v>76.73</v>
    <v>77.59</v>
    <v>78.09</v>
    <v>77.680000000000007</v>
    <v>77.14</v>
    <v>76.88</v>
    <v>76.010000000000005</v>
    <v>75.95</v>
    <v>76.23</v>
    <v>76.42</v>
    <v>76.44</v>
    <v>76.849999999999994</v>
    <v>77.489999999999995</v>
    <v>77.790000000000006</v>
    <v>77.92</v>
    <v>77.64</v>
    <v>77.69</v>
    <v>77.48</v>
    <v>77.84</v>
    <v>78.180000000000007</v>
    <v>77.849999999999994</v>
    <v>78.22</v>
    <v>77.78</v>
    <v>78.22</v>
    <v>77.930000000000007</v>
    <v>78.42</v>
    <v>77.680000000000007</v>
    <v>77.7</v>
    <v>78.42</v>
    <v>78.45</v>
    <v>78.41</v>
    <v>78.599999999999994</v>
    <v>78.87</v>
    <v>79.02</v>
    <v>79.239999999999995</v>
    <v>80.06</v>
    <v>80.66</v>
    <v>80.37</v>
    <v>80.599999999999994</v>
    <v>81.19</v>
    <v>81.13</v>
    <v>81.27</v>
    <v>81.63</v>
    <v>82.48</v>
    <v>82.41</v>
    <v>81.8</v>
    <v>80.900000000000006</v>
    <v>81.319999999999993</v>
    <v>81.93</v>
    <v>81.52</v>
    <v>81.44</v>
    <v>81.45</v>
    <v>81.540000000000006</v>
    <v>81.709999999999994</v>
    <v>82.04</v>
    <v>82.89</v>
    <v>83.65</v>
    <v>84.29</v>
    <v>83.66</v>
    <v>84.67</v>
    <v>84.78</v>
    <v>85.04</v>
    <v>85.64</v>
    <v>85.39</v>
    <v>85.29</v>
    <v>85.44</v>
    <v>85.4</v>
    <v>86.06</v>
    <v>86.05</v>
    <v>86.33</v>
    <v>86.17</v>
    <v>86.33</v>
    <v>86.86</v>
    <v>87.02</v>
    <v>86.87</v>
    <v>86.65</v>
    <v>84.86</v>
    <v>85.37</v>
    <v>84.47</v>
    <v>83.5</v>
    <v>83.23</v>
    <v>84.47</v>
    <v>84.07</v>
    <v>83.67</v>
    <v>83.83</v>
    <v>84.14</v>
    <v>84.5</v>
    <v>84.01</v>
    <v>82.63</v>
    <v>81.8</v>
    <v>82.04</v>
    <v>82.57</v>
    <v>83.48</v>
    <v>83.01</v>
    <v>82.48</v>
    <v>83.44</v>
    <v>83.2</v>
    <v>84.14</v>
    <v>84.17</v>
    <v>83.74</v>
    <v>85.35</v>
    <v>85.48</v>
    <v>85.28</v>
    <v>84.99</v>
    <v>85.31</v>
    <v>84.98</v>
    <v>85.25</v>
    <v>85.97</v>
    <v>85.9</v>
    <v>85.36</v>
    <v>85.32</v>
    <v>85.66</v>
    <v>85.06</v>
    <v>84.97</v>
    <v>85.26</v>
    <v>85.03</v>
    <v>86.08</v>
    <v>85.45</v>
    <v>86</v>
    <v>86.86</v>
    <v>86.25</v>
    <v>86.09</v>
    <v>86.29</v>
    <v>86.1</v>
    <v>86.71</v>
    <v>87.45</v>
    <v>86.74</v>
    <v>86.79</v>
    <v>87.2</v>
    <v>87.68</v>
    <v>87.63</v>
    <v>88.5</v>
    <v>89.17</v>
    <v>88.73</v>
    <v>88.47</v>
    <v>88.24</v>
    <v>88.25</v>
    <v>88.09</v>
    <v>88.74</v>
    <v>88.64</v>
    <v>88.84</v>
    <v>88.83</v>
    <v>88.46</v>
    <v>88.17</v>
    <v>88.31</v>
    <v>88.73</v>
    <v>90.07</v>
    <v>90.13</v>
    <v>90.25</v>
    <v>90.63</v>
    <v>90.28</v>
    <v>90.08</v>
    <v>90.72</v>
    <v>90.51</v>
    <v>90.61</v>
    <v>91.05</v>
    <v>90.74</v>
    <v>90.36</v>
    <v>90.39</v>
    <v>90.76</v>
    <v>91.27</v>
    <v>91.81</v>
    <v>91.9</v>
    <v>91.91</v>
    <v>91.17</v>
    <v>91.53</v>
    <v>91.84</v>
    <v>92</v>
    <v>91.85</v>
    <v>91.85</v>
    <v>92.05</v>
    <v>91.85</v>
    <v>91.64</v>
    <v>92.05</v>
    <v>92.79</v>
    <v>92.4</v>
    <v>93.09</v>
    <v>93.3</v>
    <v>93.73</v>
    <v>93.29</v>
    <v>92.35</v>
    <v>92.59</v>
    <v>92.78</v>
    <v>93.37</v>
    <v>93.34</v>
    <v>93.5</v>
    <v>93.59</v>
    <v>93.83</v>
    <v>93.9</v>
    <v>94.09</v>
    <v>94.22</v>
    <v>93.97</v>
    <v>93.81</v>
    <v>93.47</v>
    <v>93.29</v>
    <v>92.99</v>
    <v>93.32</v>
    <v>93.37</v>
    <v>93.68</v>
    <v>93.82</v>
    <v>93.4</v>
    <v>93.84</v>
    <v>93.57</v>
    <v>93.8</v>
    <v>93.96</v>
    <v>94.57</v>
    <v>94.41</v>
    <v>94.08</v>
    <v>93.94</v>
    <v>93.1</v>
    <v>92.73</v>
    <v>93.37</v>
    <v>93.51</v>
    <v>93.02</v>
    <v>93.32</v>
    <v>93.72</v>
    <v>93.07</v>
    <v>93.57</v>
    <v>93.61</v>
    <v>93.39</v>
    <v>92.8</v>
    <v>93.02</v>
    <v>92.81</v>
    <v>92.7</v>
    <v>92.57</v>
    <v>92.11</v>
    <v>92.7</v>
    <v>93.43</v>
    <v>93.58</v>
    <v>93.27</v>
    <v>92.72</v>
    <v>93.64</v>
    <v>94.24</v>
    <v>94.17</v>
    <v>94.46</v>
    <v>94.64</v>
    <v>94.93</v>
    <v>94.68</v>
    <v>94.8</v>
    <v>95.2</v>
    <v>94.97</v>
    <v>95.15</v>
  </a>
  <a r="1" c="254">
    <v>76.37</v>
    <v>76.7</v>
    <v>76.819999999999993</v>
    <v>76.709999999999994</v>
    <v>76.52</v>
    <v>76.75</v>
    <v>76.459999999999994</v>
    <v>76.37</v>
    <v>76.33</v>
    <v>76.52</v>
    <v>76.09</v>
    <v>75.56</v>
    <v>76.73</v>
    <v>77.59</v>
    <v>78.09</v>
    <v>77.680000000000007</v>
    <v>77.14</v>
    <v>76.88</v>
    <v>76.010000000000005</v>
    <v>75.95</v>
    <v>76.23</v>
    <v>76.42</v>
    <v>76.44</v>
    <v>76.849999999999994</v>
    <v>77.489999999999995</v>
    <v>77.790000000000006</v>
    <v>77.92</v>
    <v>77.64</v>
    <v>77.69</v>
    <v>77.48</v>
    <v>77.84</v>
    <v>78.180000000000007</v>
    <v>77.849999999999994</v>
    <v>78.22</v>
    <v>77.78</v>
    <v>78.22</v>
    <v>77.930000000000007</v>
    <v>78.42</v>
    <v>77.680000000000007</v>
    <v>77.7</v>
    <v>78.42</v>
    <v>78.45</v>
    <v>78.41</v>
    <v>78.599999999999994</v>
    <v>78.87</v>
    <v>79.02</v>
    <v>79.239999999999995</v>
    <v>80.06</v>
    <v>80.66</v>
    <v>80.37</v>
    <v>80.599999999999994</v>
    <v>81.19</v>
    <v>81.13</v>
    <v>81.27</v>
    <v>81.63</v>
    <v>82.48</v>
    <v>82.41</v>
    <v>81.8</v>
    <v>80.900000000000006</v>
    <v>81.319999999999993</v>
    <v>81.93</v>
    <v>81.52</v>
    <v>81.44</v>
    <v>81.45</v>
    <v>81.540000000000006</v>
    <v>81.709999999999994</v>
    <v>82.04</v>
    <v>82.89</v>
    <v>83.65</v>
    <v>84.29</v>
    <v>83.66</v>
    <v>84.67</v>
    <v>84.78</v>
    <v>85.04</v>
    <v>85.64</v>
    <v>85.39</v>
    <v>85.29</v>
    <v>85.44</v>
    <v>85.4</v>
    <v>86.06</v>
    <v>86.05</v>
    <v>86.33</v>
    <v>86.17</v>
    <v>86.33</v>
    <v>86.86</v>
    <v>87.02</v>
    <v>86.87</v>
    <v>86.65</v>
    <v>84.86</v>
    <v>85.37</v>
    <v>84.47</v>
    <v>83.5</v>
    <v>83.23</v>
    <v>84.47</v>
    <v>84.07</v>
    <v>83.67</v>
    <v>83.83</v>
    <v>84.14</v>
    <v>84.5</v>
    <v>84.01</v>
    <v>82.63</v>
    <v>81.8</v>
    <v>82.04</v>
    <v>82.57</v>
    <v>83.48</v>
    <v>83.01</v>
    <v>82.48</v>
    <v>83.44</v>
    <v>83.2</v>
    <v>84.14</v>
    <v>84.17</v>
    <v>83.74</v>
    <v>85.35</v>
    <v>85.48</v>
    <v>85.28</v>
    <v>84.99</v>
    <v>85.31</v>
    <v>84.98</v>
    <v>85.25</v>
    <v>85.97</v>
    <v>85.9</v>
    <v>85.36</v>
    <v>85.32</v>
    <v>85.66</v>
    <v>85.06</v>
    <v>84.97</v>
    <v>85.26</v>
    <v>85.03</v>
    <v>86.08</v>
    <v>85.45</v>
    <v>86</v>
    <v>86.86</v>
    <v>86.25</v>
    <v>86.09</v>
    <v>86.29</v>
    <v>86.1</v>
    <v>86.71</v>
    <v>87.45</v>
    <v>86.74</v>
    <v>86.79</v>
    <v>87.2</v>
    <v>87.68</v>
    <v>87.63</v>
    <v>88.5</v>
    <v>89.17</v>
    <v>88.73</v>
    <v>88.47</v>
    <v>88.24</v>
    <v>88.25</v>
    <v>88.09</v>
    <v>88.74</v>
    <v>88.64</v>
    <v>88.84</v>
    <v>88.83</v>
    <v>88.46</v>
    <v>88.17</v>
    <v>88.31</v>
    <v>88.73</v>
    <v>90.07</v>
    <v>90.13</v>
    <v>90.25</v>
    <v>90.63</v>
    <v>90.28</v>
    <v>90.08</v>
    <v>90.72</v>
    <v>90.51</v>
    <v>90.61</v>
    <v>91.05</v>
    <v>90.74</v>
    <v>90.36</v>
    <v>90.39</v>
    <v>90.76</v>
    <v>91.27</v>
    <v>91.81</v>
    <v>91.9</v>
    <v>91.91</v>
    <v>91.17</v>
    <v>91.53</v>
    <v>91.84</v>
    <v>92</v>
    <v>91.85</v>
    <v>91.85</v>
    <v>92.05</v>
    <v>91.85</v>
    <v>91.64</v>
    <v>92.05</v>
    <v>92.79</v>
    <v>92.4</v>
    <v>93.09</v>
    <v>93.3</v>
    <v>93.73</v>
    <v>93.29</v>
    <v>92.35</v>
    <v>92.59</v>
    <v>92.78</v>
    <v>93.37</v>
    <v>93.34</v>
    <v>93.5</v>
    <v>93.59</v>
    <v>93.83</v>
    <v>93.9</v>
    <v>94.09</v>
    <v>94.22</v>
    <v>93.97</v>
    <v>93.81</v>
    <v>93.47</v>
    <v>93.29</v>
    <v>92.99</v>
    <v>93.32</v>
    <v>93.37</v>
    <v>93.68</v>
    <v>93.82</v>
    <v>93.4</v>
    <v>93.84</v>
    <v>93.57</v>
    <v>93.8</v>
    <v>93.96</v>
    <v>94.57</v>
    <v>94.41</v>
    <v>94.08</v>
    <v>93.94</v>
    <v>93.1</v>
    <v>92.73</v>
    <v>93.37</v>
    <v>93.51</v>
    <v>93.02</v>
    <v>93.32</v>
    <v>93.72</v>
    <v>93.07</v>
    <v>93.57</v>
    <v>93.61</v>
    <v>93.39</v>
    <v>92.8</v>
    <v>93.02</v>
    <v>92.81</v>
    <v>92.7</v>
    <v>92.57</v>
    <v>92.11</v>
    <v>92.7</v>
    <v>93.43</v>
    <v>93.58</v>
    <v>93.27</v>
    <v>92.72</v>
    <v>93.64</v>
    <v>94.24</v>
    <v>94.17</v>
    <v>94.46</v>
    <v>94.64</v>
    <v>94.93</v>
    <v>94.68</v>
    <v>94.8</v>
    <v>95.2</v>
    <v>94.97</v>
    <v>95.15</v>
  </a>
  <a r="1" c="208">
    <v>79.239999999999995</v>
    <v>80.06</v>
    <v>80.66</v>
    <v>80.37</v>
    <v>80.599999999999994</v>
    <v>81.19</v>
    <v>81.13</v>
    <v>81.27</v>
    <v>81.63</v>
    <v>82.48</v>
    <v>82.41</v>
    <v>81.8</v>
    <v>80.900000000000006</v>
    <v>81.319999999999993</v>
    <v>81.93</v>
    <v>81.52</v>
    <v>81.44</v>
    <v>81.45</v>
    <v>81.540000000000006</v>
    <v>81.709999999999994</v>
    <v>82.04</v>
    <v>82.89</v>
    <v>83.65</v>
    <v>84.29</v>
    <v>83.66</v>
    <v>84.67</v>
    <v>84.78</v>
    <v>85.04</v>
    <v>85.64</v>
    <v>85.39</v>
    <v>85.29</v>
    <v>85.44</v>
    <v>85.4</v>
    <v>86.06</v>
    <v>86.05</v>
    <v>86.33</v>
    <v>86.17</v>
    <v>86.33</v>
    <v>86.86</v>
    <v>87.02</v>
    <v>86.87</v>
    <v>86.65</v>
    <v>84.86</v>
    <v>85.37</v>
    <v>84.47</v>
    <v>83.5</v>
    <v>83.23</v>
    <v>84.47</v>
    <v>84.07</v>
    <v>83.67</v>
    <v>83.83</v>
    <v>84.14</v>
    <v>84.5</v>
    <v>84.01</v>
    <v>82.63</v>
    <v>81.8</v>
    <v>82.04</v>
    <v>82.57</v>
    <v>83.48</v>
    <v>83.01</v>
    <v>82.48</v>
    <v>83.44</v>
    <v>83.2</v>
    <v>84.14</v>
    <v>84.17</v>
    <v>83.74</v>
    <v>85.35</v>
    <v>85.48</v>
    <v>85.28</v>
    <v>84.99</v>
    <v>85.31</v>
    <v>84.98</v>
    <v>85.25</v>
    <v>85.97</v>
    <v>85.9</v>
    <v>85.36</v>
    <v>85.32</v>
    <v>85.66</v>
    <v>85.06</v>
    <v>84.97</v>
    <v>85.26</v>
    <v>85.03</v>
    <v>86.08</v>
    <v>85.45</v>
    <v>86</v>
    <v>86.86</v>
    <v>86.25</v>
    <v>86.09</v>
    <v>86.29</v>
    <v>86.1</v>
    <v>86.71</v>
    <v>87.45</v>
    <v>86.74</v>
    <v>86.79</v>
    <v>87.2</v>
    <v>87.68</v>
    <v>87.63</v>
    <v>88.5</v>
    <v>89.17</v>
    <v>88.73</v>
    <v>88.47</v>
    <v>88.24</v>
    <v>88.25</v>
    <v>88.09</v>
    <v>88.74</v>
    <v>88.64</v>
    <v>88.84</v>
    <v>88.83</v>
    <v>88.46</v>
    <v>88.17</v>
    <v>88.31</v>
    <v>88.73</v>
    <v>90.07</v>
    <v>90.13</v>
    <v>90.25</v>
    <v>90.63</v>
    <v>90.28</v>
    <v>90.08</v>
    <v>90.72</v>
    <v>90.51</v>
    <v>90.61</v>
    <v>91.05</v>
    <v>90.74</v>
    <v>90.36</v>
    <v>90.39</v>
    <v>90.76</v>
    <v>91.27</v>
    <v>91.81</v>
    <v>91.9</v>
    <v>91.91</v>
    <v>91.17</v>
    <v>91.53</v>
    <v>91.84</v>
    <v>92</v>
    <v>91.85</v>
    <v>91.85</v>
    <v>92.05</v>
    <v>91.85</v>
    <v>91.64</v>
    <v>92.05</v>
    <v>92.79</v>
    <v>92.4</v>
    <v>93.09</v>
    <v>93.3</v>
    <v>93.73</v>
    <v>93.29</v>
    <v>92.35</v>
    <v>92.59</v>
    <v>92.78</v>
    <v>93.37</v>
    <v>93.34</v>
    <v>93.5</v>
    <v>93.59</v>
    <v>93.83</v>
    <v>93.9</v>
    <v>94.09</v>
    <v>94.22</v>
    <v>93.97</v>
    <v>93.81</v>
    <v>93.47</v>
    <v>93.29</v>
    <v>92.99</v>
    <v>93.32</v>
    <v>93.37</v>
    <v>93.68</v>
    <v>93.82</v>
    <v>93.4</v>
    <v>93.84</v>
    <v>93.57</v>
    <v>93.8</v>
    <v>93.96</v>
    <v>94.57</v>
    <v>94.41</v>
    <v>94.08</v>
    <v>93.94</v>
    <v>93.1</v>
    <v>92.73</v>
    <v>93.37</v>
    <v>93.51</v>
    <v>93.02</v>
    <v>93.32</v>
    <v>93.72</v>
    <v>93.07</v>
    <v>93.57</v>
    <v>93.61</v>
    <v>93.39</v>
    <v>92.8</v>
    <v>93.02</v>
    <v>92.81</v>
    <v>92.7</v>
    <v>92.57</v>
    <v>92.11</v>
    <v>92.7</v>
    <v>93.43</v>
    <v>93.58</v>
    <v>93.27</v>
    <v>92.72</v>
    <v>93.64</v>
    <v>94.24</v>
    <v>94.17</v>
    <v>94.46</v>
    <v>94.64</v>
    <v>94.93</v>
    <v>94.68</v>
    <v>94.8</v>
    <v>95.2</v>
    <v>94.97</v>
    <v>95.15</v>
  </a>
  <a r="1" c="208">
    <v>148.78</v>
    <v>149.36000000000001</v>
    <v>149.47999999999999</v>
    <v>150.07</v>
    <v>150.13999999999999</v>
    <v>150.47</v>
    <v>149.71</v>
    <v>150.22999999999999</v>
    <v>150.5</v>
    <v>150.94999999999999</v>
    <v>150.57</v>
    <v>149.41</v>
    <v>148.22999999999999</v>
    <v>148.54</v>
    <v>148.11000000000001</v>
    <v>148.15</v>
    <v>146.94</v>
    <v>145.82</v>
    <v>146.1</v>
    <v>146.19</v>
    <v>146.83000000000001</v>
    <v>147.56</v>
    <v>147.27000000000001</v>
    <v>147.66999999999999</v>
    <v>148.38</v>
    <v>148.11000000000001</v>
    <v>147.24</v>
    <v>147.9</v>
    <v>148.04</v>
    <v>148.55000000000001</v>
    <v>149.28</v>
    <v>149.77000000000001</v>
    <v>149.84</v>
    <v>149.85</v>
    <v>150.36000000000001</v>
    <v>150.28</v>
    <v>150.58000000000001</v>
    <v>150.78</v>
    <v>150.49</v>
    <v>150.84</v>
    <v>151.1</v>
    <v>152.08000000000001</v>
    <v>153.13999999999999</v>
    <v>152.44</v>
    <v>152.47999999999999</v>
    <v>152.16999999999999</v>
    <v>152.32</v>
    <v>151.91</v>
    <v>151.83000000000001</v>
    <v>152.11000000000001</v>
    <v>152.84</v>
    <v>152.74</v>
    <v>152.76</v>
    <v>152.59</v>
    <v>151.75</v>
    <v>150.37</v>
    <v>149.97</v>
    <v>149.91999999999999</v>
    <v>150.72999999999999</v>
    <v>150.44999999999999</v>
    <v>150.46</v>
    <v>152.32</v>
    <v>151.5</v>
    <v>150.72</v>
    <v>151.49</v>
    <v>150.51</v>
    <v>150.08000000000001</v>
    <v>149.66999999999999</v>
    <v>149.34</v>
    <v>149.32</v>
    <v>148.82</v>
    <v>148.69</v>
    <v>148.97999999999999</v>
    <v>149.21</v>
    <v>149.33000000000001</v>
    <v>149.38999999999999</v>
    <v>149.71</v>
    <v>149.96</v>
    <v>149.76</v>
    <v>149.25</v>
    <v>149.32</v>
    <v>149.03</v>
    <v>148.79</v>
    <v>148.63999999999999</v>
    <v>148.85</v>
    <v>148.9</v>
    <v>148.66999999999999</v>
    <v>148.63999999999999</v>
    <v>148.28</v>
    <v>148.30000000000001</v>
    <v>148.16</v>
    <v>149.05000000000001</v>
    <v>148.38</v>
    <v>147.93</v>
    <v>147.74</v>
    <v>148.38</v>
    <v>145.56</v>
    <v>145.58000000000001</v>
    <v>146.22999999999999</v>
    <v>146.13999999999999</v>
    <v>146.46</v>
    <v>146.22999999999999</v>
    <v>146.27000000000001</v>
    <v>146.28</v>
    <v>146.55000000000001</v>
    <v>146.43</v>
    <v>146.59</v>
    <v>146.88999999999999</v>
    <v>146.79</v>
    <v>146.63999999999999</v>
    <v>146.97</v>
    <v>147.5</v>
    <v>147.16999999999999</v>
    <v>147.19999999999999</v>
    <v>147.29</v>
    <v>147.62</v>
    <v>149.02000000000001</v>
    <v>148.58000000000001</v>
    <v>148.78</v>
    <v>149.76</v>
    <v>150.91999999999999</v>
    <v>150.88</v>
    <v>150.79</v>
    <v>150.43</v>
    <v>150.25</v>
    <v>150.16</v>
    <v>149.43</v>
    <v>149.31</v>
    <v>149.6</v>
    <v>149.22</v>
    <v>148.78</v>
    <v>148.82</v>
    <v>148.88</v>
    <v>148.79</v>
    <v>148.66</v>
    <v>148.87</v>
    <v>148.66999999999999</v>
    <v>149.07</v>
    <v>148.96</v>
    <v>148.65</v>
    <v>148.31</v>
    <v>148.22999999999999</v>
    <v>148.65</v>
    <v>148.88</v>
    <v>149.1</v>
    <v>148.94</v>
    <v>147.01</v>
    <v>146.57</v>
    <v>146.96</v>
    <v>147.41999999999999</v>
    <v>147.13999999999999</v>
    <v>147.13999999999999</v>
    <v>146.83000000000001</v>
    <v>146.57</v>
    <v>146.66</v>
    <v>147</v>
    <v>147.47999999999999</v>
    <v>146.49</v>
    <v>146.24</v>
    <v>146.22</v>
    <v>145.69</v>
    <v>145.09</v>
    <v>144.88999999999999</v>
    <v>145.35</v>
    <v>145.85</v>
    <v>145.9</v>
    <v>145.97999999999999</v>
    <v>146.09</v>
    <v>145.41</v>
    <v>145.57</v>
    <v>145.30000000000001</v>
    <v>145.52000000000001</v>
    <v>145.26</v>
    <v>144.82</v>
    <v>145.09</v>
    <v>144.58000000000001</v>
    <v>143.65</v>
    <v>143.87</v>
    <v>144.37</v>
    <v>144.07</v>
    <v>144.5</v>
    <v>145.36000000000001</v>
    <v>144.88</v>
    <v>145.26</v>
    <v>145.68</v>
    <v>145.12</v>
    <v>144.62</v>
    <v>144</v>
    <v>143.80000000000001</v>
    <v>144.16</v>
    <v>143.87</v>
    <v>145.69999999999999</v>
    <v>145.49</v>
    <v>145.46</v>
    <v>145.44999999999999</v>
    <v>146.05000000000001</v>
    <v>145.93</v>
    <v>146.38999999999999</v>
    <v>146.93</v>
    <v>146.88</v>
    <v>147.59</v>
    <v>148.07</v>
    <v>147.56</v>
    <v>147.5</v>
    <v>147.62</v>
    <v>147.69999999999999</v>
    <v>149.08000000000001</v>
    <v>149.22</v>
  </a>
  <a r="1" c="761">
    <v>155.38</v>
    <v>156.05000000000001</v>
    <v>155.51</v>
    <v>156.63</v>
    <v>156.12</v>
    <v>155.58000000000001</v>
    <v>156.56</v>
    <v>157.66999999999999</v>
    <v>158.04</v>
    <v>158.02000000000001</v>
    <v>156.76</v>
    <v>158.12</v>
    <v>158.51</v>
    <v>158.1</v>
    <v>158.01</v>
    <v>157.08000000000001</v>
    <v>157.06</v>
    <v>156.08000000000001</v>
    <v>154.46</v>
    <v>154.13999999999999</v>
    <v>153.18</v>
    <v>154.26</v>
    <v>154.68</v>
    <v>153.91999999999999</v>
    <v>153.22999999999999</v>
    <v>153.76</v>
    <v>154</v>
    <v>155.13999999999999</v>
    <v>155.66</v>
    <v>157.07</v>
    <v>157.32</v>
    <v>159.03</v>
    <v>159.72</v>
    <v>159.76</v>
    <v>158.84</v>
    <v>158.66</v>
    <v>158.85</v>
    <v>159.49</v>
    <v>159.51</v>
    <v>160.75</v>
    <v>159.99</v>
    <v>159.91</v>
    <v>159.84</v>
    <v>160.22</v>
    <v>159.37</v>
    <v>159.05000000000001</v>
    <v>159.54</v>
    <v>159.4</v>
    <v>160.11000000000001</v>
    <v>160.47</v>
    <v>159.63</v>
    <v>159.54</v>
    <v>159.56</v>
    <v>159.78</v>
    <v>159.36000000000001</v>
    <v>159.31</v>
    <v>160.30000000000001</v>
    <v>160.1</v>
    <v>160.44</v>
    <v>160.19999999999999</v>
    <v>159.74</v>
    <v>159</v>
    <v>159.79</v>
    <v>159.94999999999999</v>
    <v>158.97</v>
    <v>160.19999999999999</v>
    <v>159.66</v>
    <v>161.04</v>
    <v>160.81</v>
    <v>162.15</v>
    <v>163.55000000000001</v>
    <v>162.04</v>
    <v>161.44</v>
    <v>161.81</v>
    <v>161.72</v>
    <v>160.94999999999999</v>
    <v>160.35</v>
    <v>160.44999999999999</v>
    <v>160.22</v>
    <v>160.21</v>
    <v>160.1</v>
    <v>159.16</v>
    <v>159.13</v>
    <v>159.19</v>
    <v>158.71</v>
    <v>158.46</v>
    <v>158.99</v>
    <v>158.35</v>
    <v>158.33000000000001</v>
    <v>158.57</v>
    <v>159.68</v>
    <v>159.74</v>
    <v>159.13999999999999</v>
    <v>159.96</v>
    <v>159.87</v>
    <v>159.44999999999999</v>
    <v>159.68</v>
    <v>159.88</v>
    <v>159.25</v>
    <v>158.4</v>
    <v>158.22</v>
    <v>158.1</v>
    <v>157.94</v>
    <v>158.41</v>
    <v>158.9</v>
    <v>158.97</v>
    <v>160.47</v>
    <v>159.66</v>
    <v>159.71</v>
    <v>160.63999999999999</v>
    <v>160.94</v>
    <v>159.37</v>
    <v>158.41</v>
    <v>158.36000000000001</v>
    <v>158.59</v>
    <v>157.55000000000001</v>
    <v>158.25</v>
    <v>158.30000000000001</v>
    <v>157.96</v>
    <v>159.72</v>
    <v>158.56</v>
    <v>158.44</v>
    <v>158.63999999999999</v>
    <v>158.22</v>
    <v>158.54</v>
    <v>158.68</v>
    <v>158.18</v>
    <v>157.66999999999999</v>
    <v>156.77000000000001</v>
    <v>157.63</v>
    <v>157.63</v>
    <v>157.69</v>
    <v>158.36000000000001</v>
    <v>158.36000000000001</v>
    <v>158.41</v>
    <v>159.30000000000001</v>
    <v>159.13</v>
    <v>158.72</v>
    <v>158.63999999999999</v>
    <v>158.41</v>
    <v>158.30000000000001</v>
    <v>158.77000000000001</v>
    <v>155.81</v>
    <v>155.37</v>
    <v>155.1</v>
    <v>155.63</v>
    <v>155.72999999999999</v>
    <v>155.15</v>
    <v>154.88999999999999</v>
    <v>155.1</v>
    <v>154.44</v>
    <v>154.08000000000001</v>
    <v>154.43</v>
    <v>154.91999999999999</v>
    <v>155.43</v>
    <v>156.32</v>
    <v>156.93</v>
    <v>156.91</v>
    <v>156.57</v>
    <v>157.08000000000001</v>
    <v>157.4</v>
    <v>157.86000000000001</v>
    <v>159.25</v>
    <v>160.66</v>
    <v>159.4</v>
    <v>159.96</v>
    <v>159.84</v>
    <v>159.93</v>
    <v>160.41999999999999</v>
    <v>159.74</v>
    <v>160.22</v>
    <v>159.91</v>
    <v>159.9</v>
    <v>159.41999999999999</v>
    <v>157.63</v>
    <v>157.91</v>
    <v>158.04</v>
    <v>157.77000000000001</v>
    <v>158.63</v>
    <v>158.33000000000001</v>
    <v>158.38</v>
    <v>158.41999999999999</v>
    <v>159.29</v>
    <v>158.57</v>
    <v>158.35</v>
    <v>159.05000000000001</v>
    <v>158.53</v>
    <v>159.09</v>
    <v>158.47</v>
    <v>158.46</v>
    <v>159.16</v>
    <v>159.24</v>
    <v>159.22</v>
    <v>159.5</v>
    <v>160.44</v>
    <v>160.66</v>
    <v>161.18</v>
    <v>163.18</v>
    <v>163.49</v>
    <v>163.05000000000001</v>
    <v>162.63999999999999</v>
    <v>161.52000000000001</v>
    <v>161.47999999999999</v>
    <v>161.88</v>
    <v>162.03</v>
    <v>162.30000000000001</v>
    <v>162.06</v>
    <v>161.19999999999999</v>
    <v>160.75</v>
    <v>160.79</v>
    <v>160.56</v>
    <v>160.32</v>
    <v>159.79</v>
    <v>160.19999999999999</v>
    <v>159.87</v>
    <v>160.66</v>
    <v>160.91999999999999</v>
    <v>161.09</v>
    <v>160.27000000000001</v>
    <v>161.88999999999999</v>
    <v>161.82</v>
    <v>162.56</v>
    <v>163.26</v>
    <v>163.6</v>
    <v>164.54</v>
    <v>164.99</v>
    <v>164.25</v>
    <v>163.80000000000001</v>
    <v>163.36000000000001</v>
    <v>163.22999999999999</v>
    <v>162.91</v>
    <v>162.15</v>
    <v>161.97999999999999</v>
    <v>161.63</v>
    <v>161.85</v>
    <v>161.37</v>
    <v>160.96</v>
    <v>161.34</v>
    <v>161.49</v>
    <v>163.53</v>
    <v>163.13</v>
    <v>163.12</v>
    <v>162.31</v>
    <v>161.4</v>
    <v>161.28</v>
    <v>161.4</v>
    <v>161.41</v>
    <v>161.15</v>
    <v>160.76</v>
    <v>162.12</v>
    <v>163.11000000000001</v>
    <v>162.91999999999999</v>
    <v>162.69999999999999</v>
    <v>162.05000000000001</v>
    <v>161.79</v>
    <v>162.18</v>
    <v>162.11000000000001</v>
    <v>161.94999999999999</v>
    <v>160.83000000000001</v>
    <v>160.78</v>
    <v>160.69</v>
    <v>160.22</v>
    <v>159.93</v>
    <v>159.86000000000001</v>
    <v>158.74</v>
    <v>160.25</v>
    <v>160.5</v>
    <v>162.24</v>
    <v>162.72999999999999</v>
    <v>162.80000000000001</v>
    <v>163.38999999999999</v>
    <v>160.11000000000001</v>
    <v>159.77000000000001</v>
    <v>159.66999999999999</v>
    <v>160.44999999999999</v>
    <v>161.16</v>
    <v>161.35</v>
    <v>163.01</v>
    <v>162.78</v>
    <v>162.96</v>
    <v>162.38999999999999</v>
    <v>162.77000000000001</v>
    <v>162.97</v>
    <v>164.43</v>
    <v>163.63</v>
    <v>163.56</v>
    <v>162.91</v>
    <v>163.34</v>
    <v>163.04</v>
    <v>163.54</v>
    <v>163.84</v>
    <v>163.29</v>
    <v>162.36000000000001</v>
    <v>161.94</v>
    <v>162.01</v>
    <v>162.29</v>
    <v>162.22999999999999</v>
    <v>162.13999999999999</v>
    <v>161.78</v>
    <v>161.24</v>
    <v>162.31</v>
    <v>164.35</v>
    <v>163.5</v>
    <v>161.56</v>
    <v>161.24</v>
    <v>162.44</v>
    <v>162.78</v>
    <v>162.72</v>
    <v>162.61000000000001</v>
    <v>161.5</v>
    <v>163.05000000000001</v>
    <v>163.34</v>
    <v>163.47999999999999</v>
    <v>162.22999999999999</v>
    <v>162.1</v>
    <v>161.85</v>
    <v>161.55000000000001</v>
    <v>160.16999999999999</v>
    <v>161.22</v>
    <v>162.06</v>
    <v>162.62</v>
    <v>162.76</v>
    <v>163.18</v>
    <v>164.8</v>
    <v>163.69999999999999</v>
    <v>164.08</v>
    <v>164.58</v>
    <v>164.75</v>
    <v>165.15</v>
    <v>164.15</v>
    <v>162.58000000000001</v>
    <v>162.65</v>
    <v>162.69999999999999</v>
    <v>162.62</v>
    <v>162.43</v>
    <v>162.9</v>
    <v>162.77000000000001</v>
    <v>163.31</v>
    <v>163.72999999999999</v>
    <v>164.67</v>
    <v>164.6</v>
    <v>166.39</v>
    <v>167.07</v>
    <v>166.2</v>
    <v>166.35</v>
    <v>161.58000000000001</v>
    <v>159.49</v>
    <v>160.36000000000001</v>
    <v>160.55000000000001</v>
    <v>159.15</v>
    <v>158.58000000000001</v>
    <v>159.54</v>
    <v>159.38999999999999</v>
    <v>159.12</v>
    <v>158.62</v>
    <v>159.36000000000001</v>
    <v>160.72999999999999</v>
    <v>161</v>
    <v>160.61000000000001</v>
    <v>160.62</v>
    <v>160.49</v>
    <v>160.18</v>
    <v>160.71</v>
    <v>161.69999999999999</v>
    <v>162.47999999999999</v>
    <v>161.44</v>
    <v>160.34</v>
    <v>162.30000000000001</v>
    <v>161.94999999999999</v>
    <v>160.69999999999999</v>
    <v>156.04</v>
    <v>155.05000000000001</v>
    <v>151.02000000000001</v>
    <v>152.12</v>
    <v>153.63</v>
    <v>153.32</v>
    <v>153.25</v>
    <v>151.19</v>
    <v>153.01</v>
    <v>153.29</v>
    <v>153.81</v>
    <v>154.15</v>
    <v>154.6</v>
    <v>155.74</v>
    <v>154.16999999999999</v>
    <v>153.99</v>
    <v>153.71</v>
    <v>154.30000000000001</v>
    <v>154.96</v>
    <v>154.81</v>
    <v>155.80000000000001</v>
    <v>154.62</v>
    <v>154.06</v>
    <v>151.68</v>
    <v>152.55000000000001</v>
    <v>150.41999999999999</v>
    <v>150.66</v>
    <v>149</v>
    <v>149.44999999999999</v>
    <v>149.32</v>
    <v>149.05000000000001</v>
    <v>150.04</v>
    <v>150.31</v>
    <v>150.07</v>
    <v>150.44999999999999</v>
    <v>149.03</v>
    <v>149.78</v>
    <v>149.96</v>
    <v>149.52000000000001</v>
    <v>149.16999999999999</v>
    <v>148.9</v>
    <v>148.99</v>
    <v>148.5</v>
    <v>148.16</v>
    <v>147.74</v>
    <v>147.58000000000001</v>
    <v>148.26</v>
    <v>149.1</v>
    <v>149.55000000000001</v>
    <v>148.82</v>
    <v>149.38999999999999</v>
    <v>148.59</v>
    <v>148.38</v>
    <v>147.86000000000001</v>
    <v>147.85</v>
    <v>147.38</v>
    <v>147.12</v>
    <v>146.81</v>
    <v>146.65</v>
    <v>146.31</v>
    <v>146.47</v>
    <v>146.57</v>
    <v>146.93</v>
    <v>147.47</v>
    <v>146.85</v>
    <v>146.63999999999999</v>
    <v>147.31</v>
    <v>146.31</v>
    <v>147.99</v>
    <v>147.47</v>
    <v>147.41999999999999</v>
    <v>147.35</v>
    <v>147.07</v>
    <v>146.24</v>
    <v>146.63999999999999</v>
    <v>148.05000000000001</v>
    <v>149.83000000000001</v>
    <v>150.4</v>
    <v>151.32</v>
    <v>151.04</v>
    <v>150.97999999999999</v>
    <v>151.13999999999999</v>
    <v>150.1</v>
    <v>150.21</v>
    <v>149.19</v>
    <v>150.19999999999999</v>
    <v>149.05000000000001</v>
    <v>149.21</v>
    <v>149.61000000000001</v>
    <v>148.72</v>
    <v>149.22</v>
    <v>149.61000000000001</v>
    <v>149.65</v>
    <v>149.19999999999999</v>
    <v>149.36000000000001</v>
    <v>150.03</v>
    <v>150.74</v>
    <v>150.47999999999999</v>
    <v>150.01</v>
    <v>149.86000000000001</v>
    <v>150.05000000000001</v>
    <v>150.36000000000001</v>
    <v>151.19</v>
    <v>151.12</v>
    <v>151.41</v>
    <v>151.38</v>
    <v>151.76</v>
    <v>151.96</v>
    <v>151.5</v>
    <v>151.33000000000001</v>
    <v>150.4</v>
    <v>150.32</v>
    <v>150.38</v>
    <v>150.61000000000001</v>
    <v>150.16</v>
    <v>149.91999999999999</v>
    <v>150.71</v>
    <v>150.84</v>
    <v>150.72999999999999</v>
    <v>150.77000000000001</v>
    <v>150.91999999999999</v>
    <v>150.97</v>
    <v>151.69</v>
    <v>151.07</v>
    <v>151.06</v>
    <v>151.77000000000001</v>
    <v>152.69</v>
    <v>153.21</v>
    <v>153.16999999999999</v>
    <v>153.86000000000001</v>
    <v>153.86000000000001</v>
    <v>153.62</v>
    <v>153.06</v>
    <v>153.37</v>
    <v>153.53</v>
    <v>154.74</v>
    <v>154.53</v>
    <v>154.38999999999999</v>
    <v>154.05000000000001</v>
    <v>153.82</v>
    <v>153.75</v>
    <v>153.63999999999999</v>
    <v>154.04</v>
    <v>154.32</v>
    <v>154.25</v>
    <v>155.07</v>
    <v>154.51</v>
    <v>154.6</v>
    <v>154.22999999999999</v>
    <v>154.07</v>
    <v>154.03</v>
    <v>154.13</v>
    <v>149.94</v>
    <v>150.16</v>
    <v>150.4</v>
    <v>150.76</v>
    <v>151.49</v>
    <v>151.66999999999999</v>
    <v>152.49</v>
    <v>152.38999999999999</v>
    <v>152.41</v>
    <v>151.87</v>
    <v>151.97</v>
    <v>151.78</v>
    <v>150.71</v>
    <v>150.97999999999999</v>
    <v>150.46</v>
    <v>150.29</v>
    <v>150.24</v>
    <v>149.88</v>
    <v>149.71</v>
    <v>149.76</v>
    <v>148.97999999999999</v>
    <v>148.49</v>
    <v>148.5</v>
    <v>148.44999999999999</v>
    <v>148.71</v>
    <v>149.46</v>
    <v>149.38</v>
    <v>148.66</v>
    <v>148.31</v>
    <v>149.28</v>
    <v>149.22999999999999</v>
    <v>148.78</v>
    <v>149.36000000000001</v>
    <v>149.47999999999999</v>
    <v>150.07</v>
    <v>150.13999999999999</v>
    <v>150.47</v>
    <v>149.71</v>
    <v>150.22999999999999</v>
    <v>150.5</v>
    <v>150.94999999999999</v>
    <v>150.57</v>
    <v>149.41</v>
    <v>148.22999999999999</v>
    <v>148.54</v>
    <v>148.11000000000001</v>
    <v>148.15</v>
    <v>146.94</v>
    <v>145.82</v>
    <v>146.1</v>
    <v>146.19</v>
    <v>146.83000000000001</v>
    <v>147.56</v>
    <v>147.27000000000001</v>
    <v>147.66999999999999</v>
    <v>148.38</v>
    <v>148.11000000000001</v>
    <v>147.24</v>
    <v>147.9</v>
    <v>148.04</v>
    <v>148.55000000000001</v>
    <v>149.28</v>
    <v>149.77000000000001</v>
    <v>149.84</v>
    <v>149.85</v>
    <v>150.36000000000001</v>
    <v>150.28</v>
    <v>150.58000000000001</v>
    <v>150.78</v>
    <v>150.49</v>
    <v>150.84</v>
    <v>151.1</v>
    <v>152.08000000000001</v>
    <v>153.13999999999999</v>
    <v>152.44</v>
    <v>152.47999999999999</v>
    <v>152.16999999999999</v>
    <v>152.32</v>
    <v>151.91</v>
    <v>151.83000000000001</v>
    <v>152.11000000000001</v>
    <v>152.84</v>
    <v>152.74</v>
    <v>152.76</v>
    <v>152.59</v>
    <v>151.75</v>
    <v>150.37</v>
    <v>149.97</v>
    <v>149.91999999999999</v>
    <v>150.72999999999999</v>
    <v>150.44999999999999</v>
    <v>150.46</v>
    <v>152.32</v>
    <v>151.5</v>
    <v>150.72</v>
    <v>151.49</v>
    <v>150.51</v>
    <v>150.08000000000001</v>
    <v>149.66999999999999</v>
    <v>149.34</v>
    <v>149.32</v>
    <v>148.82</v>
    <v>148.69</v>
    <v>148.97999999999999</v>
    <v>149.21</v>
    <v>149.33000000000001</v>
    <v>149.38999999999999</v>
    <v>149.71</v>
    <v>149.96</v>
    <v>149.76</v>
    <v>149.25</v>
    <v>149.32</v>
    <v>149.03</v>
    <v>148.79</v>
    <v>148.63999999999999</v>
    <v>148.85</v>
    <v>148.9</v>
    <v>148.66999999999999</v>
    <v>148.63999999999999</v>
    <v>148.28</v>
    <v>148.30000000000001</v>
    <v>148.16</v>
    <v>149.05000000000001</v>
    <v>148.38</v>
    <v>147.93</v>
    <v>147.74</v>
    <v>148.38</v>
    <v>145.56</v>
    <v>145.58000000000001</v>
    <v>146.22999999999999</v>
    <v>146.13999999999999</v>
    <v>146.46</v>
    <v>146.22999999999999</v>
    <v>146.27000000000001</v>
    <v>146.28</v>
    <v>146.55000000000001</v>
    <v>146.43</v>
    <v>146.59</v>
    <v>146.88999999999999</v>
    <v>146.79</v>
    <v>146.63999999999999</v>
    <v>146.97</v>
    <v>147.5</v>
    <v>147.16999999999999</v>
    <v>147.19999999999999</v>
    <v>147.29</v>
    <v>147.62</v>
    <v>149.02000000000001</v>
    <v>148.58000000000001</v>
    <v>148.78</v>
    <v>149.76</v>
    <v>150.91999999999999</v>
    <v>150.88</v>
    <v>150.79</v>
    <v>150.43</v>
    <v>150.25</v>
    <v>150.16</v>
    <v>149.43</v>
    <v>149.31</v>
    <v>149.6</v>
    <v>149.22</v>
    <v>148.78</v>
    <v>148.82</v>
    <v>148.88</v>
    <v>148.79</v>
    <v>148.66</v>
    <v>148.87</v>
    <v>148.66999999999999</v>
    <v>149.07</v>
    <v>148.96</v>
    <v>148.65</v>
    <v>148.31</v>
    <v>148.22999999999999</v>
    <v>148.65</v>
    <v>148.88</v>
    <v>149.1</v>
    <v>148.94</v>
    <v>147.01</v>
    <v>146.57</v>
    <v>146.96</v>
    <v>147.41999999999999</v>
    <v>147.13999999999999</v>
    <v>147.13999999999999</v>
    <v>146.83000000000001</v>
    <v>146.57</v>
    <v>146.66</v>
    <v>147</v>
    <v>147.47999999999999</v>
    <v>146.49</v>
    <v>146.24</v>
    <v>146.22</v>
    <v>145.69</v>
    <v>145.09</v>
    <v>144.88999999999999</v>
    <v>145.35</v>
    <v>145.85</v>
    <v>145.9</v>
    <v>145.97999999999999</v>
    <v>146.09</v>
    <v>145.41</v>
    <v>145.57</v>
    <v>145.30000000000001</v>
    <v>145.52000000000001</v>
    <v>145.26</v>
    <v>144.82</v>
    <v>145.09</v>
    <v>144.58000000000001</v>
    <v>143.65</v>
    <v>143.87</v>
    <v>144.37</v>
    <v>144.07</v>
    <v>144.5</v>
    <v>145.36000000000001</v>
    <v>144.88</v>
    <v>145.26</v>
    <v>145.68</v>
    <v>145.12</v>
    <v>144.62</v>
    <v>144</v>
    <v>143.80000000000001</v>
    <v>144.16</v>
    <v>143.87</v>
    <v>145.69999999999999</v>
    <v>145.49</v>
    <v>145.46</v>
    <v>145.44999999999999</v>
    <v>146.05000000000001</v>
    <v>145.93</v>
    <v>146.38999999999999</v>
    <v>146.93</v>
    <v>146.88</v>
    <v>147.59</v>
    <v>148.07</v>
    <v>147.56</v>
    <v>147.5</v>
    <v>147.62</v>
    <v>147.69999999999999</v>
    <v>149.08000000000001</v>
    <v>149.22</v>
  </a>
  <a r="1" c="254">
    <v>154.38999999999999</v>
    <v>154.05000000000001</v>
    <v>153.82</v>
    <v>153.75</v>
    <v>153.63999999999999</v>
    <v>154.04</v>
    <v>154.32</v>
    <v>154.25</v>
    <v>155.07</v>
    <v>154.51</v>
    <v>154.6</v>
    <v>154.22999999999999</v>
    <v>154.07</v>
    <v>154.03</v>
    <v>154.13</v>
    <v>149.94</v>
    <v>150.16</v>
    <v>150.4</v>
    <v>150.76</v>
    <v>151.49</v>
    <v>151.66999999999999</v>
    <v>152.49</v>
    <v>152.38999999999999</v>
    <v>152.41</v>
    <v>151.87</v>
    <v>151.97</v>
    <v>151.78</v>
    <v>150.71</v>
    <v>150.97999999999999</v>
    <v>150.46</v>
    <v>150.29</v>
    <v>150.24</v>
    <v>149.88</v>
    <v>149.71</v>
    <v>149.76</v>
    <v>148.97999999999999</v>
    <v>148.49</v>
    <v>148.5</v>
    <v>148.44999999999999</v>
    <v>148.71</v>
    <v>149.46</v>
    <v>149.38</v>
    <v>148.66</v>
    <v>148.31</v>
    <v>149.28</v>
    <v>149.22999999999999</v>
    <v>148.78</v>
    <v>149.36000000000001</v>
    <v>149.47999999999999</v>
    <v>150.07</v>
    <v>150.13999999999999</v>
    <v>150.47</v>
    <v>149.71</v>
    <v>150.22999999999999</v>
    <v>150.5</v>
    <v>150.94999999999999</v>
    <v>150.57</v>
    <v>149.41</v>
    <v>148.22999999999999</v>
    <v>148.54</v>
    <v>148.11000000000001</v>
    <v>148.15</v>
    <v>146.94</v>
    <v>145.82</v>
    <v>146.1</v>
    <v>146.19</v>
    <v>146.83000000000001</v>
    <v>147.56</v>
    <v>147.27000000000001</v>
    <v>147.66999999999999</v>
    <v>148.38</v>
    <v>148.11000000000001</v>
    <v>147.24</v>
    <v>147.9</v>
    <v>148.04</v>
    <v>148.55000000000001</v>
    <v>149.28</v>
    <v>149.77000000000001</v>
    <v>149.84</v>
    <v>149.85</v>
    <v>150.36000000000001</v>
    <v>150.28</v>
    <v>150.58000000000001</v>
    <v>150.78</v>
    <v>150.49</v>
    <v>150.84</v>
    <v>151.1</v>
    <v>152.08000000000001</v>
    <v>153.13999999999999</v>
    <v>152.44</v>
    <v>152.47999999999999</v>
    <v>152.16999999999999</v>
    <v>152.32</v>
    <v>151.91</v>
    <v>151.83000000000001</v>
    <v>152.11000000000001</v>
    <v>152.84</v>
    <v>152.74</v>
    <v>152.76</v>
    <v>152.59</v>
    <v>151.75</v>
    <v>150.37</v>
    <v>149.97</v>
    <v>149.91999999999999</v>
    <v>150.72999999999999</v>
    <v>150.44999999999999</v>
    <v>150.46</v>
    <v>152.32</v>
    <v>151.5</v>
    <v>150.72</v>
    <v>151.49</v>
    <v>150.51</v>
    <v>150.08000000000001</v>
    <v>149.66999999999999</v>
    <v>149.34</v>
    <v>149.32</v>
    <v>148.82</v>
    <v>148.69</v>
    <v>148.97999999999999</v>
    <v>149.21</v>
    <v>149.33000000000001</v>
    <v>149.38999999999999</v>
    <v>149.71</v>
    <v>149.96</v>
    <v>149.76</v>
    <v>149.25</v>
    <v>149.32</v>
    <v>149.03</v>
    <v>148.79</v>
    <v>148.63999999999999</v>
    <v>148.85</v>
    <v>148.9</v>
    <v>148.66999999999999</v>
    <v>148.63999999999999</v>
    <v>148.28</v>
    <v>148.30000000000001</v>
    <v>148.16</v>
    <v>149.05000000000001</v>
    <v>148.38</v>
    <v>147.93</v>
    <v>147.74</v>
    <v>148.38</v>
    <v>145.56</v>
    <v>145.58000000000001</v>
    <v>146.22999999999999</v>
    <v>146.13999999999999</v>
    <v>146.46</v>
    <v>146.22999999999999</v>
    <v>146.27000000000001</v>
    <v>146.28</v>
    <v>146.55000000000001</v>
    <v>146.43</v>
    <v>146.59</v>
    <v>146.88999999999999</v>
    <v>146.79</v>
    <v>146.63999999999999</v>
    <v>146.97</v>
    <v>147.5</v>
    <v>147.16999999999999</v>
    <v>147.19999999999999</v>
    <v>147.29</v>
    <v>147.62</v>
    <v>149.02000000000001</v>
    <v>148.58000000000001</v>
    <v>148.78</v>
    <v>149.76</v>
    <v>150.91999999999999</v>
    <v>150.88</v>
    <v>150.79</v>
    <v>150.43</v>
    <v>150.25</v>
    <v>150.16</v>
    <v>149.43</v>
    <v>149.31</v>
    <v>149.6</v>
    <v>149.22</v>
    <v>148.78</v>
    <v>148.82</v>
    <v>148.88</v>
    <v>148.79</v>
    <v>148.66</v>
    <v>148.87</v>
    <v>148.66999999999999</v>
    <v>149.07</v>
    <v>148.96</v>
    <v>148.65</v>
    <v>148.31</v>
    <v>148.22999999999999</v>
    <v>148.65</v>
    <v>148.88</v>
    <v>149.1</v>
    <v>148.94</v>
    <v>147.01</v>
    <v>146.57</v>
    <v>146.96</v>
    <v>147.41999999999999</v>
    <v>147.13999999999999</v>
    <v>147.13999999999999</v>
    <v>146.83000000000001</v>
    <v>146.57</v>
    <v>146.66</v>
    <v>147</v>
    <v>147.47999999999999</v>
    <v>146.49</v>
    <v>146.24</v>
    <v>146.22</v>
    <v>145.69</v>
    <v>145.09</v>
    <v>144.88999999999999</v>
    <v>145.35</v>
    <v>145.85</v>
    <v>145.9</v>
    <v>145.97999999999999</v>
    <v>146.09</v>
    <v>145.41</v>
    <v>145.57</v>
    <v>145.30000000000001</v>
    <v>145.52000000000001</v>
    <v>145.26</v>
    <v>144.82</v>
    <v>145.09</v>
    <v>144.58000000000001</v>
    <v>143.65</v>
    <v>143.87</v>
    <v>144.37</v>
    <v>144.07</v>
    <v>144.5</v>
    <v>145.36000000000001</v>
    <v>144.88</v>
    <v>145.26</v>
    <v>145.68</v>
    <v>145.12</v>
    <v>144.62</v>
    <v>144</v>
    <v>143.80000000000001</v>
    <v>144.16</v>
    <v>143.87</v>
    <v>145.69999999999999</v>
    <v>145.49</v>
    <v>145.46</v>
    <v>145.44999999999999</v>
    <v>146.05000000000001</v>
    <v>145.93</v>
    <v>146.38999999999999</v>
    <v>146.93</v>
    <v>146.88</v>
    <v>147.59</v>
    <v>148.07</v>
    <v>147.56</v>
    <v>147.5</v>
    <v>147.62</v>
    <v>147.69999999999999</v>
    <v>149.08000000000001</v>
    <v>149.22</v>
  </a>
  <a r="1" c="205">
    <v>22.15</v>
    <v>23.6</v>
    <v>25.01</v>
    <v>25.38</v>
    <v>25.21</v>
    <v>25.25</v>
    <v>24.72</v>
    <v>25.53</v>
    <v>24.47</v>
    <v>25.72</v>
    <v>24.7</v>
    <v>25.62</v>
    <v>24.99</v>
    <v>23.67</v>
    <v>24.96</v>
    <v>23.45</v>
    <v>21.76</v>
    <v>22.31</v>
    <v>22.01</v>
    <v>19.850000000000001</v>
    <v>18.170000000000002</v>
    <v>17.71</v>
    <v>18.21</v>
    <v>17.190000000000001</v>
    <v>14.975</v>
    <v>17.71</v>
    <v>17.59</v>
    <v>16.97</v>
    <v>16.43</v>
    <v>14.99</v>
    <v>16.09</v>
    <v>15.59</v>
    <v>16.18</v>
    <v>16.600000000000001</v>
    <v>15.92</v>
    <v>16.02</v>
    <v>16.48</v>
    <v>17.63</v>
    <v>18.64</v>
    <v>17.420000000000002</v>
    <v>17.690000000000001</v>
    <v>16.96</v>
    <v>17.760000000000002</v>
    <v>16.97</v>
    <v>17.010000000000002</v>
    <v>17.600000000000001</v>
    <v>16.989999999999998</v>
    <v>16.940000000000001</v>
    <v>16.07</v>
    <v>16.170000000000002</v>
    <v>16.14</v>
    <v>16.22</v>
    <v>15.67</v>
    <v>15.41</v>
    <v>14.88</v>
    <v>15.88</v>
    <v>15.6</v>
    <v>15.14</v>
    <v>14.41</v>
    <v>13.32</v>
    <v>12.9</v>
    <v>14.04</v>
    <v>13.5</v>
    <v>14.19</v>
    <v>14.2</v>
    <v>13.84</v>
    <v>14.53</v>
    <v>14.31</v>
    <v>14.68</v>
    <v>15.13</v>
    <v>16.87</v>
    <v>19.11</v>
    <v>19.45</v>
    <v>19.809999999999999</v>
    <v>19.64</v>
    <v>18.25</v>
    <v>18.38</v>
    <v>16.86</v>
    <v>16.61</v>
    <v>16.91</v>
    <v>16.39</v>
    <v>16.079999999999998</v>
    <v>17.45</v>
    <v>17.5</v>
    <v>17.7</v>
    <v>18.27</v>
    <v>20.09</v>
    <v>18.34</v>
    <v>18.940000000000001</v>
    <v>20.51</v>
    <v>19.07</v>
    <v>18.414999999999999</v>
    <v>19.27</v>
    <v>17.850000000000001</v>
    <v>16.62</v>
    <v>15.96</v>
    <v>16.88</v>
    <v>22.04</v>
    <v>26.42</v>
    <v>25.065000000000001</v>
    <v>24.62</v>
    <v>27.03</v>
    <v>25.54</v>
    <v>25.63</v>
    <v>26.88</v>
    <v>24.094999999999999</v>
    <v>24.16</v>
    <v>20.68</v>
    <v>21.765000000000001</v>
    <v>19.690000000000001</v>
    <v>19.445</v>
    <v>20.63</v>
    <v>20.98</v>
    <v>22.7</v>
    <v>20.64</v>
    <v>20.245000000000001</v>
    <v>21.36</v>
    <v>21.38</v>
    <v>21.28</v>
    <v>19.53</v>
    <v>18.41</v>
    <v>18.36</v>
    <v>19.440000000000001</v>
    <v>19.32</v>
    <v>18.68</v>
    <v>17.940000000000001</v>
    <v>17.96</v>
    <v>16.55</v>
    <v>16.920000000000002</v>
    <v>16.989999999999998</v>
    <v>16.54</v>
    <v>15.36</v>
    <v>16.11</v>
    <v>15.25</v>
    <v>14.1</v>
    <v>14.11</v>
    <v>14.25</v>
    <v>15.28</v>
    <v>15.23</v>
    <v>14.85</v>
    <v>14.15</v>
    <v>15.64</v>
    <v>14.52</v>
    <v>13.22</v>
    <v>14.86</v>
    <v>14.95</v>
    <v>16.02</v>
    <v>17.45</v>
    <v>16.78</v>
    <v>16.53</v>
    <v>17.940000000000001</v>
    <v>17.649999999999999</v>
    <v>18.09</v>
    <v>18.420000000000002</v>
    <v>18.62</v>
    <v>18.82</v>
    <v>18.670000000000002</v>
    <v>17.71</v>
    <v>17</v>
    <v>16.065000000000001</v>
    <v>17.91</v>
    <v>16.37</v>
    <v>16.940000000000001</v>
    <v>15.94</v>
    <v>16.440000000000001</v>
    <v>15.59</v>
    <v>15.66</v>
    <v>14.99</v>
    <v>14.87</v>
    <v>15.18</v>
    <v>15.2</v>
    <v>15.81</v>
    <v>15.24</v>
    <v>15.16</v>
    <v>15.27</v>
    <v>15.27</v>
    <v>15.09</v>
    <v>14.79</v>
    <v>15.99</v>
    <v>15.76</v>
    <v>16.53</v>
    <v>16.52</v>
    <v>16.004999999999999</v>
    <v>16.5</v>
    <v>16.66</v>
    <v>15.95</v>
    <v>15.74</v>
    <v>15.74</v>
    <v>15.62</v>
    <v>15.25</v>
    <v>15.15</v>
    <v>15.17</v>
    <v>14.59</v>
    <v>14.14</v>
    <v>14.03</v>
    <v>13.25</v>
    <v>12.78</v>
    <v>11.68</v>
    <v>12.63</v>
    <v>11.8</v>
    <v>11.67</v>
    <v>11.66</v>
    <v>12.05</v>
    <v>11.48</v>
    <v>11.52</v>
  </a>
  <a r="1" c="754">
    <v>1.1599999999999999</v>
    <v>1.3</v>
    <v>1.19</v>
    <v>1.17</v>
    <v>1.1200000000000001</v>
    <v>1.08</v>
    <v>1.06</v>
    <v>1.05</v>
    <v>1.1399999999999999</v>
    <v>1.17</v>
    <v>1.04</v>
    <v>1.04</v>
    <v>1.05</v>
    <v>1.05</v>
    <v>0.97</v>
    <v>1.06</v>
    <v>1.19</v>
    <v>1.17</v>
    <v>1.08</v>
    <v>1.1000000000000001</v>
    <v>1.05</v>
    <v>1.02</v>
    <v>1.05</v>
    <v>1.05</v>
    <v>1.05</v>
    <v>1.08</v>
    <v>1.06</v>
    <v>1.06</v>
    <v>1.2</v>
    <v>1.1599999999999999</v>
    <v>1.06</v>
    <v>1.06</v>
    <v>1.05</v>
    <v>1.04</v>
    <v>1.02</v>
    <v>0.996</v>
    <v>0.98229999999999995</v>
    <v>1.01</v>
    <v>1.07</v>
    <v>1.1000000000000001</v>
    <v>1.06</v>
    <v>1.02</v>
    <v>1.02</v>
    <v>0.99399999999999999</v>
    <v>1.05</v>
    <v>1.02</v>
    <v>1.02</v>
    <v>0.9849</v>
    <v>0.9244</v>
    <v>0.96879999999999999</v>
    <v>1.02</v>
    <v>1.01</v>
    <v>1.1399999999999999</v>
    <v>1.18</v>
    <v>1.1299999999999999</v>
    <v>1.07</v>
    <v>1.02</v>
    <v>1.01</v>
    <v>0.96609999999999996</v>
    <v>0.96730000000000005</v>
    <v>1.01</v>
    <v>1.1000000000000001</v>
    <v>1.1100000000000001</v>
    <v>1.0900000000000001</v>
    <v>1.04</v>
    <v>1.0900000000000001</v>
    <v>1.1100000000000001</v>
    <v>1.24</v>
    <v>1.24</v>
    <v>1.32</v>
    <v>1.27</v>
    <v>1.18</v>
    <v>1.24</v>
    <v>1.135</v>
    <v>1.1599999999999999</v>
    <v>1.25</v>
    <v>1.39</v>
    <v>1.21</v>
    <v>1.3</v>
    <v>1.5</v>
    <v>1.69</v>
    <v>1.64</v>
    <v>1.52</v>
    <v>1.6</v>
    <v>1.58</v>
    <v>1.86</v>
    <v>1.83</v>
    <v>2.0099999999999998</v>
    <v>1.88</v>
    <v>1.86</v>
    <v>1.69</v>
    <v>1.57</v>
    <v>1.78</v>
    <v>2.08</v>
    <v>1.98</v>
    <v>1.86</v>
    <v>2.21</v>
    <v>2.04</v>
    <v>1.98</v>
    <v>1.9650000000000001</v>
    <v>2.0299999999999998</v>
    <v>1.75</v>
    <v>1.71</v>
    <v>1.69</v>
    <v>1.63</v>
    <v>1.64</v>
    <v>1.51</v>
    <v>1.54</v>
    <v>1.53</v>
    <v>1.46</v>
    <v>1.37</v>
    <v>1.4</v>
    <v>1.39</v>
    <v>1.34</v>
    <v>1.36</v>
    <v>1.35</v>
    <v>1.26</v>
    <v>1.25</v>
    <v>1.18</v>
    <v>1.08</v>
    <v>1.21</v>
    <v>1.18</v>
    <v>1.17</v>
    <v>1.1000000000000001</v>
    <v>1.1299999999999999</v>
    <v>1.19</v>
    <v>1.1499999999999999</v>
    <v>1.17</v>
    <v>1.27</v>
    <v>1.34</v>
    <v>1.28</v>
    <v>1.31</v>
    <v>1.31</v>
    <v>1.4</v>
    <v>1.39</v>
    <v>1.29</v>
    <v>1.25</v>
    <v>1.28</v>
    <v>1.1599999999999999</v>
    <v>1.27</v>
    <v>1.32</v>
    <v>1.22</v>
    <v>1.1499999999999999</v>
    <v>1.1499999999999999</v>
    <v>1.1299999999999999</v>
    <v>1.1000000000000001</v>
    <v>1.07</v>
    <v>1.06</v>
    <v>1.07</v>
    <v>1.05</v>
    <v>1.06</v>
    <v>1.05</v>
    <v>1.05</v>
    <v>1.03</v>
    <v>1.02</v>
    <v>1.05</v>
    <v>1.05</v>
    <v>1.02</v>
    <v>1.03</v>
    <v>1.05</v>
    <v>1.02</v>
    <v>1.02</v>
    <v>0.98640000000000005</v>
    <v>1.04</v>
    <v>0.98</v>
    <v>0.88</v>
    <v>0.95309999999999995</v>
    <v>0.96440000000000003</v>
    <v>0.89670000000000005</v>
    <v>0.90610000000000002</v>
    <v>1.05</v>
    <v>1.07</v>
    <v>0.99870000000000003</v>
    <v>0.94910000000000005</v>
    <v>0.96</v>
    <v>0.99199999999999999</v>
    <v>1.04</v>
    <v>1.04</v>
    <v>1.08</v>
    <v>1.02</v>
    <v>1.08</v>
    <v>1.19</v>
    <v>1.28</v>
    <v>1.17</v>
    <v>1.0900000000000001</v>
    <v>1.04</v>
    <v>1.05</v>
    <v>1.1200000000000001</v>
    <v>1.02</v>
    <v>1.04</v>
    <v>1.07</v>
    <v>1.03</v>
    <v>0.99039999999999995</v>
    <v>1.03</v>
    <v>0.94799999999999995</v>
    <v>0.8972</v>
    <v>0.79610000000000003</v>
    <v>0.84619999999999995</v>
    <v>0.77780000000000005</v>
    <v>0.83050000000000002</v>
    <v>0.79020000000000001</v>
    <v>0.85370000000000001</v>
    <v>0.89659999999999995</v>
    <v>0.84089999999999998</v>
    <v>0.88560000000000005</v>
    <v>0.8982</v>
    <v>0.87</v>
    <v>0.83599999999999997</v>
    <v>0.92749999999999999</v>
    <v>0.90680000000000005</v>
    <v>0.96589999999999998</v>
    <v>0.94589999999999996</v>
    <v>0.91</v>
    <v>0.8599</v>
    <v>0.88070000000000004</v>
    <v>0.91639999999999999</v>
    <v>0.83120000000000005</v>
    <v>0.83499999999999996</v>
    <v>0.8</v>
    <v>0.75360000000000005</v>
    <v>0.68810000000000004</v>
    <v>0.73360000000000003</v>
    <v>0.8044</v>
    <v>0.82020000000000004</v>
    <v>0.85260000000000002</v>
    <v>0.8216</v>
    <v>0.84040000000000004</v>
    <v>0.82</v>
    <v>0.81510000000000005</v>
    <v>0.79390000000000005</v>
    <v>0.76500000000000001</v>
    <v>0.76</v>
    <v>0.74019999999999997</v>
    <v>0.77810000000000001</v>
    <v>0.81020000000000003</v>
    <v>0.78310000000000002</v>
    <v>0.753</v>
    <v>0.76439999999999997</v>
    <v>0.748</v>
    <v>0.78490000000000004</v>
    <v>0.78469999999999995</v>
    <v>0.77890000000000004</v>
    <v>0.76590000000000003</v>
    <v>0.75549999999999995</v>
    <v>0.81640000000000001</v>
    <v>0.84219999999999995</v>
    <v>0.8105</v>
    <v>0.92</v>
    <v>0.95099999999999996</v>
    <v>1.1100000000000001</v>
    <v>1.28</v>
    <v>1.23</v>
    <v>1.21</v>
    <v>1.2</v>
    <v>1.22</v>
    <v>1.5</v>
    <v>1.46</v>
    <v>1.41</v>
    <v>1.32</v>
    <v>1.23</v>
    <v>1.1299999999999999</v>
    <v>1.1200000000000001</v>
    <v>1.2</v>
    <v>1.43</v>
    <v>1.51</v>
    <v>1.52</v>
    <v>1.49</v>
    <v>1.7</v>
    <v>1.55</v>
    <v>1.41</v>
    <v>1.3</v>
    <v>1.31</v>
    <v>1.35</v>
    <v>1.48</v>
    <v>1.74</v>
    <v>2.75</v>
    <v>2.2000000000000002</v>
    <v>2.4</v>
    <v>3.05</v>
    <v>3.02</v>
    <v>3.14</v>
    <v>3.11</v>
    <v>3.18</v>
    <v>4.38</v>
    <v>4.47</v>
    <v>6.49</v>
    <v>7.38</v>
    <v>5.97</v>
    <v>7.16</v>
    <v>8.43</v>
    <v>11.13</v>
    <v>10.69</v>
    <v>7.47</v>
    <v>9.3699999999999992</v>
    <v>10.96</v>
    <v>11.35</v>
    <v>15.44</v>
    <v>17.079999999999998</v>
    <v>17</v>
    <v>15.26</v>
    <v>20</v>
    <v>19.02</v>
    <v>19.510000000000002</v>
    <v>18.39</v>
    <v>10.039999999999999</v>
    <v>8.93</v>
    <v>6.05</v>
    <v>8.9499999999999993</v>
    <v>10.94</v>
    <v>11.24</v>
    <v>9.83</v>
    <v>13.98</v>
    <v>13.91</v>
    <v>13.47</v>
    <v>13.2</v>
    <v>12.45</v>
    <v>13.08</v>
    <v>12.66</v>
    <v>12.3</v>
    <v>13.17</v>
    <v>13.47</v>
    <v>13.72</v>
    <v>13.83</v>
    <v>13.29</v>
    <v>12.85</v>
    <v>12.35</v>
    <v>11.02</v>
    <v>11.75</v>
    <v>12.25</v>
    <v>11.81</v>
    <v>10.52</v>
    <v>11.03</v>
    <v>11.47</v>
    <v>10.75</v>
    <v>10.119999999999999</v>
    <v>9.0299999999999994</v>
    <v>9.2799999999999994</v>
    <v>8.0299999999999994</v>
    <v>8.4600000000000009</v>
    <v>7.7</v>
    <v>7.86</v>
    <v>8.18</v>
    <v>8.51</v>
    <v>9.35</v>
    <v>7.91</v>
    <v>8.0500000000000007</v>
    <v>8.9499999999999993</v>
    <v>8.75</v>
    <v>11.22</v>
    <v>11.16</v>
    <v>10.26</v>
    <v>9.9049999999999994</v>
    <v>8.99</v>
    <v>9.07</v>
    <v>9.7799999999999994</v>
    <v>9.82</v>
    <v>9.18</v>
    <v>8.4700000000000006</v>
    <v>8.15</v>
    <v>7.92</v>
    <v>7.81</v>
    <v>8.49</v>
    <v>8.15</v>
    <v>7.5</v>
    <v>8.33</v>
    <v>7.72</v>
    <v>9.39</v>
    <v>9.42</v>
    <v>9.1</v>
    <v>8.86</v>
    <v>8.6199999999999992</v>
    <v>8.25</v>
    <v>8.32</v>
    <v>8.11</v>
    <v>8.57</v>
    <v>9.11</v>
    <v>9.3000000000000007</v>
    <v>9.3699999999999992</v>
    <v>9.2200000000000006</v>
    <v>8.86</v>
    <v>8.8699999999999992</v>
    <v>9.14</v>
    <v>10.63</v>
    <v>9.6950000000000003</v>
    <v>9.7850000000000001</v>
    <v>9.25</v>
    <v>10.31</v>
    <v>10.58</v>
    <v>11.55</v>
    <v>9.8650000000000002</v>
    <v>11.64</v>
    <v>11.54</v>
    <v>11.85</v>
    <v>12.05</v>
    <v>11.92</v>
    <v>10.96</v>
    <v>13.86</v>
    <v>14.02</v>
    <v>14.19</v>
    <v>14.16</v>
    <v>13.15</v>
    <v>12.11</v>
    <v>12.26</v>
    <v>12.04</v>
    <v>11.82</v>
    <v>10.89</v>
    <v>11.28</v>
    <v>11.32</v>
    <v>11.24</v>
    <v>12.52</v>
    <v>12.1</v>
    <v>11.4</v>
    <v>12.16</v>
    <v>11.48</v>
    <v>11.35</v>
    <v>11.06</v>
    <v>10.79</v>
    <v>11.5</v>
    <v>11.09</v>
    <v>11.11</v>
    <v>11.07</v>
    <v>11.86</v>
    <v>11.33</v>
    <v>13.08</v>
    <v>13.45</v>
    <v>13.75</v>
    <v>13.38</v>
    <v>13.51</v>
    <v>13.03</v>
    <v>12.18</v>
    <v>12.77</v>
    <v>12.72</v>
    <v>16.559999999999999</v>
    <v>17.14</v>
    <v>17.16</v>
    <v>16.079999999999998</v>
    <v>15.43</v>
    <v>16.14</v>
    <v>15.95</v>
    <v>15.44</v>
    <v>15.57</v>
    <v>14.47</v>
    <v>14.17</v>
    <v>14.5</v>
    <v>14.12</v>
    <v>15.76</v>
    <v>16.47</v>
    <v>15.99</v>
    <v>15.66</v>
    <v>15.44</v>
    <v>15.98</v>
    <v>16.2</v>
    <v>17.239999999999998</v>
    <v>17.98</v>
    <v>16.649999999999999</v>
    <v>16.63</v>
    <v>15.16</v>
    <v>14.76</v>
    <v>14.27</v>
    <v>14.82</v>
    <v>14.47</v>
    <v>15.3</v>
    <v>15.39</v>
    <v>16.579999999999998</v>
    <v>16.23</v>
    <v>15.52</v>
    <v>15.04</v>
    <v>15.12</v>
    <v>15.1</v>
    <v>15.15</v>
    <v>16.5</v>
    <v>16.190000000000001</v>
    <v>16.690000000000001</v>
    <v>19.09</v>
    <v>19.21</v>
    <v>20</v>
    <v>21.99</v>
    <v>24.74</v>
    <v>28.52</v>
    <v>28.37</v>
    <v>31.46</v>
    <v>31.64</v>
    <v>32.1</v>
    <v>31.18</v>
    <v>29.65</v>
    <v>29.79</v>
    <v>29.85</v>
    <v>35.4</v>
    <v>40.06</v>
    <v>41.71</v>
    <v>43.91</v>
    <v>43.23</v>
    <v>47.11</v>
    <v>43.92</v>
    <v>54.91</v>
    <v>56.12</v>
    <v>56.34</v>
    <v>47.97</v>
    <v>46.38</v>
    <v>43.31</v>
    <v>40</v>
    <v>36.06</v>
    <v>39.594999999999999</v>
    <v>38.840000000000003</v>
    <v>40.24</v>
    <v>37.07</v>
    <v>39.409999999999997</v>
    <v>42.52</v>
    <v>44.27</v>
    <v>39.119999999999997</v>
    <v>35.18</v>
    <v>37.29</v>
    <v>34.36</v>
    <v>33.770000000000003</v>
    <v>33.08</v>
    <v>31.4</v>
    <v>28.3</v>
    <v>25.2</v>
    <v>25.48</v>
    <v>24.69</v>
    <v>25.71</v>
    <v>25.46</v>
    <v>22.8</v>
    <v>23.59</v>
    <v>26.57</v>
    <v>26.08</v>
    <v>25.57</v>
    <v>25.57</v>
    <v>23.45</v>
    <v>23.88</v>
    <v>26.04</v>
    <v>30.06</v>
    <v>28.11</v>
    <v>28.26</v>
    <v>28.22</v>
    <v>26.12</v>
    <v>26.88</v>
    <v>25.84</v>
    <v>23.53</v>
    <v>23.96</v>
    <v>22.47</v>
    <v>22.82</v>
    <v>23.76</v>
    <v>26.88</v>
    <v>25.11</v>
    <v>24.51</v>
    <v>22.38</v>
    <v>22.27</v>
    <v>22.41</v>
    <v>22.15</v>
    <v>23.6</v>
    <v>25.01</v>
    <v>25.38</v>
    <v>25.21</v>
    <v>25.25</v>
    <v>24.72</v>
    <v>25.53</v>
    <v>24.47</v>
    <v>25.72</v>
    <v>24.7</v>
    <v>25.62</v>
    <v>24.99</v>
    <v>23.67</v>
    <v>24.96</v>
    <v>23.45</v>
    <v>21.76</v>
    <v>22.31</v>
    <v>22.01</v>
    <v>19.850000000000001</v>
    <v>18.170000000000002</v>
    <v>17.71</v>
    <v>18.21</v>
    <v>17.190000000000001</v>
    <v>14.975</v>
    <v>17.71</v>
    <v>17.59</v>
    <v>16.97</v>
    <v>16.43</v>
    <v>14.99</v>
    <v>16.09</v>
    <v>15.59</v>
    <v>16.18</v>
    <v>16.600000000000001</v>
    <v>15.92</v>
    <v>16.02</v>
    <v>16.48</v>
    <v>17.63</v>
    <v>18.64</v>
    <v>17.420000000000002</v>
    <v>17.690000000000001</v>
    <v>16.96</v>
    <v>17.760000000000002</v>
    <v>16.97</v>
    <v>17.010000000000002</v>
    <v>17.600000000000001</v>
    <v>16.989999999999998</v>
    <v>16.940000000000001</v>
    <v>16.07</v>
    <v>16.170000000000002</v>
    <v>16.14</v>
    <v>16.22</v>
    <v>15.67</v>
    <v>15.41</v>
    <v>14.88</v>
    <v>15.88</v>
    <v>15.6</v>
    <v>15.14</v>
    <v>14.41</v>
    <v>13.32</v>
    <v>12.9</v>
    <v>14.04</v>
    <v>13.5</v>
    <v>14.19</v>
    <v>14.2</v>
    <v>13.84</v>
    <v>14.53</v>
    <v>14.31</v>
    <v>14.68</v>
    <v>15.13</v>
    <v>16.87</v>
    <v>19.11</v>
    <v>19.45</v>
    <v>19.809999999999999</v>
    <v>19.64</v>
    <v>18.25</v>
    <v>18.38</v>
    <v>16.86</v>
    <v>16.61</v>
    <v>16.91</v>
    <v>16.39</v>
    <v>16.079999999999998</v>
    <v>17.45</v>
    <v>17.5</v>
    <v>17.7</v>
    <v>18.27</v>
    <v>20.09</v>
    <v>18.34</v>
    <v>18.940000000000001</v>
    <v>20.51</v>
    <v>19.07</v>
    <v>18.414999999999999</v>
    <v>19.27</v>
    <v>17.850000000000001</v>
    <v>16.62</v>
    <v>15.96</v>
    <v>16.88</v>
    <v>22.04</v>
    <v>26.42</v>
    <v>25.065000000000001</v>
    <v>24.62</v>
    <v>27.03</v>
    <v>25.54</v>
    <v>25.63</v>
    <v>26.88</v>
    <v>24.094999999999999</v>
    <v>24.16</v>
    <v>20.68</v>
    <v>21.765000000000001</v>
    <v>19.690000000000001</v>
    <v>19.445</v>
    <v>20.63</v>
    <v>20.98</v>
    <v>22.7</v>
    <v>20.64</v>
    <v>20.245000000000001</v>
    <v>21.36</v>
    <v>21.38</v>
    <v>21.28</v>
    <v>19.53</v>
    <v>18.41</v>
    <v>18.36</v>
    <v>19.440000000000001</v>
    <v>19.32</v>
    <v>18.68</v>
    <v>17.940000000000001</v>
    <v>17.96</v>
    <v>16.55</v>
    <v>16.920000000000002</v>
    <v>16.989999999999998</v>
    <v>16.54</v>
    <v>15.36</v>
    <v>16.11</v>
    <v>15.25</v>
    <v>14.1</v>
    <v>14.11</v>
    <v>14.25</v>
    <v>15.28</v>
    <v>15.23</v>
    <v>14.85</v>
    <v>14.15</v>
    <v>15.64</v>
    <v>14.52</v>
    <v>13.22</v>
    <v>14.86</v>
    <v>14.95</v>
    <v>16.02</v>
    <v>17.45</v>
    <v>16.78</v>
    <v>16.53</v>
    <v>17.940000000000001</v>
    <v>17.649999999999999</v>
    <v>18.09</v>
    <v>18.420000000000002</v>
    <v>18.62</v>
    <v>18.82</v>
    <v>18.670000000000002</v>
    <v>17.71</v>
    <v>17</v>
    <v>16.065000000000001</v>
    <v>17.91</v>
    <v>16.37</v>
    <v>16.940000000000001</v>
    <v>15.94</v>
    <v>16.440000000000001</v>
    <v>15.59</v>
    <v>15.66</v>
    <v>14.99</v>
    <v>14.87</v>
    <v>15.18</v>
    <v>15.2</v>
    <v>15.81</v>
    <v>15.24</v>
    <v>15.16</v>
    <v>15.27</v>
    <v>15.27</v>
    <v>15.09</v>
    <v>14.79</v>
    <v>15.99</v>
    <v>15.76</v>
    <v>16.53</v>
    <v>16.52</v>
    <v>16.004999999999999</v>
    <v>16.5</v>
    <v>16.66</v>
    <v>15.95</v>
    <v>15.74</v>
    <v>15.74</v>
    <v>15.62</v>
    <v>15.25</v>
    <v>15.15</v>
    <v>15.17</v>
    <v>14.59</v>
    <v>14.14</v>
    <v>14.03</v>
    <v>13.25</v>
    <v>12.78</v>
    <v>11.68</v>
    <v>12.63</v>
    <v>11.8</v>
    <v>11.67</v>
    <v>11.66</v>
    <v>12.05</v>
    <v>11.48</v>
    <v>11.52</v>
  </a>
  <a r="1" c="252">
    <v>39.594999999999999</v>
    <v>38.840000000000003</v>
    <v>40.24</v>
    <v>37.07</v>
    <v>39.409999999999997</v>
    <v>42.52</v>
    <v>44.27</v>
    <v>39.119999999999997</v>
    <v>35.18</v>
    <v>37.29</v>
    <v>34.36</v>
    <v>33.770000000000003</v>
    <v>33.08</v>
    <v>31.4</v>
    <v>28.3</v>
    <v>25.2</v>
    <v>25.48</v>
    <v>24.69</v>
    <v>25.71</v>
    <v>25.46</v>
    <v>22.8</v>
    <v>23.59</v>
    <v>26.57</v>
    <v>26.08</v>
    <v>25.57</v>
    <v>25.57</v>
    <v>23.45</v>
    <v>23.88</v>
    <v>26.04</v>
    <v>30.06</v>
    <v>28.11</v>
    <v>28.26</v>
    <v>28.22</v>
    <v>26.12</v>
    <v>26.88</v>
    <v>25.84</v>
    <v>23.53</v>
    <v>23.96</v>
    <v>22.47</v>
    <v>22.82</v>
    <v>23.76</v>
    <v>26.88</v>
    <v>25.11</v>
    <v>24.51</v>
    <v>22.38</v>
    <v>22.27</v>
    <v>22.41</v>
    <v>22.15</v>
    <v>23.6</v>
    <v>25.01</v>
    <v>25.38</v>
    <v>25.21</v>
    <v>25.25</v>
    <v>24.72</v>
    <v>25.53</v>
    <v>24.47</v>
    <v>25.72</v>
    <v>24.7</v>
    <v>25.62</v>
    <v>24.99</v>
    <v>23.67</v>
    <v>24.96</v>
    <v>23.45</v>
    <v>21.76</v>
    <v>22.31</v>
    <v>22.01</v>
    <v>19.850000000000001</v>
    <v>18.170000000000002</v>
    <v>17.71</v>
    <v>18.21</v>
    <v>17.190000000000001</v>
    <v>14.975</v>
    <v>17.71</v>
    <v>17.59</v>
    <v>16.97</v>
    <v>16.43</v>
    <v>14.99</v>
    <v>16.09</v>
    <v>15.59</v>
    <v>16.18</v>
    <v>16.600000000000001</v>
    <v>15.92</v>
    <v>16.02</v>
    <v>16.48</v>
    <v>17.63</v>
    <v>18.64</v>
    <v>17.420000000000002</v>
    <v>17.690000000000001</v>
    <v>16.96</v>
    <v>17.760000000000002</v>
    <v>16.97</v>
    <v>17.010000000000002</v>
    <v>17.600000000000001</v>
    <v>16.989999999999998</v>
    <v>16.940000000000001</v>
    <v>16.07</v>
    <v>16.170000000000002</v>
    <v>16.14</v>
    <v>16.22</v>
    <v>15.67</v>
    <v>15.41</v>
    <v>14.88</v>
    <v>15.88</v>
    <v>15.6</v>
    <v>15.14</v>
    <v>14.41</v>
    <v>13.32</v>
    <v>12.9</v>
    <v>14.04</v>
    <v>13.5</v>
    <v>14.19</v>
    <v>14.2</v>
    <v>13.84</v>
    <v>14.53</v>
    <v>14.31</v>
    <v>14.68</v>
    <v>15.13</v>
    <v>16.87</v>
    <v>19.11</v>
    <v>19.45</v>
    <v>19.809999999999999</v>
    <v>19.64</v>
    <v>18.25</v>
    <v>18.38</v>
    <v>16.86</v>
    <v>16.61</v>
    <v>16.91</v>
    <v>16.39</v>
    <v>16.079999999999998</v>
    <v>17.45</v>
    <v>17.5</v>
    <v>17.7</v>
    <v>18.27</v>
    <v>20.09</v>
    <v>18.34</v>
    <v>18.940000000000001</v>
    <v>20.51</v>
    <v>19.07</v>
    <v>18.414999999999999</v>
    <v>19.27</v>
    <v>17.850000000000001</v>
    <v>16.62</v>
    <v>15.96</v>
    <v>16.88</v>
    <v>22.04</v>
    <v>26.42</v>
    <v>25.065000000000001</v>
    <v>24.62</v>
    <v>27.03</v>
    <v>25.54</v>
    <v>25.63</v>
    <v>26.88</v>
    <v>24.094999999999999</v>
    <v>24.16</v>
    <v>20.68</v>
    <v>21.765000000000001</v>
    <v>19.690000000000001</v>
    <v>19.445</v>
    <v>20.63</v>
    <v>20.98</v>
    <v>22.7</v>
    <v>20.64</v>
    <v>20.245000000000001</v>
    <v>21.36</v>
    <v>21.38</v>
    <v>21.28</v>
    <v>19.53</v>
    <v>18.41</v>
    <v>18.36</v>
    <v>19.440000000000001</v>
    <v>19.32</v>
    <v>18.68</v>
    <v>17.940000000000001</v>
    <v>17.96</v>
    <v>16.55</v>
    <v>16.920000000000002</v>
    <v>16.989999999999998</v>
    <v>16.54</v>
    <v>15.36</v>
    <v>16.11</v>
    <v>15.25</v>
    <v>14.1</v>
    <v>14.11</v>
    <v>14.25</v>
    <v>15.28</v>
    <v>15.23</v>
    <v>14.85</v>
    <v>14.15</v>
    <v>15.64</v>
    <v>14.52</v>
    <v>13.22</v>
    <v>14.86</v>
    <v>14.95</v>
    <v>16.02</v>
    <v>17.45</v>
    <v>16.78</v>
    <v>16.53</v>
    <v>17.940000000000001</v>
    <v>17.649999999999999</v>
    <v>18.09</v>
    <v>18.420000000000002</v>
    <v>18.62</v>
    <v>18.82</v>
    <v>18.670000000000002</v>
    <v>17.71</v>
    <v>17</v>
    <v>16.065000000000001</v>
    <v>17.91</v>
    <v>16.37</v>
    <v>16.940000000000001</v>
    <v>15.94</v>
    <v>16.440000000000001</v>
    <v>15.59</v>
    <v>15.66</v>
    <v>14.99</v>
    <v>14.87</v>
    <v>15.18</v>
    <v>15.2</v>
    <v>15.81</v>
    <v>15.24</v>
    <v>15.16</v>
    <v>15.27</v>
    <v>15.27</v>
    <v>15.09</v>
    <v>14.79</v>
    <v>15.99</v>
    <v>15.76</v>
    <v>16.53</v>
    <v>16.52</v>
    <v>16.004999999999999</v>
    <v>16.5</v>
    <v>16.66</v>
    <v>15.95</v>
    <v>15.74</v>
    <v>15.74</v>
    <v>15.62</v>
    <v>15.25</v>
    <v>15.15</v>
    <v>15.17</v>
    <v>14.59</v>
    <v>14.14</v>
    <v>14.03</v>
    <v>13.25</v>
    <v>12.78</v>
    <v>11.68</v>
    <v>12.63</v>
    <v>11.8</v>
    <v>11.67</v>
    <v>11.66</v>
    <v>12.05</v>
    <v>11.48</v>
    <v>11.52</v>
  </a>
  <a r="1" c="208">
    <v>71.040000000000006</v>
    <v>71.400000000000006</v>
    <v>71.03</v>
    <v>70.349999999999994</v>
    <v>70.739999999999995</v>
    <v>70.709999999999994</v>
    <v>71.16</v>
    <v>71.45</v>
    <v>71.400000000000006</v>
    <v>72.36</v>
    <v>72.63</v>
    <v>71.52</v>
    <v>71.22</v>
    <v>70.39</v>
    <v>72.47</v>
    <v>71.760000000000005</v>
    <v>72.34</v>
    <v>73.88</v>
    <v>72.260000000000005</v>
    <v>72.239999999999995</v>
    <v>73.45</v>
    <v>75.09</v>
    <v>76.709999999999994</v>
    <v>76.209999999999994</v>
    <v>73.010000000000005</v>
    <v>73.94</v>
    <v>78.64</v>
    <v>76.55</v>
    <v>74.59</v>
    <v>74.14</v>
    <v>71.33</v>
    <v>71.72</v>
    <v>73.16</v>
    <v>74.66</v>
    <v>72.849999999999994</v>
    <v>73.930000000000007</v>
    <v>73.7</v>
    <v>72.72</v>
    <v>74.14</v>
    <v>73.760000000000005</v>
    <v>72.41</v>
    <v>70.2</v>
    <v>66.95</v>
    <v>68.790000000000006</v>
    <v>66.930000000000007</v>
    <v>66.12</v>
    <v>65.09</v>
    <v>68.81</v>
    <v>67.599999999999994</v>
    <v>65.069999999999993</v>
    <v>63.5</v>
    <v>63.84</v>
    <v>64.14</v>
    <v>63.89</v>
    <v>62.01</v>
    <v>59.63</v>
    <v>61.62</v>
    <v>61.53</v>
    <v>62.41</v>
    <v>61.16</v>
    <v>60.22</v>
    <v>59.84</v>
    <v>60.86</v>
    <v>64.290000000000006</v>
    <v>62.66</v>
    <v>62.4</v>
    <v>67.319999999999993</v>
    <v>66.89</v>
    <v>68.52</v>
    <v>68.180000000000007</v>
    <v>70.36</v>
    <v>70.2</v>
    <v>69.180000000000007</v>
    <v>71.81</v>
    <v>67.989999999999995</v>
    <v>67.010000000000005</v>
    <v>65.680000000000007</v>
    <v>64.45</v>
    <v>64.010000000000005</v>
    <v>64.39</v>
    <v>65.77</v>
    <v>65.73</v>
    <v>65.62</v>
    <v>64.06</v>
    <v>67.819999999999993</v>
    <v>70.94</v>
    <v>71.400000000000006</v>
    <v>70.5</v>
    <v>70.73</v>
    <v>70.11</v>
    <v>71.16</v>
    <v>72.349999999999994</v>
    <v>71.260000000000005</v>
    <v>71.459999999999994</v>
    <v>70.459999999999994</v>
    <v>72.27</v>
    <v>70.680000000000007</v>
    <v>72.11</v>
    <v>74.09</v>
    <v>73.459999999999994</v>
    <v>73.09</v>
    <v>72.91</v>
    <v>74.239999999999995</v>
    <v>73.72</v>
    <v>74.930000000000007</v>
    <v>73.5</v>
    <v>74.17</v>
    <v>73.150000000000006</v>
    <v>71.680000000000007</v>
    <v>71.62</v>
    <v>70.650000000000006</v>
    <v>70.41</v>
    <v>73.3</v>
    <v>74.569999999999993</v>
    <v>77.680000000000007</v>
    <v>79.569999999999993</v>
    <v>80.08</v>
    <v>79.52</v>
    <v>80.040000000000006</v>
    <v>78.88</v>
    <v>77.760000000000005</v>
    <v>78.19</v>
    <v>77.09</v>
    <v>76.760000000000005</v>
    <v>78.260000000000005</v>
    <v>78.680000000000007</v>
    <v>81.88</v>
    <v>81.96</v>
    <v>81.819999999999993</v>
    <v>82.21</v>
    <v>79.86</v>
    <v>81.92</v>
    <v>82.97</v>
    <v>82.57</v>
    <v>82.15</v>
    <v>81.290000000000006</v>
    <v>82.65</v>
    <v>80.599999999999994</v>
    <v>81.099999999999994</v>
    <v>82.62</v>
    <v>83.21</v>
    <v>79.22</v>
    <v>80.430000000000007</v>
    <v>81.739999999999995</v>
    <v>81.569999999999993</v>
    <v>79.77</v>
    <v>81.7</v>
    <v>81.61</v>
    <v>83.8</v>
    <v>85.46</v>
    <v>84.88</v>
    <v>84.73</v>
    <v>84.4</v>
    <v>84.6</v>
    <v>84.84</v>
    <v>84.75</v>
    <v>85.41</v>
    <v>85.23</v>
    <v>84.66</v>
    <v>83.38</v>
    <v>82.37</v>
    <v>82.82</v>
    <v>83.03</v>
    <v>84.13</v>
    <v>84.33</v>
    <v>86.15</v>
    <v>83.42</v>
    <v>84.71</v>
    <v>84.14</v>
    <v>83.34</v>
    <v>83.77</v>
    <v>84.64</v>
    <v>83.67</v>
    <v>84.15</v>
    <v>84.43</v>
    <v>84.22</v>
    <v>83.8</v>
    <v>85.17</v>
    <v>84.47</v>
    <v>82.58</v>
    <v>82.92</v>
    <v>83.68</v>
    <v>81.13</v>
    <v>83.72</v>
    <v>83.28</v>
    <v>83.47</v>
    <v>82.18</v>
    <v>83.95</v>
    <v>84.28</v>
    <v>83.8</v>
    <v>82.9</v>
    <v>79.53</v>
    <v>78.849999999999994</v>
    <v>79.8</v>
    <v>81.11</v>
    <v>77.72</v>
    <v>75.33</v>
    <v>76.13</v>
    <v>76.25</v>
    <v>77</v>
    <v>76.78</v>
    <v>75.14</v>
    <v>76.19</v>
    <v>74.55</v>
    <v>74.12</v>
    <v>75.209999999999994</v>
    <v>71.650000000000006</v>
    <v>72.040000000000006</v>
  </a>
  <a r="1" c="761">
    <v>22.69</v>
    <v>22.995000000000001</v>
    <v>22.495000000000001</v>
    <v>22.824999999999999</v>
    <v>23.08</v>
    <v>23.49</v>
    <v>23.625</v>
    <v>23.914999999999999</v>
    <v>23.5</v>
    <v>23.43</v>
    <v>23.434999999999999</v>
    <v>23.56</v>
    <v>23.76</v>
    <v>23.94</v>
    <v>23.864999999999998</v>
    <v>24.645</v>
    <v>24.695</v>
    <v>24.684999999999999</v>
    <v>24.76</v>
    <v>25.035</v>
    <v>25.21</v>
    <v>24.815000000000001</v>
    <v>24.725000000000001</v>
    <v>25.07</v>
    <v>25.12</v>
    <v>24.795000000000002</v>
    <v>24.754999999999999</v>
    <v>25.324999999999999</v>
    <v>24.984999999999999</v>
    <v>25.18</v>
    <v>25.31</v>
    <v>25.265000000000001</v>
    <v>25.565000000000001</v>
    <v>25.03</v>
    <v>25.3</v>
    <v>25.3</v>
    <v>25.04</v>
    <v>24.98</v>
    <v>23.85</v>
    <v>23.684999999999999</v>
    <v>24.12</v>
    <v>24.33</v>
    <v>24.33</v>
    <v>24.34</v>
    <v>24.42</v>
    <v>24.45</v>
    <v>24.39</v>
    <v>24.565000000000001</v>
    <v>25.03</v>
    <v>24.85</v>
    <v>25.614999999999998</v>
    <v>25.79</v>
    <v>25.99</v>
    <v>25.555</v>
    <v>25.864999999999998</v>
    <v>25.614999999999998</v>
    <v>25.655000000000001</v>
    <v>25.6</v>
    <v>25.805</v>
    <v>25.895</v>
    <v>26.6</v>
    <v>26.44</v>
    <v>26.55</v>
    <v>26.484999999999999</v>
    <v>26.995000000000001</v>
    <v>26.52</v>
    <v>26.69</v>
    <v>26.675000000000001</v>
    <v>27.035</v>
    <v>27.16</v>
    <v>26.504999999999999</v>
    <v>26.664999999999999</v>
    <v>28.824999999999999</v>
    <v>28.77</v>
    <v>28.664999999999999</v>
    <v>28.815000000000001</v>
    <v>29.055</v>
    <v>29.57</v>
    <v>29.39</v>
    <v>29.765000000000001</v>
    <v>29.63</v>
    <v>29.79</v>
    <v>29.81</v>
    <v>29.95</v>
    <v>30.445</v>
    <v>30.46</v>
    <v>31.01</v>
    <v>30.824999999999999</v>
    <v>30.765000000000001</v>
    <v>31</v>
    <v>30.91</v>
    <v>30.995000000000001</v>
    <v>31.305</v>
    <v>31.41</v>
    <v>31.364999999999998</v>
    <v>31.37</v>
    <v>30.785</v>
    <v>31.03</v>
    <v>31.74</v>
    <v>32.15</v>
    <v>32.204999999999998</v>
    <v>32.9</v>
    <v>33.17</v>
    <v>33.869999999999997</v>
    <v>33.909999999999997</v>
    <v>33.909999999999997</v>
    <v>33.594999999999999</v>
    <v>34.08</v>
    <v>34.520000000000003</v>
    <v>34.42</v>
    <v>35.174999999999997</v>
    <v>35.15</v>
    <v>35.65</v>
    <v>35.450000000000003</v>
    <v>34.9</v>
    <v>35.384999999999998</v>
    <v>34.520000000000003</v>
    <v>34.950000000000003</v>
    <v>33.97</v>
    <v>34.045000000000002</v>
    <v>34.35</v>
    <v>33.645000000000003</v>
    <v>34.384999999999998</v>
    <v>35.08</v>
    <v>35.274999999999999</v>
    <v>34.130000000000003</v>
    <v>35.33</v>
    <v>34.984999999999999</v>
    <v>34.784999999999997</v>
    <v>35.479999999999997</v>
    <v>35.07</v>
    <v>34.58</v>
    <v>34.9</v>
    <v>34.195</v>
    <v>34.840000000000003</v>
    <v>36.090000000000003</v>
    <v>35.965000000000003</v>
    <v>35.994999999999997</v>
    <v>36.024999999999999</v>
    <v>35.880000000000003</v>
    <v>36.42</v>
    <v>36.28</v>
    <v>36.31</v>
    <v>36.28</v>
    <v>36.32</v>
    <v>36.5</v>
    <v>35.950000000000003</v>
    <v>36.145000000000003</v>
    <v>36.21</v>
    <v>36.44</v>
    <v>36.484999999999999</v>
    <v>36.005000000000003</v>
    <v>36.424999999999997</v>
    <v>36.384999999999998</v>
    <v>36.82</v>
    <v>35.29</v>
    <v>35.594999999999999</v>
    <v>36.5</v>
    <v>36.57</v>
    <v>36.255000000000003</v>
    <v>34.895000000000003</v>
    <v>35.685000000000002</v>
    <v>34.445</v>
    <v>32.534999999999997</v>
    <v>33.155000000000001</v>
    <v>34.090000000000003</v>
    <v>34.07</v>
    <v>34.799999999999997</v>
    <v>34.055</v>
    <v>35.365000000000002</v>
    <v>34.914999999999999</v>
    <v>34.79</v>
    <v>34.56</v>
    <v>34.604999999999997</v>
    <v>36.204999999999998</v>
    <v>35.72</v>
    <v>36.354999999999997</v>
    <v>37.024999999999999</v>
    <v>37.015000000000001</v>
    <v>37.130000000000003</v>
    <v>36.725000000000001</v>
    <v>37.11</v>
    <v>36.634999999999998</v>
    <v>37.115000000000002</v>
    <v>37.14</v>
    <v>37.42</v>
    <v>37.64</v>
    <v>37.655000000000001</v>
    <v>37.520000000000003</v>
    <v>38.655000000000001</v>
    <v>39.020000000000003</v>
    <v>39.1</v>
    <v>38.049999999999997</v>
    <v>37.840000000000003</v>
    <v>37.89</v>
    <v>38.340000000000003</v>
    <v>37.954999999999998</v>
    <v>35.79</v>
    <v>34</v>
    <v>33.134999999999998</v>
    <v>32.6</v>
    <v>34.159999999999997</v>
    <v>34.18</v>
    <v>34.445</v>
    <v>34.57</v>
    <v>34.634999999999998</v>
    <v>35.049999999999997</v>
    <v>36.340000000000003</v>
    <v>36.67</v>
    <v>35.844999999999999</v>
    <v>35.774999999999999</v>
    <v>36.145000000000003</v>
    <v>36.545000000000002</v>
    <v>36.414999999999999</v>
    <v>36.484999999999999</v>
    <v>36.549999999999997</v>
    <v>36.905000000000001</v>
    <v>37.380000000000003</v>
    <v>37.515000000000001</v>
    <v>36.770000000000003</v>
    <v>36.76</v>
    <v>36.83</v>
    <v>36.225000000000001</v>
    <v>36.604999999999997</v>
    <v>36.075000000000003</v>
    <v>36.155000000000001</v>
    <v>37.195</v>
    <v>36.905000000000001</v>
    <v>37.1</v>
    <v>37.46</v>
    <v>37.435000000000002</v>
    <v>37.9</v>
    <v>37.994999999999997</v>
    <v>36.734999999999999</v>
    <v>37.26</v>
    <v>37.869999999999997</v>
    <v>39.700000000000003</v>
    <v>39.979999999999997</v>
    <v>39.365000000000002</v>
    <v>38.28</v>
    <v>37.69</v>
    <v>37.700000000000003</v>
    <v>38.82</v>
    <v>39.369999999999997</v>
    <v>39.204999999999998</v>
    <v>39.375</v>
    <v>40</v>
    <v>40.08</v>
    <v>40.229999999999997</v>
    <v>40.24</v>
    <v>40.305</v>
    <v>40.734999999999999</v>
    <v>40.825000000000003</v>
    <v>40.549999999999997</v>
    <v>40.325000000000003</v>
    <v>40.255000000000003</v>
    <v>40.06</v>
    <v>40.155000000000001</v>
    <v>40.72</v>
    <v>41.055</v>
    <v>41.015000000000001</v>
    <v>40.68</v>
    <v>42.125</v>
    <v>42.274999999999999</v>
    <v>42.84</v>
    <v>40.564999999999998</v>
    <v>40.005000000000003</v>
    <v>39.984999999999999</v>
    <v>40.79</v>
    <v>40.1</v>
    <v>40.64</v>
    <v>41.8</v>
    <v>40.770000000000003</v>
    <v>39.65</v>
    <v>38.765000000000001</v>
    <v>38.880000000000003</v>
    <v>38.814999999999998</v>
    <v>38.090000000000003</v>
    <v>36.274999999999999</v>
    <v>35.869999999999997</v>
    <v>35.814999999999998</v>
    <v>36.22</v>
    <v>36.384999999999998</v>
    <v>36.805</v>
    <v>37.5</v>
    <v>37.564999999999998</v>
    <v>39.454999999999998</v>
    <v>39.21</v>
    <v>38.72</v>
    <v>38.835000000000001</v>
    <v>38.99</v>
    <v>39.24</v>
    <v>38.93</v>
    <v>38.880000000000003</v>
    <v>38.200000000000003</v>
    <v>38.700000000000003</v>
    <v>37.594999999999999</v>
    <v>37.65</v>
    <v>37.71</v>
    <v>38.344999999999999</v>
    <v>38.524999999999999</v>
    <v>38.380000000000003</v>
    <v>38.344999999999999</v>
    <v>39.54</v>
    <v>39.64</v>
    <v>40.594999999999999</v>
    <v>40.549999999999997</v>
    <v>40.015000000000001</v>
    <v>40.314999999999998</v>
    <v>40.93</v>
    <v>41.76</v>
    <v>41.92</v>
    <v>42.465000000000003</v>
    <v>43.12</v>
    <v>42.825000000000003</v>
    <v>42.45</v>
    <v>43.524999999999999</v>
    <v>43.755000000000003</v>
    <v>43.844999999999999</v>
    <v>44.274999999999999</v>
    <v>44.854999999999997</v>
    <v>44.82</v>
    <v>44.42</v>
    <v>44.1</v>
    <v>44.61</v>
    <v>44.625</v>
    <v>46.204999999999998</v>
    <v>47.024999999999999</v>
    <v>47.225000000000001</v>
    <v>46.88</v>
    <v>46.57</v>
    <v>46.134999999999998</v>
    <v>46.86</v>
    <v>47.61</v>
    <v>48.4</v>
    <v>47.91</v>
    <v>47.79</v>
    <v>47.784999999999997</v>
    <v>47.965000000000003</v>
    <v>49.325000000000003</v>
    <v>50.85</v>
    <v>50.86</v>
    <v>50.61</v>
    <v>51.97</v>
    <v>49.76</v>
    <v>53.45</v>
    <v>54.58</v>
    <v>53.36</v>
    <v>51.59</v>
    <v>50.4</v>
    <v>51.95</v>
    <v>51.04</v>
    <v>52.7</v>
    <v>53.63</v>
    <v>54.99</v>
    <v>54.95</v>
    <v>53.41</v>
    <v>53.31</v>
    <v>53.52</v>
    <v>55.28</v>
    <v>55.02</v>
    <v>54.55</v>
    <v>53.2</v>
    <v>51.53</v>
    <v>52.67</v>
    <v>52.14</v>
    <v>48.51</v>
    <v>43.865000000000002</v>
    <v>42.65</v>
    <v>43.594999999999999</v>
    <v>43.515000000000001</v>
    <v>47.155000000000001</v>
    <v>46.32</v>
    <v>48.15</v>
    <v>49.65</v>
    <v>50.62</v>
    <v>49.89</v>
    <v>48.545000000000002</v>
    <v>49.91</v>
    <v>49.51</v>
    <v>50.87</v>
    <v>51.74</v>
    <v>52.45</v>
    <v>50.97</v>
    <v>52.62</v>
    <v>51.96</v>
    <v>52.4</v>
    <v>51.55</v>
    <v>53.26</v>
    <v>53.77</v>
    <v>56.02</v>
    <v>55.19</v>
    <v>56.25</v>
    <v>56.06</v>
    <v>56.48</v>
    <v>57.2</v>
    <v>57.83</v>
    <v>57.85</v>
    <v>57.27</v>
    <v>55.57</v>
    <v>56.18</v>
    <v>56.5</v>
    <v>56.96</v>
    <v>56.46</v>
    <v>56.56</v>
    <v>56.68</v>
    <v>57.24</v>
    <v>56.55</v>
    <v>57.81</v>
    <v>58.2</v>
    <v>58.29</v>
    <v>56.78</v>
    <v>57.02</v>
    <v>56.98</v>
    <v>56.15</v>
    <v>58.08</v>
    <v>55.98</v>
    <v>56.49</v>
    <v>55.35</v>
    <v>55.79</v>
    <v>55.01</v>
    <v>57.2</v>
    <v>56.31</v>
    <v>56.16</v>
    <v>56.52</v>
    <v>56.91</v>
    <v>55.93</v>
    <v>56.73</v>
    <v>57.02</v>
    <v>56.45</v>
    <v>57.35</v>
    <v>58.44</v>
    <v>61.12</v>
    <v>59.33</v>
    <v>57.94</v>
    <v>58.24</v>
    <v>57.58</v>
    <v>57.34</v>
    <v>57.96</v>
    <v>58.07</v>
    <v>58.04</v>
    <v>58.08</v>
    <v>60.19</v>
    <v>61.24</v>
    <v>61.23</v>
    <v>61.68</v>
    <v>63</v>
    <v>64.16</v>
    <v>64.63</v>
    <v>62.21</v>
    <v>64.48</v>
    <v>64.38</v>
    <v>64.73</v>
    <v>66.180000000000007</v>
    <v>67.53</v>
    <v>67.349999999999994</v>
    <v>68.41</v>
    <v>68.38</v>
    <v>68.95</v>
    <v>68.52</v>
    <v>69.489999999999995</v>
    <v>68.790000000000006</v>
    <v>69.180000000000007</v>
    <v>69.19</v>
    <v>68.92</v>
    <v>66.430000000000007</v>
    <v>66.23</v>
    <v>66.16</v>
    <v>66.040000000000006</v>
    <v>66.7</v>
    <v>65.16</v>
    <v>65.849999999999994</v>
    <v>66.510000000000005</v>
    <v>64.92</v>
    <v>65.760000000000005</v>
    <v>66.25</v>
    <v>65.959999999999994</v>
    <v>66.62</v>
    <v>66.7</v>
    <v>67.540000000000006</v>
    <v>66.62</v>
    <v>64.23</v>
    <v>64.58</v>
    <v>64.92</v>
    <v>65.02</v>
    <v>64.13</v>
    <v>64.31</v>
    <v>64.430000000000007</v>
    <v>65.44</v>
    <v>63.64</v>
    <v>64.47</v>
    <v>64.88</v>
    <v>63.41</v>
    <v>63.84</v>
    <v>63.52</v>
    <v>63.16</v>
    <v>64.430000000000007</v>
    <v>63.51</v>
    <v>62.4</v>
    <v>62.55</v>
    <v>62.93</v>
    <v>62.69</v>
    <v>63.25</v>
    <v>61.59</v>
    <v>63.34</v>
    <v>63.04</v>
    <v>61.58</v>
    <v>62.37</v>
    <v>61.33</v>
    <v>62.74</v>
    <v>63.16</v>
    <v>63.67</v>
    <v>63.15</v>
    <v>64.03</v>
    <v>64.28</v>
    <v>64.260000000000005</v>
    <v>64.400000000000006</v>
    <v>63.5</v>
    <v>62.99</v>
    <v>65.599999999999994</v>
    <v>66.64</v>
    <v>68.06</v>
    <v>67.48</v>
    <v>64.48</v>
    <v>64.010000000000005</v>
    <v>62.78</v>
    <v>61.96</v>
    <v>62.84</v>
    <v>62.85</v>
    <v>61.44</v>
    <v>63.15</v>
    <v>63.83</v>
    <v>64.12</v>
    <v>64.09</v>
    <v>64.83</v>
    <v>65.37</v>
    <v>65.42</v>
    <v>65.709999999999994</v>
    <v>65.05</v>
    <v>65.17</v>
    <v>65.739999999999995</v>
    <v>66.760000000000005</v>
    <v>68.36</v>
    <v>67.48</v>
    <v>69.03</v>
    <v>69.5</v>
    <v>70.5</v>
    <v>70.900000000000006</v>
    <v>70.459999999999994</v>
    <v>69.84</v>
    <v>69.94</v>
    <v>69.33</v>
    <v>70.92</v>
    <v>71.040000000000006</v>
    <v>71.400000000000006</v>
    <v>71.03</v>
    <v>70.349999999999994</v>
    <v>70.739999999999995</v>
    <v>70.709999999999994</v>
    <v>71.16</v>
    <v>71.45</v>
    <v>71.400000000000006</v>
    <v>72.36</v>
    <v>72.63</v>
    <v>71.52</v>
    <v>71.22</v>
    <v>70.39</v>
    <v>72.47</v>
    <v>71.760000000000005</v>
    <v>72.34</v>
    <v>73.88</v>
    <v>72.260000000000005</v>
    <v>72.239999999999995</v>
    <v>73.45</v>
    <v>75.09</v>
    <v>76.709999999999994</v>
    <v>76.209999999999994</v>
    <v>73.010000000000005</v>
    <v>73.94</v>
    <v>78.64</v>
    <v>76.55</v>
    <v>74.59</v>
    <v>74.14</v>
    <v>71.33</v>
    <v>71.72</v>
    <v>73.16</v>
    <v>74.66</v>
    <v>72.849999999999994</v>
    <v>73.930000000000007</v>
    <v>73.7</v>
    <v>72.72</v>
    <v>74.14</v>
    <v>73.760000000000005</v>
    <v>72.41</v>
    <v>70.2</v>
    <v>66.95</v>
    <v>68.790000000000006</v>
    <v>66.930000000000007</v>
    <v>66.12</v>
    <v>65.09</v>
    <v>68.81</v>
    <v>67.599999999999994</v>
    <v>65.069999999999993</v>
    <v>63.5</v>
    <v>63.84</v>
    <v>64.14</v>
    <v>63.89</v>
    <v>62.01</v>
    <v>59.63</v>
    <v>61.62</v>
    <v>61.53</v>
    <v>62.41</v>
    <v>61.16</v>
    <v>60.22</v>
    <v>59.84</v>
    <v>60.86</v>
    <v>64.290000000000006</v>
    <v>62.66</v>
    <v>62.4</v>
    <v>67.319999999999993</v>
    <v>66.89</v>
    <v>68.52</v>
    <v>68.180000000000007</v>
    <v>70.36</v>
    <v>70.2</v>
    <v>69.180000000000007</v>
    <v>71.81</v>
    <v>67.989999999999995</v>
    <v>67.010000000000005</v>
    <v>65.680000000000007</v>
    <v>64.45</v>
    <v>64.010000000000005</v>
    <v>64.39</v>
    <v>65.77</v>
    <v>65.73</v>
    <v>65.62</v>
    <v>64.06</v>
    <v>67.819999999999993</v>
    <v>70.94</v>
    <v>71.400000000000006</v>
    <v>70.5</v>
    <v>70.73</v>
    <v>70.11</v>
    <v>71.16</v>
    <v>72.349999999999994</v>
    <v>71.260000000000005</v>
    <v>71.459999999999994</v>
    <v>70.459999999999994</v>
    <v>72.27</v>
    <v>70.680000000000007</v>
    <v>72.11</v>
    <v>74.09</v>
    <v>73.459999999999994</v>
    <v>73.09</v>
    <v>72.91</v>
    <v>74.239999999999995</v>
    <v>73.72</v>
    <v>74.930000000000007</v>
    <v>73.5</v>
    <v>74.17</v>
    <v>73.150000000000006</v>
    <v>71.680000000000007</v>
    <v>71.62</v>
    <v>70.650000000000006</v>
    <v>70.41</v>
    <v>73.3</v>
    <v>74.569999999999993</v>
    <v>77.680000000000007</v>
    <v>79.569999999999993</v>
    <v>80.08</v>
    <v>79.52</v>
    <v>80.040000000000006</v>
    <v>78.88</v>
    <v>77.760000000000005</v>
    <v>78.19</v>
    <v>77.09</v>
    <v>76.760000000000005</v>
    <v>78.260000000000005</v>
    <v>78.680000000000007</v>
    <v>81.88</v>
    <v>81.96</v>
    <v>81.819999999999993</v>
    <v>82.21</v>
    <v>79.86</v>
    <v>81.92</v>
    <v>82.97</v>
    <v>82.57</v>
    <v>82.15</v>
    <v>81.290000000000006</v>
    <v>82.65</v>
    <v>80.599999999999994</v>
    <v>81.099999999999994</v>
    <v>82.62</v>
    <v>83.21</v>
    <v>79.22</v>
    <v>80.430000000000007</v>
    <v>81.739999999999995</v>
    <v>81.569999999999993</v>
    <v>79.77</v>
    <v>81.7</v>
    <v>81.61</v>
    <v>83.8</v>
    <v>85.46</v>
    <v>84.88</v>
    <v>84.73</v>
    <v>84.4</v>
    <v>84.6</v>
    <v>84.84</v>
    <v>84.75</v>
    <v>85.41</v>
    <v>85.23</v>
    <v>84.66</v>
    <v>83.38</v>
    <v>82.37</v>
    <v>82.82</v>
    <v>83.03</v>
    <v>84.13</v>
    <v>84.33</v>
    <v>86.15</v>
    <v>83.42</v>
    <v>84.71</v>
    <v>84.14</v>
    <v>83.34</v>
    <v>83.77</v>
    <v>84.64</v>
    <v>83.67</v>
    <v>84.15</v>
    <v>84.43</v>
    <v>84.22</v>
    <v>83.8</v>
    <v>85.17</v>
    <v>84.47</v>
    <v>82.58</v>
    <v>82.92</v>
    <v>83.68</v>
    <v>81.13</v>
    <v>83.72</v>
    <v>83.28</v>
    <v>83.47</v>
    <v>82.18</v>
    <v>83.95</v>
    <v>84.28</v>
    <v>83.8</v>
    <v>82.9</v>
    <v>79.53</v>
    <v>78.849999999999994</v>
    <v>79.8</v>
    <v>81.11</v>
    <v>77.72</v>
    <v>75.33</v>
    <v>76.13</v>
    <v>76.25</v>
    <v>77</v>
    <v>76.78</v>
    <v>75.14</v>
    <v>76.19</v>
    <v>74.55</v>
    <v>74.12</v>
    <v>75.209999999999994</v>
    <v>71.650000000000006</v>
    <v>72.040000000000006</v>
  </a>
  <a r="1" c="254">
    <v>62.37</v>
    <v>61.33</v>
    <v>62.74</v>
    <v>63.16</v>
    <v>63.67</v>
    <v>63.15</v>
    <v>64.03</v>
    <v>64.28</v>
    <v>64.260000000000005</v>
    <v>64.400000000000006</v>
    <v>63.5</v>
    <v>62.99</v>
    <v>65.599999999999994</v>
    <v>66.64</v>
    <v>68.06</v>
    <v>67.48</v>
    <v>64.48</v>
    <v>64.010000000000005</v>
    <v>62.78</v>
    <v>61.96</v>
    <v>62.84</v>
    <v>62.85</v>
    <v>61.44</v>
    <v>63.15</v>
    <v>63.83</v>
    <v>64.12</v>
    <v>64.09</v>
    <v>64.83</v>
    <v>65.37</v>
    <v>65.42</v>
    <v>65.709999999999994</v>
    <v>65.05</v>
    <v>65.17</v>
    <v>65.739999999999995</v>
    <v>66.760000000000005</v>
    <v>68.36</v>
    <v>67.48</v>
    <v>69.03</v>
    <v>69.5</v>
    <v>70.5</v>
    <v>70.900000000000006</v>
    <v>70.459999999999994</v>
    <v>69.84</v>
    <v>69.94</v>
    <v>69.33</v>
    <v>70.92</v>
    <v>71.040000000000006</v>
    <v>71.400000000000006</v>
    <v>71.03</v>
    <v>70.349999999999994</v>
    <v>70.739999999999995</v>
    <v>70.709999999999994</v>
    <v>71.16</v>
    <v>71.45</v>
    <v>71.400000000000006</v>
    <v>72.36</v>
    <v>72.63</v>
    <v>71.52</v>
    <v>71.22</v>
    <v>70.39</v>
    <v>72.47</v>
    <v>71.760000000000005</v>
    <v>72.34</v>
    <v>73.88</v>
    <v>72.260000000000005</v>
    <v>72.239999999999995</v>
    <v>73.45</v>
    <v>75.09</v>
    <v>76.709999999999994</v>
    <v>76.209999999999994</v>
    <v>73.010000000000005</v>
    <v>73.94</v>
    <v>78.64</v>
    <v>76.55</v>
    <v>74.59</v>
    <v>74.14</v>
    <v>71.33</v>
    <v>71.72</v>
    <v>73.16</v>
    <v>74.66</v>
    <v>72.849999999999994</v>
    <v>73.930000000000007</v>
    <v>73.7</v>
    <v>72.72</v>
    <v>74.14</v>
    <v>73.760000000000005</v>
    <v>72.41</v>
    <v>70.2</v>
    <v>66.95</v>
    <v>68.790000000000006</v>
    <v>66.930000000000007</v>
    <v>66.12</v>
    <v>65.09</v>
    <v>68.81</v>
    <v>67.599999999999994</v>
    <v>65.069999999999993</v>
    <v>63.5</v>
    <v>63.84</v>
    <v>64.14</v>
    <v>63.89</v>
    <v>62.01</v>
    <v>59.63</v>
    <v>61.62</v>
    <v>61.53</v>
    <v>62.41</v>
    <v>61.16</v>
    <v>60.22</v>
    <v>59.84</v>
    <v>60.86</v>
    <v>64.290000000000006</v>
    <v>62.66</v>
    <v>62.4</v>
    <v>67.319999999999993</v>
    <v>66.89</v>
    <v>68.52</v>
    <v>68.180000000000007</v>
    <v>70.36</v>
    <v>70.2</v>
    <v>69.180000000000007</v>
    <v>71.81</v>
    <v>67.989999999999995</v>
    <v>67.010000000000005</v>
    <v>65.680000000000007</v>
    <v>64.45</v>
    <v>64.010000000000005</v>
    <v>64.39</v>
    <v>65.77</v>
    <v>65.73</v>
    <v>65.62</v>
    <v>64.06</v>
    <v>67.819999999999993</v>
    <v>70.94</v>
    <v>71.400000000000006</v>
    <v>70.5</v>
    <v>70.73</v>
    <v>70.11</v>
    <v>71.16</v>
    <v>72.349999999999994</v>
    <v>71.260000000000005</v>
    <v>71.459999999999994</v>
    <v>70.459999999999994</v>
    <v>72.27</v>
    <v>70.680000000000007</v>
    <v>72.11</v>
    <v>74.09</v>
    <v>73.459999999999994</v>
    <v>73.09</v>
    <v>72.91</v>
    <v>74.239999999999995</v>
    <v>73.72</v>
    <v>74.930000000000007</v>
    <v>73.5</v>
    <v>74.17</v>
    <v>73.150000000000006</v>
    <v>71.680000000000007</v>
    <v>71.62</v>
    <v>70.650000000000006</v>
    <v>70.41</v>
    <v>73.3</v>
    <v>74.569999999999993</v>
    <v>77.680000000000007</v>
    <v>79.569999999999993</v>
    <v>80.08</v>
    <v>79.52</v>
    <v>80.040000000000006</v>
    <v>78.88</v>
    <v>77.760000000000005</v>
    <v>78.19</v>
    <v>77.09</v>
    <v>76.760000000000005</v>
    <v>78.260000000000005</v>
    <v>78.680000000000007</v>
    <v>81.88</v>
    <v>81.96</v>
    <v>81.819999999999993</v>
    <v>82.21</v>
    <v>79.86</v>
    <v>81.92</v>
    <v>82.97</v>
    <v>82.57</v>
    <v>82.15</v>
    <v>81.290000000000006</v>
    <v>82.65</v>
    <v>80.599999999999994</v>
    <v>81.099999999999994</v>
    <v>82.62</v>
    <v>83.21</v>
    <v>79.22</v>
    <v>80.430000000000007</v>
    <v>81.739999999999995</v>
    <v>81.569999999999993</v>
    <v>79.77</v>
    <v>81.7</v>
    <v>81.61</v>
    <v>83.8</v>
    <v>85.46</v>
    <v>84.88</v>
    <v>84.73</v>
    <v>84.4</v>
    <v>84.6</v>
    <v>84.84</v>
    <v>84.75</v>
    <v>85.41</v>
    <v>85.23</v>
    <v>84.66</v>
    <v>83.38</v>
    <v>82.37</v>
    <v>82.82</v>
    <v>83.03</v>
    <v>84.13</v>
    <v>84.33</v>
    <v>86.15</v>
    <v>83.42</v>
    <v>84.71</v>
    <v>84.14</v>
    <v>83.34</v>
    <v>83.77</v>
    <v>84.64</v>
    <v>83.67</v>
    <v>84.15</v>
    <v>84.43</v>
    <v>84.22</v>
    <v>83.8</v>
    <v>85.17</v>
    <v>84.47</v>
    <v>82.58</v>
    <v>82.92</v>
    <v>83.68</v>
    <v>81.13</v>
    <v>83.72</v>
    <v>83.28</v>
    <v>83.47</v>
    <v>82.18</v>
    <v>83.95</v>
    <v>84.28</v>
    <v>83.8</v>
    <v>82.9</v>
    <v>79.53</v>
    <v>78.849999999999994</v>
    <v>79.8</v>
    <v>81.11</v>
    <v>77.72</v>
    <v>75.33</v>
    <v>76.13</v>
    <v>76.25</v>
    <v>77</v>
    <v>76.78</v>
    <v>75.14</v>
    <v>76.19</v>
    <v>74.55</v>
    <v>74.12</v>
    <v>75.209999999999994</v>
    <v>71.650000000000006</v>
    <v>72.040000000000006</v>
  </a>
  <a r="1" c="208">
    <v>50.36</v>
    <v>51.38</v>
    <v>51.44</v>
    <v>51.42</v>
    <v>51.45</v>
    <v>52.8</v>
    <v>53.29</v>
    <v>53.15</v>
    <v>53.38</v>
    <v>53.76</v>
    <v>53.49</v>
    <v>53.52</v>
    <v>52.65</v>
    <v>52.88</v>
    <v>53.3</v>
    <v>52.64</v>
    <v>51.82</v>
    <v>52.04</v>
    <v>51.83</v>
    <v>51.74</v>
    <v>52.42</v>
    <v>52.89</v>
    <v>53.31</v>
    <v>54.47</v>
    <v>53.79</v>
    <v>55.26</v>
    <v>56.22</v>
    <v>56.85</v>
    <v>56.87</v>
    <v>56.25</v>
    <v>56.65</v>
    <v>55.58</v>
    <v>55.68</v>
    <v>56.14</v>
    <v>55.84</v>
    <v>55.9</v>
    <v>55.91</v>
    <v>56.36</v>
    <v>57.18</v>
    <v>57.31</v>
    <v>57.33</v>
    <v>56.11</v>
    <v>53.08</v>
    <v>54.63</v>
    <v>53.31</v>
    <v>52.66</v>
    <v>52.7</v>
    <v>54.55</v>
    <v>53.52</v>
    <v>53.24</v>
    <v>52.85</v>
    <v>53.38</v>
    <v>53.54</v>
    <v>53.61</v>
    <v>52.11</v>
    <v>51.85</v>
    <v>52.42</v>
    <v>52.64</v>
    <v>53.54</v>
    <v>52.85</v>
    <v>51.87</v>
    <v>52.07</v>
    <v>52</v>
    <v>54.78</v>
    <v>53.7</v>
    <v>53.34</v>
    <v>56.07</v>
    <v>55.17</v>
    <v>55.57</v>
    <v>55.21</v>
    <v>56.16</v>
    <v>56</v>
    <v>56.3</v>
    <v>56.67</v>
    <v>56.18</v>
    <v>55.43</v>
    <v>55.31</v>
    <v>55.44</v>
    <v>55.05</v>
    <v>55.36</v>
    <v>55.45</v>
    <v>55.28</v>
    <v>55.19</v>
    <v>55.08</v>
    <v>55.74</v>
    <v>56.79</v>
    <v>56.75</v>
    <v>57.26</v>
    <v>57.58</v>
    <v>57.24</v>
    <v>58.33</v>
    <v>57.95</v>
    <v>57.59</v>
    <v>57.11</v>
    <v>56.85</v>
    <v>57.19</v>
    <v>57.21</v>
    <v>57.95</v>
    <v>58.74</v>
    <v>58.78</v>
    <v>58.38</v>
    <v>58.59</v>
    <v>58.86</v>
    <v>58.9</v>
    <v>59.42</v>
    <v>59.82</v>
    <v>59.57</v>
    <v>58.89</v>
    <v>58.59</v>
    <v>58.03</v>
    <v>56.94</v>
    <v>57.47</v>
    <v>59.12</v>
    <v>60.15</v>
    <v>60.52</v>
    <v>61.15</v>
    <v>62.03</v>
    <v>61.88</v>
    <v>62.66</v>
    <v>60</v>
    <v>60.22</v>
    <v>60.53</v>
    <v>60.17</v>
    <v>60.01</v>
    <v>60.53</v>
    <v>60.72</v>
    <v>60.22</v>
    <v>60.9</v>
    <v>61.72</v>
    <v>60.3</v>
    <v>59.49</v>
    <v>60.7</v>
    <v>61.07</v>
    <v>60.53</v>
    <v>61.17</v>
    <v>60.63</v>
    <v>59.97</v>
    <v>58.54</v>
    <v>59.09</v>
    <v>60.52</v>
    <v>60.2</v>
    <v>59.61</v>
    <v>60.11</v>
    <v>59.79</v>
    <v>59.09</v>
    <v>58.67</v>
    <v>58.97</v>
    <v>58.58</v>
    <v>58.31</v>
    <v>59.36</v>
    <v>60.26</v>
    <v>60.66</v>
    <v>61.09</v>
    <v>61.26</v>
    <v>61.6</v>
    <v>62.51</v>
    <v>62.93</v>
    <v>62.66</v>
    <v>62.89</v>
    <v>61.07</v>
    <v>60.41</v>
    <v>60.29</v>
    <v>60.62</v>
    <v>60.48</v>
    <v>60.95</v>
    <v>60.96</v>
    <v>61.1</v>
    <v>61.87</v>
    <v>61.47</v>
    <v>61.58</v>
    <v>60.94</v>
    <v>61.18</v>
    <v>61.46</v>
    <v>61.2</v>
    <v>60.77</v>
    <v>59.8</v>
    <v>59.76</v>
    <v>60.79</v>
    <v>60.33</v>
    <v>60.26</v>
    <v>61.15</v>
    <v>61.25</v>
    <v>60.9</v>
    <v>61.76</v>
    <v>62.17</v>
    <v>61.84</v>
    <v>60.75</v>
    <v>61.44</v>
    <v>60.9</v>
    <v>60.73</v>
    <v>61.98</v>
    <v>61.27</v>
    <v>62.33</v>
    <v>62.83</v>
    <v>63.36</v>
    <v>62.23</v>
    <v>61.75</v>
    <v>61.99</v>
    <v>62.13</v>
    <v>61.77</v>
    <v>61.37</v>
    <v>60.4</v>
    <v>60.68</v>
    <v>60.85</v>
    <v>60.58</v>
    <v>60.86</v>
    <v>59.54</v>
    <v>59.36</v>
  </a>
  <a r="1" c="254">
    <v>47.66</v>
    <v>47.965000000000003</v>
    <v>48.52</v>
    <v>48.51</v>
    <v>48.335000000000001</v>
    <v>48.89</v>
    <v>48.865000000000002</v>
    <v>48.93</v>
    <v>48.515000000000001</v>
    <v>48.445</v>
    <v>48.24</v>
    <v>48.04</v>
    <v>48.71</v>
    <v>48.93</v>
    <v>49.695</v>
    <v>49.06</v>
    <v>49.44</v>
    <v>49.05</v>
    <v>47.765000000000001</v>
    <v>48.04</v>
    <v>48.384999999999998</v>
    <v>48.085000000000001</v>
    <v>48.68</v>
    <v>48.56</v>
    <v>49.42</v>
    <v>49.28</v>
    <v>49.3</v>
    <v>48.884999999999998</v>
    <v>48.84</v>
    <v>48.685000000000002</v>
    <v>49.37</v>
    <v>49.435000000000002</v>
    <v>49.4</v>
    <v>49.96</v>
    <v>49.69</v>
    <v>49.744999999999997</v>
    <v>49.835000000000001</v>
    <v>50.26</v>
    <v>49.555</v>
    <v>49.3</v>
    <v>49.405000000000001</v>
    <v>50.2</v>
    <v>49.914999999999999</v>
    <v>50.23</v>
    <v>50</v>
    <v>50.2</v>
    <v>50.36</v>
    <v>51.38</v>
    <v>51.44</v>
    <v>51.42</v>
    <v>51.45</v>
    <v>52.8</v>
    <v>53.29</v>
    <v>53.15</v>
    <v>53.38</v>
    <v>53.76</v>
    <v>53.49</v>
    <v>53.52</v>
    <v>52.65</v>
    <v>52.88</v>
    <v>53.3</v>
    <v>52.64</v>
    <v>51.82</v>
    <v>52.04</v>
    <v>51.83</v>
    <v>51.74</v>
    <v>52.42</v>
    <v>52.89</v>
    <v>53.31</v>
    <v>54.47</v>
    <v>53.79</v>
    <v>55.26</v>
    <v>56.22</v>
    <v>56.85</v>
    <v>56.87</v>
    <v>56.25</v>
    <v>56.65</v>
    <v>55.58</v>
    <v>55.68</v>
    <v>56.14</v>
    <v>55.84</v>
    <v>55.9</v>
    <v>55.91</v>
    <v>56.36</v>
    <v>57.18</v>
    <v>57.31</v>
    <v>57.33</v>
    <v>56.11</v>
    <v>53.08</v>
    <v>54.63</v>
    <v>53.31</v>
    <v>52.66</v>
    <v>52.7</v>
    <v>54.55</v>
    <v>53.52</v>
    <v>53.24</v>
    <v>52.85</v>
    <v>53.38</v>
    <v>53.54</v>
    <v>53.61</v>
    <v>52.11</v>
    <v>51.85</v>
    <v>52.42</v>
    <v>52.64</v>
    <v>53.54</v>
    <v>52.85</v>
    <v>51.87</v>
    <v>52.07</v>
    <v>52</v>
    <v>54.78</v>
    <v>53.7</v>
    <v>53.34</v>
    <v>56.07</v>
    <v>55.17</v>
    <v>55.57</v>
    <v>55.21</v>
    <v>56.16</v>
    <v>56</v>
    <v>56.3</v>
    <v>56.67</v>
    <v>56.18</v>
    <v>55.43</v>
    <v>55.31</v>
    <v>55.44</v>
    <v>55.05</v>
    <v>55.36</v>
    <v>55.45</v>
    <v>55.28</v>
    <v>55.19</v>
    <v>55.08</v>
    <v>55.74</v>
    <v>56.79</v>
    <v>56.75</v>
    <v>57.26</v>
    <v>57.58</v>
    <v>57.24</v>
    <v>58.33</v>
    <v>57.95</v>
    <v>57.59</v>
    <v>57.11</v>
    <v>56.85</v>
    <v>57.19</v>
    <v>57.21</v>
    <v>57.95</v>
    <v>58.74</v>
    <v>58.78</v>
    <v>58.38</v>
    <v>58.59</v>
    <v>58.86</v>
    <v>58.9</v>
    <v>59.42</v>
    <v>59.82</v>
    <v>59.57</v>
    <v>58.89</v>
    <v>58.59</v>
    <v>58.03</v>
    <v>56.94</v>
    <v>57.47</v>
    <v>59.12</v>
    <v>60.15</v>
    <v>60.52</v>
    <v>61.15</v>
    <v>62.03</v>
    <v>61.88</v>
    <v>62.66</v>
    <v>60</v>
    <v>60.22</v>
    <v>60.53</v>
    <v>60.17</v>
    <v>60.01</v>
    <v>60.53</v>
    <v>60.72</v>
    <v>60.22</v>
    <v>60.9</v>
    <v>61.72</v>
    <v>60.3</v>
    <v>59.49</v>
    <v>60.7</v>
    <v>61.07</v>
    <v>60.53</v>
    <v>61.17</v>
    <v>60.63</v>
    <v>59.97</v>
    <v>58.54</v>
    <v>59.09</v>
    <v>60.52</v>
    <v>60.2</v>
    <v>59.61</v>
    <v>60.11</v>
    <v>59.79</v>
    <v>59.09</v>
    <v>58.67</v>
    <v>58.97</v>
    <v>58.58</v>
    <v>58.31</v>
    <v>59.36</v>
    <v>60.26</v>
    <v>60.66</v>
    <v>61.09</v>
    <v>61.26</v>
    <v>61.6</v>
    <v>62.51</v>
    <v>62.93</v>
    <v>62.66</v>
    <v>62.89</v>
    <v>61.07</v>
    <v>60.41</v>
    <v>60.29</v>
    <v>60.62</v>
    <v>60.48</v>
    <v>60.95</v>
    <v>60.96</v>
    <v>61.1</v>
    <v>61.87</v>
    <v>61.47</v>
    <v>61.58</v>
    <v>60.94</v>
    <v>61.18</v>
    <v>61.46</v>
    <v>61.2</v>
    <v>60.77</v>
    <v>59.8</v>
    <v>59.76</v>
    <v>60.79</v>
    <v>60.33</v>
    <v>60.26</v>
    <v>61.15</v>
    <v>61.25</v>
    <v>60.9</v>
    <v>61.76</v>
    <v>62.17</v>
    <v>61.84</v>
    <v>60.75</v>
    <v>61.44</v>
    <v>60.9</v>
    <v>60.73</v>
    <v>61.98</v>
    <v>61.27</v>
    <v>62.33</v>
    <v>62.83</v>
    <v>63.36</v>
    <v>62.23</v>
    <v>61.75</v>
    <v>61.99</v>
    <v>62.13</v>
    <v>61.77</v>
    <v>61.37</v>
    <v>60.4</v>
    <v>60.68</v>
    <v>60.85</v>
    <v>60.58</v>
    <v>60.86</v>
    <v>59.54</v>
    <v>59.36</v>
  </a>
  <a r="1" c="761">
    <v>30.215</v>
    <v>30.305</v>
    <v>30.44</v>
    <v>30.035</v>
    <v>30.14</v>
    <v>30</v>
    <v>30.96</v>
    <v>31.254999999999999</v>
    <v>31.684999999999999</v>
    <v>32.200000000000003</v>
    <v>31.9</v>
    <v>31.655000000000001</v>
    <v>31.23</v>
    <v>31.734999999999999</v>
    <v>31.645</v>
    <v>31.824999999999999</v>
    <v>32.22</v>
    <v>32.225000000000001</v>
    <v>32.055</v>
    <v>32.39</v>
    <v>32.090000000000003</v>
    <v>32.024999999999999</v>
    <v>32.43</v>
    <v>32.47</v>
    <v>32.545000000000002</v>
    <v>32.36</v>
    <v>32.15</v>
    <v>32.04</v>
    <v>32.24</v>
    <v>32.225000000000001</v>
    <v>31.844999999999999</v>
    <v>31.83</v>
    <v>32.325000000000003</v>
    <v>31.56</v>
    <v>31.56</v>
    <v>32.195</v>
    <v>31.925000000000001</v>
    <v>31.824999999999999</v>
    <v>31.45</v>
    <v>31.4</v>
    <v>31.454999999999998</v>
    <v>31.704999999999998</v>
    <v>31.89</v>
    <v>31.67</v>
    <v>31.984999999999999</v>
    <v>31.965</v>
    <v>32.020000000000003</v>
    <v>32.03</v>
    <v>32.115000000000002</v>
    <v>32.155000000000001</v>
    <v>32.475000000000001</v>
    <v>32.76</v>
    <v>32.704999999999998</v>
    <v>32.799999999999997</v>
    <v>33.695</v>
    <v>33.869999999999997</v>
    <v>34.204999999999998</v>
    <v>34.79</v>
    <v>34.619999999999997</v>
    <v>34.195</v>
    <v>34.465000000000003</v>
    <v>34.46</v>
    <v>35.085000000000001</v>
    <v>34.725000000000001</v>
    <v>34.729999999999997</v>
    <v>34.53</v>
    <v>34.484999999999999</v>
    <v>34.56</v>
    <v>34.619999999999997</v>
    <v>34.715000000000003</v>
    <v>34.534999999999997</v>
    <v>34.924999999999997</v>
    <v>34.909999999999997</v>
    <v>34.755000000000003</v>
    <v>35.005000000000003</v>
    <v>35.090000000000003</v>
    <v>35.28</v>
    <v>35.645000000000003</v>
    <v>35.984999999999999</v>
    <v>35.795000000000002</v>
    <v>36.020000000000003</v>
    <v>36.26</v>
    <v>36.524999999999999</v>
    <v>36.21</v>
    <v>36.31</v>
    <v>36.844999999999999</v>
    <v>36.994999999999997</v>
    <v>37.14</v>
    <v>37.090000000000003</v>
    <v>36.935000000000002</v>
    <v>36.82</v>
    <v>37.56</v>
    <v>37.5</v>
    <v>37.685000000000002</v>
    <v>38.064999999999998</v>
    <v>37.72</v>
    <v>37.520000000000003</v>
    <v>36.49</v>
    <v>36.78</v>
    <v>36.524999999999999</v>
    <v>36.520000000000003</v>
    <v>36.94</v>
    <v>37.590000000000003</v>
    <v>38.21</v>
    <v>38.454999999999998</v>
    <v>38.905000000000001</v>
    <v>38.86</v>
    <v>38.475000000000001</v>
    <v>38.755000000000003</v>
    <v>38.590000000000003</v>
    <v>38.594999999999999</v>
    <v>37.814999999999998</v>
    <v>38.225000000000001</v>
    <v>38.314999999999998</v>
    <v>37.9</v>
    <v>38.29</v>
    <v>38.174999999999997</v>
    <v>37.994999999999997</v>
    <v>38.090000000000003</v>
    <v>38.020000000000003</v>
    <v>38.39</v>
    <v>37.585000000000001</v>
    <v>37.125</v>
    <v>37.295000000000002</v>
    <v>36.994999999999997</v>
    <v>37.04</v>
    <v>37.365000000000002</v>
    <v>37.505000000000003</v>
    <v>37.024999999999999</v>
    <v>37.795000000000002</v>
    <v>37.994999999999997</v>
    <v>38.200000000000003</v>
    <v>37.634999999999998</v>
    <v>37.805</v>
    <v>38.365000000000002</v>
    <v>38.25</v>
    <v>37.954999999999998</v>
    <v>38.020000000000003</v>
    <v>38.045000000000002</v>
    <v>37.984999999999999</v>
    <v>38.17</v>
    <v>38.305</v>
    <v>38.295000000000002</v>
    <v>38.380000000000003</v>
    <v>38.875</v>
    <v>38.634999999999998</v>
    <v>38.33</v>
    <v>38.450000000000003</v>
    <v>38.625</v>
    <v>38.905000000000001</v>
    <v>38.909999999999997</v>
    <v>38.265000000000001</v>
    <v>38.409999999999997</v>
    <v>38.81</v>
    <v>39.034999999999997</v>
    <v>38.68</v>
    <v>38.79</v>
    <v>38.86</v>
    <v>38.86</v>
    <v>39.229999999999997</v>
    <v>38.844999999999999</v>
    <v>38.924999999999997</v>
    <v>38.174999999999997</v>
    <v>38.36</v>
    <v>38.005000000000003</v>
    <v>38.130000000000003</v>
    <v>38.14</v>
    <v>38.340000000000003</v>
    <v>38.305</v>
    <v>38.76</v>
    <v>39.18</v>
    <v>39.344999999999999</v>
    <v>39.5</v>
    <v>40.06</v>
    <v>39.840000000000003</v>
    <v>40.380000000000003</v>
    <v>40.715000000000003</v>
    <v>41.04</v>
    <v>40.840000000000003</v>
    <v>40.83</v>
    <v>41.055</v>
    <v>41.87</v>
    <v>41.164999999999999</v>
    <v>41.055</v>
    <v>41.01</v>
    <v>41.31</v>
    <v>40.799999999999997</v>
    <v>40.4</v>
    <v>40.14</v>
    <v>40.115000000000002</v>
    <v>39.905000000000001</v>
    <v>38.79</v>
    <v>38.034999999999997</v>
    <v>38.274999999999999</v>
    <v>38.46</v>
    <v>38.590000000000003</v>
    <v>38.83</v>
    <v>37.174999999999997</v>
    <v>33.979999999999997</v>
    <v>32.585000000000001</v>
    <v>32.950000000000003</v>
    <v>34.909999999999997</v>
    <v>34.924999999999997</v>
    <v>34.409999999999997</v>
    <v>34.979999999999997</v>
    <v>35.905000000000001</v>
    <v>35.9</v>
    <v>37.200000000000003</v>
    <v>37.314999999999998</v>
    <v>37.045000000000002</v>
    <v>37.305</v>
    <v>37.51</v>
    <v>37.630000000000003</v>
    <v>37.305</v>
    <v>37.5</v>
    <v>37.6</v>
    <v>37.9</v>
    <v>38.085000000000001</v>
    <v>38.25</v>
    <v>37.78</v>
    <v>36.840000000000003</v>
    <v>36.68</v>
    <v>35.229999999999997</v>
    <v>36.085000000000001</v>
    <v>35.575000000000003</v>
    <v>35.119999999999997</v>
    <v>36.06</v>
    <v>35.78</v>
    <v>35.975000000000001</v>
    <v>36.045000000000002</v>
    <v>35.755000000000003</v>
    <v>36.94</v>
    <v>37.344999999999999</v>
    <v>37.524999999999999</v>
    <v>37.215000000000003</v>
    <v>37.369999999999997</v>
    <v>38.29</v>
    <v>37.395000000000003</v>
    <v>37.335000000000001</v>
    <v>37.5</v>
    <v>37.909999999999997</v>
    <v>37.825000000000003</v>
    <v>38.685000000000002</v>
    <v>38.375</v>
    <v>38.484999999999999</v>
    <v>38.515000000000001</v>
    <v>38.229999999999997</v>
    <v>38.594999999999999</v>
    <v>38.770000000000003</v>
    <v>38.164999999999999</v>
    <v>38.18</v>
    <v>38.274999999999999</v>
    <v>38.164999999999999</v>
    <v>37.71</v>
    <v>37.445</v>
    <v>37.174999999999997</v>
    <v>37.159999999999997</v>
    <v>37.365000000000002</v>
    <v>37.9</v>
    <v>38.265000000000001</v>
    <v>38.32</v>
    <v>37.645000000000003</v>
    <v>38.085000000000001</v>
    <v>37.96</v>
    <v>38.25</v>
    <v>38.85</v>
    <v>38.935000000000002</v>
    <v>38.685000000000002</v>
    <v>39.17</v>
    <v>38.674999999999997</v>
    <v>38.454999999999998</v>
    <v>38.75</v>
    <v>38.14</v>
    <v>38.51</v>
    <v>38.284999999999997</v>
    <v>37.984999999999999</v>
    <v>38.19</v>
    <v>38.4</v>
    <v>38.549999999999997</v>
    <v>38.07</v>
    <v>37.594999999999999</v>
    <v>38.104999999999997</v>
    <v>38.19</v>
    <v>38.465000000000003</v>
    <v>39.01</v>
    <v>39.159999999999997</v>
    <v>39.155000000000001</v>
    <v>39</v>
    <v>39.1</v>
    <v>39.07</v>
    <v>39.645000000000003</v>
    <v>39.4</v>
    <v>39.11</v>
    <v>39.104999999999997</v>
    <v>38.844999999999999</v>
    <v>38.92</v>
    <v>38.994999999999997</v>
    <v>38.765000000000001</v>
    <v>38.69</v>
    <v>39.814999999999998</v>
    <v>39.284999999999997</v>
    <v>39.564999999999998</v>
    <v>39.365000000000002</v>
    <v>39.82</v>
    <v>39.799999999999997</v>
    <v>39.61</v>
    <v>39.085000000000001</v>
    <v>38.435000000000002</v>
    <v>38.22</v>
    <v>38.42</v>
    <v>38.545000000000002</v>
    <v>38.244999999999997</v>
    <v>38.659999999999997</v>
    <v>38.85</v>
    <v>38.979999999999997</v>
    <v>39.384999999999998</v>
    <v>39.39</v>
    <v>39.85</v>
    <v>38.965000000000003</v>
    <v>39.515000000000001</v>
    <v>39.534999999999997</v>
    <v>39.795000000000002</v>
    <v>39.89</v>
    <v>39.335000000000001</v>
    <v>39.435000000000002</v>
    <v>39.164999999999999</v>
    <v>39.46</v>
    <v>38.805</v>
    <v>39.03</v>
    <v>39.18</v>
    <v>39.090000000000003</v>
    <v>39.505000000000003</v>
    <v>39.405000000000001</v>
    <v>39.69</v>
    <v>39.79</v>
    <v>39.395000000000003</v>
    <v>38.979999999999997</v>
    <v>38.875</v>
    <v>38.604999999999997</v>
    <v>38.57</v>
    <v>39.11</v>
    <v>39.104999999999997</v>
    <v>38.549999999999997</v>
    <v>39.31</v>
    <v>37.884999999999998</v>
    <v>38.744999999999997</v>
    <v>39</v>
    <v>38.33</v>
    <v>38.1</v>
    <v>37.659999999999997</v>
    <v>38.61</v>
    <v>38.369999999999997</v>
    <v>38.979999999999997</v>
    <v>39.51</v>
    <v>39.65</v>
    <v>39.92</v>
    <v>39.65</v>
    <v>39.734999999999999</v>
    <v>40.055</v>
    <v>40.075000000000003</v>
    <v>39.935000000000002</v>
    <v>40</v>
    <v>38.884999999999998</v>
    <v>38.344999999999999</v>
    <v>38.409999999999997</v>
    <v>38.195</v>
    <v>35.844999999999999</v>
    <v>34.094999999999999</v>
    <v>33.64</v>
    <v>35.055</v>
    <v>33.369999999999997</v>
    <v>34.865000000000002</v>
    <v>34.700000000000003</v>
    <v>35.770000000000003</v>
    <v>36.255000000000003</v>
    <v>36.119999999999997</v>
    <v>36.454999999999998</v>
    <v>36.625</v>
    <v>37.335000000000001</v>
    <v>37.409999999999997</v>
    <v>37.954999999999998</v>
    <v>38.115000000000002</v>
    <v>38.284999999999997</v>
    <v>38.125</v>
    <v>38.880000000000003</v>
    <v>39.11</v>
    <v>38.914999999999999</v>
    <v>38.784999999999997</v>
    <v>39.325000000000003</v>
    <v>39.234999999999999</v>
    <v>40.395000000000003</v>
    <v>40.07</v>
    <v>39.369999999999997</v>
    <v>39.505000000000003</v>
    <v>39.619999999999997</v>
    <v>39.314999999999998</v>
    <v>39.585000000000001</v>
    <v>39.36</v>
    <v>39.094999999999999</v>
    <v>39.03</v>
    <v>39.634999999999998</v>
    <v>40.534999999999997</v>
    <v>40.055</v>
    <v>40.045000000000002</v>
    <v>40.075000000000003</v>
    <v>39.99</v>
    <v>40.1</v>
    <v>39.765000000000001</v>
    <v>39.700000000000003</v>
    <v>40.155000000000001</v>
    <v>40.174999999999997</v>
    <v>40.145000000000003</v>
    <v>40.195</v>
    <v>40.049999999999997</v>
    <v>39.954999999999998</v>
    <v>40.200000000000003</v>
    <v>39.9</v>
    <v>40.215000000000003</v>
    <v>39.99</v>
    <v>39.765000000000001</v>
    <v>39.78</v>
    <v>39.82</v>
    <v>39.975000000000001</v>
    <v>40.39</v>
    <v>41.29</v>
    <v>40.975000000000001</v>
    <v>40.594999999999999</v>
    <v>40.524999999999999</v>
    <v>40.954999999999998</v>
    <v>40.619999999999997</v>
    <v>40.594999999999999</v>
    <v>40.655000000000001</v>
    <v>40.534999999999997</v>
    <v>40.44</v>
    <v>40.369999999999997</v>
    <v>40.5</v>
    <v>40.494999999999997</v>
    <v>40.094999999999999</v>
    <v>40.765000000000001</v>
    <v>40.545000000000002</v>
    <v>40.75</v>
    <v>40.564999999999998</v>
    <v>42.375</v>
    <v>42.73</v>
    <v>42.325000000000003</v>
    <v>41.83</v>
    <v>41.585000000000001</v>
    <v>41.905000000000001</v>
    <v>42.13</v>
    <v>41.44</v>
    <v>41.89</v>
    <v>41.94</v>
    <v>42.424999999999997</v>
    <v>42.774999999999999</v>
    <v>43.69</v>
    <v>43.765000000000001</v>
    <v>44.38</v>
    <v>44.28</v>
    <v>44.134999999999998</v>
    <v>45.104999999999997</v>
    <v>44.914999999999999</v>
    <v>44.475000000000001</v>
    <v>44.37</v>
    <v>44.62</v>
    <v>44.43</v>
    <v>44.024999999999999</v>
    <v>43.94</v>
    <v>44.305</v>
    <v>43.664999999999999</v>
    <v>44.024999999999999</v>
    <v>43.814999999999998</v>
    <v>43.715000000000003</v>
    <v>44.39</v>
    <v>44.21</v>
    <v>45.344999999999999</v>
    <v>44.674999999999997</v>
    <v>45.09</v>
    <v>45.515000000000001</v>
    <v>45.28</v>
    <v>45.52</v>
    <v>45.225000000000001</v>
    <v>45.24</v>
    <v>45.835000000000001</v>
    <v>45.375</v>
    <v>45.515000000000001</v>
    <v>45.65</v>
    <v>45.8</v>
    <v>45.71</v>
    <v>45.67</v>
    <v>45.49</v>
    <v>44.954999999999998</v>
    <v>44.844999999999999</v>
    <v>44.734999999999999</v>
    <v>45.844999999999999</v>
    <v>47.63</v>
    <v>47.18</v>
    <v>47.41</v>
    <v>47.48</v>
    <v>45.585000000000001</v>
    <v>45.884999999999998</v>
    <v>46.085000000000001</v>
    <v>46.81</v>
    <v>46.85</v>
    <v>46.674999999999997</v>
    <v>47.865000000000002</v>
    <v>47.71</v>
    <v>47.454999999999998</v>
    <v>47.66</v>
    <v>47.965000000000003</v>
    <v>48.52</v>
    <v>48.51</v>
    <v>48.335000000000001</v>
    <v>48.89</v>
    <v>48.865000000000002</v>
    <v>48.93</v>
    <v>48.515000000000001</v>
    <v>48.445</v>
    <v>48.24</v>
    <v>48.04</v>
    <v>48.71</v>
    <v>48.93</v>
    <v>49.695</v>
    <v>49.06</v>
    <v>49.44</v>
    <v>49.05</v>
    <v>47.765000000000001</v>
    <v>48.04</v>
    <v>48.384999999999998</v>
    <v>48.085000000000001</v>
    <v>48.68</v>
    <v>48.56</v>
    <v>49.42</v>
    <v>49.28</v>
    <v>49.3</v>
    <v>48.884999999999998</v>
    <v>48.84</v>
    <v>48.685000000000002</v>
    <v>49.37</v>
    <v>49.435000000000002</v>
    <v>49.4</v>
    <v>49.96</v>
    <v>49.69</v>
    <v>49.744999999999997</v>
    <v>49.835000000000001</v>
    <v>50.26</v>
    <v>49.555</v>
    <v>49.3</v>
    <v>49.405000000000001</v>
    <v>50.2</v>
    <v>49.914999999999999</v>
    <v>50.23</v>
    <v>50</v>
    <v>50.2</v>
    <v>50.36</v>
    <v>51.38</v>
    <v>51.44</v>
    <v>51.42</v>
    <v>51.45</v>
    <v>52.8</v>
    <v>53.29</v>
    <v>53.15</v>
    <v>53.38</v>
    <v>53.76</v>
    <v>53.49</v>
    <v>53.52</v>
    <v>52.65</v>
    <v>52.88</v>
    <v>53.3</v>
    <v>52.64</v>
    <v>51.82</v>
    <v>52.04</v>
    <v>51.83</v>
    <v>51.74</v>
    <v>52.42</v>
    <v>52.89</v>
    <v>53.31</v>
    <v>54.47</v>
    <v>53.79</v>
    <v>55.26</v>
    <v>56.22</v>
    <v>56.85</v>
    <v>56.87</v>
    <v>56.25</v>
    <v>56.65</v>
    <v>55.58</v>
    <v>55.68</v>
    <v>56.14</v>
    <v>55.84</v>
    <v>55.9</v>
    <v>55.91</v>
    <v>56.36</v>
    <v>57.18</v>
    <v>57.31</v>
    <v>57.33</v>
    <v>56.11</v>
    <v>53.08</v>
    <v>54.63</v>
    <v>53.31</v>
    <v>52.66</v>
    <v>52.7</v>
    <v>54.55</v>
    <v>53.52</v>
    <v>53.24</v>
    <v>52.85</v>
    <v>53.38</v>
    <v>53.54</v>
    <v>53.61</v>
    <v>52.11</v>
    <v>51.85</v>
    <v>52.42</v>
    <v>52.64</v>
    <v>53.54</v>
    <v>52.85</v>
    <v>51.87</v>
    <v>52.07</v>
    <v>52</v>
    <v>54.78</v>
    <v>53.7</v>
    <v>53.34</v>
    <v>56.07</v>
    <v>55.17</v>
    <v>55.57</v>
    <v>55.21</v>
    <v>56.16</v>
    <v>56</v>
    <v>56.3</v>
    <v>56.67</v>
    <v>56.18</v>
    <v>55.43</v>
    <v>55.31</v>
    <v>55.44</v>
    <v>55.05</v>
    <v>55.36</v>
    <v>55.45</v>
    <v>55.28</v>
    <v>55.19</v>
    <v>55.08</v>
    <v>55.74</v>
    <v>56.79</v>
    <v>56.75</v>
    <v>57.26</v>
    <v>57.58</v>
    <v>57.24</v>
    <v>58.33</v>
    <v>57.95</v>
    <v>57.59</v>
    <v>57.11</v>
    <v>56.85</v>
    <v>57.19</v>
    <v>57.21</v>
    <v>57.95</v>
    <v>58.74</v>
    <v>58.78</v>
    <v>58.38</v>
    <v>58.59</v>
    <v>58.86</v>
    <v>58.9</v>
    <v>59.42</v>
    <v>59.82</v>
    <v>59.57</v>
    <v>58.89</v>
    <v>58.59</v>
    <v>58.03</v>
    <v>56.94</v>
    <v>57.47</v>
    <v>59.12</v>
    <v>60.15</v>
    <v>60.52</v>
    <v>61.15</v>
    <v>62.03</v>
    <v>61.88</v>
    <v>62.66</v>
    <v>60</v>
    <v>60.22</v>
    <v>60.53</v>
    <v>60.17</v>
    <v>60.01</v>
    <v>60.53</v>
    <v>60.72</v>
    <v>60.22</v>
    <v>60.9</v>
    <v>61.72</v>
    <v>60.3</v>
    <v>59.49</v>
    <v>60.7</v>
    <v>61.07</v>
    <v>60.53</v>
    <v>61.17</v>
    <v>60.63</v>
    <v>59.97</v>
    <v>58.54</v>
    <v>59.09</v>
    <v>60.52</v>
    <v>60.2</v>
    <v>59.61</v>
    <v>60.11</v>
    <v>59.79</v>
    <v>59.09</v>
    <v>58.67</v>
    <v>58.97</v>
    <v>58.58</v>
    <v>58.31</v>
    <v>59.36</v>
    <v>60.26</v>
    <v>60.66</v>
    <v>61.09</v>
    <v>61.26</v>
    <v>61.6</v>
    <v>62.51</v>
    <v>62.93</v>
    <v>62.66</v>
    <v>62.89</v>
    <v>61.07</v>
    <v>60.41</v>
    <v>60.29</v>
    <v>60.62</v>
    <v>60.48</v>
    <v>60.95</v>
    <v>60.96</v>
    <v>61.1</v>
    <v>61.87</v>
    <v>61.47</v>
    <v>61.58</v>
    <v>60.94</v>
    <v>61.18</v>
    <v>61.46</v>
    <v>61.2</v>
    <v>60.77</v>
    <v>59.8</v>
    <v>59.76</v>
    <v>60.79</v>
    <v>60.33</v>
    <v>60.26</v>
    <v>61.15</v>
    <v>61.25</v>
    <v>60.9</v>
    <v>61.76</v>
    <v>62.17</v>
    <v>61.84</v>
    <v>60.75</v>
    <v>61.44</v>
    <v>60.9</v>
    <v>60.73</v>
    <v>61.98</v>
    <v>61.27</v>
    <v>62.33</v>
    <v>62.83</v>
    <v>63.36</v>
    <v>62.23</v>
    <v>61.75</v>
    <v>61.99</v>
    <v>62.13</v>
    <v>61.77</v>
    <v>61.37</v>
    <v>60.4</v>
    <v>60.68</v>
    <v>60.85</v>
    <v>60.58</v>
    <v>60.86</v>
    <v>59.54</v>
    <v>59.36</v>
  </a>
  <a r="1" c="763">
    <v>37.380000000000003</v>
    <v>37.924999999999997</v>
    <v>37.28</v>
    <v>36.295000000000002</v>
    <v>36.125</v>
    <v>36.369999999999997</v>
    <v>35.93</v>
    <v>36.729999999999997</v>
    <v>37.94</v>
    <v>38.695</v>
    <v>40.734999999999999</v>
    <v>40.270000000000003</v>
    <v>39.11</v>
    <v>39.33</v>
    <v>38.865000000000002</v>
    <v>38.799999999999997</v>
    <v>39.520000000000003</v>
    <v>40.090000000000003</v>
    <v>40.03</v>
    <v>39.715000000000003</v>
    <v>40.15</v>
    <v>40.034999999999997</v>
    <v>40.07</v>
    <v>40.034999999999997</v>
    <v>39.49</v>
    <v>39.479999999999997</v>
    <v>40.119999999999997</v>
    <v>40.055</v>
    <v>40.145000000000003</v>
    <v>40.064999999999998</v>
    <v>39.76</v>
    <v>39.465000000000003</v>
    <v>39.479999999999997</v>
    <v>39.494999999999997</v>
    <v>40.049999999999997</v>
    <v>40.31</v>
    <v>40.36</v>
    <v>39.82</v>
    <v>40.734999999999999</v>
    <v>40.92</v>
    <v>40.664999999999999</v>
    <v>40.914999999999999</v>
    <v>41.5</v>
    <v>41.515000000000001</v>
    <v>41.445</v>
    <v>41.795000000000002</v>
    <v>42.64</v>
    <v>42.465000000000003</v>
    <v>42.424999999999997</v>
    <v>41.395000000000003</v>
    <v>41.07</v>
    <v>41.204999999999998</v>
    <v>41.015000000000001</v>
    <v>40.435000000000002</v>
    <v>39.840000000000003</v>
    <v>39.645000000000003</v>
    <v>39.965000000000003</v>
    <v>39.68</v>
    <v>38.85</v>
    <v>37.69</v>
    <v>38.395000000000003</v>
    <v>38.659999999999997</v>
    <v>38.53</v>
    <v>38.81</v>
    <v>39</v>
    <v>38.85</v>
    <v>39.08</v>
    <v>39.479999999999997</v>
    <v>39.295000000000002</v>
    <v>39.215000000000003</v>
    <v>39.765000000000001</v>
    <v>41.1</v>
    <v>40.98</v>
    <v>41.155000000000001</v>
    <v>41.67</v>
    <v>41.63</v>
    <v>41.67</v>
    <v>42.805</v>
    <v>41.774999999999999</v>
    <v>42.045000000000002</v>
    <v>41.865000000000002</v>
    <v>42.19</v>
    <v>42.65</v>
    <v>42.085000000000001</v>
    <v>41.965000000000003</v>
    <v>42.47</v>
    <v>42.5</v>
    <v>41.924999999999997</v>
    <v>41.61</v>
    <v>41.95</v>
    <v>42.05</v>
    <v>42.545000000000002</v>
    <v>42.93</v>
    <v>42.145000000000003</v>
    <v>42.32</v>
    <v>42.575000000000003</v>
    <v>43.055</v>
    <v>42.88</v>
    <v>43.414999999999999</v>
    <v>43.274999999999999</v>
    <v>43.284999999999997</v>
    <v>42.265000000000001</v>
    <v>42.505000000000003</v>
    <v>42.164999999999999</v>
    <v>42.645000000000003</v>
    <v>43.92</v>
    <v>43.68</v>
    <v>43.805</v>
    <v>44.04</v>
    <v>43.814999999999998</v>
    <v>43.945</v>
    <v>44.01</v>
    <v>43.58</v>
    <v>44.115000000000002</v>
    <v>43.25</v>
    <v>43.414999999999999</v>
    <v>42.83</v>
    <v>41.645000000000003</v>
    <v>42.975000000000001</v>
    <v>42.015000000000001</v>
    <v>42.015000000000001</v>
    <v>41.015000000000001</v>
    <v>40.604999999999997</v>
    <v>41.58</v>
    <v>41.07</v>
    <v>41.26</v>
    <v>41.5</v>
    <v>41.814999999999998</v>
    <v>41.174999999999997</v>
    <v>41.795000000000002</v>
    <v>41.984999999999999</v>
    <v>41.854999999999997</v>
    <v>42.22</v>
    <v>42.575000000000003</v>
    <v>43.055</v>
    <v>43.284999999999997</v>
    <v>43.284999999999997</v>
    <v>42.674999999999997</v>
    <v>42.494999999999997</v>
    <v>42.405000000000001</v>
    <v>42.545000000000002</v>
    <v>43.284999999999997</v>
    <v>43.16</v>
    <v>42.52</v>
    <v>42.45</v>
    <v>42.15</v>
    <v>42.05</v>
    <v>41.914999999999999</v>
    <v>41.53</v>
    <v>42.16</v>
    <v>42.125</v>
    <v>41.23</v>
    <v>40.625</v>
    <v>39.895000000000003</v>
    <v>40.805</v>
    <v>40.645000000000003</v>
    <v>41.54</v>
    <v>41.884999999999998</v>
    <v>41.87</v>
    <v>42.13</v>
    <v>41.78</v>
    <v>42.71</v>
    <v>42.564999999999998</v>
    <v>42.564999999999998</v>
    <v>42.59</v>
    <v>43.12</v>
    <v>43.57</v>
    <v>43.39</v>
    <v>43.134999999999998</v>
    <v>43.12</v>
    <v>42.91</v>
    <v>43.244999999999997</v>
    <v>43.484999999999999</v>
    <v>43.734999999999999</v>
    <v>43.524999999999999</v>
    <v>43.375</v>
    <v>43.755000000000003</v>
    <v>44.09</v>
    <v>44.895000000000003</v>
    <v>44.8</v>
    <v>44.81</v>
    <v>44.935000000000002</v>
    <v>45.05</v>
    <v>44.69</v>
    <v>44.34</v>
    <v>44.28</v>
    <v>43.575000000000003</v>
    <v>43.094999999999999</v>
    <v>42.64</v>
    <v>42.57</v>
    <v>42.895000000000003</v>
    <v>42.38</v>
    <v>41.954999999999998</v>
    <v>42.195</v>
    <v>42.295000000000002</v>
    <v>42.125</v>
    <v>43.625</v>
    <v>43.034999999999997</v>
    <v>41.145000000000003</v>
    <v>38.630000000000003</v>
    <v>38.274999999999999</v>
    <v>39.69</v>
    <v>39.475000000000001</v>
    <v>39.99</v>
    <v>40.08</v>
    <v>40.435000000000002</v>
    <v>40.755000000000003</v>
    <v>41.524999999999999</v>
    <v>41.9</v>
    <v>42.07</v>
    <v>41.96</v>
    <v>42</v>
    <v>41.58</v>
    <v>42.134999999999998</v>
    <v>41.59</v>
    <v>41.45</v>
    <v>41.44</v>
    <v>41.685000000000002</v>
    <v>41.305</v>
    <v>41.52</v>
    <v>40.53</v>
    <v>40.049999999999997</v>
    <v>39.44</v>
    <v>38.265000000000001</v>
    <v>38.81</v>
    <v>38.555</v>
    <v>38.145000000000003</v>
    <v>38.78</v>
    <v>39.44</v>
    <v>39.204999999999998</v>
    <v>39.28</v>
    <v>39.1</v>
    <v>39.354999999999997</v>
    <v>38.840000000000003</v>
    <v>39.36</v>
    <v>39.935000000000002</v>
    <v>39.26</v>
    <v>41.034999999999997</v>
    <v>40.965000000000003</v>
    <v>39.65</v>
    <v>39.335000000000001</v>
    <v>39.57</v>
    <v>39.11</v>
    <v>39.11</v>
    <v>39.594999999999999</v>
    <v>39.625</v>
    <v>39.905000000000001</v>
    <v>39.534999999999997</v>
    <v>39.520000000000003</v>
    <v>39.770000000000003</v>
    <v>39.450000000000003</v>
    <v>39.61</v>
    <v>39.445</v>
    <v>39.134999999999998</v>
    <v>38.765000000000001</v>
    <v>38.424999999999997</v>
    <v>38.880000000000003</v>
    <v>38.590000000000003</v>
    <v>38.590000000000003</v>
    <v>38.869999999999997</v>
    <v>39.08</v>
    <v>38.375</v>
    <v>37.655000000000001</v>
    <v>38.049999999999997</v>
    <v>38.46</v>
    <v>38.32</v>
    <v>37.664999999999999</v>
    <v>38.274999999999999</v>
    <v>37.695</v>
    <v>37.505000000000003</v>
    <v>36.549999999999997</v>
    <v>36.090000000000003</v>
    <v>36.08</v>
    <v>36.51</v>
    <v>37.409999999999997</v>
    <v>37.28</v>
    <v>37.049999999999997</v>
    <v>37.765000000000001</v>
    <v>38.104999999999997</v>
    <v>38.25</v>
    <v>38.39</v>
    <v>37.615000000000002</v>
    <v>37.515000000000001</v>
    <v>37.055</v>
    <v>36.905000000000001</v>
    <v>35.89</v>
    <v>36.395000000000003</v>
    <v>36</v>
    <v>35.69</v>
    <v>34.86</v>
    <v>35.365000000000002</v>
    <v>36.15</v>
    <v>36.4</v>
    <v>36.475000000000001</v>
    <v>36.200000000000003</v>
    <v>35.71</v>
    <v>36.25</v>
    <v>35.664999999999999</v>
    <v>35.21</v>
    <v>35.36</v>
    <v>34.549999999999997</v>
    <v>34.445</v>
    <v>35.055</v>
    <v>35.825000000000003</v>
    <v>36.835000000000001</v>
    <v>36.575000000000003</v>
    <v>36.965000000000003</v>
    <v>37.17</v>
    <v>36.655000000000001</v>
    <v>36.630000000000003</v>
    <v>36.58</v>
    <v>37.119999999999997</v>
    <v>37.215000000000003</v>
    <v>37.354999999999997</v>
    <v>37.155000000000001</v>
    <v>37.215000000000003</v>
    <v>37.79</v>
    <v>37.395000000000003</v>
    <v>37.340000000000003</v>
    <v>36.4</v>
    <v>36.17</v>
    <v>36.594999999999999</v>
    <v>37.020000000000003</v>
    <v>36.78</v>
    <v>36.270000000000003</v>
    <v>36.774999999999999</v>
    <v>37.01</v>
    <v>37.195</v>
    <v>36.844999999999999</v>
    <v>37.42</v>
    <v>37.454999999999998</v>
    <v>37.1</v>
    <v>37.685000000000002</v>
    <v>37.81</v>
    <v>38.015000000000001</v>
    <v>38.479999999999997</v>
    <v>39.159999999999997</v>
    <v>39.104999999999997</v>
    <v>39.075000000000003</v>
    <v>38.734999999999999</v>
    <v>38.22</v>
    <v>38.844999999999999</v>
    <v>38.104999999999997</v>
    <v>36.674999999999997</v>
    <v>37.055</v>
    <v>35.914999999999999</v>
    <v>36.119999999999997</v>
    <v>35.880000000000003</v>
    <v>35.56</v>
    <v>35.29</v>
    <v>34.935000000000002</v>
    <v>35.835000000000001</v>
    <v>35.524999999999999</v>
    <v>35.875</v>
    <v>36.835000000000001</v>
    <v>36.475000000000001</v>
    <v>36.64</v>
    <v>36.549999999999997</v>
    <v>36.89</v>
    <v>37.104999999999997</v>
    <v>36.94</v>
    <v>37.034999999999997</v>
    <v>36.814999999999998</v>
    <v>35.555</v>
    <v>34.755000000000003</v>
    <v>35.520000000000003</v>
    <v>35.26</v>
    <v>33.854999999999997</v>
    <v>32.909999999999997</v>
    <v>32.43</v>
    <v>32.454999999999998</v>
    <v>30.984999999999999</v>
    <v>32.43</v>
    <v>32.96</v>
    <v>33.36</v>
    <v>33.79</v>
    <v>33.465000000000003</v>
    <v>33.494999999999997</v>
    <v>33.29</v>
    <v>34.164999999999999</v>
    <v>34.03</v>
    <v>33.880000000000003</v>
    <v>33.905000000000001</v>
    <v>34.164999999999999</v>
    <v>34.31</v>
    <v>35.384999999999998</v>
    <v>35.865000000000002</v>
    <v>35.700000000000003</v>
    <v>35.44</v>
    <v>35.43</v>
    <v>35.44</v>
    <v>36.28</v>
    <v>36.034999999999997</v>
    <v>36.67</v>
    <v>36.53</v>
    <v>36.619999999999997</v>
    <v>36.32</v>
    <v>36.125</v>
    <v>36.67</v>
    <v>35.99</v>
    <v>36.094999999999999</v>
    <v>36.56</v>
    <v>36.695</v>
    <v>37.335000000000001</v>
    <v>37.630000000000003</v>
    <v>37.164999999999999</v>
    <v>37.32</v>
    <v>37.905000000000001</v>
    <v>38.71</v>
    <v>39.835000000000001</v>
    <v>39.99</v>
    <v>40.454999999999998</v>
    <v>39.979999999999997</v>
    <v>40.5</v>
    <v>40.414999999999999</v>
    <v>39.905000000000001</v>
    <v>40.83</v>
    <v>40.454999999999998</v>
    <v>40.950000000000003</v>
    <v>40.659999999999997</v>
    <v>41.155000000000001</v>
    <v>41.104999999999997</v>
    <v>43.05</v>
    <v>42.77</v>
    <v>42.42</v>
    <v>41.93</v>
    <v>42.17</v>
    <v>41.945</v>
    <v>42.055</v>
    <v>42.96</v>
    <v>41.685000000000002</v>
    <v>41.86</v>
    <v>42.465000000000003</v>
    <v>42.445</v>
    <v>43.19</v>
    <v>43.07</v>
    <v>43.19</v>
    <v>43.58</v>
    <v>43.134999999999998</v>
    <v>43.594999999999999</v>
    <v>43.325000000000003</v>
    <v>43.924999999999997</v>
    <v>43.01</v>
    <v>43.475000000000001</v>
    <v>43.295000000000002</v>
    <v>43.17</v>
    <v>43.674999999999997</v>
    <v>44.405000000000001</v>
    <v>44.905000000000001</v>
    <v>44.38</v>
    <v>42.68</v>
    <v>43.524999999999999</v>
    <v>43.755000000000003</v>
    <v>43.585000000000001</v>
    <v>43.895000000000003</v>
    <v>43.86</v>
    <v>43.94</v>
    <v>44.04</v>
    <v>44.534999999999997</v>
    <v>44.06</v>
    <v>43.9</v>
    <v>43.51</v>
    <v>42.98</v>
    <v>42.73</v>
    <v>42.795000000000002</v>
    <v>43.984999999999999</v>
    <v>43.74</v>
    <v>43.45</v>
    <v>43.52</v>
    <v>43.895000000000003</v>
    <v>43.05</v>
    <v>42.645000000000003</v>
    <v>42.93</v>
    <v>43.645000000000003</v>
    <v>43.65</v>
    <v>43.604999999999997</v>
    <v>43.97</v>
    <v>44.555</v>
    <v>45.68</v>
    <v>46.3</v>
    <v>46.46</v>
    <v>46.755000000000003</v>
    <v>47.134999999999998</v>
    <v>46.97</v>
    <v>47.604999999999997</v>
    <v>47.28</v>
    <v>47.92</v>
    <v>48.31</v>
    <v>47.71</v>
    <v>47.835000000000001</v>
    <v>46.88</v>
    <v>47.71</v>
    <v>47.47</v>
    <v>48.625</v>
    <v>49.604999999999997</v>
    <v>50.15</v>
    <v>50.52</v>
    <v>50.41</v>
    <v>50.73</v>
    <v>50.67</v>
    <v>49.384999999999998</v>
    <v>50.61</v>
    <v>49.77</v>
    <v>51.05</v>
    <v>52.84</v>
    <v>52.61</v>
    <v>54.28</v>
    <v>53.73</v>
    <v>54</v>
    <v>53.94</v>
    <v>55.15</v>
    <v>56.57</v>
    <v>56.33</v>
    <v>58.45</v>
    <v>57.86</v>
    <v>58.87</v>
    <v>61.2</v>
    <v>59.05</v>
    <v>58.47</v>
    <v>56.21</v>
    <v>54.42</v>
    <v>57.17</v>
    <v>57.43</v>
    <v>57.67</v>
    <v>57.22</v>
    <v>56.86</v>
    <v>56.97</v>
    <v>55.27</v>
    <v>54.62</v>
    <v>54.67</v>
    <v>53.44</v>
    <v>54.15</v>
    <v>53.66</v>
    <v>55.19</v>
    <v>55.52</v>
    <v>54.82</v>
    <v>54.62</v>
    <v>55.52</v>
    <v>55.53</v>
    <v>55.33</v>
    <v>56.64</v>
    <v>57.37</v>
    <v>57.47</v>
    <v>57.39</v>
    <v>56.47</v>
    <v>55.48</v>
    <v>55.82</v>
    <v>54.47</v>
    <v>54.52</v>
    <v>55.86</v>
    <v>55.92</v>
    <v>55.98</v>
    <v>56.39</v>
    <v>60.02</v>
    <v>60.4</v>
    <v>62.64</v>
    <v>65.459999999999994</v>
    <v>66.17</v>
    <v>66.89</v>
    <v>66.17</v>
    <v>67.760000000000005</v>
    <v>67.47</v>
    <v>67.31</v>
    <v>67.7</v>
    <v>70.06</v>
    <v>69.989999999999995</v>
    <v>70.52</v>
    <v>69.36</v>
    <v>72.040000000000006</v>
    <v>71.819999999999993</v>
    <v>71.930000000000007</v>
    <v>71.72</v>
    <v>73.88</v>
    <v>75.45</v>
    <v>74.44</v>
    <v>76.08</v>
    <v>74.290000000000006</v>
    <v>76.790000000000006</v>
    <v>75.45</v>
    <v>74.180000000000007</v>
    <v>75.709999999999994</v>
    <v>76.709999999999994</v>
    <v>75.959999999999994</v>
    <v>78.150000000000006</v>
    <v>79.650000000000006</v>
    <v>80.849999999999994</v>
    <v>82.13</v>
    <v>80.98</v>
    <v>82.29</v>
    <v>83.26</v>
    <v>86.78</v>
    <v>86.14</v>
    <v>89.37</v>
    <v>91.55</v>
    <v>92.66</v>
    <v>92.5</v>
    <v>89.8</v>
    <v>81.540000000000006</v>
    <v>83.89</v>
    <v>79.53</v>
    <v>78.599999999999994</v>
    <v>79.83</v>
    <v>84.4</v>
    <v>82.45</v>
    <v>78.959999999999994</v>
    <v>79.66</v>
    <v>83.22</v>
    <v>84.92</v>
    <v>84.77</v>
    <v>83.28</v>
    <v>80.7</v>
    <v>82.06</v>
    <v>80.95</v>
    <v>81.069999999999993</v>
    <v>76.150000000000006</v>
    <v>75.86</v>
    <v>74.89</v>
    <v>73.05</v>
    <v>79.760000000000005</v>
    <v>76.73</v>
    <v>77.989999999999995</v>
    <v>85.76</v>
    <v>85.4</v>
    <v>85.55</v>
    <v>84.79</v>
    <v>88.31</v>
    <v>89.02</v>
    <v>91.16</v>
    <v>94.39</v>
    <v>92.29</v>
    <v>92.09</v>
    <v>95.16</v>
    <v>95.65</v>
    <v>95.61</v>
    <v>96.76</v>
    <v>94.66</v>
    <v>96.24</v>
    <v>97.45</v>
    <v>101.84</v>
    <v>107.26</v>
    <v>111.78</v>
    <v>111.38</v>
    <v>115.68</v>
    <v>118.62</v>
    <v>108.48</v>
    <v>115.68</v>
    <v>117.94</v>
    <v>111.88</v>
    <v>109.64</v>
    <v>106.86</v>
    <v>111.32</v>
    <v>113.52</v>
    <v>115.32</v>
    <v>117.26</v>
    <v>122.24</v>
    <v>120.14</v>
    <v>124.34</v>
    <v>126.14</v>
    <v>131.94</v>
    <v>132.72</v>
    <v>131.22</v>
    <v>125.12</v>
    <v>115.58</v>
    <v>115.82</v>
    <v>113.44</v>
    <v>112.26</v>
    <v>116.4</v>
    <v>123.58</v>
    <v>129.69999999999999</v>
    <v>128.04</v>
    <v>130.94</v>
    <v>136.86000000000001</v>
    <v>134.30000000000001</v>
    <v>136.1</v>
    <v>123.38</v>
    <v>124.7</v>
    <v>128.74</v>
    <v>125.36</v>
    <v>120.46</v>
    <v>125.7</v>
    <v>119.12</v>
    <v>114.66</v>
    <v>121.12</v>
    <v>120.14</v>
    <v>112</v>
    <v>109.7</v>
    <v>114.46</v>
    <v>115</v>
    <v>107.32</v>
    <v>109.82</v>
    <v>106.4</v>
    <v>104.14</v>
    <v>102.5</v>
    <v>103.72</v>
    <v>108.52</v>
    <v>107.64</v>
    <v>108.12</v>
    <v>104.98</v>
    <v>99.95</v>
    <v>96.44</v>
    <v>91.87</v>
    <v>97.25</v>
    <v>98.67</v>
    <v>98.35</v>
    <v>106.34</v>
    <v>106.32</v>
    <v>103.94</v>
    <v>103</v>
    <v>102.02</v>
    <v>105.12</v>
    <v>109.88</v>
    <v>112.82</v>
    <v>112.72</v>
    <v>118.42</v>
    <v>107.26</v>
    <v>108.18</v>
    <v>109.86</v>
    <v>111.2</v>
    <v>107.56</v>
    <v>111.36</v>
    <v>111.58</v>
    <v>112.36</v>
    <v>113.7</v>
    <v>111.86</v>
    <v>110.92</v>
    <v>110.74</v>
    <v>111.18</v>
    <v>115.1</v>
    <v>118.7</v>
    <v>118.78</v>
    <v>118.58</v>
    <v>114.96</v>
    <v>118.2</v>
    <v>110.82</v>
    <v>110.2</v>
    <v>112.16</v>
    <v>114.44</v>
    <v>112.4</v>
    <v>118.86</v>
    <v>120.4</v>
    <v>119.02</v>
    <v>116.48</v>
    <v>118.32</v>
    <v>115.88</v>
    <v>119.28</v>
    <v>116.9</v>
    <v>117.64</v>
    <v>122.7</v>
    <v>123.48</v>
    <v>121.78</v>
    <v>119.64</v>
    <v>115.08</v>
    <v>114.64</v>
    <v>110.62</v>
    <v>106.44</v>
    <v>105</v>
    <v>99.61</v>
    <v>98.59</v>
    <v>102.38</v>
    <v>99.3</v>
    <v>101.16</v>
    <v>97.14</v>
    <v>98.33</v>
  </a>
  <a r="1" c="208">
    <v>62.64</v>
    <v>65.459999999999994</v>
    <v>66.17</v>
    <v>66.89</v>
    <v>66.17</v>
    <v>67.760000000000005</v>
    <v>67.47</v>
    <v>67.31</v>
    <v>67.7</v>
    <v>70.06</v>
    <v>69.989999999999995</v>
    <v>70.52</v>
    <v>69.36</v>
    <v>72.040000000000006</v>
    <v>71.819999999999993</v>
    <v>71.930000000000007</v>
    <v>71.72</v>
    <v>73.88</v>
    <v>75.45</v>
    <v>74.44</v>
    <v>76.08</v>
    <v>74.290000000000006</v>
    <v>76.790000000000006</v>
    <v>75.45</v>
    <v>74.180000000000007</v>
    <v>75.709999999999994</v>
    <v>76.709999999999994</v>
    <v>75.959999999999994</v>
    <v>78.150000000000006</v>
    <v>79.650000000000006</v>
    <v>80.849999999999994</v>
    <v>82.13</v>
    <v>80.98</v>
    <v>82.29</v>
    <v>83.26</v>
    <v>86.78</v>
    <v>86.14</v>
    <v>89.37</v>
    <v>91.55</v>
    <v>92.66</v>
    <v>92.5</v>
    <v>89.8</v>
    <v>81.540000000000006</v>
    <v>83.89</v>
    <v>79.53</v>
    <v>78.599999999999994</v>
    <v>79.83</v>
    <v>84.4</v>
    <v>82.45</v>
    <v>78.959999999999994</v>
    <v>79.66</v>
    <v>83.22</v>
    <v>84.92</v>
    <v>84.77</v>
    <v>83.28</v>
    <v>80.7</v>
    <v>82.06</v>
    <v>80.95</v>
    <v>81.069999999999993</v>
    <v>76.150000000000006</v>
    <v>75.86</v>
    <v>74.89</v>
    <v>73.05</v>
    <v>79.760000000000005</v>
    <v>76.73</v>
    <v>77.989999999999995</v>
    <v>85.76</v>
    <v>85.4</v>
    <v>85.55</v>
    <v>84.79</v>
    <v>88.31</v>
    <v>89.02</v>
    <v>91.16</v>
    <v>94.39</v>
    <v>92.29</v>
    <v>92.09</v>
    <v>95.16</v>
    <v>95.65</v>
    <v>95.61</v>
    <v>96.76</v>
    <v>94.66</v>
    <v>96.24</v>
    <v>97.45</v>
    <v>101.84</v>
    <v>107.26</v>
    <v>111.78</v>
    <v>111.38</v>
    <v>115.68</v>
    <v>118.62</v>
    <v>108.48</v>
    <v>115.68</v>
    <v>117.94</v>
    <v>111.88</v>
    <v>109.64</v>
    <v>106.86</v>
    <v>111.32</v>
    <v>113.52</v>
    <v>115.32</v>
    <v>117.26</v>
    <v>122.24</v>
    <v>120.14</v>
    <v>124.34</v>
    <v>126.14</v>
    <v>131.94</v>
    <v>132.72</v>
    <v>131.22</v>
    <v>125.12</v>
    <v>115.58</v>
    <v>115.82</v>
    <v>113.44</v>
    <v>112.26</v>
    <v>116.4</v>
    <v>123.58</v>
    <v>129.69999999999999</v>
    <v>128.04</v>
    <v>130.94</v>
    <v>136.86000000000001</v>
    <v>134.30000000000001</v>
    <v>136.1</v>
    <v>123.38</v>
    <v>124.7</v>
    <v>128.74</v>
    <v>125.36</v>
    <v>120.46</v>
    <v>125.7</v>
    <v>119.12</v>
    <v>114.66</v>
    <v>121.12</v>
    <v>120.14</v>
    <v>112</v>
    <v>109.7</v>
    <v>114.46</v>
    <v>115</v>
    <v>107.32</v>
    <v>109.82</v>
    <v>106.4</v>
    <v>104.14</v>
    <v>102.5</v>
    <v>103.72</v>
    <v>108.52</v>
    <v>107.64</v>
    <v>108.12</v>
    <v>104.98</v>
    <v>99.95</v>
    <v>96.44</v>
    <v>91.87</v>
    <v>97.25</v>
    <v>98.67</v>
    <v>98.35</v>
    <v>106.34</v>
    <v>106.32</v>
    <v>103.94</v>
    <v>103</v>
    <v>102.02</v>
    <v>105.12</v>
    <v>109.88</v>
    <v>112.82</v>
    <v>112.72</v>
    <v>118.42</v>
    <v>107.26</v>
    <v>108.18</v>
    <v>109.86</v>
    <v>111.2</v>
    <v>107.56</v>
    <v>111.36</v>
    <v>111.58</v>
    <v>112.36</v>
    <v>113.7</v>
    <v>111.86</v>
    <v>110.92</v>
    <v>110.74</v>
    <v>111.18</v>
    <v>115.1</v>
    <v>118.7</v>
    <v>118.78</v>
    <v>118.58</v>
    <v>114.96</v>
    <v>118.2</v>
    <v>110.82</v>
    <v>110.2</v>
    <v>112.16</v>
    <v>114.44</v>
    <v>112.4</v>
    <v>118.86</v>
    <v>120.4</v>
    <v>119.02</v>
    <v>116.48</v>
    <v>118.32</v>
    <v>115.88</v>
    <v>119.28</v>
    <v>116.9</v>
    <v>117.64</v>
    <v>122.7</v>
    <v>123.48</v>
    <v>121.78</v>
    <v>119.64</v>
    <v>115.08</v>
    <v>114.64</v>
    <v>110.62</v>
    <v>106.44</v>
    <v>105</v>
    <v>99.61</v>
    <v>98.59</v>
    <v>102.38</v>
    <v>99.3</v>
    <v>101.16</v>
    <v>97.14</v>
    <v>98.33</v>
  </a>
  <a r="1" c="254">
    <v>53.94</v>
    <v>55.15</v>
    <v>56.57</v>
    <v>56.33</v>
    <v>58.45</v>
    <v>57.86</v>
    <v>58.87</v>
    <v>61.2</v>
    <v>59.05</v>
    <v>58.47</v>
    <v>56.21</v>
    <v>54.42</v>
    <v>57.17</v>
    <v>57.43</v>
    <v>57.67</v>
    <v>57.22</v>
    <v>56.86</v>
    <v>56.97</v>
    <v>55.27</v>
    <v>54.62</v>
    <v>54.67</v>
    <v>53.44</v>
    <v>54.15</v>
    <v>53.66</v>
    <v>55.19</v>
    <v>55.52</v>
    <v>54.82</v>
    <v>54.62</v>
    <v>55.52</v>
    <v>55.53</v>
    <v>55.33</v>
    <v>56.64</v>
    <v>57.37</v>
    <v>57.47</v>
    <v>57.39</v>
    <v>56.47</v>
    <v>55.48</v>
    <v>55.82</v>
    <v>54.47</v>
    <v>54.52</v>
    <v>55.86</v>
    <v>55.92</v>
    <v>55.98</v>
    <v>56.39</v>
    <v>60.02</v>
    <v>60.4</v>
    <v>62.64</v>
    <v>65.459999999999994</v>
    <v>66.17</v>
    <v>66.89</v>
    <v>66.17</v>
    <v>67.760000000000005</v>
    <v>67.47</v>
    <v>67.31</v>
    <v>67.7</v>
    <v>70.06</v>
    <v>69.989999999999995</v>
    <v>70.52</v>
    <v>69.36</v>
    <v>72.040000000000006</v>
    <v>71.819999999999993</v>
    <v>71.930000000000007</v>
    <v>71.72</v>
    <v>73.88</v>
    <v>75.45</v>
    <v>74.44</v>
    <v>76.08</v>
    <v>74.290000000000006</v>
    <v>76.790000000000006</v>
    <v>75.45</v>
    <v>74.180000000000007</v>
    <v>75.709999999999994</v>
    <v>76.709999999999994</v>
    <v>75.959999999999994</v>
    <v>78.150000000000006</v>
    <v>79.650000000000006</v>
    <v>80.849999999999994</v>
    <v>82.13</v>
    <v>80.98</v>
    <v>82.29</v>
    <v>83.26</v>
    <v>86.78</v>
    <v>86.14</v>
    <v>89.37</v>
    <v>91.55</v>
    <v>92.66</v>
    <v>92.5</v>
    <v>89.8</v>
    <v>81.540000000000006</v>
    <v>83.89</v>
    <v>79.53</v>
    <v>78.599999999999994</v>
    <v>79.83</v>
    <v>84.4</v>
    <v>82.45</v>
    <v>78.959999999999994</v>
    <v>79.66</v>
    <v>83.22</v>
    <v>84.92</v>
    <v>84.77</v>
    <v>83.28</v>
    <v>80.7</v>
    <v>82.06</v>
    <v>80.95</v>
    <v>81.069999999999993</v>
    <v>76.150000000000006</v>
    <v>75.86</v>
    <v>74.89</v>
    <v>73.05</v>
    <v>79.760000000000005</v>
    <v>76.73</v>
    <v>77.989999999999995</v>
    <v>85.76</v>
    <v>85.4</v>
    <v>85.55</v>
    <v>84.79</v>
    <v>88.31</v>
    <v>89.02</v>
    <v>91.16</v>
    <v>94.39</v>
    <v>92.29</v>
    <v>92.09</v>
    <v>95.16</v>
    <v>95.65</v>
    <v>95.61</v>
    <v>96.76</v>
    <v>94.66</v>
    <v>96.24</v>
    <v>97.45</v>
    <v>101.84</v>
    <v>107.26</v>
    <v>111.78</v>
    <v>111.38</v>
    <v>115.68</v>
    <v>118.62</v>
    <v>108.48</v>
    <v>115.68</v>
    <v>117.94</v>
    <v>111.88</v>
    <v>109.64</v>
    <v>106.86</v>
    <v>111.32</v>
    <v>113.52</v>
    <v>115.32</v>
    <v>117.26</v>
    <v>122.24</v>
    <v>120.14</v>
    <v>124.34</v>
    <v>126.14</v>
    <v>131.94</v>
    <v>132.72</v>
    <v>131.22</v>
    <v>125.12</v>
    <v>115.58</v>
    <v>115.82</v>
    <v>113.44</v>
    <v>112.26</v>
    <v>116.4</v>
    <v>123.58</v>
    <v>129.69999999999999</v>
    <v>128.04</v>
    <v>130.94</v>
    <v>136.86000000000001</v>
    <v>134.30000000000001</v>
    <v>136.1</v>
    <v>123.38</v>
    <v>124.7</v>
    <v>128.74</v>
    <v>125.36</v>
    <v>120.46</v>
    <v>125.7</v>
    <v>119.12</v>
    <v>114.66</v>
    <v>121.12</v>
    <v>120.14</v>
    <v>112</v>
    <v>109.7</v>
    <v>114.46</v>
    <v>115</v>
    <v>107.32</v>
    <v>109.82</v>
    <v>106.4</v>
    <v>104.14</v>
    <v>102.5</v>
    <v>103.72</v>
    <v>108.52</v>
    <v>107.64</v>
    <v>108.12</v>
    <v>104.98</v>
    <v>99.95</v>
    <v>96.44</v>
    <v>91.87</v>
    <v>97.25</v>
    <v>98.67</v>
    <v>98.35</v>
    <v>106.34</v>
    <v>106.32</v>
    <v>103.94</v>
    <v>103</v>
    <v>102.02</v>
    <v>105.12</v>
    <v>109.88</v>
    <v>112.82</v>
    <v>112.72</v>
    <v>118.42</v>
    <v>107.26</v>
    <v>108.18</v>
    <v>109.86</v>
    <v>111.2</v>
    <v>107.56</v>
    <v>111.36</v>
    <v>111.58</v>
    <v>112.36</v>
    <v>113.7</v>
    <v>111.86</v>
    <v>110.92</v>
    <v>110.74</v>
    <v>111.18</v>
    <v>115.1</v>
    <v>118.7</v>
    <v>118.78</v>
    <v>118.58</v>
    <v>114.96</v>
    <v>118.2</v>
    <v>110.82</v>
    <v>110.2</v>
    <v>112.16</v>
    <v>114.44</v>
    <v>112.4</v>
    <v>118.86</v>
    <v>120.4</v>
    <v>119.02</v>
    <v>116.48</v>
    <v>118.32</v>
    <v>115.88</v>
    <v>119.28</v>
    <v>116.9</v>
    <v>117.64</v>
    <v>122.7</v>
    <v>123.48</v>
    <v>121.78</v>
    <v>119.64</v>
    <v>115.08</v>
    <v>114.64</v>
    <v>110.62</v>
    <v>106.44</v>
    <v>105</v>
    <v>99.61</v>
    <v>98.59</v>
    <v>102.38</v>
    <v>99.3</v>
    <v>101.16</v>
    <v>97.14</v>
    <v>98.33</v>
  </a>
  <a r="1" c="205">
    <v>184.2</v>
    <v>179.37</v>
    <v>182.12</v>
    <v>185.86</v>
    <v>193.9</v>
    <v>190.8</v>
    <v>189.02</v>
    <v>188.88</v>
    <v>190.85</v>
    <v>190.93</v>
    <v>187.73</v>
    <v>187.66</v>
    <v>184.06</v>
    <v>181.47</v>
    <v>182.27</v>
    <v>180.18</v>
    <v>184.22</v>
    <v>183.5</v>
    <v>183.74</v>
    <v>176.2</v>
    <v>176.97</v>
    <v>175.42</v>
    <v>166.24</v>
    <v>166.72</v>
    <v>154.77000000000001</v>
    <v>159.32</v>
    <v>166</v>
    <v>165.51</v>
    <v>165.3</v>
    <v>162.81</v>
    <v>166.95</v>
    <v>163.5</v>
    <v>152.35</v>
    <v>150.99</v>
    <v>148.69999999999999</v>
    <v>144.13999999999999</v>
    <v>141.66999999999999</v>
    <v>144.84</v>
    <v>149.4</v>
    <v>148.91999999999999</v>
    <v>150.15</v>
    <v>156.09</v>
    <v>158.56</v>
    <v>163.16</v>
    <v>165.05</v>
    <v>165.1</v>
    <v>165.58</v>
    <v>164.93</v>
    <v>168.12</v>
    <v>167.01499999999999</v>
    <v>167.45</v>
    <v>169.19</v>
    <v>168.91</v>
    <v>169.74</v>
    <v>162.94999999999999</v>
    <v>164.05</v>
    <v>157.21</v>
    <v>153.22</v>
    <v>156.36000000000001</v>
    <v>147.02000000000001</v>
    <v>154.35</v>
    <v>160.32</v>
    <v>160.66999999999999</v>
    <v>163.21</v>
    <v>161.94999999999999</v>
    <v>169.87</v>
    <v>173.78</v>
    <v>166.99</v>
    <v>155.72999999999999</v>
    <v>162.51</v>
    <v>161.59</v>
    <v>164.11</v>
    <v>166.97</v>
    <v>167.85</v>
    <v>169.56</v>
    <v>174.96</v>
    <v>181.2</v>
    <v>173.21</v>
    <v>178.54</v>
    <v>182.9</v>
    <v>180.99</v>
    <v>181.54</v>
    <v>179.32</v>
    <v>181.08</v>
    <v>184.56</v>
    <v>183.98</v>
    <v>183.68</v>
    <v>196.53</v>
    <v>207.88</v>
    <v>213.66</v>
    <v>215.6</v>
    <v>227.79</v>
    <v>238.21</v>
    <v>242.83</v>
    <v>247.55</v>
    <v>240.13</v>
    <v>246.66</v>
    <v>252.92</v>
    <v>260.58</v>
    <v>256.75</v>
    <v>248.47</v>
    <v>257.77</v>
    <v>281.69</v>
    <v>300.48</v>
    <v>297.18</v>
    <v>280.43</v>
    <v>279.25</v>
    <v>272.05</v>
    <v>266.33</v>
    <v>260.52</v>
    <v>263.22000000000003</v>
    <v>279.52999999999997</v>
    <v>279.62</v>
    <v>284.54000000000002</v>
    <v>279.89999999999998</v>
    <v>282.13</v>
    <v>287.77999999999997</v>
    <v>286.39999999999998</v>
    <v>290.91500000000002</v>
    <v>285.26</v>
    <v>293.08999999999997</v>
    <v>304.2</v>
    <v>332</v>
    <v>341.02</v>
    <v>352.04</v>
    <v>348.06</v>
    <v>357.53</v>
    <v>337.04</v>
    <v>320.58999999999997</v>
    <v>338.31</v>
    <v>325.91000000000003</v>
    <v>330.3</v>
    <v>352.89</v>
    <v>354.02</v>
    <v>353.99</v>
    <v>358.68</v>
    <v>348.66</v>
    <v>342.15</v>
    <v>335.28</v>
    <v>325.63</v>
    <v>323.79000000000002</v>
    <v>317.32</v>
    <v>319</v>
    <v>314.14999999999998</v>
    <v>325.68</v>
    <v>331.83</v>
    <v>347.13</v>
    <v>366.34</v>
    <v>362.66</v>
    <v>359.49</v>
    <v>363.86</v>
    <v>385.04</v>
    <v>383.8</v>
    <v>387.01</v>
    <v>396</v>
    <v>384.27</v>
    <v>375.76</v>
    <v>374.14</v>
    <v>359.76</v>
    <v>349.56</v>
    <v>357.87</v>
    <v>350.9</v>
    <v>339.9</v>
    <v>339.31</v>
    <v>382.85</v>
    <v>371.59</v>
    <v>382.13</v>
    <v>362.09</v>
    <v>328.48</v>
    <v>331.94</v>
    <v>333.26</v>
    <v>336.98</v>
    <v>335.1</v>
    <v>338.49</v>
    <v>330.65</v>
    <v>373.94</v>
    <v>375.09</v>
    <v>375.65</v>
    <v>375.06</v>
    <v>363.58</v>
    <v>371.76</v>
    <v>374.57</v>
    <v>393.3</v>
    <v>389.92</v>
    <v>374.74</v>
    <v>392.09</v>
    <v>388.41</v>
    <v>397.31</v>
    <v>396.25</v>
    <v>403.24</v>
    <v>406.76</v>
    <v>419.91</v>
    <v>405.57</v>
    <v>398.5</v>
    <v>418.78</v>
    <v>403.83</v>
    <v>397.03</v>
    <v>375.04</v>
    <v>370.27</v>
    <v>342</v>
    <v>346.95</v>
    <v>340.28</v>
    <v>347.25</v>
    <v>354.92</v>
    <v>380.55</v>
  </a>
  <a r="1" c="252">
    <v>215.02</v>
    <v>217.11</v>
    <v>220.29</v>
    <v>221.38</v>
    <v>217.16</v>
    <v>218.27</v>
    <v>220.24</v>
    <v>219.23</v>
    <v>214.52</v>
    <v>213.18</v>
    <v>211.37</v>
    <v>212.285</v>
    <v>216.54</v>
    <v>218.27</v>
    <v>210.04</v>
    <v>204.77</v>
    <v>205.25</v>
    <v>202.9</v>
    <v>201</v>
    <v>199.9</v>
    <v>185.07</v>
    <v>182.9</v>
    <v>183.89</v>
    <v>186.27</v>
    <v>185.35</v>
    <v>190.13</v>
    <v>187.73</v>
    <v>189.88</v>
    <v>193.63</v>
    <v>195.68</v>
    <v>198.84</v>
    <v>195.35</v>
    <v>195</v>
    <v>192.96</v>
    <v>190.36</v>
    <v>191.69</v>
    <v>185.88</v>
    <v>187.09</v>
    <v>183.44</v>
    <v>185.88</v>
    <v>186.88</v>
    <v>189.49</v>
    <v>188.12</v>
    <v>187.22</v>
    <v>188.45</v>
    <v>186.85</v>
    <v>186.85</v>
    <v>184.2</v>
    <v>179.37</v>
    <v>182.12</v>
    <v>185.86</v>
    <v>193.9</v>
    <v>190.8</v>
    <v>189.02</v>
    <v>188.88</v>
    <v>190.85</v>
    <v>190.93</v>
    <v>187.73</v>
    <v>187.66</v>
    <v>184.06</v>
    <v>181.47</v>
    <v>182.27</v>
    <v>180.18</v>
    <v>184.22</v>
    <v>183.5</v>
    <v>183.74</v>
    <v>176.2</v>
    <v>176.97</v>
    <v>175.42</v>
    <v>166.24</v>
    <v>166.72</v>
    <v>154.77000000000001</v>
    <v>159.32</v>
    <v>166</v>
    <v>165.51</v>
    <v>165.3</v>
    <v>162.81</v>
    <v>166.95</v>
    <v>163.5</v>
    <v>152.35</v>
    <v>150.99</v>
    <v>148.69999999999999</v>
    <v>144.13999999999999</v>
    <v>141.66999999999999</v>
    <v>144.84</v>
    <v>149.4</v>
    <v>148.91999999999999</v>
    <v>150.15</v>
    <v>156.09</v>
    <v>158.56</v>
    <v>163.16</v>
    <v>165.05</v>
    <v>165.1</v>
    <v>165.58</v>
    <v>164.93</v>
    <v>168.12</v>
    <v>167.01499999999999</v>
    <v>167.45</v>
    <v>169.19</v>
    <v>168.91</v>
    <v>169.74</v>
    <v>162.94999999999999</v>
    <v>164.05</v>
    <v>157.21</v>
    <v>153.22</v>
    <v>156.36000000000001</v>
    <v>147.02000000000001</v>
    <v>154.35</v>
    <v>160.32</v>
    <v>160.66999999999999</v>
    <v>163.21</v>
    <v>161.94999999999999</v>
    <v>169.87</v>
    <v>173.78</v>
    <v>166.99</v>
    <v>155.72999999999999</v>
    <v>162.51</v>
    <v>161.59</v>
    <v>164.11</v>
    <v>166.97</v>
    <v>167.85</v>
    <v>169.56</v>
    <v>174.96</v>
    <v>181.2</v>
    <v>173.21</v>
    <v>178.54</v>
    <v>182.9</v>
    <v>180.99</v>
    <v>181.54</v>
    <v>179.32</v>
    <v>181.08</v>
    <v>184.56</v>
    <v>183.98</v>
    <v>183.68</v>
    <v>196.53</v>
    <v>207.88</v>
    <v>213.66</v>
    <v>215.6</v>
    <v>227.79</v>
    <v>238.21</v>
    <v>242.83</v>
    <v>247.55</v>
    <v>240.13</v>
    <v>246.66</v>
    <v>252.92</v>
    <v>260.58</v>
    <v>256.75</v>
    <v>248.47</v>
    <v>257.77</v>
    <v>281.69</v>
    <v>300.48</v>
    <v>297.18</v>
    <v>280.43</v>
    <v>279.25</v>
    <v>272.05</v>
    <v>266.33</v>
    <v>260.52</v>
    <v>263.22000000000003</v>
    <v>279.52999999999997</v>
    <v>279.62</v>
    <v>284.54000000000002</v>
    <v>279.89999999999998</v>
    <v>282.13</v>
    <v>287.77999999999997</v>
    <v>286.39999999999998</v>
    <v>290.91500000000002</v>
    <v>285.26</v>
    <v>293.08999999999997</v>
    <v>304.2</v>
    <v>332</v>
    <v>341.02</v>
    <v>352.04</v>
    <v>348.06</v>
    <v>357.53</v>
    <v>337.04</v>
    <v>320.58999999999997</v>
    <v>338.31</v>
    <v>325.91000000000003</v>
    <v>330.3</v>
    <v>352.89</v>
    <v>354.02</v>
    <v>353.99</v>
    <v>358.68</v>
    <v>348.66</v>
    <v>342.15</v>
    <v>335.28</v>
    <v>325.63</v>
    <v>323.79000000000002</v>
    <v>317.32</v>
    <v>319</v>
    <v>314.14999999999998</v>
    <v>325.68</v>
    <v>331.83</v>
    <v>347.13</v>
    <v>366.34</v>
    <v>362.66</v>
    <v>359.49</v>
    <v>363.86</v>
    <v>385.04</v>
    <v>383.8</v>
    <v>387.01</v>
    <v>396</v>
    <v>384.27</v>
    <v>375.76</v>
    <v>374.14</v>
    <v>359.76</v>
    <v>349.56</v>
    <v>357.87</v>
    <v>350.9</v>
    <v>339.9</v>
    <v>339.31</v>
    <v>382.85</v>
    <v>371.59</v>
    <v>382.13</v>
    <v>362.09</v>
    <v>328.48</v>
    <v>331.94</v>
    <v>333.26</v>
    <v>336.98</v>
    <v>335.1</v>
    <v>338.49</v>
    <v>330.65</v>
    <v>373.94</v>
    <v>375.09</v>
    <v>375.65</v>
    <v>375.06</v>
    <v>363.58</v>
    <v>371.76</v>
    <v>374.57</v>
    <v>393.3</v>
    <v>389.92</v>
    <v>374.74</v>
    <v>392.09</v>
    <v>388.41</v>
    <v>397.31</v>
    <v>396.25</v>
    <v>403.24</v>
    <v>406.76</v>
    <v>419.91</v>
    <v>405.57</v>
    <v>398.5</v>
    <v>418.78</v>
    <v>403.83</v>
    <v>397.03</v>
    <v>375.04</v>
    <v>370.27</v>
    <v>342</v>
    <v>346.95</v>
    <v>340.28</v>
    <v>347.25</v>
    <v>354.92</v>
    <v>380.55</v>
  </a>
  <a r="1" c="754">
    <v>123.08499999999999</v>
    <v>126.035</v>
    <v>122.395</v>
    <v>118.595</v>
    <v>119.395</v>
    <v>119.27500000000001</v>
    <v>121.51</v>
    <v>122.43</v>
    <v>125.18</v>
    <v>121.765</v>
    <v>118.5</v>
    <v>121.04</v>
    <v>120.54</v>
    <v>121.295</v>
    <v>126.755</v>
    <v>127.82</v>
    <v>130.58500000000001</v>
    <v>128.09</v>
    <v>121.15</v>
    <v>123.795</v>
    <v>130.285</v>
    <v>132.01499999999999</v>
    <v>131.57</v>
    <v>133.04</v>
    <v>134.54499999999999</v>
    <v>138.91499999999999</v>
    <v>144.45500000000001</v>
    <v>147.54499999999999</v>
    <v>148.08000000000001</v>
    <v>143.30500000000001</v>
    <v>146.38999999999999</v>
    <v>143.6</v>
    <v>146.80500000000001</v>
    <v>149.21</v>
    <v>149.94</v>
    <v>152.79</v>
    <v>156.93</v>
    <v>150.22</v>
    <v>153.65</v>
    <v>153.79</v>
    <v>154.30500000000001</v>
    <v>150.49</v>
    <v>149.69999999999999</v>
    <v>149.10499999999999</v>
    <v>150.41</v>
    <v>148.75</v>
    <v>147.79</v>
    <v>147.44</v>
    <v>144.46</v>
    <v>143.23500000000001</v>
    <v>141.65</v>
    <v>141.465</v>
    <v>144.75</v>
    <v>150.21</v>
    <v>158.04499999999999</v>
    <v>161.745</v>
    <v>162.62</v>
    <v>166.02500000000001</v>
    <v>165.03</v>
    <v>167.88499999999999</v>
    <v>168.87</v>
    <v>172.82499999999999</v>
    <v>172.09</v>
    <v>170.12</v>
    <v>170.095</v>
    <v>171.22</v>
    <v>172.625</v>
    <v>172.94499999999999</v>
    <v>169.255</v>
    <v>169.98500000000001</v>
    <v>172.53</v>
    <v>172.24</v>
    <v>170.745</v>
    <v>182.25</v>
    <v>183.51</v>
    <v>188.45</v>
    <v>185.98500000000001</v>
    <v>184.13</v>
    <v>184.16499999999999</v>
    <v>183.44</v>
    <v>183.20500000000001</v>
    <v>183.04499999999999</v>
    <v>130.98500000000001</v>
    <v>133.91</v>
    <v>141.04499999999999</v>
    <v>151.38999999999999</v>
    <v>157.375</v>
    <v>158.07499999999999</v>
    <v>155.27500000000001</v>
    <v>151.19999999999999</v>
    <v>149.72</v>
    <v>145.565</v>
    <v>139.43</v>
    <v>143.24250000000001</v>
    <v>140.1</v>
    <v>141.66499999999999</v>
    <v>142.36500000000001</v>
    <v>145.06</v>
    <v>143.79</v>
    <v>141.08000000000001</v>
    <v>142.62</v>
    <v>140.29</v>
    <v>141.02500000000001</v>
    <v>143.815</v>
    <v>143.38999999999999</v>
    <v>142.535</v>
    <v>143.345</v>
    <v>141.13</v>
    <v>142.065</v>
    <v>139.71</v>
    <v>136.69999999999999</v>
    <v>134.77000000000001</v>
    <v>132.6</v>
    <v>134.505</v>
    <v>134.29</v>
    <v>139.565</v>
    <v>140.5</v>
    <v>141.93</v>
    <v>139.535</v>
    <v>136.07499999999999</v>
    <v>137.51</v>
    <v>138.66499999999999</v>
    <v>140.57</v>
    <v>138.85499999999999</v>
    <v>140.84</v>
    <v>146.745</v>
    <v>146.91</v>
    <v>144.39500000000001</v>
    <v>145.71</v>
    <v>146.70500000000001</v>
    <v>145.44499999999999</v>
    <v>143.66999999999999</v>
    <v>147.66</v>
    <v>148.10499999999999</v>
    <v>150.285</v>
    <v>152.76</v>
    <v>151.505</v>
    <v>147.83500000000001</v>
    <v>148.73500000000001</v>
    <v>151.125</v>
    <v>150.77000000000001</v>
    <v>156.16</v>
    <v>158.38999999999999</v>
    <v>158.92500000000001</v>
    <v>161.88499999999999</v>
    <v>155.83000000000001</v>
    <v>154.29</v>
    <v>155.72</v>
    <v>160.80000000000001</v>
    <v>154.005</v>
    <v>153.44999999999999</v>
    <v>146.59</v>
    <v>147.45500000000001</v>
    <v>147.24</v>
    <v>145.04499999999999</v>
    <v>147.70500000000001</v>
    <v>147.965</v>
    <v>150.94999999999999</v>
    <v>154.52500000000001</v>
    <v>156.47499999999999</v>
    <v>159.89500000000001</v>
    <v>159.83000000000001</v>
    <v>158.655</v>
    <v>159.79499999999999</v>
    <v>158.51</v>
    <v>155.52000000000001</v>
    <v>160.16499999999999</v>
    <v>158.34</v>
    <v>161.34</v>
    <v>162.63</v>
    <v>170.41</v>
    <v>169.505</v>
    <v>170.45</v>
    <v>170.22</v>
    <v>170.6</v>
    <v>171.04499999999999</v>
    <v>168.82</v>
    <v>168.09</v>
    <v>168.53</v>
    <v>165.52</v>
    <v>168.25</v>
    <v>170.45500000000001</v>
    <v>169.25</v>
    <v>166.07</v>
    <v>161.94</v>
    <v>165.44499999999999</v>
    <v>166.85</v>
    <v>167.78</v>
    <v>162.12</v>
    <v>160.065</v>
    <v>163.405</v>
    <v>161.03</v>
    <v>158.755</v>
    <v>162.36500000000001</v>
    <v>157.81</v>
    <v>152.80000000000001</v>
    <v>147.09</v>
    <v>150.965</v>
    <v>152.10499999999999</v>
    <v>158.685</v>
    <v>165.74</v>
    <v>165.55</v>
    <v>166.61500000000001</v>
    <v>169.95500000000001</v>
    <v>171.63499999999999</v>
    <v>167.05500000000001</v>
    <v>171.68</v>
    <v>184.005</v>
    <v>179.875</v>
    <v>174.74</v>
    <v>175.375</v>
    <v>173.56</v>
    <v>175.095</v>
    <v>175.22</v>
    <v>179.10499999999999</v>
    <v>181.36</v>
    <v>177.535</v>
    <v>173.07499999999999</v>
    <v>171.87</v>
    <v>167.91</v>
    <v>172.02500000000001</v>
    <v>173.79</v>
    <v>170.88499999999999</v>
    <v>172.58</v>
    <v>173.45</v>
    <v>173.05500000000001</v>
    <v>168.965</v>
    <v>164.875</v>
    <v>166.8</v>
    <v>170.06</v>
    <v>172.08500000000001</v>
    <v>171.76</v>
    <v>170.255</v>
    <v>169.36500000000001</v>
    <v>167.875</v>
    <v>170.9</v>
    <v>164.64500000000001</v>
    <v>166.065</v>
    <v>167.97</v>
    <v>171.18</v>
    <v>168.97</v>
    <v>177.565</v>
    <v>181.435</v>
    <v>184.7</v>
    <v>186.6</v>
    <v>186.95500000000001</v>
    <v>187.22</v>
    <v>186.61500000000001</v>
    <v>188.07499999999999</v>
    <v>187.41499999999999</v>
    <v>189.20500000000001</v>
    <v>188.05</v>
    <v>179.095</v>
    <v>182.29</v>
    <v>183.22</v>
    <v>181.17500000000001</v>
    <v>182.69499999999999</v>
    <v>179.755</v>
    <v>180.16499999999999</v>
    <v>181.32</v>
    <v>180.56</v>
    <v>183.14500000000001</v>
    <v>192.59</v>
    <v>193.5</v>
    <v>195.7</v>
    <v>199.05</v>
    <v>199.01</v>
    <v>201.18</v>
    <v>197.19499999999999</v>
    <v>193.5</v>
    <v>193.41499999999999</v>
    <v>194.03</v>
    <v>196.44499999999999</v>
    <v>198.85</v>
    <v>191.68</v>
    <v>193.19</v>
    <v>198.2</v>
    <v>192.185</v>
    <v>193.91</v>
    <v>195.08500000000001</v>
    <v>196.29499999999999</v>
    <v>202.29</v>
    <v>201.51499999999999</v>
    <v>202.95</v>
    <v>194.47</v>
    <v>194.88</v>
    <v>199.21</v>
    <v>200.10499999999999</v>
    <v>196.56</v>
    <v>202.5</v>
    <v>201.24</v>
    <v>188.76</v>
    <v>189.36</v>
    <v>186.78</v>
    <v>188.22</v>
    <v>189.51</v>
    <v>188.5</v>
    <v>186.18</v>
    <v>184.2</v>
    <v>181.96</v>
    <v>180.74</v>
    <v>183.25</v>
    <v>179.5</v>
    <v>175.51</v>
    <v>172.83</v>
    <v>173.42</v>
    <v>167.82</v>
    <v>170.58</v>
    <v>174.19</v>
    <v>177.17</v>
    <v>177.11</v>
    <v>183.51</v>
    <v>187.7</v>
    <v>187.32</v>
    <v>187.7</v>
    <v>189.3</v>
    <v>192.94</v>
    <v>185.42</v>
    <v>187.42</v>
    <v>184.42</v>
    <v>182.79</v>
    <v>183.4</v>
    <v>186.85</v>
    <v>187.37</v>
    <v>193.94</v>
    <v>196.4</v>
    <v>195.49</v>
    <v>196.73</v>
    <v>201.88</v>
    <v>200.03</v>
    <v>208.28</v>
    <v>205.19</v>
    <v>198.81</v>
    <v>191.03</v>
    <v>190.39</v>
    <v>188.01</v>
    <v>189.55</v>
    <v>187.5</v>
    <v>190.43</v>
    <v>183.68</v>
    <v>184.38</v>
    <v>184.28</v>
    <v>179.33</v>
    <v>180.93</v>
    <v>173.83</v>
    <v>178.93</v>
    <v>179.48</v>
    <v>176.32</v>
    <v>182.34</v>
    <v>185</v>
    <v>183.1</v>
    <v>187.54</v>
    <v>184.01</v>
    <v>182.32</v>
    <v>184.79</v>
    <v>189.95</v>
    <v>184.96</v>
    <v>174.44</v>
    <v>172.76</v>
    <v>170.64</v>
    <v>171.31</v>
    <v>173.18</v>
    <v>165.17</v>
    <v>153.57</v>
    <v>152.44</v>
    <v>152.53</v>
    <v>173.02</v>
    <v>168.27</v>
    <v>168.34</v>
    <v>169.98</v>
    <v>173.55</v>
    <v>169.76</v>
    <v>167.69</v>
    <v>160.05000000000001</v>
    <v>163.63</v>
    <v>168.32</v>
    <v>176.04</v>
    <v>178.98</v>
    <v>181.54</v>
    <v>186.65</v>
    <v>186.93</v>
    <v>186.27</v>
    <v>187.7</v>
    <v>188.13</v>
    <v>188.69</v>
    <v>188.14</v>
    <v>188.53</v>
    <v>186.93</v>
    <v>193.5</v>
    <v>192</v>
    <v>190.9</v>
    <v>192.9</v>
    <v>192.98</v>
    <v>194.3</v>
    <v>194.48</v>
    <v>181.26</v>
    <v>186.14</v>
    <v>186.75</v>
    <v>187.46</v>
    <v>187.8</v>
    <v>185.82</v>
    <v>192.42</v>
    <v>194.86</v>
    <v>197.12</v>
    <v>194.07</v>
    <v>197.11</v>
    <v>199.6</v>
    <v>196.33</v>
    <v>195.95</v>
    <v>194.39</v>
    <v>197.67</v>
    <v>196.27</v>
    <v>198.11</v>
    <v>202.05</v>
    <v>199.78</v>
    <v>199.24</v>
    <v>203.32</v>
    <v>201.69</v>
    <v>204.3</v>
    <v>202.34</v>
    <v>200.57</v>
    <v>204.64</v>
    <v>197.58</v>
    <v>196.97</v>
    <v>201.82</v>
    <v>201.42</v>
    <v>203.99</v>
    <v>206.06</v>
    <v>192.07</v>
    <v>187.39</v>
    <v>190.72</v>
    <v>192.25</v>
    <v>192.59</v>
    <v>196.28</v>
    <v>195.78</v>
    <v>199.88</v>
    <v>196.73</v>
    <v>199.22</v>
    <v>201.16</v>
    <v>203.27</v>
    <v>204.5</v>
    <v>193.84</v>
    <v>183.03</v>
    <v>173.6</v>
    <v>172.88</v>
    <v>171</v>
    <v>169.09</v>
    <v>172.89</v>
    <v>168.1</v>
    <v>167.06</v>
    <v>168.17</v>
    <v>175.4</v>
    <v>176.86</v>
    <v>173.55</v>
    <v>177.09</v>
    <v>176.17</v>
    <v>181.56</v>
    <v>184.43</v>
    <v>183.32</v>
    <v>185.88</v>
    <v>184.55</v>
    <v>184.23</v>
    <v>187.61</v>
    <v>191.02</v>
    <v>190.52</v>
    <v>190.52</v>
    <v>191.53</v>
    <v>192.35</v>
    <v>194.46</v>
    <v>197.38</v>
    <v>197.55</v>
    <v>197.33</v>
    <v>198.33</v>
    <v>196.29</v>
    <v>201.28</v>
    <v>201.34</v>
    <v>203.12</v>
    <v>205.68</v>
    <v>208.19</v>
    <v>208.18</v>
    <v>203.25</v>
    <v>200.7</v>
    <v>202.21</v>
    <v>202.37</v>
    <v>203.96</v>
    <v>203.62</v>
    <v>206.8</v>
    <v>209.3</v>
    <v>207.19</v>
    <v>212.58</v>
    <v>211.04</v>
    <v>217.79</v>
    <v>215.17</v>
    <v>208.55</v>
    <v>213.28</v>
    <v>207.56</v>
    <v>206.7</v>
    <v>205.51</v>
    <v>207.89</v>
    <v>211.82</v>
    <v>214.4</v>
    <v>212.42</v>
    <v>215.02</v>
    <v>217.11</v>
    <v>220.29</v>
    <v>221.38</v>
    <v>217.16</v>
    <v>218.27</v>
    <v>220.24</v>
    <v>219.23</v>
    <v>214.52</v>
    <v>213.18</v>
    <v>211.37</v>
    <v>212.285</v>
    <v>216.54</v>
    <v>218.27</v>
    <v>210.04</v>
    <v>204.77</v>
    <v>205.25</v>
    <v>202.9</v>
    <v>201</v>
    <v>199.9</v>
    <v>185.07</v>
    <v>182.9</v>
    <v>183.89</v>
    <v>186.27</v>
    <v>185.35</v>
    <v>190.13</v>
    <v>187.73</v>
    <v>189.88</v>
    <v>193.63</v>
    <v>195.68</v>
    <v>198.84</v>
    <v>195.35</v>
    <v>195</v>
    <v>192.96</v>
    <v>190.36</v>
    <v>191.69</v>
    <v>185.88</v>
    <v>187.09</v>
    <v>183.44</v>
    <v>185.88</v>
    <v>186.88</v>
    <v>189.49</v>
    <v>188.12</v>
    <v>187.22</v>
    <v>188.45</v>
    <v>186.85</v>
    <v>186.85</v>
    <v>184.2</v>
    <v>179.37</v>
    <v>182.12</v>
    <v>185.86</v>
    <v>193.9</v>
    <v>190.8</v>
    <v>189.02</v>
    <v>188.88</v>
    <v>190.85</v>
    <v>190.93</v>
    <v>187.73</v>
    <v>187.66</v>
    <v>184.06</v>
    <v>181.47</v>
    <v>182.27</v>
    <v>180.18</v>
    <v>184.22</v>
    <v>183.5</v>
    <v>183.74</v>
    <v>176.2</v>
    <v>176.97</v>
    <v>175.42</v>
    <v>166.24</v>
    <v>166.72</v>
    <v>154.77000000000001</v>
    <v>159.32</v>
    <v>166</v>
    <v>165.51</v>
    <v>165.3</v>
    <v>162.81</v>
    <v>166.95</v>
    <v>163.5</v>
    <v>152.35</v>
    <v>150.99</v>
    <v>148.69999999999999</v>
    <v>144.13999999999999</v>
    <v>141.66999999999999</v>
    <v>144.84</v>
    <v>149.4</v>
    <v>148.91999999999999</v>
    <v>150.15</v>
    <v>156.09</v>
    <v>158.56</v>
    <v>163.16</v>
    <v>165.05</v>
    <v>165.1</v>
    <v>165.58</v>
    <v>164.93</v>
    <v>168.12</v>
    <v>167.01499999999999</v>
    <v>167.45</v>
    <v>169.19</v>
    <v>168.91</v>
    <v>169.74</v>
    <v>162.94999999999999</v>
    <v>164.05</v>
    <v>157.21</v>
    <v>153.22</v>
    <v>156.36000000000001</v>
    <v>147.02000000000001</v>
    <v>154.35</v>
    <v>160.32</v>
    <v>160.66999999999999</v>
    <v>163.21</v>
    <v>161.94999999999999</v>
    <v>169.87</v>
    <v>173.78</v>
    <v>166.99</v>
    <v>155.72999999999999</v>
    <v>162.51</v>
    <v>161.59</v>
    <v>164.11</v>
    <v>166.97</v>
    <v>167.85</v>
    <v>169.56</v>
    <v>174.96</v>
    <v>181.2</v>
    <v>173.21</v>
    <v>178.54</v>
    <v>182.9</v>
    <v>180.99</v>
    <v>181.54</v>
    <v>179.32</v>
    <v>181.08</v>
    <v>184.56</v>
    <v>183.98</v>
    <v>183.68</v>
    <v>196.53</v>
    <v>207.88</v>
    <v>213.66</v>
    <v>215.6</v>
    <v>227.79</v>
    <v>238.21</v>
    <v>242.83</v>
    <v>247.55</v>
    <v>240.13</v>
    <v>246.66</v>
    <v>252.92</v>
    <v>260.58</v>
    <v>256.75</v>
    <v>248.47</v>
    <v>257.77</v>
    <v>281.69</v>
    <v>300.48</v>
    <v>297.18</v>
    <v>280.43</v>
    <v>279.25</v>
    <v>272.05</v>
    <v>266.33</v>
    <v>260.52</v>
    <v>263.22000000000003</v>
    <v>279.52999999999997</v>
    <v>279.62</v>
    <v>284.54000000000002</v>
    <v>279.89999999999998</v>
    <v>282.13</v>
    <v>287.77999999999997</v>
    <v>286.39999999999998</v>
    <v>290.91500000000002</v>
    <v>285.26</v>
    <v>293.08999999999997</v>
    <v>304.2</v>
    <v>332</v>
    <v>341.02</v>
    <v>352.04</v>
    <v>348.06</v>
    <v>357.53</v>
    <v>337.04</v>
    <v>320.58999999999997</v>
    <v>338.31</v>
    <v>325.91000000000003</v>
    <v>330.3</v>
    <v>352.89</v>
    <v>354.02</v>
    <v>353.99</v>
    <v>358.68</v>
    <v>348.66</v>
    <v>342.15</v>
    <v>335.28</v>
    <v>325.63</v>
    <v>323.79000000000002</v>
    <v>317.32</v>
    <v>319</v>
    <v>314.14999999999998</v>
    <v>325.68</v>
    <v>331.83</v>
    <v>347.13</v>
    <v>366.34</v>
    <v>362.66</v>
    <v>359.49</v>
    <v>363.86</v>
    <v>385.04</v>
    <v>383.8</v>
    <v>387.01</v>
    <v>396</v>
    <v>384.27</v>
    <v>375.76</v>
    <v>374.14</v>
    <v>359.76</v>
    <v>349.56</v>
    <v>357.87</v>
    <v>350.9</v>
    <v>339.9</v>
    <v>339.31</v>
    <v>382.85</v>
    <v>371.59</v>
    <v>382.13</v>
    <v>362.09</v>
    <v>328.48</v>
    <v>331.94</v>
    <v>333.26</v>
    <v>336.98</v>
    <v>335.1</v>
    <v>338.49</v>
    <v>330.65</v>
    <v>373.94</v>
    <v>375.09</v>
    <v>375.65</v>
    <v>375.06</v>
    <v>363.58</v>
    <v>371.76</v>
    <v>374.57</v>
    <v>393.3</v>
    <v>389.92</v>
    <v>374.74</v>
    <v>392.09</v>
    <v>388.41</v>
    <v>397.31</v>
    <v>396.25</v>
    <v>403.24</v>
    <v>406.76</v>
    <v>419.91</v>
    <v>405.57</v>
    <v>398.5</v>
    <v>418.78</v>
    <v>403.83</v>
    <v>397.03</v>
    <v>375.04</v>
    <v>370.27</v>
    <v>342</v>
    <v>346.95</v>
    <v>340.28</v>
    <v>347.25</v>
    <v>354.92</v>
    <v>380.55</v>
  </a>
  <a r="1" c="209">
    <v>40.96</v>
    <v>40.950000000000003</v>
    <v>40.82</v>
    <v>40.54</v>
    <v>40.299999999999997</v>
    <v>40.44</v>
    <v>39.99</v>
    <v>39.75</v>
    <v>39</v>
    <v>39.090000000000003</v>
    <v>39.36</v>
    <v>39.270000000000003</v>
    <v>39.369999999999997</v>
    <v>38.880000000000003</v>
    <v>38</v>
    <v>38.29</v>
    <v>37.71</v>
    <v>37.909999999999997</v>
    <v>37.76</v>
    <v>38.06</v>
    <v>38.119999999999997</v>
    <v>38.43</v>
    <v>38.93</v>
    <v>39.31</v>
    <v>40.130000000000003</v>
    <v>39.46</v>
    <v>39.659999999999997</v>
    <v>39.54</v>
    <v>38.46</v>
    <v>37.79</v>
    <v>37.92</v>
    <v>37.46</v>
    <v>37.729999999999997</v>
    <v>38.76</v>
    <v>38.75</v>
    <v>39.119999999999997</v>
    <v>39.799999999999997</v>
    <v>39.82</v>
    <v>40</v>
    <v>40.21</v>
    <v>40.86</v>
    <v>41.46</v>
    <v>40.53</v>
    <v>38.96</v>
    <v>38.76</v>
    <v>38.049999999999997</v>
    <v>37.89</v>
    <v>37.479999999999997</v>
    <v>38.17</v>
    <v>37.92</v>
    <v>38.14</v>
    <v>38.299999999999997</v>
    <v>38.4</v>
    <v>39.18</v>
    <v>39.24</v>
    <v>38.44</v>
    <v>37.700000000000003</v>
    <v>37.869999999999997</v>
    <v>37.9</v>
    <v>38.1</v>
    <v>37.9</v>
    <v>37.950000000000003</v>
    <v>38.81</v>
    <v>39.24</v>
    <v>40.17</v>
    <v>40.51</v>
    <v>40.33</v>
    <v>41.26</v>
    <v>41.44</v>
    <v>41.11</v>
    <v>41.26</v>
    <v>41.83</v>
    <v>42.14</v>
    <v>42.29</v>
    <v>42.62</v>
    <v>42.45</v>
    <v>42.42</v>
    <v>41.44</v>
    <v>41.29</v>
    <v>41.03</v>
    <v>40.770000000000003</v>
    <v>40.98</v>
    <v>40.229999999999997</v>
    <v>40.94</v>
    <v>40.07</v>
    <v>40.29</v>
    <v>41.8</v>
    <v>41.58</v>
    <v>41.04</v>
    <v>39.5</v>
    <v>39.1</v>
    <v>38.9</v>
    <v>39.479999999999997</v>
    <v>39.18</v>
    <v>40.06</v>
    <v>40.33</v>
    <v>40.36</v>
    <v>40.11</v>
    <v>40.119999999999997</v>
    <v>40.47</v>
    <v>40.43</v>
    <v>40.57</v>
    <v>39.72</v>
    <v>39.729999999999997</v>
    <v>39.57</v>
    <v>39.78</v>
    <v>39.03</v>
    <v>39.44</v>
    <v>39.520000000000003</v>
    <v>39.700000000000003</v>
    <v>40.17</v>
    <v>40.53</v>
    <v>40.47</v>
    <v>40.86</v>
    <v>41.88</v>
    <v>42.35</v>
    <v>42.53</v>
    <v>42.4</v>
    <v>42.5</v>
    <v>42.81</v>
    <v>42.72</v>
    <v>42.8</v>
    <v>43.09</v>
    <v>43.41</v>
    <v>43.39</v>
    <v>43.85</v>
    <v>43.5</v>
    <v>43.83</v>
    <v>43.71</v>
    <v>44.17</v>
    <v>44.3</v>
    <v>44.01</v>
    <v>44.3</v>
    <v>44.27</v>
    <v>44.32</v>
    <v>44.31</v>
    <v>43.94</v>
    <v>44.5</v>
    <v>44.8</v>
    <v>44.76</v>
    <v>44.79</v>
    <v>44.91</v>
    <v>44.76</v>
    <v>44.83</v>
    <v>45.19</v>
    <v>45.57</v>
    <v>45.01</v>
    <v>45.22</v>
    <v>44.94</v>
    <v>44.63</v>
    <v>44.63</v>
    <v>44.67</v>
    <v>45.05</v>
    <v>45.05</v>
    <v>44.91</v>
    <v>44.83</v>
    <v>44.73</v>
    <v>44.64</v>
    <v>45.05</v>
    <v>44.61</v>
    <v>44.55</v>
    <v>43.98</v>
    <v>43.53</v>
    <v>43.72</v>
    <v>44.11</v>
    <v>43.68</v>
    <v>43.71</v>
    <v>42.92</v>
    <v>43.61</v>
    <v>43.1</v>
    <v>43.71</v>
    <v>43.31</v>
    <v>44.21</v>
    <v>44.64</v>
    <v>44.16</v>
    <v>43.66</v>
    <v>42.94</v>
    <v>42.97</v>
    <v>43.19</v>
    <v>43.67</v>
    <v>43.62</v>
    <v>44.21</v>
    <v>45.06</v>
    <v>44.73</v>
    <v>44.84</v>
    <v>43.91</v>
    <v>43.21</v>
    <v>43.97</v>
    <v>44</v>
    <v>43.98</v>
    <v>43.49</v>
    <v>42.54</v>
    <v>41.9</v>
    <v>42.07</v>
    <v>42.15</v>
    <v>42.77</v>
    <v>42.03</v>
    <v>41.42</v>
    <v>41.52</v>
    <v>41.81</v>
    <v>42.01</v>
    <v>42.45</v>
    <v>42.85</v>
    <v>42.97</v>
    <v>42.42</v>
    <v>42.85</v>
    <v>43.2</v>
    <v>42.02</v>
    <v>41.71</v>
  </a>
  <a r="1" c="767">
    <v>27.245000000000001</v>
    <v>27.335000000000001</v>
    <v>27.59</v>
    <v>27.52</v>
    <v>27.454999999999998</v>
    <v>27.84</v>
    <v>27.954999999999998</v>
    <v>28.285</v>
    <v>28.52</v>
    <v>28.17</v>
    <v>27.83</v>
    <v>27.425000000000001</v>
    <v>27.715</v>
    <v>27.68</v>
    <v>27.725000000000001</v>
    <v>28.05</v>
    <v>28.114999999999998</v>
    <v>27.87</v>
    <v>27.975000000000001</v>
    <v>28.385000000000002</v>
    <v>28.335000000000001</v>
    <v>28.2</v>
    <v>28.24</v>
    <v>28.24</v>
    <v>28.454999999999998</v>
    <v>28.36</v>
    <v>28.48</v>
    <v>28.44</v>
    <v>28.594999999999999</v>
    <v>28.895</v>
    <v>29.045000000000002</v>
    <v>29.27</v>
    <v>29.664999999999999</v>
    <v>29.895</v>
    <v>29.995000000000001</v>
    <v>30.06</v>
    <v>30.07</v>
    <v>29.76</v>
    <v>29.254999999999999</v>
    <v>29.17</v>
    <v>29.11</v>
    <v>29.33</v>
    <v>29.375</v>
    <v>29.524999999999999</v>
    <v>29.64</v>
    <v>29.58</v>
    <v>29.43</v>
    <v>29.49</v>
    <v>29.72</v>
    <v>29.69</v>
    <v>29.914999999999999</v>
    <v>29.875</v>
    <v>29.91</v>
    <v>29.635000000000002</v>
    <v>29.535</v>
    <v>29.23</v>
    <v>29.42</v>
    <v>29.42</v>
    <v>29.61</v>
    <v>29.524999999999999</v>
    <v>29.965</v>
    <v>30.565000000000001</v>
    <v>30.715</v>
    <v>30.614999999999998</v>
    <v>30.94</v>
    <v>30.75</v>
    <v>30.92</v>
    <v>31.03</v>
    <v>31.135000000000002</v>
    <v>31.16</v>
    <v>30.5</v>
    <v>30.535</v>
    <v>30.41</v>
    <v>30.64</v>
    <v>30.44</v>
    <v>30.074999999999999</v>
    <v>29.99</v>
    <v>30.63</v>
    <v>30.635000000000002</v>
    <v>30.635000000000002</v>
    <v>30.78</v>
    <v>30.98</v>
    <v>31.01</v>
    <v>31.164999999999999</v>
    <v>31.175000000000001</v>
    <v>32.06</v>
    <v>32.299999999999997</v>
    <v>32.375</v>
    <v>32.384999999999998</v>
    <v>32.71</v>
    <v>32.880000000000003</v>
    <v>32.36</v>
    <v>32.619999999999997</v>
    <v>32.725000000000001</v>
    <v>32.729999999999997</v>
    <v>33.1</v>
    <v>33.520000000000003</v>
    <v>33.28</v>
    <v>33.96</v>
    <v>33.82</v>
    <v>34.005000000000003</v>
    <v>34.325000000000003</v>
    <v>34.234999999999999</v>
    <v>34.619999999999997</v>
    <v>34.594999999999999</v>
    <v>34.65</v>
    <v>34.479999999999997</v>
    <v>34.575000000000003</v>
    <v>34.6</v>
    <v>34.69</v>
    <v>34.814999999999998</v>
    <v>34.76</v>
    <v>34.869999999999997</v>
    <v>34.85</v>
    <v>34.14</v>
    <v>34.33</v>
    <v>33.86</v>
    <v>33.85</v>
    <v>33.450000000000003</v>
    <v>33.659999999999997</v>
    <v>33.82</v>
    <v>33.22</v>
    <v>33.46</v>
    <v>33.82</v>
    <v>33.9</v>
    <v>34.33</v>
    <v>34.92</v>
    <v>34.25</v>
    <v>33.799999999999997</v>
    <v>33.85</v>
    <v>34.19</v>
    <v>32.44</v>
    <v>31.87</v>
    <v>31.43</v>
    <v>32.21</v>
    <v>32.64</v>
    <v>33.28</v>
    <v>33.450000000000003</v>
    <v>33.72</v>
    <v>33.69</v>
    <v>33.42</v>
    <v>33.369999999999997</v>
    <v>33.549999999999997</v>
    <v>33.69</v>
    <v>33.75</v>
    <v>33.909999999999997</v>
    <v>33.56</v>
    <v>33.380000000000003</v>
    <v>33.6</v>
    <v>33.69</v>
    <v>33.369999999999997</v>
    <v>33.04</v>
    <v>33.08</v>
    <v>33.049999999999997</v>
    <v>33.14</v>
    <v>32.76</v>
    <v>33.11</v>
    <v>33.409999999999997</v>
    <v>33.18</v>
    <v>32.33</v>
    <v>31.8</v>
    <v>32.25</v>
    <v>30.95</v>
    <v>29.43</v>
    <v>29.98</v>
    <v>30.53</v>
    <v>30.47</v>
    <v>30.94</v>
    <v>30.56</v>
    <v>30.9</v>
    <v>30.76</v>
    <v>30.66</v>
    <v>30.37</v>
    <v>30.57</v>
    <v>31.26</v>
    <v>31.14</v>
    <v>31.67</v>
    <v>32.08</v>
    <v>31.96</v>
    <v>32.01</v>
    <v>31.63</v>
    <v>31.97</v>
    <v>32.07</v>
    <v>32.25</v>
    <v>32.18</v>
    <v>32</v>
    <v>31.98</v>
    <v>32.25</v>
    <v>31.94</v>
    <v>32.21</v>
    <v>32.43</v>
    <v>32.11</v>
    <v>32.24</v>
    <v>32.479999999999997</v>
    <v>32.229999999999997</v>
    <v>32.69</v>
    <v>32.49</v>
    <v>31.81</v>
    <v>32.26</v>
    <v>31.4</v>
    <v>31.31</v>
    <v>32.03</v>
    <v>32.14</v>
    <v>32.6</v>
    <v>32.35</v>
    <v>32.39</v>
    <v>32.72</v>
    <v>33.07</v>
    <v>33.36</v>
    <v>33.44</v>
    <v>33.479999999999997</v>
    <v>33.47</v>
    <v>33.590000000000003</v>
    <v>33.950000000000003</v>
    <v>33.950000000000003</v>
    <v>34.049999999999997</v>
    <v>34.31</v>
    <v>34.299999999999997</v>
    <v>34.4</v>
    <v>34.65</v>
    <v>34.64</v>
    <v>34.51</v>
    <v>34.72</v>
    <v>34.49</v>
    <v>34.909999999999997</v>
    <v>34.96</v>
    <v>35.299999999999997</v>
    <v>35.6</v>
    <v>36.08</v>
    <v>36.19</v>
    <v>36.15</v>
    <v>35.99</v>
    <v>36.229999999999997</v>
    <v>36.25</v>
    <v>36.14</v>
    <v>36.159999999999997</v>
    <v>35.5</v>
    <v>35.78</v>
    <v>35.53</v>
    <v>34.53</v>
    <v>34.42</v>
    <v>34.44</v>
    <v>33.92</v>
    <v>34.369999999999997</v>
    <v>34.46</v>
    <v>34.36</v>
    <v>34.700000000000003</v>
    <v>34.86</v>
    <v>35.090000000000003</v>
    <v>35.39</v>
    <v>35.82</v>
    <v>35.76</v>
    <v>35.97</v>
    <v>36.08</v>
    <v>35.72</v>
    <v>35.4</v>
    <v>35.11</v>
    <v>35.28</v>
    <v>34.89</v>
    <v>35.33</v>
    <v>35.14</v>
    <v>34.840000000000003</v>
    <v>34.520000000000003</v>
    <v>34.28</v>
    <v>34.07</v>
    <v>34.39</v>
    <v>34.46</v>
    <v>34.130000000000003</v>
    <v>33.86</v>
    <v>34.200000000000003</v>
    <v>33.200000000000003</v>
    <v>33.299999999999997</v>
    <v>33.64</v>
    <v>33.880000000000003</v>
    <v>34.25</v>
    <v>34.04</v>
    <v>34.03</v>
    <v>34.200000000000003</v>
    <v>34.08</v>
    <v>34.07</v>
    <v>33.659999999999997</v>
    <v>32.21</v>
    <v>32.5</v>
    <v>32.979999999999997</v>
    <v>32.54</v>
    <v>32.29</v>
    <v>32.83</v>
    <v>33.65</v>
    <v>34</v>
    <v>34.07</v>
    <v>33.700000000000003</v>
    <v>33.67</v>
    <v>33.56</v>
    <v>34.1</v>
    <v>33.96</v>
    <v>33.74</v>
    <v>33.799999999999997</v>
    <v>33.78</v>
    <v>33.51</v>
    <v>33.64</v>
    <v>33.57</v>
    <v>34.08</v>
    <v>34.119999999999997</v>
    <v>34.32</v>
    <v>34.42</v>
    <v>34.07</v>
    <v>34.450000000000003</v>
    <v>34.76</v>
    <v>34.85</v>
    <v>34.409999999999997</v>
    <v>33.840000000000003</v>
    <v>33.479999999999997</v>
    <v>33.659999999999997</v>
    <v>34.4</v>
    <v>35.08</v>
    <v>35.36</v>
    <v>35.340000000000003</v>
    <v>35.25</v>
    <v>35.72</v>
    <v>36.119999999999997</v>
    <v>35.9</v>
    <v>36.35</v>
    <v>36.67</v>
    <v>36.479999999999997</v>
    <v>36.69</v>
    <v>36.65</v>
    <v>36.369999999999997</v>
    <v>37.06</v>
    <v>36.950000000000003</v>
    <v>37.380000000000003</v>
    <v>37.56</v>
    <v>37.74</v>
    <v>38</v>
    <v>38.03</v>
    <v>38</v>
    <v>37.53</v>
    <v>37.590000000000003</v>
    <v>37.53</v>
    <v>36.770000000000003</v>
    <v>36.840000000000003</v>
    <v>36.979999999999997</v>
    <v>37.1</v>
    <v>37.549999999999997</v>
    <v>38.24</v>
    <v>37.71</v>
    <v>37.44</v>
    <v>38.15</v>
    <v>37.96</v>
    <v>38.32</v>
    <v>38.65</v>
    <v>38.76</v>
    <v>38.520000000000003</v>
    <v>38.03</v>
    <v>38.82</v>
    <v>38.76</v>
    <v>38.83</v>
    <v>39.26</v>
    <v>39.909999999999997</v>
    <v>39.840000000000003</v>
    <v>39.64</v>
    <v>39.51</v>
    <v>39.58</v>
    <v>40.14</v>
    <v>40.06</v>
    <v>40.1</v>
    <v>39.99</v>
    <v>39.4</v>
    <v>40</v>
    <v>40.4</v>
    <v>39.729999999999997</v>
    <v>37.57</v>
    <v>35.19</v>
    <v>36.43</v>
    <v>35.380000000000003</v>
    <v>37.200000000000003</v>
    <v>37.130000000000003</v>
    <v>38.1</v>
    <v>38.880000000000003</v>
    <v>39.159999999999997</v>
    <v>39.51</v>
    <v>40.04</v>
    <v>40.33</v>
    <v>40.229999999999997</v>
    <v>40.57</v>
    <v>40.94</v>
    <v>41.32</v>
    <v>41.57</v>
    <v>42.33</v>
    <v>41.13</v>
    <v>40.93</v>
    <v>40.65</v>
    <v>41.12</v>
    <v>41.67</v>
    <v>40.69</v>
    <v>40.479999999999997</v>
    <v>40.659999999999997</v>
    <v>40.76</v>
    <v>41.25</v>
    <v>41.67</v>
    <v>41.61</v>
    <v>41.69</v>
    <v>41.57</v>
    <v>40.97</v>
    <v>41.3</v>
    <v>41.32</v>
    <v>41.07</v>
    <v>41.46</v>
    <v>41.51</v>
    <v>41.89</v>
    <v>42.13</v>
    <v>42.35</v>
    <v>42.5</v>
    <v>42.71</v>
    <v>42.39</v>
    <v>42.2</v>
    <v>42.1</v>
    <v>41.88</v>
    <v>41.62</v>
    <v>42</v>
    <v>41.63</v>
    <v>41.76</v>
    <v>41.58</v>
    <v>42.6</v>
    <v>41.73</v>
    <v>41.88</v>
    <v>41.76</v>
    <v>41.59</v>
    <v>41.96</v>
    <v>41.67</v>
    <v>41.06</v>
    <v>40.64</v>
    <v>41.4</v>
    <v>41</v>
    <v>41.53</v>
    <v>41.45</v>
    <v>42.05</v>
    <v>41.64</v>
    <v>41.69</v>
    <v>41.77</v>
    <v>41.42</v>
    <v>41.34</v>
    <v>41.59</v>
    <v>41.89</v>
    <v>42</v>
    <v>41.51</v>
    <v>41.99</v>
    <v>42.2</v>
    <v>42.27</v>
    <v>42.15</v>
    <v>42.46</v>
    <v>42.61</v>
    <v>42.68</v>
    <v>39.33</v>
    <v>39.979999999999997</v>
    <v>40.6</v>
    <v>40.76</v>
    <v>41.57</v>
    <v>41.39</v>
    <v>41.62</v>
    <v>42.12</v>
    <v>42.67</v>
    <v>42.89</v>
    <v>43.4</v>
    <v>42.78</v>
    <v>42.93</v>
    <v>43.31</v>
    <v>43.05</v>
    <v>42.59</v>
    <v>40.96</v>
    <v>39.31</v>
    <v>39.92</v>
    <v>39.9</v>
    <v>39.79</v>
    <v>39.78</v>
    <v>39.200000000000003</v>
    <v>39.33</v>
    <v>39.81</v>
    <v>39.51</v>
    <v>39.76</v>
    <v>39.85</v>
    <v>39.97</v>
    <v>40.25</v>
    <v>40.21</v>
    <v>40.4</v>
    <v>39.700000000000003</v>
    <v>39.57</v>
    <v>39.58</v>
    <v>39.89</v>
    <v>40.049999999999997</v>
    <v>40.020000000000003</v>
    <v>39.799999999999997</v>
    <v>39.93</v>
    <v>40.659999999999997</v>
    <v>40.56</v>
    <v>40.64</v>
    <v>40.64</v>
    <v>40.56</v>
    <v>40.380000000000003</v>
    <v>39.44</v>
    <v>39.14</v>
    <v>39.83</v>
    <v>39.799999999999997</v>
    <v>39.56</v>
    <v>39.51</v>
    <v>40.18</v>
    <v>40.17</v>
    <v>40.200000000000003</v>
    <v>39.409999999999997</v>
    <v>39.119999999999997</v>
    <v>39.33</v>
    <v>39.340000000000003</v>
    <v>39.39</v>
    <v>39.4</v>
    <v>39.61</v>
    <v>39.700000000000003</v>
    <v>39.229999999999997</v>
    <v>39.340000000000003</v>
    <v>37.630000000000003</v>
    <v>37.770000000000003</v>
    <v>37.869999999999997</v>
    <v>38.11</v>
    <v>37.78</v>
    <v>37.51</v>
    <v>37.94</v>
    <v>38.19</v>
    <v>38.54</v>
    <v>38.950000000000003</v>
    <v>38.49</v>
    <v>38.24</v>
    <v>37.86</v>
    <v>37.799999999999997</v>
    <v>37.78</v>
    <v>38.14</v>
    <v>38.24</v>
    <v>38.299999999999997</v>
    <v>38.74</v>
    <v>38.93</v>
    <v>38.9</v>
    <v>38.619999999999997</v>
    <v>38.590000000000003</v>
    <v>38.19</v>
    <v>38.56</v>
    <v>38.549999999999997</v>
    <v>38.82</v>
    <v>39.03</v>
    <v>39.24</v>
    <v>39.909999999999997</v>
    <v>40.380000000000003</v>
    <v>40.74</v>
    <v>40.549999999999997</v>
    <v>40.99</v>
    <v>40.83</v>
    <v>41.2</v>
    <v>41.1</v>
    <v>41.11</v>
    <v>41.14</v>
    <v>40.86</v>
    <v>41.14</v>
    <v>40.96</v>
    <v>40.950000000000003</v>
    <v>40.82</v>
    <v>40.54</v>
    <v>40.299999999999997</v>
    <v>40.44</v>
    <v>39.99</v>
    <v>39.75</v>
    <v>39</v>
    <v>39.090000000000003</v>
    <v>39.36</v>
    <v>39.270000000000003</v>
    <v>39.369999999999997</v>
    <v>38.880000000000003</v>
    <v>38</v>
    <v>38.29</v>
    <v>37.71</v>
    <v>37.909999999999997</v>
    <v>37.76</v>
    <v>38.06</v>
    <v>38.119999999999997</v>
    <v>38.43</v>
    <v>38.93</v>
    <v>39.31</v>
    <v>40.130000000000003</v>
    <v>39.46</v>
    <v>39.659999999999997</v>
    <v>39.54</v>
    <v>38.46</v>
    <v>37.79</v>
    <v>37.92</v>
    <v>37.46</v>
    <v>37.729999999999997</v>
    <v>38.76</v>
    <v>38.75</v>
    <v>39.119999999999997</v>
    <v>39.799999999999997</v>
    <v>39.82</v>
    <v>40</v>
    <v>40.21</v>
    <v>40.86</v>
    <v>41.46</v>
    <v>40.53</v>
    <v>38.96</v>
    <v>38.76</v>
    <v>38.049999999999997</v>
    <v>37.89</v>
    <v>37.479999999999997</v>
    <v>38.17</v>
    <v>37.92</v>
    <v>38.14</v>
    <v>38.299999999999997</v>
    <v>38.4</v>
    <v>39.18</v>
    <v>39.24</v>
    <v>38.44</v>
    <v>37.700000000000003</v>
    <v>37.869999999999997</v>
    <v>37.9</v>
    <v>38.1</v>
    <v>37.9</v>
    <v>37.950000000000003</v>
    <v>38.81</v>
    <v>39.24</v>
    <v>40.17</v>
    <v>40.51</v>
    <v>40.33</v>
    <v>41.26</v>
    <v>41.44</v>
    <v>41.11</v>
    <v>41.26</v>
    <v>41.83</v>
    <v>42.14</v>
    <v>42.29</v>
    <v>42.62</v>
    <v>42.45</v>
    <v>42.42</v>
    <v>41.44</v>
    <v>41.29</v>
    <v>41.03</v>
    <v>40.770000000000003</v>
    <v>40.98</v>
    <v>40.229999999999997</v>
    <v>40.94</v>
    <v>40.07</v>
    <v>40.29</v>
    <v>41.8</v>
    <v>41.58</v>
    <v>41.04</v>
    <v>39.5</v>
    <v>39.1</v>
    <v>38.9</v>
    <v>39.479999999999997</v>
    <v>39.18</v>
    <v>40.06</v>
    <v>40.33</v>
    <v>40.36</v>
    <v>40.11</v>
    <v>40.119999999999997</v>
    <v>40.47</v>
    <v>40.43</v>
    <v>40.57</v>
    <v>39.72</v>
    <v>39.729999999999997</v>
    <v>39.57</v>
    <v>39.78</v>
    <v>39.03</v>
    <v>39.44</v>
    <v>39.520000000000003</v>
    <v>39.700000000000003</v>
    <v>40.17</v>
    <v>40.53</v>
    <v>40.47</v>
    <v>40.86</v>
    <v>41.88</v>
    <v>42.35</v>
    <v>42.53</v>
    <v>42.4</v>
    <v>42.5</v>
    <v>42.81</v>
    <v>42.72</v>
    <v>42.8</v>
    <v>43.09</v>
    <v>43.41</v>
    <v>43.39</v>
    <v>43.85</v>
    <v>43.5</v>
    <v>43.83</v>
    <v>43.71</v>
    <v>44.17</v>
    <v>44.3</v>
    <v>44.01</v>
    <v>44.3</v>
    <v>44.27</v>
    <v>44.32</v>
    <v>44.31</v>
    <v>43.94</v>
    <v>44.5</v>
    <v>44.8</v>
    <v>44.76</v>
    <v>44.79</v>
    <v>44.91</v>
    <v>44.76</v>
    <v>44.83</v>
    <v>45.19</v>
    <v>45.57</v>
    <v>45.01</v>
    <v>45.22</v>
    <v>44.94</v>
    <v>44.63</v>
    <v>44.63</v>
    <v>44.67</v>
    <v>45.05</v>
    <v>45.05</v>
    <v>44.91</v>
    <v>44.83</v>
    <v>44.73</v>
    <v>44.64</v>
    <v>45.05</v>
    <v>44.61</v>
    <v>44.55</v>
    <v>43.98</v>
    <v>43.53</v>
    <v>43.72</v>
    <v>44.11</v>
    <v>43.68</v>
    <v>43.71</v>
    <v>42.92</v>
    <v>43.61</v>
    <v>43.1</v>
    <v>43.71</v>
    <v>43.31</v>
    <v>44.21</v>
    <v>44.64</v>
    <v>44.16</v>
    <v>43.66</v>
    <v>42.94</v>
    <v>42.97</v>
    <v>43.19</v>
    <v>43.67</v>
    <v>43.62</v>
    <v>44.21</v>
    <v>45.06</v>
    <v>44.73</v>
    <v>44.84</v>
    <v>43.91</v>
    <v>43.21</v>
    <v>43.97</v>
    <v>44</v>
    <v>43.98</v>
    <v>43.49</v>
    <v>42.54</v>
    <v>41.9</v>
    <v>42.07</v>
    <v>42.15</v>
    <v>42.77</v>
    <v>42.03</v>
    <v>41.42</v>
    <v>41.52</v>
    <v>41.81</v>
    <v>42.01</v>
    <v>42.45</v>
    <v>42.85</v>
    <v>42.97</v>
    <v>42.42</v>
    <v>42.85</v>
    <v>43.2</v>
    <v>42.02</v>
    <v>41.71</v>
  </a>
  <a r="1" c="256">
    <v>39.39</v>
    <v>39.4</v>
    <v>39.61</v>
    <v>39.700000000000003</v>
    <v>39.229999999999997</v>
    <v>39.340000000000003</v>
    <v>37.630000000000003</v>
    <v>37.770000000000003</v>
    <v>37.869999999999997</v>
    <v>38.11</v>
    <v>37.78</v>
    <v>37.51</v>
    <v>37.94</v>
    <v>38.19</v>
    <v>38.54</v>
    <v>38.950000000000003</v>
    <v>38.49</v>
    <v>38.24</v>
    <v>37.86</v>
    <v>37.799999999999997</v>
    <v>37.78</v>
    <v>38.14</v>
    <v>38.24</v>
    <v>38.299999999999997</v>
    <v>38.74</v>
    <v>38.93</v>
    <v>38.9</v>
    <v>38.619999999999997</v>
    <v>38.590000000000003</v>
    <v>38.19</v>
    <v>38.56</v>
    <v>38.549999999999997</v>
    <v>38.82</v>
    <v>39.03</v>
    <v>39.24</v>
    <v>39.909999999999997</v>
    <v>40.380000000000003</v>
    <v>40.74</v>
    <v>40.549999999999997</v>
    <v>40.99</v>
    <v>40.83</v>
    <v>41.2</v>
    <v>41.1</v>
    <v>41.11</v>
    <v>41.14</v>
    <v>40.86</v>
    <v>41.14</v>
    <v>40.96</v>
    <v>40.950000000000003</v>
    <v>40.82</v>
    <v>40.54</v>
    <v>40.299999999999997</v>
    <v>40.44</v>
    <v>39.99</v>
    <v>39.75</v>
    <v>39</v>
    <v>39.090000000000003</v>
    <v>39.36</v>
    <v>39.270000000000003</v>
    <v>39.369999999999997</v>
    <v>38.880000000000003</v>
    <v>38</v>
    <v>38.29</v>
    <v>37.71</v>
    <v>37.909999999999997</v>
    <v>37.76</v>
    <v>38.06</v>
    <v>38.119999999999997</v>
    <v>38.43</v>
    <v>38.93</v>
    <v>39.31</v>
    <v>40.130000000000003</v>
    <v>39.46</v>
    <v>39.659999999999997</v>
    <v>39.54</v>
    <v>38.46</v>
    <v>37.79</v>
    <v>37.92</v>
    <v>37.46</v>
    <v>37.729999999999997</v>
    <v>38.76</v>
    <v>38.75</v>
    <v>39.119999999999997</v>
    <v>39.799999999999997</v>
    <v>39.82</v>
    <v>40</v>
    <v>40.21</v>
    <v>40.86</v>
    <v>41.46</v>
    <v>40.53</v>
    <v>38.96</v>
    <v>38.76</v>
    <v>38.049999999999997</v>
    <v>37.89</v>
    <v>37.479999999999997</v>
    <v>38.17</v>
    <v>37.92</v>
    <v>38.14</v>
    <v>38.299999999999997</v>
    <v>38.4</v>
    <v>39.18</v>
    <v>39.24</v>
    <v>38.44</v>
    <v>37.700000000000003</v>
    <v>37.869999999999997</v>
    <v>37.9</v>
    <v>38.1</v>
    <v>37.9</v>
    <v>37.950000000000003</v>
    <v>38.81</v>
    <v>39.24</v>
    <v>40.17</v>
    <v>40.51</v>
    <v>40.33</v>
    <v>41.26</v>
    <v>41.44</v>
    <v>41.11</v>
    <v>41.26</v>
    <v>41.83</v>
    <v>42.14</v>
    <v>42.29</v>
    <v>42.62</v>
    <v>42.45</v>
    <v>42.42</v>
    <v>41.44</v>
    <v>41.29</v>
    <v>41.03</v>
    <v>40.770000000000003</v>
    <v>40.98</v>
    <v>40.229999999999997</v>
    <v>40.94</v>
    <v>40.07</v>
    <v>40.29</v>
    <v>41.8</v>
    <v>41.58</v>
    <v>41.04</v>
    <v>39.5</v>
    <v>39.1</v>
    <v>38.9</v>
    <v>39.479999999999997</v>
    <v>39.18</v>
    <v>40.06</v>
    <v>40.33</v>
    <v>40.36</v>
    <v>40.11</v>
    <v>40.119999999999997</v>
    <v>40.47</v>
    <v>40.43</v>
    <v>40.57</v>
    <v>39.72</v>
    <v>39.729999999999997</v>
    <v>39.57</v>
    <v>39.78</v>
    <v>39.03</v>
    <v>39.44</v>
    <v>39.520000000000003</v>
    <v>39.700000000000003</v>
    <v>40.17</v>
    <v>40.53</v>
    <v>40.47</v>
    <v>40.86</v>
    <v>41.88</v>
    <v>42.35</v>
    <v>42.53</v>
    <v>42.4</v>
    <v>42.5</v>
    <v>42.81</v>
    <v>42.72</v>
    <v>42.8</v>
    <v>43.09</v>
    <v>43.41</v>
    <v>43.39</v>
    <v>43.85</v>
    <v>43.5</v>
    <v>43.83</v>
    <v>43.71</v>
    <v>44.17</v>
    <v>44.3</v>
    <v>44.01</v>
    <v>44.3</v>
    <v>44.27</v>
    <v>44.32</v>
    <v>44.31</v>
    <v>43.94</v>
    <v>44.5</v>
    <v>44.8</v>
    <v>44.76</v>
    <v>44.79</v>
    <v>44.91</v>
    <v>44.76</v>
    <v>44.83</v>
    <v>45.19</v>
    <v>45.57</v>
    <v>45.01</v>
    <v>45.22</v>
    <v>44.94</v>
    <v>44.63</v>
    <v>44.63</v>
    <v>44.67</v>
    <v>45.05</v>
    <v>45.05</v>
    <v>44.91</v>
    <v>44.83</v>
    <v>44.73</v>
    <v>44.64</v>
    <v>45.05</v>
    <v>44.61</v>
    <v>44.55</v>
    <v>43.98</v>
    <v>43.53</v>
    <v>43.72</v>
    <v>44.11</v>
    <v>43.68</v>
    <v>43.71</v>
    <v>42.92</v>
    <v>43.61</v>
    <v>43.1</v>
    <v>43.71</v>
    <v>43.31</v>
    <v>44.21</v>
    <v>44.64</v>
    <v>44.16</v>
    <v>43.66</v>
    <v>42.94</v>
    <v>42.97</v>
    <v>43.19</v>
    <v>43.67</v>
    <v>43.62</v>
    <v>44.21</v>
    <v>45.06</v>
    <v>44.73</v>
    <v>44.84</v>
    <v>43.91</v>
    <v>43.21</v>
    <v>43.97</v>
    <v>44</v>
    <v>43.98</v>
    <v>43.49</v>
    <v>42.54</v>
    <v>41.9</v>
    <v>42.07</v>
    <v>42.15</v>
    <v>42.77</v>
    <v>42.03</v>
    <v>41.42</v>
    <v>41.52</v>
    <v>41.81</v>
    <v>42.01</v>
    <v>42.45</v>
    <v>42.85</v>
    <v>42.97</v>
    <v>42.42</v>
    <v>42.85</v>
    <v>43.2</v>
    <v>42.02</v>
    <v>41.71</v>
  </a>
  <a r="1" c="205">
    <v>151.94999999999999</v>
    <v>157.16</v>
    <v>164.72</v>
    <v>157.97</v>
    <v>161.83000000000001</v>
    <v>166.97</v>
    <v>157.33000000000001</v>
    <v>162.22999999999999</v>
    <v>172.99</v>
    <v>179.33</v>
    <v>170.91</v>
    <v>173.71</v>
    <v>160.22999999999999</v>
    <v>163.81</v>
    <v>160.97999999999999</v>
    <v>163.11000000000001</v>
    <v>160.58000000000001</v>
    <v>161.58000000000001</v>
    <v>158.44999999999999</v>
    <v>143.19</v>
    <v>149.71</v>
    <v>139.63</v>
    <v>133.26</v>
    <v>129.09</v>
    <v>106.99</v>
    <v>134.93</v>
    <v>138.44</v>
    <v>133</v>
    <v>126.07</v>
    <v>123</v>
    <v>133.88</v>
    <v>128.66999999999999</v>
    <v>125.2</v>
    <v>129.44999999999999</v>
    <v>131.05000000000001</v>
    <v>123.71</v>
    <v>124.61</v>
    <v>135.65</v>
    <v>133.4</v>
    <v>129.5</v>
    <v>137.65</v>
    <v>132.68</v>
    <v>146.44</v>
    <v>139.81</v>
    <v>133.53</v>
    <v>138.94999999999999</v>
    <v>138.46</v>
    <v>138.33000000000001</v>
    <v>137.34</v>
    <v>139.66999999999999</v>
    <v>147.52000000000001</v>
    <v>150.28</v>
    <v>140.56</v>
    <v>138.24</v>
    <v>135.66</v>
    <v>138.19999999999999</v>
    <v>136.25</v>
    <v>139.13</v>
    <v>132.93</v>
    <v>126.03</v>
    <v>121.44</v>
    <v>124.8</v>
    <v>122.78</v>
    <v>119.83</v>
    <v>127.69</v>
    <v>123.72</v>
    <v>128.30000000000001</v>
    <v>128.86000000000001</v>
    <v>128.63999999999999</v>
    <v>132.36000000000001</v>
    <v>137.41</v>
    <v>143.54</v>
    <v>148.94</v>
    <v>166.52</v>
    <v>170.81</v>
    <v>163.97</v>
    <v>179.36</v>
    <v>172.47</v>
    <v>171.02</v>
    <v>169.2</v>
    <v>165.71</v>
    <v>158.19</v>
    <v>165.45</v>
    <v>177.17</v>
    <v>183.8</v>
    <v>186.9</v>
    <v>186.82</v>
    <v>179.84</v>
    <v>187.59</v>
    <v>195.94</v>
    <v>184.42</v>
    <v>178.03</v>
    <v>186.97</v>
    <v>177.42</v>
    <v>166.63</v>
    <v>164.63</v>
    <v>165.81</v>
    <v>164.85</v>
    <v>159.88999999999999</v>
    <v>159.93</v>
    <v>154.19999999999999</v>
    <v>151.63999999999999</v>
    <v>159.09</v>
    <v>149.78</v>
    <v>136.08000000000001</v>
    <v>126.545</v>
    <v>129.37</v>
    <v>120.44</v>
    <v>127.2</v>
    <v>117.02</v>
    <v>115.35</v>
    <v>120.15</v>
    <v>123.97</v>
    <v>131.13999999999999</v>
    <v>122.81</v>
    <v>116.56</v>
    <v>112.53</v>
    <v>109.46</v>
    <v>103.84</v>
    <v>94.13</v>
    <v>85.33</v>
    <v>82.31</v>
    <v>92.68</v>
    <v>86.93</v>
    <v>93.39</v>
    <v>100.77</v>
    <v>100.77</v>
    <v>97.36</v>
    <v>93.87</v>
    <v>93.89</v>
    <v>94.64</v>
    <v>92.1</v>
    <v>97.58</v>
    <v>97.47</v>
    <v>94.03</v>
    <v>94.85</v>
    <v>97.82</v>
    <v>101.95</v>
    <v>100.01</v>
    <v>93.63</v>
    <v>91.67</v>
    <v>98.65</v>
    <v>96.16</v>
    <v>93.33</v>
    <v>97.74</v>
    <v>93.28</v>
    <v>94.86</v>
    <v>97.65</v>
    <v>98.37</v>
    <v>96.85</v>
    <v>100.01</v>
    <v>97.33</v>
    <v>96.09</v>
    <v>94.83</v>
    <v>97.1</v>
    <v>93.04</v>
    <v>97.68</v>
    <v>92.52</v>
    <v>104.25</v>
    <v>112.39</v>
    <v>119.25</v>
    <v>122.63</v>
    <v>126.83</v>
    <v>123.19</v>
    <v>137.4</v>
    <v>127.31</v>
    <v>132.94</v>
    <v>124.88</v>
    <v>123.19</v>
    <v>144.82</v>
    <v>142.80000000000001</v>
    <v>136.52000000000001</v>
    <v>132.69999999999999</v>
    <v>128.56</v>
    <v>130.97</v>
    <v>136.94</v>
    <v>129.6</v>
    <v>126.18</v>
    <v>132.25</v>
    <v>153.91999999999999</v>
    <v>168.5</v>
    <v>167.33</v>
    <v>162.19999999999999</v>
    <v>161.61000000000001</v>
    <v>158.61000000000001</v>
    <v>157.13999999999999</v>
    <v>154.66999999999999</v>
    <v>153.09</v>
    <v>160.5</v>
    <v>160.01</v>
    <v>164.43</v>
    <v>164.55</v>
    <v>153.37</v>
    <v>151.47</v>
    <v>154.34</v>
    <v>152.68</v>
    <v>152.18</v>
    <v>143.24</v>
    <v>151.29</v>
    <v>136.83000000000001</v>
    <v>136.02000000000001</v>
    <v>142.72</v>
    <v>153.47999999999999</v>
    <v>145.80000000000001</v>
    <v>146.01</v>
  </a>
  <a r="1" c="754">
    <v>37.749000000000002</v>
    <v>42.487000000000002</v>
    <v>43.322000000000003</v>
    <v>41.344999999999999</v>
    <v>40.676000000000002</v>
    <v>42.021999999999998</v>
    <v>42.338999999999999</v>
    <v>42.667000000000002</v>
    <v>45.363</v>
    <v>45.395000000000003</v>
    <v>45.963000000000001</v>
    <v>47.354999999999997</v>
    <v>47.45</v>
    <v>49.406999999999996</v>
    <v>50.917999999999999</v>
    <v>50.488</v>
    <v>48</v>
    <v>50.594999999999999</v>
    <v>48.908000000000001</v>
    <v>48.622</v>
    <v>50.853000000000002</v>
    <v>49.304000000000002</v>
    <v>50.787999999999997</v>
    <v>52.024000000000001</v>
    <v>49.537999999999997</v>
    <v>50.587000000000003</v>
    <v>50.71</v>
    <v>49.83</v>
    <v>52.768000000000001</v>
    <v>56.322000000000003</v>
    <v>57.75</v>
    <v>56.888500000000001</v>
    <v>57.109000000000002</v>
    <v>59.939</v>
    <v>55.58</v>
    <v>55.832000000000001</v>
    <v>58.6</v>
    <v>58.237000000000002</v>
    <v>57.040999999999997</v>
    <v>57.19</v>
    <v>57.13</v>
    <v>57.347000000000001</v>
    <v>58.195</v>
    <v>61.923999999999999</v>
    <v>60.389000000000003</v>
    <v>67.070999999999998</v>
    <v>66.787999999999997</v>
    <v>63.161999999999999</v>
    <v>68.515000000000001</v>
    <v>63.106000000000002</v>
    <v>65.581000000000003</v>
    <v>63.107999999999997</v>
    <v>59.801000000000002</v>
    <v>57.728999999999999</v>
    <v>56.567</v>
    <v>53.618000000000002</v>
    <v>48.552999999999997</v>
    <v>48.213999999999999</v>
    <v>49.9</v>
    <v>48.66</v>
    <v>48.1</v>
    <v>47.018999999999998</v>
    <v>45.018999999999998</v>
    <v>45.098999999999997</v>
    <v>45.777999999999999</v>
    <v>49.45</v>
    <v>51.381</v>
    <v>51.951000000000001</v>
    <v>50.121000000000002</v>
    <v>50.347999999999999</v>
    <v>50.01</v>
    <v>49.06</v>
    <v>49.8</v>
    <v>50.801000000000002</v>
    <v>58.780999999999999</v>
    <v>64.632000000000005</v>
    <v>71.751999999999995</v>
    <v>68.602000000000004</v>
    <v>76.988</v>
    <v>71.8</v>
    <v>69.956000000000003</v>
    <v>70.498000000000005</v>
    <v>67.28</v>
    <v>71.314999999999998</v>
    <v>68.744</v>
    <v>79.647999999999996</v>
    <v>87.18</v>
    <v>96.295000000000002</v>
    <v>102.28400000000001</v>
    <v>107.93899999999999</v>
    <v>133.40100000000001</v>
    <v>105.101</v>
    <v>124.621</v>
    <v>130.00200000000001</v>
    <v>142.559</v>
    <v>148.423</v>
    <v>159.33500000000001</v>
    <v>176.61500000000001</v>
    <v>167.685</v>
    <v>178.23599999999999</v>
    <v>150.27600000000001</v>
    <v>141.75</v>
    <v>154.65199999999999</v>
    <v>159.929</v>
    <v>152.30000000000001</v>
    <v>185.6</v>
    <v>187.69900000000001</v>
    <v>191.916</v>
    <v>170.45599999999999</v>
    <v>163.67400000000001</v>
    <v>157.88300000000001</v>
    <v>160.61099999999999</v>
    <v>161.542</v>
    <v>143.9</v>
    <v>151.29900000000001</v>
    <v>144.102</v>
    <v>156.6</v>
    <v>155.18100000000001</v>
    <v>147.958</v>
    <v>133.58799999999999</v>
    <v>125.40300000000001</v>
    <v>118.80500000000001</v>
    <v>120.816</v>
    <v>117.411</v>
    <v>132.40100000000001</v>
    <v>133.864</v>
    <v>126.56699999999999</v>
    <v>124.041</v>
    <v>128.238</v>
    <v>129.297</v>
    <v>106.503</v>
    <v>102.827</v>
    <v>112.94199999999999</v>
    <v>122.301</v>
    <v>126.881</v>
    <v>125.745</v>
    <v>123.312</v>
    <v>126.364</v>
    <v>118.048</v>
    <v>124.596</v>
    <v>129.76300000000001</v>
    <v>150.34700000000001</v>
    <v>143.99799999999999</v>
    <v>158.44999999999999</v>
    <v>172.72399999999999</v>
    <v>165.542</v>
    <v>164.7</v>
    <v>154.40700000000001</v>
    <v>168.48400000000001</v>
    <v>167.535</v>
    <v>161.87</v>
    <v>154.1</v>
    <v>152.44900000000001</v>
    <v>162.74100000000001</v>
    <v>163.87700000000001</v>
    <v>169.46899999999999</v>
    <v>165.66300000000001</v>
    <v>159.62</v>
    <v>159.99199999999999</v>
    <v>155.54900000000001</v>
    <v>160.36699999999999</v>
    <v>148.38800000000001</v>
    <v>149.554</v>
    <v>150.726</v>
    <v>146.94300000000001</v>
    <v>146.54</v>
    <v>148.376</v>
    <v>137.215</v>
    <v>149.57400000000001</v>
    <v>145.773</v>
    <v>152.54</v>
    <v>137.74799999999999</v>
    <v>136.59700000000001</v>
    <v>132.01900000000001</v>
    <v>130.209</v>
    <v>128.172</v>
    <v>129.05799999999999</v>
    <v>130.17699999999999</v>
    <v>130.572</v>
    <v>135.85599999999999</v>
    <v>139.67599999999999</v>
    <v>161.12799999999999</v>
    <v>166.43</v>
    <v>159</v>
    <v>155.51599999999999</v>
    <v>177.85</v>
    <v>180.00899999999999</v>
    <v>172.17699999999999</v>
    <v>167.26900000000001</v>
    <v>160.64699999999999</v>
    <v>175.27099999999999</v>
    <v>168.48500000000001</v>
    <v>160.40700000000001</v>
    <v>161.44399999999999</v>
    <v>151.18100000000001</v>
    <v>144.79900000000001</v>
    <v>130.9</v>
    <v>136.92099999999999</v>
    <v>124.685</v>
    <v>135.99</v>
    <v>135.37</v>
    <v>131.46</v>
    <v>135.38</v>
    <v>130.37</v>
    <v>131.93</v>
    <v>133.04</v>
    <v>135.35</v>
    <v>133.69</v>
    <v>141.41999999999999</v>
    <v>133.81</v>
    <v>150.01</v>
    <v>146.9</v>
    <v>140.01</v>
    <v>132.09</v>
    <v>132.56</v>
    <v>132.41999999999999</v>
    <v>122.32</v>
    <v>124.85</v>
    <v>119.57</v>
    <v>114.3</v>
    <v>124.82</v>
    <v>129.63999999999999</v>
    <v>129.28</v>
    <v>130.77000000000001</v>
    <v>141.47</v>
    <v>134.53</v>
    <v>131.27000000000001</v>
    <v>132.66999999999999</v>
    <v>144.66</v>
    <v>144.78</v>
    <v>149.97</v>
    <v>153.88</v>
    <v>151.94</v>
    <v>165.98</v>
    <v>176.22</v>
    <v>168.6</v>
    <v>162.69</v>
    <v>164.64</v>
    <v>163.41</v>
    <v>176.51</v>
    <v>186.09</v>
    <v>192.2</v>
    <v>188.91</v>
    <v>183.34</v>
    <v>212.59</v>
    <v>201.67</v>
    <v>194.31</v>
    <v>194.09</v>
    <v>193.42</v>
    <v>215.86</v>
    <v>219.05</v>
    <v>219.7</v>
    <v>213.95</v>
    <v>235.89</v>
    <v>234.34</v>
    <v>255.34</v>
    <v>258.24</v>
    <v>247.31</v>
    <v>244.5</v>
    <v>229.71</v>
    <v>222.99</v>
    <v>227.8</v>
    <v>257.81</v>
    <v>270.81</v>
    <v>270.42</v>
    <v>340</v>
    <v>356.59</v>
    <v>328.38</v>
    <v>327.67</v>
    <v>340.65</v>
    <v>384.79</v>
    <v>430.54</v>
    <v>473.83</v>
    <v>397.28</v>
    <v>421.88</v>
    <v>403.45</v>
    <v>353.69</v>
    <v>388.84</v>
    <v>387.47</v>
    <v>380.3</v>
    <v>373.43</v>
    <v>406</v>
    <v>386.4</v>
    <v>395.01</v>
    <v>365.34</v>
    <v>377.32</v>
    <v>411.4</v>
    <v>392.19</v>
    <v>408.67</v>
    <v>408.5</v>
    <v>386.42</v>
    <v>349.64</v>
    <v>326.45999999999998</v>
    <v>364.2</v>
    <v>332.23</v>
    <v>358.18</v>
    <v>341.05</v>
    <v>330</v>
    <v>302.95999999999998</v>
    <v>289.62</v>
    <v>300.01</v>
    <v>339.66</v>
    <v>379.09</v>
    <v>341.42500000000001</v>
    <v>331.7</v>
    <v>327.91</v>
    <v>328.4</v>
    <v>342.17</v>
    <v>360.62</v>
    <v>367</v>
    <v>396.5</v>
    <v>389.1</v>
    <v>377.31</v>
    <v>373.12</v>
    <v>353.67</v>
    <v>347.92</v>
    <v>335.93</v>
    <v>341.25</v>
    <v>340.09</v>
    <v>334.79</v>
    <v>347.09</v>
    <v>348.31</v>
    <v>336.7</v>
    <v>325.45999999999998</v>
    <v>327.56</v>
    <v>334.62</v>
    <v>319.45999999999998</v>
    <v>326.82</v>
    <v>324.92</v>
    <v>337.73</v>
    <v>333.97</v>
    <v>318.67</v>
    <v>323.92</v>
    <v>299.69</v>
    <v>282.76</v>
    <v>250.51</v>
    <v>263.27</v>
    <v>240.05</v>
    <v>255.43</v>
    <v>250.92</v>
    <v>275.14999999999998</v>
    <v>308.55</v>
    <v>304.11</v>
    <v>287.18</v>
    <v>239.27</v>
    <v>260.58999999999997</v>
    <v>262.55</v>
    <v>263.26</v>
    <v>297.49</v>
    <v>294.27</v>
    <v>283.19</v>
    <v>304.23</v>
    <v>302.07</v>
    <v>304</v>
    <v>335.72</v>
    <v>341.81</v>
    <v>329.31</v>
    <v>324.58999999999997</v>
    <v>289.41000000000003</v>
    <v>288.27</v>
    <v>306.02</v>
    <v>312.54000000000002</v>
    <v>282.27999999999997</v>
    <v>293.61</v>
    <v>268.14</v>
    <v>237.95</v>
    <v>296.86</v>
    <v>272.33999999999997</v>
    <v>299.98</v>
    <v>311.45</v>
    <v>310.72000000000003</v>
    <v>311.66000000000003</v>
    <v>317.2</v>
    <v>317.76</v>
    <v>343.03</v>
    <v>345.73</v>
    <v>350.34</v>
    <v>368.71</v>
    <v>369.25</v>
    <v>381.45</v>
    <v>380.11</v>
    <v>381.6</v>
    <v>394.37</v>
    <v>386.53</v>
    <v>385.6</v>
    <v>392.48</v>
    <v>414.38</v>
    <v>416.03</v>
    <v>404.9</v>
    <v>421.61</v>
    <v>416.75</v>
    <v>397.03</v>
    <v>399.8</v>
    <v>413.42</v>
    <v>416.92</v>
    <v>402.69</v>
    <v>399.46</v>
    <v>369.51</v>
    <v>372.2</v>
    <v>364.25</v>
    <v>370.63</v>
    <v>369.06</v>
    <v>372.27</v>
    <v>387.43</v>
    <v>378.1</v>
    <v>368.79</v>
    <v>374.47</v>
    <v>392.12</v>
    <v>391.18</v>
    <v>387.11</v>
    <v>379.76</v>
    <v>382.87</v>
    <v>382.25</v>
    <v>375.18</v>
    <v>369.03</v>
    <v>369.7</v>
    <v>367.18</v>
    <v>377.02</v>
    <v>388.67</v>
    <v>386.44</v>
    <v>383.88</v>
    <v>404.23</v>
    <v>373.3</v>
    <v>402.28</v>
    <v>403.99</v>
    <v>395.67</v>
    <v>396.94</v>
    <v>415.41</v>
    <v>421.74</v>
    <v>434.58</v>
    <v>451.02</v>
    <v>442.31</v>
    <v>455.9</v>
    <v>451.34</v>
    <v>423.22</v>
    <v>426.28</v>
    <v>426.4</v>
    <v>412.67</v>
    <v>414.92</v>
    <v>405.89</v>
    <v>403.8</v>
    <v>394.66</v>
    <v>395.04</v>
    <v>401.86</v>
    <v>366.63</v>
    <v>389.24</v>
    <v>375.46</v>
    <v>383.41</v>
    <v>402.01</v>
    <v>395.13</v>
    <v>400.25</v>
    <v>394.39</v>
    <v>389.9</v>
    <v>372.94</v>
    <v>366.32</v>
    <v>363.6</v>
    <v>336.57</v>
    <v>344.37</v>
    <v>337.58</v>
    <v>358.13</v>
    <v>343.2</v>
    <v>351.36</v>
    <v>342.06</v>
    <v>338.84</v>
    <v>334.41</v>
    <v>341.62</v>
    <v>330.26</v>
    <v>327.58999999999997</v>
    <v>335.87</v>
    <v>329.9</v>
    <v>328.53</v>
    <v>326.45</v>
    <v>326.02</v>
    <v>331.44</v>
    <v>327.79</v>
    <v>335.09</v>
    <v>329.71</v>
    <v>349.12</v>
    <v>344.75</v>
    <v>335.93</v>
    <v>327.78</v>
    <v>323.31</v>
    <v>300.7</v>
    <v>309.06</v>
    <v>326.42</v>
    <v>322.20999999999998</v>
    <v>338.41</v>
    <v>352.33</v>
    <v>351.63</v>
    <v>359.69</v>
    <v>328.4</v>
    <v>330.8</v>
    <v>320.29000000000002</v>
    <v>304.79000000000002</v>
    <v>315.47000000000003</v>
    <v>300.67</v>
    <v>296.76</v>
    <v>283.83999999999997</v>
    <v>289.87</v>
    <v>296.61</v>
    <v>301.91000000000003</v>
    <v>280.81</v>
    <v>284.92</v>
    <v>289.08</v>
    <v>295.63</v>
    <v>284.64</v>
    <v>275.36</v>
    <v>254.57</v>
    <v>269.51</v>
    <v>264.67</v>
    <v>246.99</v>
    <v>255</v>
    <v>237.2</v>
    <v>241.93</v>
    <v>238.88</v>
    <v>231.35</v>
    <v>224.61</v>
    <v>208.54</v>
    <v>199.75</v>
    <v>195.42</v>
    <v>206.8</v>
    <v>186.5</v>
    <v>177.13</v>
    <v>170.5</v>
    <v>179.04</v>
    <v>172.19</v>
    <v>175.64</v>
    <v>177.18</v>
    <v>171.42</v>
    <v>181.33</v>
    <v>188.39</v>
    <v>186.01</v>
    <v>178.99</v>
    <v>183.69</v>
    <v>188.99</v>
    <v>184.64</v>
    <v>183.3</v>
    <v>176.45</v>
    <v>162.08000000000001</v>
    <v>167.5</v>
    <v>160.38</v>
    <v>158.24</v>
    <v>164.82</v>
    <v>164.32</v>
    <v>157.88</v>
    <v>158.71</v>
    <v>158.81</v>
    <v>155.38999999999999</v>
    <v>155.61000000000001</v>
    <v>151.94999999999999</v>
    <v>157.16</v>
    <v>164.72</v>
    <v>157.97</v>
    <v>161.83000000000001</v>
    <v>166.97</v>
    <v>157.33000000000001</v>
    <v>162.22999999999999</v>
    <v>172.99</v>
    <v>179.33</v>
    <v>170.91</v>
    <v>173.71</v>
    <v>160.22999999999999</v>
    <v>163.81</v>
    <v>160.97999999999999</v>
    <v>163.11000000000001</v>
    <v>160.58000000000001</v>
    <v>161.58000000000001</v>
    <v>158.44999999999999</v>
    <v>143.19</v>
    <v>149.71</v>
    <v>139.63</v>
    <v>133.26</v>
    <v>129.09</v>
    <v>106.99</v>
    <v>134.93</v>
    <v>138.44</v>
    <v>133</v>
    <v>126.07</v>
    <v>123</v>
    <v>133.88</v>
    <v>128.66999999999999</v>
    <v>125.2</v>
    <v>129.44999999999999</v>
    <v>131.05000000000001</v>
    <v>123.71</v>
    <v>124.61</v>
    <v>135.65</v>
    <v>133.4</v>
    <v>129.5</v>
    <v>137.65</v>
    <v>132.68</v>
    <v>146.44</v>
    <v>139.81</v>
    <v>133.53</v>
    <v>138.94999999999999</v>
    <v>138.46</v>
    <v>138.33000000000001</v>
    <v>137.34</v>
    <v>139.66999999999999</v>
    <v>147.52000000000001</v>
    <v>150.28</v>
    <v>140.56</v>
    <v>138.24</v>
    <v>135.66</v>
    <v>138.19999999999999</v>
    <v>136.25</v>
    <v>139.13</v>
    <v>132.93</v>
    <v>126.03</v>
    <v>121.44</v>
    <v>124.8</v>
    <v>122.78</v>
    <v>119.83</v>
    <v>127.69</v>
    <v>123.72</v>
    <v>128.30000000000001</v>
    <v>128.86000000000001</v>
    <v>128.63999999999999</v>
    <v>132.36000000000001</v>
    <v>137.41</v>
    <v>143.54</v>
    <v>148.94</v>
    <v>166.52</v>
    <v>170.81</v>
    <v>163.97</v>
    <v>179.36</v>
    <v>172.47</v>
    <v>171.02</v>
    <v>169.2</v>
    <v>165.71</v>
    <v>158.19</v>
    <v>165.45</v>
    <v>177.17</v>
    <v>183.8</v>
    <v>186.9</v>
    <v>186.82</v>
    <v>179.84</v>
    <v>187.59</v>
    <v>195.94</v>
    <v>184.42</v>
    <v>178.03</v>
    <v>186.97</v>
    <v>177.42</v>
    <v>166.63</v>
    <v>164.63</v>
    <v>165.81</v>
    <v>164.85</v>
    <v>159.88999999999999</v>
    <v>159.93</v>
    <v>154.19999999999999</v>
    <v>151.63999999999999</v>
    <v>159.09</v>
    <v>149.78</v>
    <v>136.08000000000001</v>
    <v>126.545</v>
    <v>129.37</v>
    <v>120.44</v>
    <v>127.2</v>
    <v>117.02</v>
    <v>115.35</v>
    <v>120.15</v>
    <v>123.97</v>
    <v>131.13999999999999</v>
    <v>122.81</v>
    <v>116.56</v>
    <v>112.53</v>
    <v>109.46</v>
    <v>103.84</v>
    <v>94.13</v>
    <v>85.33</v>
    <v>82.31</v>
    <v>92.68</v>
    <v>86.93</v>
    <v>93.39</v>
    <v>100.77</v>
    <v>100.77</v>
    <v>97.36</v>
    <v>93.87</v>
    <v>93.89</v>
    <v>94.64</v>
    <v>92.1</v>
    <v>97.58</v>
    <v>97.47</v>
    <v>94.03</v>
    <v>94.85</v>
    <v>97.82</v>
    <v>101.95</v>
    <v>100.01</v>
    <v>93.63</v>
    <v>91.67</v>
    <v>98.65</v>
    <v>96.16</v>
    <v>93.33</v>
    <v>97.74</v>
    <v>93.28</v>
    <v>94.86</v>
    <v>97.65</v>
    <v>98.37</v>
    <v>96.85</v>
    <v>100.01</v>
    <v>97.33</v>
    <v>96.09</v>
    <v>94.83</v>
    <v>97.1</v>
    <v>93.04</v>
    <v>97.68</v>
    <v>92.52</v>
    <v>104.25</v>
    <v>112.39</v>
    <v>119.25</v>
    <v>122.63</v>
    <v>126.83</v>
    <v>123.19</v>
    <v>137.4</v>
    <v>127.31</v>
    <v>132.94</v>
    <v>124.88</v>
    <v>123.19</v>
    <v>144.82</v>
    <v>142.80000000000001</v>
    <v>136.52000000000001</v>
    <v>132.69999999999999</v>
    <v>128.56</v>
    <v>130.97</v>
    <v>136.94</v>
    <v>129.6</v>
    <v>126.18</v>
    <v>132.25</v>
    <v>153.91999999999999</v>
    <v>168.5</v>
    <v>167.33</v>
    <v>162.19999999999999</v>
    <v>161.61000000000001</v>
    <v>158.61000000000001</v>
    <v>157.13999999999999</v>
    <v>154.66999999999999</v>
    <v>153.09</v>
    <v>160.5</v>
    <v>160.01</v>
    <v>164.43</v>
    <v>164.55</v>
    <v>153.37</v>
    <v>151.47</v>
    <v>154.34</v>
    <v>152.68</v>
    <v>152.18</v>
    <v>143.24</v>
    <v>151.29</v>
    <v>136.83000000000001</v>
    <v>136.02000000000001</v>
    <v>142.72</v>
    <v>153.47999999999999</v>
    <v>145.80000000000001</v>
    <v>146.01</v>
  </a>
  <a r="1" c="252">
    <v>284.92</v>
    <v>289.08</v>
    <v>295.63</v>
    <v>284.64</v>
    <v>275.36</v>
    <v>254.57</v>
    <v>269.51</v>
    <v>264.67</v>
    <v>246.99</v>
    <v>255</v>
    <v>237.2</v>
    <v>241.93</v>
    <v>238.88</v>
    <v>231.35</v>
    <v>224.61</v>
    <v>208.54</v>
    <v>199.75</v>
    <v>195.42</v>
    <v>206.8</v>
    <v>186.5</v>
    <v>177.13</v>
    <v>170.5</v>
    <v>179.04</v>
    <v>172.19</v>
    <v>175.64</v>
    <v>177.18</v>
    <v>171.42</v>
    <v>181.33</v>
    <v>188.39</v>
    <v>186.01</v>
    <v>178.99</v>
    <v>183.69</v>
    <v>188.99</v>
    <v>184.64</v>
    <v>183.3</v>
    <v>176.45</v>
    <v>162.08000000000001</v>
    <v>167.5</v>
    <v>160.38</v>
    <v>158.24</v>
    <v>164.82</v>
    <v>164.32</v>
    <v>157.88</v>
    <v>158.71</v>
    <v>158.81</v>
    <v>155.38999999999999</v>
    <v>155.61000000000001</v>
    <v>151.94999999999999</v>
    <v>157.16</v>
    <v>164.72</v>
    <v>157.97</v>
    <v>161.83000000000001</v>
    <v>166.97</v>
    <v>157.33000000000001</v>
    <v>162.22999999999999</v>
    <v>172.99</v>
    <v>179.33</v>
    <v>170.91</v>
    <v>173.71</v>
    <v>160.22999999999999</v>
    <v>163.81</v>
    <v>160.97999999999999</v>
    <v>163.11000000000001</v>
    <v>160.58000000000001</v>
    <v>161.58000000000001</v>
    <v>158.44999999999999</v>
    <v>143.19</v>
    <v>149.71</v>
    <v>139.63</v>
    <v>133.26</v>
    <v>129.09</v>
    <v>106.99</v>
    <v>134.93</v>
    <v>138.44</v>
    <v>133</v>
    <v>126.07</v>
    <v>123</v>
    <v>133.88</v>
    <v>128.66999999999999</v>
    <v>125.2</v>
    <v>129.44999999999999</v>
    <v>131.05000000000001</v>
    <v>123.71</v>
    <v>124.61</v>
    <v>135.65</v>
    <v>133.4</v>
    <v>129.5</v>
    <v>137.65</v>
    <v>132.68</v>
    <v>146.44</v>
    <v>139.81</v>
    <v>133.53</v>
    <v>138.94999999999999</v>
    <v>138.46</v>
    <v>138.33000000000001</v>
    <v>137.34</v>
    <v>139.66999999999999</v>
    <v>147.52000000000001</v>
    <v>150.28</v>
    <v>140.56</v>
    <v>138.24</v>
    <v>135.66</v>
    <v>138.19999999999999</v>
    <v>136.25</v>
    <v>139.13</v>
    <v>132.93</v>
    <v>126.03</v>
    <v>121.44</v>
    <v>124.8</v>
    <v>122.78</v>
    <v>119.83</v>
    <v>127.69</v>
    <v>123.72</v>
    <v>128.30000000000001</v>
    <v>128.86000000000001</v>
    <v>128.63999999999999</v>
    <v>132.36000000000001</v>
    <v>137.41</v>
    <v>143.54</v>
    <v>148.94</v>
    <v>166.52</v>
    <v>170.81</v>
    <v>163.97</v>
    <v>179.36</v>
    <v>172.47</v>
    <v>171.02</v>
    <v>169.2</v>
    <v>165.71</v>
    <v>158.19</v>
    <v>165.45</v>
    <v>177.17</v>
    <v>183.8</v>
    <v>186.9</v>
    <v>186.82</v>
    <v>179.84</v>
    <v>187.59</v>
    <v>195.94</v>
    <v>184.42</v>
    <v>178.03</v>
    <v>186.97</v>
    <v>177.42</v>
    <v>166.63</v>
    <v>164.63</v>
    <v>165.81</v>
    <v>164.85</v>
    <v>159.88999999999999</v>
    <v>159.93</v>
    <v>154.19999999999999</v>
    <v>151.63999999999999</v>
    <v>159.09</v>
    <v>149.78</v>
    <v>136.08000000000001</v>
    <v>126.545</v>
    <v>129.37</v>
    <v>120.44</v>
    <v>127.2</v>
    <v>117.02</v>
    <v>115.35</v>
    <v>120.15</v>
    <v>123.97</v>
    <v>131.13999999999999</v>
    <v>122.81</v>
    <v>116.56</v>
    <v>112.53</v>
    <v>109.46</v>
    <v>103.84</v>
    <v>94.13</v>
    <v>85.33</v>
    <v>82.31</v>
    <v>92.68</v>
    <v>86.93</v>
    <v>93.39</v>
    <v>100.77</v>
    <v>100.77</v>
    <v>97.36</v>
    <v>93.87</v>
    <v>93.89</v>
    <v>94.64</v>
    <v>92.1</v>
    <v>97.58</v>
    <v>97.47</v>
    <v>94.03</v>
    <v>94.85</v>
    <v>97.82</v>
    <v>101.95</v>
    <v>100.01</v>
    <v>93.63</v>
    <v>91.67</v>
    <v>98.65</v>
    <v>96.16</v>
    <v>93.33</v>
    <v>97.74</v>
    <v>93.28</v>
    <v>94.86</v>
    <v>97.65</v>
    <v>98.37</v>
    <v>96.85</v>
    <v>100.01</v>
    <v>97.33</v>
    <v>96.09</v>
    <v>94.83</v>
    <v>97.1</v>
    <v>93.04</v>
    <v>97.68</v>
    <v>92.52</v>
    <v>104.25</v>
    <v>112.39</v>
    <v>119.25</v>
    <v>122.63</v>
    <v>126.83</v>
    <v>123.19</v>
    <v>137.4</v>
    <v>127.31</v>
    <v>132.94</v>
    <v>124.88</v>
    <v>123.19</v>
    <v>144.82</v>
    <v>142.80000000000001</v>
    <v>136.52000000000001</v>
    <v>132.69999999999999</v>
    <v>128.56</v>
    <v>130.97</v>
    <v>136.94</v>
    <v>129.6</v>
    <v>126.18</v>
    <v>132.25</v>
    <v>153.91999999999999</v>
    <v>168.5</v>
    <v>167.33</v>
    <v>162.19999999999999</v>
    <v>161.61000000000001</v>
    <v>158.61000000000001</v>
    <v>157.13999999999999</v>
    <v>154.66999999999999</v>
    <v>153.09</v>
    <v>160.5</v>
    <v>160.01</v>
    <v>164.43</v>
    <v>164.55</v>
    <v>153.37</v>
    <v>151.47</v>
    <v>154.34</v>
    <v>152.68</v>
    <v>152.18</v>
    <v>143.24</v>
    <v>151.29</v>
    <v>136.83000000000001</v>
    <v>136.02000000000001</v>
    <v>142.72</v>
    <v>153.47999999999999</v>
    <v>145.80000000000001</v>
    <v>146.01</v>
  </a>
  <a r="1" c="208">
    <v>36.799999999999997</v>
    <v>37.24</v>
    <v>38.06</v>
    <v>37.799999999999997</v>
    <v>39.08</v>
    <v>39.04</v>
    <v>39.24</v>
    <v>39.54</v>
    <v>40.18</v>
    <v>41.36</v>
    <v>41.16</v>
    <v>40.74</v>
    <v>40.200000000000003</v>
    <v>41.1</v>
    <v>44.74</v>
    <v>44.6</v>
    <v>45.02</v>
    <v>45.16</v>
    <v>45</v>
    <v>44.64</v>
    <v>43.48</v>
    <v>44.32</v>
    <v>45.4</v>
    <v>44.22</v>
    <v>44.66</v>
    <v>44.64</v>
    <v>45.16</v>
    <v>46.18</v>
    <v>47.4</v>
    <v>45.54</v>
    <v>45.5</v>
    <v>45.88</v>
    <v>45.7</v>
    <v>47.4</v>
    <v>47.48</v>
    <v>48</v>
    <v>47.44</v>
    <v>47.1</v>
    <v>47.8</v>
    <v>47.7</v>
    <v>47.18</v>
    <v>46.96</v>
    <v>44.22</v>
    <v>45.78</v>
    <v>44.82</v>
    <v>43.46</v>
    <v>41.9</v>
    <v>44.44</v>
    <v>43.82</v>
    <v>41.94</v>
    <v>41.42</v>
    <v>41.3</v>
    <v>40.56</v>
    <v>42.72</v>
    <v>40.840000000000003</v>
    <v>39.82</v>
    <v>41.9</v>
    <v>42.08</v>
    <v>42.68</v>
    <v>43.7</v>
    <v>42</v>
    <v>42</v>
    <v>42.32</v>
    <v>43.64</v>
    <v>42.54</v>
    <v>41.84</v>
    <v>45.46</v>
    <v>45.26</v>
    <v>46</v>
    <v>45.68</v>
    <v>47.78</v>
    <v>46.5</v>
    <v>46.76</v>
    <v>48.26</v>
    <v>47.84</v>
    <v>47.44</v>
    <v>47.38</v>
    <v>47.6</v>
    <v>46.94</v>
    <v>46.5</v>
    <v>46.28</v>
    <v>46.84</v>
    <v>47.84</v>
    <v>46.26</v>
    <v>47.84</v>
    <v>48.6</v>
    <v>48.36</v>
    <v>47.72</v>
    <v>47</v>
    <v>46.74</v>
    <v>47.66</v>
    <v>47.96</v>
    <v>46.98</v>
    <v>47.04</v>
    <v>46.28</v>
    <v>48.96</v>
    <v>47.84</v>
    <v>49.66</v>
    <v>50.35</v>
    <v>50.75</v>
    <v>50.35</v>
    <v>50.5</v>
    <v>50</v>
    <v>50.15</v>
    <v>51.45</v>
    <v>50.35</v>
    <v>49.54</v>
    <v>49.2</v>
    <v>49.6</v>
    <v>48.42</v>
    <v>48.16</v>
    <v>48.9</v>
    <v>50.7</v>
    <v>51</v>
    <v>50.35</v>
    <v>51.6</v>
    <v>51.55</v>
    <v>51.5</v>
    <v>51.65</v>
    <v>50.8</v>
    <v>50.5</v>
    <v>50.9</v>
    <v>46.72</v>
    <v>45.38</v>
    <v>46.14</v>
    <v>47</v>
    <v>47.36</v>
    <v>50.2</v>
    <v>50.75</v>
    <v>48.86</v>
    <v>47.46</v>
    <v>46.5</v>
    <v>46.5</v>
    <v>46.04</v>
    <v>45.9</v>
    <v>47</v>
    <v>47.2</v>
    <v>46.68</v>
    <v>46.5</v>
    <v>46.64</v>
    <v>46.9</v>
    <v>47.2</v>
    <v>47.98</v>
    <v>46.72</v>
    <v>45.4</v>
    <v>44.06</v>
    <v>45.58</v>
    <v>44.54</v>
    <v>44.98</v>
    <v>45.12</v>
    <v>46.24</v>
    <v>46</v>
    <v>44.7</v>
    <v>44.42</v>
    <v>44.2</v>
    <v>43.34</v>
    <v>43.24</v>
    <v>43.4</v>
    <v>42.82</v>
    <v>42.1</v>
    <v>42.54</v>
    <v>42.54</v>
    <v>42.68</v>
    <v>42.24</v>
    <v>43.22</v>
    <v>44.12</v>
    <v>44.16</v>
    <v>44.58</v>
    <v>44.96</v>
    <v>44.7</v>
    <v>43.68</v>
    <v>39.24</v>
    <v>39.520000000000003</v>
    <v>39.340000000000003</v>
    <v>38.159999999999997</v>
    <v>37.619999999999997</v>
    <v>37.119999999999997</v>
    <v>37.82</v>
    <v>37.22</v>
    <v>37.94</v>
    <v>37.56</v>
    <v>39.200000000000003</v>
    <v>38.46</v>
    <v>40.56</v>
    <v>40.619999999999997</v>
    <v>40.520000000000003</v>
    <v>40.32</v>
    <v>40.68</v>
    <v>33.44</v>
    <v>33.68</v>
    <v>33.5</v>
    <v>33.4</v>
    <v>33.08</v>
    <v>33.26</v>
    <v>34</v>
    <v>33.08</v>
    <v>32.06</v>
    <v>32.96</v>
    <v>33.32</v>
    <v>34.32</v>
    <v>35.340000000000003</v>
    <v>35.28</v>
    <v>34.299999999999997</v>
    <v>34.479999999999997</v>
    <v>34.6</v>
    <v>34.979999999999997</v>
    <v>33.9</v>
    <v>33.82</v>
  </a>
  <a r="1" c="761">
    <v>19.28</v>
    <v>19.36</v>
    <v>18.78</v>
    <v>19.239999999999998</v>
    <v>19.04</v>
    <v>19.059999999999999</v>
    <v>19.059999999999999</v>
    <v>19</v>
    <v>19.48</v>
    <v>19.88</v>
    <v>19.82</v>
    <v>18.98</v>
    <v>19.420000000000002</v>
    <v>20</v>
    <v>19.66</v>
    <v>19.739999999999998</v>
    <v>20</v>
    <v>20</v>
    <v>20</v>
    <v>19.96</v>
    <v>19.88</v>
    <v>20.05</v>
    <v>20.399999999999999</v>
    <v>20.149999999999999</v>
    <v>20.399999999999999</v>
    <v>20.2</v>
    <v>20.55</v>
    <v>20.149999999999999</v>
    <v>20.25</v>
    <v>20.55</v>
    <v>20.05</v>
    <v>20.2</v>
    <v>20.55</v>
    <v>20.399999999999999</v>
    <v>20.100000000000001</v>
    <v>19.88</v>
    <v>20.100000000000001</v>
    <v>20</v>
    <v>20.75</v>
    <v>20.5</v>
    <v>20.6</v>
    <v>20.75</v>
    <v>20.75</v>
    <v>21.35</v>
    <v>21.7</v>
    <v>21.95</v>
    <v>21.85</v>
    <v>21.7</v>
    <v>21.45</v>
    <v>21.05</v>
    <v>21.35</v>
    <v>21.4</v>
    <v>21.65</v>
    <v>21.3</v>
    <v>21.55</v>
    <v>21.45</v>
    <v>21.75</v>
    <v>21.65</v>
    <v>21.5</v>
    <v>21.5</v>
    <v>22.2</v>
    <v>22</v>
    <v>22.9</v>
    <v>22.9</v>
    <v>22.95</v>
    <v>22.95</v>
    <v>22.85</v>
    <v>22.65</v>
    <v>22.85</v>
    <v>22.5</v>
    <v>22.2</v>
    <v>22.2</v>
    <v>21.4</v>
    <v>21.3</v>
    <v>21.35</v>
    <v>21.35</v>
    <v>22.15</v>
    <v>22.4</v>
    <v>21.85</v>
    <v>21.95</v>
    <v>22</v>
    <v>23.1</v>
    <v>23.2</v>
    <v>22.85</v>
    <v>23.6</v>
    <v>23.35</v>
    <v>23.25</v>
    <v>22.95</v>
    <v>22.7</v>
    <v>23.1</v>
    <v>22.85</v>
    <v>23.1</v>
    <v>23.7</v>
    <v>23.9</v>
    <v>24</v>
    <v>23.4</v>
    <v>24.2</v>
    <v>24.65</v>
    <v>24.65</v>
    <v>24.4</v>
    <v>24.4</v>
    <v>24.55</v>
    <v>24.3</v>
    <v>24.65</v>
    <v>24.45</v>
    <v>24.8</v>
    <v>24.4</v>
    <v>24.15</v>
    <v>24.7</v>
    <v>24.8</v>
    <v>24.45</v>
    <v>24</v>
    <v>24</v>
    <v>23.9</v>
    <v>23.65</v>
    <v>23.6</v>
    <v>24</v>
    <v>24.15</v>
    <v>24.2</v>
    <v>24.7</v>
    <v>24.4</v>
    <v>23.7</v>
    <v>23.95</v>
    <v>24.25</v>
    <v>24.2</v>
    <v>23.7</v>
    <v>24.25</v>
    <v>23.95</v>
    <v>23.75</v>
    <v>24.3</v>
    <v>24.75</v>
    <v>24.15</v>
    <v>24.3</v>
    <v>24.55</v>
    <v>24.5</v>
    <v>24.5</v>
    <v>25.1</v>
    <v>24.95</v>
    <v>25</v>
    <v>24.7</v>
    <v>25.15</v>
    <v>25.05</v>
    <v>25.05</v>
    <v>25.15</v>
    <v>26</v>
    <v>26.25</v>
    <v>26.45</v>
    <v>26.9</v>
    <v>26.6</v>
    <v>27.4</v>
    <v>27.1</v>
    <v>27.05</v>
    <v>27.5</v>
    <v>27.6</v>
    <v>26.85</v>
    <v>27</v>
    <v>27.1</v>
    <v>27.1</v>
    <v>27.75</v>
    <v>28.35</v>
    <v>27.85</v>
    <v>28.45</v>
    <v>28</v>
    <v>27.8</v>
    <v>27.6</v>
    <v>28</v>
    <v>28</v>
    <v>27.9</v>
    <v>27.2</v>
    <v>27.5</v>
    <v>27</v>
    <v>26.45</v>
    <v>26.85</v>
    <v>26.65</v>
    <v>26.35</v>
    <v>26.6</v>
    <v>26.9</v>
    <v>27.2</v>
    <v>26.85</v>
    <v>26.75</v>
    <v>26.3</v>
    <v>26.25</v>
    <v>26</v>
    <v>26.35</v>
    <v>27.2</v>
    <v>27.3</v>
    <v>26.9</v>
    <v>27</v>
    <v>26.6</v>
    <v>26.85</v>
    <v>26.75</v>
    <v>26.7</v>
    <v>25.7</v>
    <v>25.8</v>
    <v>25.8</v>
    <v>26.4</v>
    <v>26.65</v>
    <v>25.85</v>
    <v>25.2</v>
    <v>24.65</v>
    <v>24.75</v>
    <v>25.2</v>
    <v>25.1</v>
    <v>24.85</v>
    <v>24.95</v>
    <v>25.2</v>
    <v>24.85</v>
    <v>25.05</v>
    <v>25.15</v>
    <v>24.8</v>
    <v>24.75</v>
    <v>24.65</v>
    <v>25</v>
    <v>24.65</v>
    <v>24.8</v>
    <v>24.8</v>
    <v>24.85</v>
    <v>25.3</v>
    <v>24.75</v>
    <v>22.45</v>
    <v>22</v>
    <v>22.1</v>
    <v>21.35</v>
    <v>21</v>
    <v>21</v>
    <v>20.55</v>
    <v>21.25</v>
    <v>21.55</v>
    <v>21.9</v>
    <v>21.95</v>
    <v>22.15</v>
    <v>22.65</v>
    <v>22</v>
    <v>21.8</v>
    <v>22.1</v>
    <v>21.9</v>
    <v>21.15</v>
    <v>21.95</v>
    <v>21.55</v>
    <v>21.3</v>
    <v>21.4</v>
    <v>20.9</v>
    <v>21.05</v>
    <v>21.05</v>
    <v>20.95</v>
    <v>21.15</v>
    <v>20.8</v>
    <v>20.55</v>
    <v>20.5</v>
    <v>20.25</v>
    <v>20.2</v>
    <v>20.6</v>
    <v>20.2</v>
    <v>19.82</v>
    <v>19.88</v>
    <v>19.739999999999998</v>
    <v>19.54</v>
    <v>19.579999999999998</v>
    <v>19.059999999999999</v>
    <v>19.059999999999999</v>
    <v>18.739999999999998</v>
    <v>18.579999999999998</v>
    <v>18.64</v>
    <v>18.3</v>
    <v>18.079999999999998</v>
    <v>18.88</v>
    <v>19.64</v>
    <v>19.2</v>
    <v>19.36</v>
    <v>18.920000000000002</v>
    <v>18.82</v>
    <v>19.239999999999998</v>
    <v>19</v>
    <v>18.62</v>
    <v>18.36</v>
    <v>18.32</v>
    <v>18.760000000000002</v>
    <v>18.96</v>
    <v>19.14</v>
    <v>19.22</v>
    <v>19.239999999999998</v>
    <v>19.2</v>
    <v>19.3</v>
    <v>19</v>
    <v>18.72</v>
    <v>19</v>
    <v>19.16</v>
    <v>19.48</v>
    <v>19.260000000000002</v>
    <v>19.28</v>
    <v>19.5</v>
    <v>19.260000000000002</v>
    <v>19.239999999999998</v>
    <v>19.04</v>
    <v>18.96</v>
    <v>18.940000000000001</v>
    <v>18.54</v>
    <v>18.62</v>
    <v>18.8</v>
    <v>19.16</v>
    <v>19.16</v>
    <v>19.12</v>
    <v>18.96</v>
    <v>19.260000000000002</v>
    <v>19.18</v>
    <v>20</v>
    <v>19.739999999999998</v>
    <v>19.18</v>
    <v>18.7</v>
    <v>18.239999999999998</v>
    <v>18.64</v>
    <v>18.86</v>
    <v>19.14</v>
    <v>19.059999999999999</v>
    <v>19.18</v>
    <v>19.16</v>
    <v>18.940000000000001</v>
    <v>18.96</v>
    <v>18.78</v>
    <v>18.940000000000001</v>
    <v>19.32</v>
    <v>19.7</v>
    <v>19.5</v>
    <v>19.059999999999999</v>
    <v>19</v>
    <v>18.899999999999999</v>
    <v>19.46</v>
    <v>19.600000000000001</v>
    <v>19.72</v>
    <v>19.98</v>
    <v>19.7</v>
    <v>21.4</v>
    <v>21.95</v>
    <v>22</v>
    <v>22.4</v>
    <v>22.55</v>
    <v>22.8</v>
    <v>23.1</v>
    <v>22.35</v>
    <v>22.8</v>
    <v>23.45</v>
    <v>23.4</v>
    <v>23.05</v>
    <v>23.75</v>
    <v>23.2</v>
    <v>24.35</v>
    <v>25.2</v>
    <v>25.4</v>
    <v>23.9</v>
    <v>24.2</v>
    <v>24.7</v>
    <v>24.35</v>
    <v>24.85</v>
    <v>25.2</v>
    <v>25.2</v>
    <v>25</v>
    <v>23.75</v>
    <v>23.15</v>
    <v>22.6</v>
    <v>22.8</v>
    <v>24.6</v>
    <v>24.65</v>
    <v>24.15</v>
    <v>23.7</v>
    <v>24.35</v>
    <v>24.35</v>
    <v>23.6</v>
    <v>21.05</v>
    <v>20.420000000000002</v>
    <v>21.04</v>
    <v>20.84</v>
    <v>21.28</v>
    <v>21.08</v>
    <v>21.68</v>
    <v>21.84</v>
    <v>21.56</v>
    <v>21.42</v>
    <v>21.28</v>
    <v>22.04</v>
    <v>22.38</v>
    <v>23.06</v>
    <v>23.26</v>
    <v>23.5</v>
    <v>23.82</v>
    <v>25.32</v>
    <v>25.44</v>
    <v>25</v>
    <v>24.92</v>
    <v>25.48</v>
    <v>25.98</v>
    <v>26.62</v>
    <v>26.78</v>
    <v>26.1</v>
    <v>26.42</v>
    <v>26.56</v>
    <v>26.82</v>
    <v>26.88</v>
    <v>26.3</v>
    <v>26.28</v>
    <v>26.96</v>
    <v>27.64</v>
    <v>27.54</v>
    <v>27.94</v>
    <v>27.52</v>
    <v>28.18</v>
    <v>28.06</v>
    <v>27.56</v>
    <v>27.42</v>
    <v>27.5</v>
    <v>27.5</v>
    <v>27.18</v>
    <v>26.6</v>
    <v>26.7</v>
    <v>26.3</v>
    <v>25.9</v>
    <v>26.18</v>
    <v>26.24</v>
    <v>25.96</v>
    <v>25.26</v>
    <v>25.3</v>
    <v>24.96</v>
    <v>25.08</v>
    <v>24.68</v>
    <v>24.62</v>
    <v>25.1</v>
    <v>25.6</v>
    <v>24.74</v>
    <v>25.62</v>
    <v>25.72</v>
    <v>25.68</v>
    <v>26.32</v>
    <v>26.36</v>
    <v>26.44</v>
    <v>26.92</v>
    <v>27.14</v>
    <v>26.98</v>
    <v>26.92</v>
    <v>26.68</v>
    <v>27.3</v>
    <v>26.92</v>
    <v>27.2</v>
    <v>27.22</v>
    <v>27.8</v>
    <v>28.78</v>
    <v>28.48</v>
    <v>28.54</v>
    <v>28.72</v>
    <v>28.68</v>
    <v>28.56</v>
    <v>28.3</v>
    <v>28.2</v>
    <v>28.38</v>
    <v>28.62</v>
    <v>29.24</v>
    <v>29.5</v>
    <v>29.18</v>
    <v>29.48</v>
    <v>29.62</v>
    <v>30.04</v>
    <v>29.78</v>
    <v>30.16</v>
    <v>29.66</v>
    <v>29.8</v>
    <v>30.18</v>
    <v>30.36</v>
    <v>30.66</v>
    <v>30.36</v>
    <v>29.94</v>
    <v>28.7</v>
    <v>28.58</v>
    <v>27.48</v>
    <v>27.58</v>
    <v>27.24</v>
    <v>27.12</v>
    <v>27.8</v>
    <v>27.34</v>
    <v>27.46</v>
    <v>27.36</v>
    <v>27.36</v>
    <v>27.56</v>
    <v>27.72</v>
    <v>27.88</v>
    <v>28.44</v>
    <v>28.86</v>
    <v>28.18</v>
    <v>28.12</v>
    <v>27.88</v>
    <v>27.38</v>
    <v>27.4</v>
    <v>31.1</v>
    <v>30.72</v>
    <v>30.94</v>
    <v>31.98</v>
    <v>32.159999999999997</v>
    <v>32.799999999999997</v>
    <v>33.56</v>
    <v>33.76</v>
    <v>33.42</v>
    <v>33.46</v>
    <v>33.979999999999997</v>
    <v>33.46</v>
    <v>33.4</v>
    <v>33.6</v>
    <v>33.380000000000003</v>
    <v>34.1</v>
    <v>33.64</v>
    <v>33.04</v>
    <v>33.58</v>
    <v>33.42</v>
    <v>33.76</v>
    <v>33.46</v>
    <v>33.28</v>
    <v>33.020000000000003</v>
    <v>33.24</v>
    <v>33.72</v>
    <v>32.68</v>
    <v>32.340000000000003</v>
    <v>32.020000000000003</v>
    <v>32.299999999999997</v>
    <v>32.619999999999997</v>
    <v>32.22</v>
    <v>33.22</v>
    <v>33.200000000000003</v>
    <v>33.04</v>
    <v>32</v>
    <v>31.54</v>
    <v>32.24</v>
    <v>32.14</v>
    <v>32.4</v>
    <v>32.74</v>
    <v>33.619999999999997</v>
    <v>34.020000000000003</v>
    <v>33.76</v>
    <v>33.76</v>
    <v>33.96</v>
    <v>33.5</v>
    <v>32.96</v>
    <v>33.5</v>
    <v>33.64</v>
    <v>34.24</v>
    <v>34.46</v>
    <v>34.6</v>
    <v>35.44</v>
    <v>35.659999999999997</v>
    <v>35.880000000000003</v>
    <v>35.54</v>
    <v>36.020000000000003</v>
    <v>36.340000000000003</v>
    <v>36.08</v>
    <v>35.96</v>
    <v>36.04</v>
    <v>35.979999999999997</v>
    <v>36.799999999999997</v>
    <v>36.799999999999997</v>
    <v>37.24</v>
    <v>38.06</v>
    <v>37.799999999999997</v>
    <v>39.08</v>
    <v>39.04</v>
    <v>39.24</v>
    <v>39.54</v>
    <v>40.18</v>
    <v>41.36</v>
    <v>41.16</v>
    <v>40.74</v>
    <v>40.200000000000003</v>
    <v>41.1</v>
    <v>44.74</v>
    <v>44.6</v>
    <v>45.02</v>
    <v>45.16</v>
    <v>45</v>
    <v>44.64</v>
    <v>43.48</v>
    <v>44.32</v>
    <v>45.4</v>
    <v>44.22</v>
    <v>44.66</v>
    <v>44.64</v>
    <v>45.16</v>
    <v>46.18</v>
    <v>47.4</v>
    <v>45.54</v>
    <v>45.5</v>
    <v>45.88</v>
    <v>45.7</v>
    <v>47.4</v>
    <v>47.48</v>
    <v>48</v>
    <v>47.44</v>
    <v>47.1</v>
    <v>47.8</v>
    <v>47.7</v>
    <v>47.18</v>
    <v>46.96</v>
    <v>44.22</v>
    <v>45.78</v>
    <v>44.82</v>
    <v>43.46</v>
    <v>41.9</v>
    <v>44.44</v>
    <v>43.82</v>
    <v>41.94</v>
    <v>41.42</v>
    <v>41.3</v>
    <v>40.56</v>
    <v>42.72</v>
    <v>40.840000000000003</v>
    <v>39.82</v>
    <v>41.9</v>
    <v>42.08</v>
    <v>42.68</v>
    <v>43.7</v>
    <v>42</v>
    <v>42</v>
    <v>42.32</v>
    <v>43.64</v>
    <v>42.54</v>
    <v>41.84</v>
    <v>45.46</v>
    <v>45.26</v>
    <v>46</v>
    <v>45.68</v>
    <v>47.78</v>
    <v>46.5</v>
    <v>46.76</v>
    <v>48.26</v>
    <v>47.84</v>
    <v>47.44</v>
    <v>47.38</v>
    <v>47.6</v>
    <v>46.94</v>
    <v>46.5</v>
    <v>46.28</v>
    <v>46.84</v>
    <v>47.84</v>
    <v>46.26</v>
    <v>47.84</v>
    <v>48.6</v>
    <v>48.36</v>
    <v>47.72</v>
    <v>47</v>
    <v>46.74</v>
    <v>47.66</v>
    <v>47.96</v>
    <v>46.98</v>
    <v>47.04</v>
    <v>46.28</v>
    <v>48.96</v>
    <v>47.84</v>
    <v>49.66</v>
    <v>50.35</v>
    <v>50.75</v>
    <v>50.35</v>
    <v>50.5</v>
    <v>50</v>
    <v>50.15</v>
    <v>51.45</v>
    <v>50.35</v>
    <v>49.54</v>
    <v>49.2</v>
    <v>49.6</v>
    <v>48.42</v>
    <v>48.16</v>
    <v>48.9</v>
    <v>50.7</v>
    <v>51</v>
    <v>50.35</v>
    <v>51.6</v>
    <v>51.55</v>
    <v>51.5</v>
    <v>51.65</v>
    <v>50.8</v>
    <v>50.5</v>
    <v>50.9</v>
    <v>46.72</v>
    <v>45.38</v>
    <v>46.14</v>
    <v>47</v>
    <v>47.36</v>
    <v>50.2</v>
    <v>50.75</v>
    <v>48.86</v>
    <v>47.46</v>
    <v>46.5</v>
    <v>46.5</v>
    <v>46.04</v>
    <v>45.9</v>
    <v>47</v>
    <v>47.2</v>
    <v>46.68</v>
    <v>46.5</v>
    <v>46.64</v>
    <v>46.9</v>
    <v>47.2</v>
    <v>47.98</v>
    <v>46.72</v>
    <v>45.4</v>
    <v>44.06</v>
    <v>45.58</v>
    <v>44.54</v>
    <v>44.98</v>
    <v>45.12</v>
    <v>46.24</v>
    <v>46</v>
    <v>44.7</v>
    <v>44.42</v>
    <v>44.2</v>
    <v>43.34</v>
    <v>43.24</v>
    <v>43.4</v>
    <v>42.82</v>
    <v>42.1</v>
    <v>42.54</v>
    <v>42.54</v>
    <v>42.68</v>
    <v>42.24</v>
    <v>43.22</v>
    <v>44.12</v>
    <v>44.16</v>
    <v>44.58</v>
    <v>44.96</v>
    <v>44.7</v>
    <v>43.68</v>
    <v>39.24</v>
    <v>39.520000000000003</v>
    <v>39.340000000000003</v>
    <v>38.159999999999997</v>
    <v>37.619999999999997</v>
    <v>37.119999999999997</v>
    <v>37.82</v>
    <v>37.22</v>
    <v>37.94</v>
    <v>37.56</v>
    <v>39.200000000000003</v>
    <v>38.46</v>
    <v>40.56</v>
    <v>40.619999999999997</v>
    <v>40.520000000000003</v>
    <v>40.32</v>
    <v>40.68</v>
    <v>33.44</v>
    <v>33.68</v>
    <v>33.5</v>
    <v>33.4</v>
    <v>33.08</v>
    <v>33.26</v>
    <v>34</v>
    <v>33.08</v>
    <v>32.06</v>
    <v>32.96</v>
    <v>33.32</v>
    <v>34.32</v>
    <v>35.340000000000003</v>
    <v>35.28</v>
    <v>34.299999999999997</v>
    <v>34.479999999999997</v>
    <v>34.6</v>
    <v>34.979999999999997</v>
    <v>33.9</v>
    <v>33.82</v>
  </a>
  <a r="1" c="254">
    <v>33.58</v>
    <v>33.42</v>
    <v>33.76</v>
    <v>33.46</v>
    <v>33.28</v>
    <v>33.020000000000003</v>
    <v>33.24</v>
    <v>33.72</v>
    <v>32.68</v>
    <v>32.340000000000003</v>
    <v>32.020000000000003</v>
    <v>32.299999999999997</v>
    <v>32.619999999999997</v>
    <v>32.22</v>
    <v>33.22</v>
    <v>33.200000000000003</v>
    <v>33.04</v>
    <v>32</v>
    <v>31.54</v>
    <v>32.24</v>
    <v>32.14</v>
    <v>32.4</v>
    <v>32.74</v>
    <v>33.619999999999997</v>
    <v>34.020000000000003</v>
    <v>33.76</v>
    <v>33.76</v>
    <v>33.96</v>
    <v>33.5</v>
    <v>32.96</v>
    <v>33.5</v>
    <v>33.64</v>
    <v>34.24</v>
    <v>34.46</v>
    <v>34.6</v>
    <v>35.44</v>
    <v>35.659999999999997</v>
    <v>35.880000000000003</v>
    <v>35.54</v>
    <v>36.020000000000003</v>
    <v>36.340000000000003</v>
    <v>36.08</v>
    <v>35.96</v>
    <v>36.04</v>
    <v>35.979999999999997</v>
    <v>36.799999999999997</v>
    <v>36.799999999999997</v>
    <v>37.24</v>
    <v>38.06</v>
    <v>37.799999999999997</v>
    <v>39.08</v>
    <v>39.04</v>
    <v>39.24</v>
    <v>39.54</v>
    <v>40.18</v>
    <v>41.36</v>
    <v>41.16</v>
    <v>40.74</v>
    <v>40.200000000000003</v>
    <v>41.1</v>
    <v>44.74</v>
    <v>44.6</v>
    <v>45.02</v>
    <v>45.16</v>
    <v>45</v>
    <v>44.64</v>
    <v>43.48</v>
    <v>44.32</v>
    <v>45.4</v>
    <v>44.22</v>
    <v>44.66</v>
    <v>44.64</v>
    <v>45.16</v>
    <v>46.18</v>
    <v>47.4</v>
    <v>45.54</v>
    <v>45.5</v>
    <v>45.88</v>
    <v>45.7</v>
    <v>47.4</v>
    <v>47.48</v>
    <v>48</v>
    <v>47.44</v>
    <v>47.1</v>
    <v>47.8</v>
    <v>47.7</v>
    <v>47.18</v>
    <v>46.96</v>
    <v>44.22</v>
    <v>45.78</v>
    <v>44.82</v>
    <v>43.46</v>
    <v>41.9</v>
    <v>44.44</v>
    <v>43.82</v>
    <v>41.94</v>
    <v>41.42</v>
    <v>41.3</v>
    <v>40.56</v>
    <v>42.72</v>
    <v>40.840000000000003</v>
    <v>39.82</v>
    <v>41.9</v>
    <v>42.08</v>
    <v>42.68</v>
    <v>43.7</v>
    <v>42</v>
    <v>42</v>
    <v>42.32</v>
    <v>43.64</v>
    <v>42.54</v>
    <v>41.84</v>
    <v>45.46</v>
    <v>45.26</v>
    <v>46</v>
    <v>45.68</v>
    <v>47.78</v>
    <v>46.5</v>
    <v>46.76</v>
    <v>48.26</v>
    <v>47.84</v>
    <v>47.44</v>
    <v>47.38</v>
    <v>47.6</v>
    <v>46.94</v>
    <v>46.5</v>
    <v>46.28</v>
    <v>46.84</v>
    <v>47.84</v>
    <v>46.26</v>
    <v>47.84</v>
    <v>48.6</v>
    <v>48.36</v>
    <v>47.72</v>
    <v>47</v>
    <v>46.74</v>
    <v>47.66</v>
    <v>47.96</v>
    <v>46.98</v>
    <v>47.04</v>
    <v>46.28</v>
    <v>48.96</v>
    <v>47.84</v>
    <v>49.66</v>
    <v>50.35</v>
    <v>50.75</v>
    <v>50.35</v>
    <v>50.5</v>
    <v>50</v>
    <v>50.15</v>
    <v>51.45</v>
    <v>50.35</v>
    <v>49.54</v>
    <v>49.2</v>
    <v>49.6</v>
    <v>48.42</v>
    <v>48.16</v>
    <v>48.9</v>
    <v>50.7</v>
    <v>51</v>
    <v>50.35</v>
    <v>51.6</v>
    <v>51.55</v>
    <v>51.5</v>
    <v>51.65</v>
    <v>50.8</v>
    <v>50.5</v>
    <v>50.9</v>
    <v>46.72</v>
    <v>45.38</v>
    <v>46.14</v>
    <v>47</v>
    <v>47.36</v>
    <v>50.2</v>
    <v>50.75</v>
    <v>48.86</v>
    <v>47.46</v>
    <v>46.5</v>
    <v>46.5</v>
    <v>46.04</v>
    <v>45.9</v>
    <v>47</v>
    <v>47.2</v>
    <v>46.68</v>
    <v>46.5</v>
    <v>46.64</v>
    <v>46.9</v>
    <v>47.2</v>
    <v>47.98</v>
    <v>46.72</v>
    <v>45.4</v>
    <v>44.06</v>
    <v>45.58</v>
    <v>44.54</v>
    <v>44.98</v>
    <v>45.12</v>
    <v>46.24</v>
    <v>46</v>
    <v>44.7</v>
    <v>44.42</v>
    <v>44.2</v>
    <v>43.34</v>
    <v>43.24</v>
    <v>43.4</v>
    <v>42.82</v>
    <v>42.1</v>
    <v>42.54</v>
    <v>42.54</v>
    <v>42.68</v>
    <v>42.24</v>
    <v>43.22</v>
    <v>44.12</v>
    <v>44.16</v>
    <v>44.58</v>
    <v>44.96</v>
    <v>44.7</v>
    <v>43.68</v>
    <v>39.24</v>
    <v>39.520000000000003</v>
    <v>39.340000000000003</v>
    <v>38.159999999999997</v>
    <v>37.619999999999997</v>
    <v>37.119999999999997</v>
    <v>37.82</v>
    <v>37.22</v>
    <v>37.94</v>
    <v>37.56</v>
    <v>39.200000000000003</v>
    <v>38.46</v>
    <v>40.56</v>
    <v>40.619999999999997</v>
    <v>40.520000000000003</v>
    <v>40.32</v>
    <v>40.68</v>
    <v>33.44</v>
    <v>33.68</v>
    <v>33.5</v>
    <v>33.4</v>
    <v>33.08</v>
    <v>33.26</v>
    <v>34</v>
    <v>33.08</v>
    <v>32.06</v>
    <v>32.96</v>
    <v>33.32</v>
    <v>34.32</v>
    <v>35.340000000000003</v>
    <v>35.28</v>
    <v>34.299999999999997</v>
    <v>34.479999999999997</v>
    <v>34.6</v>
    <v>34.979999999999997</v>
    <v>33.9</v>
    <v>33.82</v>
  </a>
  <a r="1" c="205">
    <v>162.01</v>
    <v>175.61</v>
    <v>173.95</v>
    <v>174.95</v>
    <v>171.54</v>
    <v>160.78</v>
    <v>163.58000000000001</v>
    <v>170.03</v>
    <v>172.72</v>
    <v>170.86</v>
    <v>172.54</v>
    <v>176.93</v>
    <v>175.18</v>
    <v>181.47</v>
    <v>181.12</v>
    <v>182.49</v>
    <v>181.23</v>
    <v>189.21</v>
    <v>193.76</v>
    <v>195.1</v>
    <v>186.18</v>
    <v>190.01</v>
    <v>190.15</v>
    <v>182.56</v>
    <v>177.75</v>
    <v>195.58</v>
    <v>202</v>
    <v>199.62</v>
    <v>248.51</v>
    <v>236.51</v>
    <v>234.53</v>
    <v>243.53</v>
    <v>243.21</v>
    <v>243.06</v>
    <v>243.75</v>
    <v>245.42</v>
    <v>253.15</v>
    <v>262.19</v>
    <v>259.23</v>
    <v>254.89</v>
    <v>257.75</v>
    <v>244.44</v>
    <v>251.28</v>
    <v>249.75</v>
    <v>241.78</v>
    <v>264.35000000000002</v>
    <v>270.06</v>
    <v>268.26</v>
    <v>265.38</v>
    <v>258.88</v>
    <v>264.74</v>
    <v>268.41000000000003</v>
    <v>264.70999999999998</v>
    <v>269.17</v>
    <v>255.88</v>
    <v>256</v>
    <v>270.89</v>
    <v>276.16000000000003</v>
    <v>252.4</v>
    <v>251.07</v>
    <v>234.22</v>
    <v>250.58</v>
    <v>259.37</v>
    <v>261.29000000000002</v>
    <v>258.73</v>
    <v>262.3</v>
    <v>281.02999999999997</v>
    <v>287.64</v>
    <v>295.11</v>
    <v>299.95999999999998</v>
    <v>310.51</v>
    <v>301.16000000000003</v>
    <v>294.13</v>
    <v>307.33999999999997</v>
    <v>314.41000000000003</v>
    <v>312.44</v>
    <v>305.14</v>
    <v>321.75</v>
    <v>323.45999999999998</v>
    <v>322.43</v>
    <v>305.02999999999997</v>
    <v>306.18</v>
    <v>328.49</v>
    <v>328.31</v>
    <v>330.97</v>
    <v>341.02</v>
    <v>358.92</v>
    <v>340.01</v>
    <v>339.97</v>
    <v>367.92</v>
    <v>367.13</v>
    <v>369.99</v>
    <v>376.23</v>
    <v>370.94</v>
    <v>339.73</v>
    <v>322.63</v>
    <v>315.67</v>
    <v>323.39999999999998</v>
    <v>327.45999999999998</v>
    <v>323.91000000000003</v>
    <v>319.77999999999997</v>
    <v>314.18</v>
    <v>315.70999999999998</v>
    <v>323.39</v>
    <v>334.49</v>
    <v>331.44</v>
    <v>323.92</v>
    <v>300.51</v>
    <v>300.57</v>
    <v>289.52</v>
    <v>280.98</v>
    <v>297.88</v>
    <v>302.87</v>
    <v>311.93</v>
    <v>299.60000000000002</v>
    <v>317.58</v>
    <v>333.05</v>
    <v>357.96</v>
    <v>318.32</v>
    <v>316.43</v>
    <v>325.57</v>
    <v>303.95</v>
    <v>306.97000000000003</v>
    <v>334.82</v>
    <v>311.42</v>
    <v>300.52999999999997</v>
    <v>318.47000000000003</v>
    <v>305.58</v>
    <v>317.81</v>
    <v>323.92</v>
    <v>318.86</v>
    <v>305.87</v>
    <v>303.58</v>
    <v>304.57</v>
    <v>294.11</v>
    <v>289.56</v>
    <v>291.67</v>
    <v>304.5</v>
    <v>301.16000000000003</v>
    <v>304.04000000000002</v>
    <v>290.36</v>
    <v>287.60000000000002</v>
    <v>269.56</v>
    <v>223.04</v>
    <v>227.5</v>
    <v>241.57</v>
    <v>263.05</v>
    <v>269.93</v>
    <v>277.94</v>
    <v>275.17</v>
    <v>272.39999999999998</v>
    <v>270.10000000000002</v>
    <v>281.81</v>
    <v>288.36</v>
    <v>287.07</v>
    <v>293.83999999999997</v>
    <v>292.43</v>
    <v>272.54000000000002</v>
    <v>261</v>
    <v>264.63</v>
    <v>261.95</v>
    <v>254.97</v>
    <v>255.75</v>
    <v>263.81</v>
    <v>269.27999999999997</v>
    <v>257.08</v>
    <v>258.72000000000003</v>
    <v>255.97</v>
    <v>256.7</v>
    <v>268.83</v>
    <v>280.52999999999997</v>
    <v>290.83</v>
    <v>262.89</v>
    <v>248.13</v>
    <v>257.06</v>
    <v>237.39</v>
    <v>234.61</v>
    <v>239.41</v>
    <v>241.49</v>
    <v>249.39</v>
    <v>250.86</v>
    <v>253.46</v>
    <v>248.78</v>
    <v>245.3</v>
    <v>253.28</v>
    <v>244.04</v>
    <v>248.34</v>
    <v>241.31</v>
    <v>246.12</v>
    <v>252.18</v>
    <v>253.62</v>
    <v>253.14</v>
    <v>246.49</v>
    <v>243.73</v>
    <v>242.78</v>
    <v>239.36</v>
    <v>237.29</v>
    <v>222.83</v>
    <v>214.75</v>
    <v>206.42</v>
    <v>206.08</v>
    <v>203.56</v>
    <v>212.15</v>
    <v>195.59</v>
    <v>194.32</v>
  </a>
  <a r="1" c="754">
    <v>37.29</v>
    <v>39.03</v>
    <v>37.39</v>
    <v>34.86</v>
    <v>36.42</v>
    <v>38.28</v>
    <v>39.270000000000003</v>
    <v>40.229999999999997</v>
    <v>39.979999999999997</v>
    <v>40.44</v>
    <v>39.75</v>
    <v>40.15</v>
    <v>40.07</v>
    <v>39.97</v>
    <v>41.83</v>
    <v>42.29</v>
    <v>43.59</v>
    <v>43.5</v>
    <v>42.84</v>
    <v>43.29</v>
    <v>44.55</v>
    <v>42.63</v>
    <v>43.52</v>
    <v>42.68</v>
    <v>42.55</v>
    <v>42.25</v>
    <v>42.29</v>
    <v>43.66</v>
    <v>45.14</v>
    <v>45.36</v>
    <v>45.15</v>
    <v>44.16</v>
    <v>45.14</v>
    <v>47.14</v>
    <v>47.63</v>
    <v>49.43</v>
    <v>47.94</v>
    <v>47.24</v>
    <v>47.73</v>
    <v>47.8</v>
    <v>49.22</v>
    <v>47.25</v>
    <v>48.58</v>
    <v>48.78</v>
    <v>48.99</v>
    <v>48.93</v>
    <v>48.96</v>
    <v>48.03</v>
    <v>45.64</v>
    <v>45.57</v>
    <v>45.8</v>
    <v>46.31</v>
    <v>48.54</v>
    <v>49.18</v>
    <v>48.79</v>
    <v>50.02</v>
    <v>49.52</v>
    <v>49.96</v>
    <v>49.26</v>
    <v>50.89</v>
    <v>53.67</v>
    <v>53.45</v>
    <v>53.67</v>
    <v>52.82</v>
    <v>53.31</v>
    <v>53.46</v>
    <v>54.9</v>
    <v>56.66</v>
    <v>56.33</v>
    <v>59.46</v>
    <v>61.47</v>
    <v>61.58</v>
    <v>59.12</v>
    <v>60.74</v>
    <v>61.67</v>
    <v>63.52</v>
    <v>61.32</v>
    <v>62.53</v>
    <v>64.97</v>
    <v>62.84</v>
    <v>62.97</v>
    <v>62.02</v>
    <v>58.55</v>
    <v>62.9</v>
    <v>62.7</v>
    <v>66.31</v>
    <v>66.27</v>
    <v>66.099999999999994</v>
    <v>67.62</v>
    <v>70.569999999999993</v>
    <v>71.69</v>
    <v>70.02</v>
    <v>71.989999999999995</v>
    <v>72.09</v>
    <v>69.37</v>
    <v>67</v>
    <v>72.319999999999993</v>
    <v>73.37</v>
    <v>73.92</v>
    <v>74.16</v>
    <v>77.14</v>
    <v>77.06</v>
    <v>77.84</v>
    <v>82.11</v>
    <v>82.5</v>
    <v>81.95</v>
    <v>82.67</v>
    <v>81.010000000000005</v>
    <v>81.67</v>
    <v>80.400000000000006</v>
    <v>80.77</v>
    <v>85.35</v>
    <v>80.69</v>
    <v>85.34</v>
    <v>84.15</v>
    <v>81.8</v>
    <v>84.77</v>
    <v>86.34</v>
    <v>83.89</v>
    <v>80.67</v>
    <v>82.36</v>
    <v>81.88</v>
    <v>81.010000000000005</v>
    <v>75.010000000000005</v>
    <v>76.069999999999993</v>
    <v>79.17</v>
    <v>84.57</v>
    <v>90.35</v>
    <v>93.49</v>
    <v>94.8</v>
    <v>93</v>
    <v>88.52</v>
    <v>92.17</v>
    <v>93.01</v>
    <v>97.26</v>
    <v>94.91</v>
    <v>97.68</v>
    <v>97.94</v>
    <v>95.4</v>
    <v>94.8</v>
    <v>98.73</v>
    <v>104.6</v>
    <v>97.29</v>
    <v>96.81</v>
    <v>99.32</v>
    <v>99.13</v>
    <v>100.13</v>
    <v>101.24</v>
    <v>106.17</v>
    <v>105.16</v>
    <v>103.21</v>
    <v>102.28</v>
    <v>98.07</v>
    <v>96.11</v>
    <v>92.09</v>
    <v>97.08</v>
    <v>88</v>
    <v>87.68</v>
    <v>91.3</v>
    <v>89.3</v>
    <v>90.17</v>
    <v>95.31</v>
    <v>91.48</v>
    <v>89.55</v>
    <v>95.34</v>
    <v>90.49</v>
    <v>90.62</v>
    <v>89.14</v>
    <v>91.72</v>
    <v>87.01</v>
    <v>86.88</v>
    <v>86.57</v>
    <v>86.66</v>
    <v>88</v>
    <v>93.42</v>
    <v>91.78</v>
    <v>92.33</v>
    <v>92.76</v>
    <v>94.1</v>
    <v>92.86</v>
    <v>89.67</v>
    <v>87.89</v>
    <v>89.72</v>
    <v>81.78</v>
    <v>82.56</v>
    <v>85.31</v>
    <v>87.85</v>
    <v>91</v>
    <v>78.59</v>
    <v>76.48</v>
    <v>77.12</v>
    <v>78</v>
    <v>73.03</v>
    <v>78.7</v>
    <v>74</v>
    <v>69.459999999999994</v>
    <v>67.73</v>
    <v>69.27</v>
    <v>67.22</v>
    <v>71.06</v>
    <v>71.459999999999994</v>
    <v>72.94</v>
    <v>76.239999999999995</v>
    <v>80.16</v>
    <v>82.96</v>
    <v>79.42</v>
    <v>78.88</v>
    <v>76.510000000000005</v>
    <v>77.989999999999995</v>
    <v>76.78</v>
    <v>78.55</v>
    <v>78.06</v>
    <v>80.209999999999994</v>
    <v>80.52</v>
    <v>79.92</v>
    <v>83.03</v>
    <v>75.2</v>
    <v>75.06</v>
    <v>75.150000000000006</v>
    <v>71.77</v>
    <v>74.48</v>
    <v>75.47</v>
    <v>82.39</v>
    <v>86.76</v>
    <v>85.76</v>
    <v>86.99</v>
    <v>87.29</v>
    <v>87.66</v>
    <v>92.06</v>
    <v>94.54</v>
    <v>96.07</v>
    <v>97.39</v>
    <v>100.74</v>
    <v>100.62</v>
    <v>98.41</v>
    <v>99.49</v>
    <v>97.62</v>
    <v>102.28</v>
    <v>102.69</v>
    <v>105.2</v>
    <v>106.73</v>
    <v>106.82</v>
    <v>108.12</v>
    <v>107.47</v>
    <v>111.84</v>
    <v>112.41</v>
    <v>107.47</v>
    <v>111.69</v>
    <v>114.28</v>
    <v>112.25</v>
    <v>112.11</v>
    <v>112.47</v>
    <v>108.36</v>
    <v>110.03</v>
    <v>112.17</v>
    <v>113.61</v>
    <v>113.83</v>
    <v>112.45</v>
    <v>109.29</v>
    <v>106.9</v>
    <v>106.21</v>
    <v>112.44</v>
    <v>120.43</v>
    <v>122.17</v>
    <v>125.75</v>
    <v>126.8</v>
    <v>123.81</v>
    <v>124.53</v>
    <v>121.03</v>
    <v>120.87</v>
    <v>123.02</v>
    <v>140.94</v>
    <v>137.54</v>
    <v>141.49</v>
    <v>140.15</v>
    <v>132.03</v>
    <v>131.74</v>
    <v>126.94</v>
    <v>127.6</v>
    <v>127.05</v>
    <v>128.16</v>
    <v>130.88</v>
    <v>134.58000000000001</v>
    <v>133.85</v>
    <v>126.17</v>
    <v>121.7</v>
    <v>125.84</v>
    <v>125.04</v>
    <v>125.78</v>
    <v>125.97</v>
    <v>120.69</v>
    <v>114.12</v>
    <v>115.44</v>
    <v>120.04</v>
    <v>117.74</v>
    <v>118.74</v>
    <v>118.88</v>
    <v>115.11</v>
    <v>116.16</v>
    <v>113.61</v>
    <v>118.3</v>
    <v>125.67</v>
    <v>134.08000000000001</v>
    <v>130.63999999999999</v>
    <v>129.27000000000001</v>
    <v>128.93</v>
    <v>124.01</v>
    <v>128.94999999999999</v>
    <v>132</v>
    <v>132.59</v>
    <v>135.88</v>
    <v>143.13</v>
    <v>148.59</v>
    <v>153.49</v>
    <v>146.32</v>
    <v>102.6</v>
    <v>106.55</v>
    <v>110.46</v>
    <v>114.6</v>
    <v>117.02</v>
    <v>112.6</v>
    <v>111.25</v>
    <v>119.04</v>
    <v>119.56</v>
    <v>121.38</v>
    <v>125.76</v>
    <v>123.25</v>
    <v>111.24</v>
    <v>109.28</v>
    <v>108.05</v>
    <v>109.96</v>
    <v>107.84</v>
    <v>104.83</v>
    <v>95.99</v>
    <v>91.02</v>
    <v>91.9</v>
    <v>98.61</v>
    <v>92.41</v>
    <v>95.17</v>
    <v>85.41</v>
    <v>86.39</v>
    <v>87.89</v>
    <v>82.04</v>
    <v>85.04</v>
    <v>78.02</v>
    <v>83.12</v>
    <v>85.38</v>
    <v>83.09</v>
    <v>87.45</v>
    <v>89.08</v>
    <v>84.66</v>
    <v>89.17</v>
    <v>89.08</v>
    <v>88.63</v>
    <v>93.69</v>
    <v>91.58</v>
    <v>81.62</v>
    <v>76.319999999999993</v>
    <v>74.25</v>
    <v>72.2</v>
    <v>75.27</v>
    <v>77.11</v>
    <v>67.47</v>
    <v>59.41</v>
    <v>63.82</v>
    <v>62.9</v>
    <v>72.819999999999993</v>
    <v>67.73</v>
    <v>69.61</v>
    <v>71.569999999999993</v>
    <v>72.709999999999994</v>
    <v>71.650000000000006</v>
    <v>73.209999999999994</v>
    <v>67.569999999999993</v>
    <v>71.819999999999993</v>
    <v>78</v>
    <v>83.88</v>
    <v>86.95</v>
    <v>86.15</v>
    <v>86.19</v>
    <v>85.38</v>
    <v>92.55</v>
    <v>95</v>
    <v>94.83</v>
    <v>93.48</v>
    <v>95.52</v>
    <v>95.74</v>
    <v>94.06</v>
    <v>101.05</v>
    <v>105.58</v>
    <v>109.48</v>
    <v>105.38</v>
    <v>106.04</v>
    <v>106.4</v>
    <v>106.39</v>
    <v>103.61</v>
    <v>104.2</v>
    <v>104.14</v>
    <v>109.79</v>
    <v>109.22</v>
    <v>108.47</v>
    <v>107.93</v>
    <v>109.23</v>
    <v>112.34</v>
    <v>112.85</v>
    <v>112.22</v>
    <v>115.36</v>
    <v>112</v>
    <v>108.47</v>
    <v>110.59</v>
    <v>114.5</v>
    <v>110.97</v>
    <v>116.45</v>
    <v>116.61</v>
    <v>119.08</v>
    <v>118.54</v>
    <v>116.54</v>
    <v>122.32</v>
    <v>121.64</v>
    <v>123.8</v>
    <v>127.16</v>
    <v>128.41</v>
    <v>122.54</v>
    <v>124.33</v>
    <v>127.84</v>
    <v>126.26</v>
    <v>125.89</v>
    <v>128.37</v>
    <v>120.72</v>
    <v>123.3</v>
    <v>124.72</v>
    <v>127.37</v>
    <v>125.4</v>
    <v>131.12</v>
    <v>129.06</v>
    <v>126.21</v>
    <v>125.29</v>
    <v>130.19</v>
    <v>130.87</v>
    <v>137.47</v>
    <v>142.55000000000001</v>
    <v>142.69999999999999</v>
    <v>144.16999999999999</v>
    <v>145.6</v>
    <v>141.59</v>
    <v>140.19999999999999</v>
    <v>138.76</v>
    <v>139.75</v>
    <v>139.38999999999999</v>
    <v>139.93</v>
    <v>139.83000000000001</v>
    <v>143.72</v>
    <v>137.4</v>
    <v>132.52000000000001</v>
    <v>133.07</v>
    <v>135.69</v>
    <v>129.05000000000001</v>
    <v>127.54</v>
    <v>126.58</v>
    <v>125.97</v>
    <v>125.02</v>
    <v>127.93</v>
    <v>129.31</v>
    <v>134.22999999999999</v>
    <v>127.55</v>
    <v>124.01</v>
    <v>125.59</v>
    <v>125.7</v>
    <v>124</v>
    <v>121.82</v>
    <v>125.58</v>
    <v>136.74</v>
    <v>135.71</v>
    <v>134.84</v>
    <v>138.26</v>
    <v>136.65</v>
    <v>136.83000000000001</v>
    <v>141.96</v>
    <v>143.6</v>
    <v>151.96</v>
    <v>142.61000000000001</v>
    <v>141.62</v>
    <v>139.77000000000001</v>
    <v>138.62</v>
    <v>143.31</v>
    <v>150.86000000000001</v>
    <v>161.59</v>
    <v>161.63999999999999</v>
    <v>160.19999999999999</v>
    <v>162.80000000000001</v>
    <v>158.87</v>
    <v>167.38</v>
    <v>168.88</v>
    <v>169.01</v>
    <v>179</v>
    <v>175.15</v>
    <v>180.51</v>
    <v>177.82</v>
    <v>174</v>
    <v>175.73</v>
    <v>174.8</v>
    <v>171.59</v>
    <v>183.2</v>
    <v>186.06</v>
    <v>192.9</v>
    <v>190.57</v>
    <v>199.27</v>
    <v>193.76</v>
    <v>192.86</v>
    <v>191.4</v>
    <v>180.82</v>
    <v>190.71</v>
    <v>183.02</v>
    <v>179.8</v>
    <v>187.84</v>
    <v>179.05</v>
    <v>173.37</v>
    <v>163.63999999999999</v>
    <v>170.97</v>
    <v>166.65</v>
    <v>164.86</v>
    <v>170.65</v>
    <v>159.61000000000001</v>
    <v>159.83000000000001</v>
    <v>168.91</v>
    <v>169.57</v>
    <v>172.02</v>
    <v>179.73</v>
    <v>179.22</v>
    <v>180.91</v>
    <v>178.88</v>
    <v>182.54</v>
    <v>189.02</v>
    <v>185.61</v>
    <v>178.38</v>
    <v>181.82</v>
    <v>178.66</v>
    <v>161.27000000000001</v>
    <v>161.74</v>
    <v>160.66</v>
    <v>149.83000000000001</v>
    <v>154.38999999999999</v>
    <v>159.82</v>
    <v>166.25</v>
    <v>166.26</v>
    <v>166.87</v>
    <v>167.58</v>
    <v>165.62</v>
    <v>164.34</v>
    <v>162.01</v>
    <v>175.61</v>
    <v>173.95</v>
    <v>174.95</v>
    <v>171.54</v>
    <v>160.78</v>
    <v>163.58000000000001</v>
    <v>170.03</v>
    <v>172.72</v>
    <v>170.86</v>
    <v>172.54</v>
    <v>176.93</v>
    <v>175.18</v>
    <v>181.47</v>
    <v>181.12</v>
    <v>182.49</v>
    <v>181.23</v>
    <v>189.21</v>
    <v>193.76</v>
    <v>195.1</v>
    <v>186.18</v>
    <v>190.01</v>
    <v>190.15</v>
    <v>182.56</v>
    <v>177.75</v>
    <v>195.58</v>
    <v>202</v>
    <v>199.62</v>
    <v>248.51</v>
    <v>236.51</v>
    <v>234.53</v>
    <v>243.53</v>
    <v>243.21</v>
    <v>243.06</v>
    <v>243.75</v>
    <v>245.42</v>
    <v>253.15</v>
    <v>262.19</v>
    <v>259.23</v>
    <v>254.89</v>
    <v>257.75</v>
    <v>244.44</v>
    <v>251.28</v>
    <v>249.75</v>
    <v>241.78</v>
    <v>264.35000000000002</v>
    <v>270.06</v>
    <v>268.26</v>
    <v>265.38</v>
    <v>258.88</v>
    <v>264.74</v>
    <v>268.41000000000003</v>
    <v>264.70999999999998</v>
    <v>269.17</v>
    <v>255.88</v>
    <v>256</v>
    <v>270.89</v>
    <v>276.16000000000003</v>
    <v>252.4</v>
    <v>251.07</v>
    <v>234.22</v>
    <v>250.58</v>
    <v>259.37</v>
    <v>261.29000000000002</v>
    <v>258.73</v>
    <v>262.3</v>
    <v>281.02999999999997</v>
    <v>287.64</v>
    <v>295.11</v>
    <v>299.95999999999998</v>
    <v>310.51</v>
    <v>301.16000000000003</v>
    <v>294.13</v>
    <v>307.33999999999997</v>
    <v>314.41000000000003</v>
    <v>312.44</v>
    <v>305.14</v>
    <v>321.75</v>
    <v>323.45999999999998</v>
    <v>322.43</v>
    <v>305.02999999999997</v>
    <v>306.18</v>
    <v>328.49</v>
    <v>328.31</v>
    <v>330.97</v>
    <v>341.02</v>
    <v>358.92</v>
    <v>340.01</v>
    <v>339.97</v>
    <v>367.92</v>
    <v>367.13</v>
    <v>369.99</v>
    <v>376.23</v>
    <v>370.94</v>
    <v>339.73</v>
    <v>322.63</v>
    <v>315.67</v>
    <v>323.39999999999998</v>
    <v>327.45999999999998</v>
    <v>323.91000000000003</v>
    <v>319.77999999999997</v>
    <v>314.18</v>
    <v>315.70999999999998</v>
    <v>323.39</v>
    <v>334.49</v>
    <v>331.44</v>
    <v>323.92</v>
    <v>300.51</v>
    <v>300.57</v>
    <v>289.52</v>
    <v>280.98</v>
    <v>297.88</v>
    <v>302.87</v>
    <v>311.93</v>
    <v>299.60000000000002</v>
    <v>317.58</v>
    <v>333.05</v>
    <v>357.96</v>
    <v>318.32</v>
    <v>316.43</v>
    <v>325.57</v>
    <v>303.95</v>
    <v>306.97000000000003</v>
    <v>334.82</v>
    <v>311.42</v>
    <v>300.52999999999997</v>
    <v>318.47000000000003</v>
    <v>305.58</v>
    <v>317.81</v>
    <v>323.92</v>
    <v>318.86</v>
    <v>305.87</v>
    <v>303.58</v>
    <v>304.57</v>
    <v>294.11</v>
    <v>289.56</v>
    <v>291.67</v>
    <v>304.5</v>
    <v>301.16000000000003</v>
    <v>304.04000000000002</v>
    <v>290.36</v>
    <v>287.60000000000002</v>
    <v>269.56</v>
    <v>223.04</v>
    <v>227.5</v>
    <v>241.57</v>
    <v>263.05</v>
    <v>269.93</v>
    <v>277.94</v>
    <v>275.17</v>
    <v>272.39999999999998</v>
    <v>270.10000000000002</v>
    <v>281.81</v>
    <v>288.36</v>
    <v>287.07</v>
    <v>293.83999999999997</v>
    <v>292.43</v>
    <v>272.54000000000002</v>
    <v>261</v>
    <v>264.63</v>
    <v>261.95</v>
    <v>254.97</v>
    <v>255.75</v>
    <v>263.81</v>
    <v>269.27999999999997</v>
    <v>257.08</v>
    <v>258.72000000000003</v>
    <v>255.97</v>
    <v>256.7</v>
    <v>268.83</v>
    <v>280.52999999999997</v>
    <v>290.83</v>
    <v>262.89</v>
    <v>248.13</v>
    <v>257.06</v>
    <v>237.39</v>
    <v>234.61</v>
    <v>239.41</v>
    <v>241.49</v>
    <v>249.39</v>
    <v>250.86</v>
    <v>253.46</v>
    <v>248.78</v>
    <v>245.3</v>
    <v>253.28</v>
    <v>244.04</v>
    <v>248.34</v>
    <v>241.31</v>
    <v>246.12</v>
    <v>252.18</v>
    <v>253.62</v>
    <v>253.14</v>
    <v>246.49</v>
    <v>243.73</v>
    <v>242.78</v>
    <v>239.36</v>
    <v>237.29</v>
    <v>222.83</v>
    <v>214.75</v>
    <v>206.42</v>
    <v>206.08</v>
    <v>203.56</v>
    <v>212.15</v>
    <v>195.59</v>
    <v>194.32</v>
  </a>
  <a r="1" c="252">
    <v>183.2</v>
    <v>186.06</v>
    <v>192.9</v>
    <v>190.57</v>
    <v>199.27</v>
    <v>193.76</v>
    <v>192.86</v>
    <v>191.4</v>
    <v>180.82</v>
    <v>190.71</v>
    <v>183.02</v>
    <v>179.8</v>
    <v>187.84</v>
    <v>179.05</v>
    <v>173.37</v>
    <v>163.63999999999999</v>
    <v>170.97</v>
    <v>166.65</v>
    <v>164.86</v>
    <v>170.65</v>
    <v>159.61000000000001</v>
    <v>159.83000000000001</v>
    <v>168.91</v>
    <v>169.57</v>
    <v>172.02</v>
    <v>179.73</v>
    <v>179.22</v>
    <v>180.91</v>
    <v>178.88</v>
    <v>182.54</v>
    <v>189.02</v>
    <v>185.61</v>
    <v>178.38</v>
    <v>181.82</v>
    <v>178.66</v>
    <v>161.27000000000001</v>
    <v>161.74</v>
    <v>160.66</v>
    <v>149.83000000000001</v>
    <v>154.38999999999999</v>
    <v>159.82</v>
    <v>166.25</v>
    <v>166.26</v>
    <v>166.87</v>
    <v>167.58</v>
    <v>165.62</v>
    <v>164.34</v>
    <v>162.01</v>
    <v>175.61</v>
    <v>173.95</v>
    <v>174.95</v>
    <v>171.54</v>
    <v>160.78</v>
    <v>163.58000000000001</v>
    <v>170.03</v>
    <v>172.72</v>
    <v>170.86</v>
    <v>172.54</v>
    <v>176.93</v>
    <v>175.18</v>
    <v>181.47</v>
    <v>181.12</v>
    <v>182.49</v>
    <v>181.23</v>
    <v>189.21</v>
    <v>193.76</v>
    <v>195.1</v>
    <v>186.18</v>
    <v>190.01</v>
    <v>190.15</v>
    <v>182.56</v>
    <v>177.75</v>
    <v>195.58</v>
    <v>202</v>
    <v>199.62</v>
    <v>248.51</v>
    <v>236.51</v>
    <v>234.53</v>
    <v>243.53</v>
    <v>243.21</v>
    <v>243.06</v>
    <v>243.75</v>
    <v>245.42</v>
    <v>253.15</v>
    <v>262.19</v>
    <v>259.23</v>
    <v>254.89</v>
    <v>257.75</v>
    <v>244.44</v>
    <v>251.28</v>
    <v>249.75</v>
    <v>241.78</v>
    <v>264.35000000000002</v>
    <v>270.06</v>
    <v>268.26</v>
    <v>265.38</v>
    <v>258.88</v>
    <v>264.74</v>
    <v>268.41000000000003</v>
    <v>264.70999999999998</v>
    <v>269.17</v>
    <v>255.88</v>
    <v>256</v>
    <v>270.89</v>
    <v>276.16000000000003</v>
    <v>252.4</v>
    <v>251.07</v>
    <v>234.22</v>
    <v>250.58</v>
    <v>259.37</v>
    <v>261.29000000000002</v>
    <v>258.73</v>
    <v>262.3</v>
    <v>281.02999999999997</v>
    <v>287.64</v>
    <v>295.11</v>
    <v>299.95999999999998</v>
    <v>310.51</v>
    <v>301.16000000000003</v>
    <v>294.13</v>
    <v>307.33999999999997</v>
    <v>314.41000000000003</v>
    <v>312.44</v>
    <v>305.14</v>
    <v>321.75</v>
    <v>323.45999999999998</v>
    <v>322.43</v>
    <v>305.02999999999997</v>
    <v>306.18</v>
    <v>328.49</v>
    <v>328.31</v>
    <v>330.97</v>
    <v>341.02</v>
    <v>358.92</v>
    <v>340.01</v>
    <v>339.97</v>
    <v>367.92</v>
    <v>367.13</v>
    <v>369.99</v>
    <v>376.23</v>
    <v>370.94</v>
    <v>339.73</v>
    <v>322.63</v>
    <v>315.67</v>
    <v>323.39999999999998</v>
    <v>327.45999999999998</v>
    <v>323.91000000000003</v>
    <v>319.77999999999997</v>
    <v>314.18</v>
    <v>315.70999999999998</v>
    <v>323.39</v>
    <v>334.49</v>
    <v>331.44</v>
    <v>323.92</v>
    <v>300.51</v>
    <v>300.57</v>
    <v>289.52</v>
    <v>280.98</v>
    <v>297.88</v>
    <v>302.87</v>
    <v>311.93</v>
    <v>299.60000000000002</v>
    <v>317.58</v>
    <v>333.05</v>
    <v>357.96</v>
    <v>318.32</v>
    <v>316.43</v>
    <v>325.57</v>
    <v>303.95</v>
    <v>306.97000000000003</v>
    <v>334.82</v>
    <v>311.42</v>
    <v>300.52999999999997</v>
    <v>318.47000000000003</v>
    <v>305.58</v>
    <v>317.81</v>
    <v>323.92</v>
    <v>318.86</v>
    <v>305.87</v>
    <v>303.58</v>
    <v>304.57</v>
    <v>294.11</v>
    <v>289.56</v>
    <v>291.67</v>
    <v>304.5</v>
    <v>301.16000000000003</v>
    <v>304.04000000000002</v>
    <v>290.36</v>
    <v>287.60000000000002</v>
    <v>269.56</v>
    <v>223.04</v>
    <v>227.5</v>
    <v>241.57</v>
    <v>263.05</v>
    <v>269.93</v>
    <v>277.94</v>
    <v>275.17</v>
    <v>272.39999999999998</v>
    <v>270.10000000000002</v>
    <v>281.81</v>
    <v>288.36</v>
    <v>287.07</v>
    <v>293.83999999999997</v>
    <v>292.43</v>
    <v>272.54000000000002</v>
    <v>261</v>
    <v>264.63</v>
    <v>261.95</v>
    <v>254.97</v>
    <v>255.75</v>
    <v>263.81</v>
    <v>269.27999999999997</v>
    <v>257.08</v>
    <v>258.72000000000003</v>
    <v>255.97</v>
    <v>256.7</v>
    <v>268.83</v>
    <v>280.52999999999997</v>
    <v>290.83</v>
    <v>262.89</v>
    <v>248.13</v>
    <v>257.06</v>
    <v>237.39</v>
    <v>234.61</v>
    <v>239.41</v>
    <v>241.49</v>
    <v>249.39</v>
    <v>250.86</v>
    <v>253.46</v>
    <v>248.78</v>
    <v>245.3</v>
    <v>253.28</v>
    <v>244.04</v>
    <v>248.34</v>
    <v>241.31</v>
    <v>246.12</v>
    <v>252.18</v>
    <v>253.62</v>
    <v>253.14</v>
    <v>246.49</v>
    <v>243.73</v>
    <v>242.78</v>
    <v>239.36</v>
    <v>237.29</v>
    <v>222.83</v>
    <v>214.75</v>
    <v>206.42</v>
    <v>206.08</v>
    <v>203.56</v>
    <v>212.15</v>
    <v>195.59</v>
    <v>194.32</v>
  </a>
  <a r="1" c="205">
    <v>14.76</v>
    <v>16.2</v>
    <v>18.16</v>
    <v>17.54</v>
    <v>16.079999999999998</v>
    <v>16.55</v>
    <v>16.63</v>
    <v>17.68</v>
    <v>18.25</v>
    <v>18.13</v>
    <v>17.52</v>
    <v>18.8</v>
    <v>17.920000000000002</v>
    <v>17.72</v>
    <v>17.39</v>
    <v>17.57</v>
    <v>16.489999999999998</v>
    <v>18.75</v>
    <v>18.97</v>
    <v>17.7</v>
    <v>15.96</v>
    <v>15.81</v>
    <v>16.260000000000002</v>
    <v>14.25</v>
    <v>12.7</v>
    <v>14.73</v>
    <v>16.760000000000002</v>
    <v>17.100000000000001</v>
    <v>16.28</v>
    <v>16.100000000000001</v>
    <v>16.420000000000002</v>
    <v>15.64</v>
    <v>15.42</v>
    <v>15.8</v>
    <v>14.65</v>
    <v>15.22</v>
    <v>17.12</v>
    <v>16.61</v>
    <v>16.48</v>
    <v>15.6</v>
    <v>15.76</v>
    <v>14.71</v>
    <v>16.04</v>
    <v>15.15</v>
    <v>13.62</v>
    <v>14.31</v>
    <v>13.96</v>
    <v>14.11</v>
    <v>13.71</v>
    <v>14.08</v>
    <v>15.14</v>
    <v>15.09</v>
    <v>14.67</v>
    <v>14.64</v>
    <v>14.01</v>
    <v>14.89</v>
    <v>14.88</v>
    <v>15.88</v>
    <v>14.35</v>
    <v>13.744999999999999</v>
    <v>12.015000000000001</v>
    <v>12.87</v>
    <v>12.64</v>
    <v>12.82</v>
    <v>13.35</v>
    <v>14.01</v>
    <v>15.42</v>
    <v>16.36</v>
    <v>16.53</v>
    <v>17.760000000000002</v>
    <v>18.45</v>
    <v>18</v>
    <v>17.34</v>
    <v>19.37</v>
    <v>19.29</v>
    <v>18.04</v>
    <v>19.440000000000001</v>
    <v>18.690000000000001</v>
    <v>18.2</v>
    <v>18.16</v>
    <v>17.260000000000002</v>
    <v>16.920000000000002</v>
    <v>17.739999999999998</v>
    <v>17.04</v>
    <v>17.89</v>
    <v>22.1</v>
    <v>21.91</v>
    <v>20.684999999999999</v>
    <v>20.55</v>
    <v>20.28</v>
    <v>20.059999999999999</v>
    <v>21.24</v>
    <v>22.29</v>
    <v>20.329999999999998</v>
    <v>19.12</v>
    <v>18.8</v>
    <v>19.48</v>
    <v>21.52</v>
    <v>21.97</v>
    <v>23.02</v>
    <v>25.16</v>
    <v>24.59</v>
    <v>23.65</v>
    <v>24.01</v>
    <v>26.29</v>
    <v>26.24</v>
    <v>25.55</v>
    <v>22.45</v>
    <v>24.29</v>
    <v>23.035</v>
    <v>21.02</v>
    <v>22.63</v>
    <v>24.5</v>
    <v>26.03</v>
    <v>26.21</v>
    <v>26.35</v>
    <v>29.18</v>
    <v>28.14</v>
    <v>27.64</v>
    <v>26.22</v>
    <v>25.68</v>
    <v>25.94</v>
    <v>24.83</v>
    <v>24.5</v>
    <v>22.84</v>
    <v>20.04</v>
    <v>21.73</v>
    <v>20.47</v>
    <v>21.85</v>
    <v>23.26</v>
    <v>22.11</v>
    <v>20.085000000000001</v>
    <v>19.87</v>
    <v>19.87</v>
    <v>17.72</v>
    <v>17.559999999999999</v>
    <v>20.54</v>
    <v>22.89</v>
    <v>24.46</v>
    <v>25.82</v>
    <v>23.15</v>
    <v>21.65</v>
    <v>20.420000000000002</v>
    <v>17.690000000000001</v>
    <v>22.655000000000001</v>
    <v>22.32</v>
    <v>24.16</v>
    <v>20.38</v>
    <v>18.71</v>
    <v>18.21</v>
    <v>17.18</v>
    <v>16.329999999999998</v>
    <v>17.21</v>
    <v>17.87</v>
    <v>16.62</v>
    <v>17.855</v>
    <v>18.5</v>
    <v>16.094999999999999</v>
    <v>15.89</v>
    <v>17.21</v>
    <v>15.765000000000001</v>
    <v>15.36</v>
    <v>16.309999999999999</v>
    <v>16.02</v>
    <v>16.77</v>
    <v>15.17</v>
    <v>15.5</v>
    <v>14.61</v>
    <v>15.18</v>
    <v>17.37</v>
    <v>17.739999999999998</v>
    <v>18.510000000000002</v>
    <v>16.899999999999999</v>
    <v>15.94</v>
    <v>16.850000000000001</v>
    <v>15.635</v>
    <v>15.09</v>
    <v>16.72</v>
    <v>16.940000000000001</v>
    <v>18.34</v>
    <v>18.899999999999999</v>
    <v>19.09</v>
    <v>18.350000000000001</v>
    <v>18.100000000000001</v>
    <v>17.73</v>
    <v>16.739999999999998</v>
    <v>16.510000000000002</v>
    <v>15.824999999999999</v>
    <v>15.46</v>
    <v>15.71</v>
    <v>15.48</v>
    <v>15.5</v>
    <v>14.56</v>
    <v>13.5</v>
    <v>13.52</v>
    <v>13</v>
    <v>11.34</v>
    <v>9.94</v>
    <v>10.039999999999999</v>
    <v>8.98</v>
    <v>8.94</v>
    <v>8.8800000000000008</v>
    <v>9.1300000000000008</v>
    <v>8.32</v>
    <v>7.94</v>
  </a>
  <a r="1" c="754">
    <v>2.67</v>
    <v>3.14</v>
    <v>3.54</v>
    <v>3.52</v>
    <v>3.32</v>
    <v>3.49</v>
    <v>3.33</v>
    <v>3.4950000000000001</v>
    <v>3.95</v>
    <v>4.0999999999999996</v>
    <v>3.88</v>
    <v>3.85</v>
    <v>3.57</v>
    <v>3.12</v>
    <v>2.98</v>
    <v>2.88</v>
    <v>2.85</v>
    <v>2.88</v>
    <v>2.5</v>
    <v>2.4750000000000001</v>
    <v>2.4900000000000002</v>
    <v>2.44</v>
    <v>2.5499999999999998</v>
    <v>2.69</v>
    <v>2.62</v>
    <v>2.69</v>
    <v>2.74</v>
    <v>2.77</v>
    <v>2.94</v>
    <v>2.99</v>
    <v>2.79</v>
    <v>2.74</v>
    <v>2.62</v>
    <v>2.91</v>
    <v>2.4500000000000002</v>
    <v>2.33</v>
    <v>2.46</v>
    <v>2.58</v>
    <v>2.6</v>
    <v>3.14</v>
    <v>3.59</v>
    <v>3.83</v>
    <v>4.05</v>
    <v>4.03</v>
    <v>4.9800000000000004</v>
    <v>5.27</v>
    <v>4.8099999999999996</v>
    <v>4.13</v>
    <v>4.13</v>
    <v>3.93</v>
    <v>4.1900000000000004</v>
    <v>3.91</v>
    <v>4.04</v>
    <v>3.82</v>
    <v>3.79</v>
    <v>3.51</v>
    <v>3.26</v>
    <v>2.9</v>
    <v>2.8</v>
    <v>2.63</v>
    <v>2.68</v>
    <v>2.82</v>
    <v>2.74</v>
    <v>2.2850000000000001</v>
    <v>2.36</v>
    <v>2.75</v>
    <v>3.11</v>
    <v>3.08</v>
    <v>3.04</v>
    <v>2.86</v>
    <v>2.68</v>
    <v>2.4500000000000002</v>
    <v>2.59</v>
    <v>2.5099999999999998</v>
    <v>2.9</v>
    <v>3.35</v>
    <v>3.9</v>
    <v>3.5</v>
    <v>4.0199999999999996</v>
    <v>4.2</v>
    <v>3.78</v>
    <v>3.5</v>
    <v>3.13</v>
    <v>3.2450000000000001</v>
    <v>3.03</v>
    <v>3.4</v>
    <v>3.45</v>
    <v>3.27</v>
    <v>2.96</v>
    <v>3.09</v>
    <v>2.87</v>
    <v>2.85</v>
    <v>3.63</v>
    <v>3.42</v>
    <v>3.51</v>
    <v>3.16</v>
    <v>3.1349999999999998</v>
    <v>3.38</v>
    <v>3.17</v>
    <v>3.53</v>
    <v>3.95</v>
    <v>4.0999999999999996</v>
    <v>4.55</v>
    <v>4.83</v>
    <v>4.62</v>
    <v>5.26</v>
    <v>5.22</v>
    <v>5.33</v>
    <v>5.15</v>
    <v>4.88</v>
    <v>4.29</v>
    <v>4.3499999999999996</v>
    <v>4.16</v>
    <v>4.05</v>
    <v>4.29</v>
    <v>4.2</v>
    <v>4.21</v>
    <v>4.1500000000000004</v>
    <v>3.8250000000000002</v>
    <v>3.65</v>
    <v>3.36</v>
    <v>3.42</v>
    <v>3.68</v>
    <v>3.84</v>
    <v>4.5599999999999996</v>
    <v>4.8099999999999996</v>
    <v>4.6399999999999997</v>
    <v>4.43</v>
    <v>4.5</v>
    <v>4.04</v>
    <v>3.72</v>
    <v>3.69</v>
    <v>3.93</v>
    <v>4.1399999999999997</v>
    <v>4.47</v>
    <v>3.79</v>
    <v>3.7749999999999999</v>
    <v>3.95</v>
    <v>3.72</v>
    <v>3.72</v>
    <v>3.71</v>
    <v>4.16</v>
    <v>4.07</v>
    <v>3.85</v>
    <v>3.99</v>
    <v>4.0199999999999996</v>
    <v>4.13</v>
    <v>3.9</v>
    <v>4.09</v>
    <v>4</v>
    <v>3.8</v>
    <v>3.76</v>
    <v>3.71</v>
    <v>3.64</v>
    <v>3.85</v>
    <v>4.04</v>
    <v>4.1100000000000003</v>
    <v>4.03</v>
    <v>4.18</v>
    <v>4.1950000000000003</v>
    <v>4.57</v>
    <v>4.99</v>
    <v>4.95</v>
    <v>5</v>
    <v>5.01</v>
    <v>5.24</v>
    <v>4.5599999999999996</v>
    <v>4.2699999999999996</v>
    <v>4.24</v>
    <v>4.21</v>
    <v>4.1900000000000004</v>
    <v>4.1500000000000004</v>
    <v>4.72</v>
    <v>4.58</v>
    <v>4.6500000000000004</v>
    <v>4.7</v>
    <v>4.62</v>
    <v>4.37</v>
    <v>4.43</v>
    <v>4.3600000000000003</v>
    <v>4.68</v>
    <v>5.98</v>
    <v>6.78</v>
    <v>6.78</v>
    <v>6</v>
    <v>6.19</v>
    <v>6.46</v>
    <v>6.13</v>
    <v>5.72</v>
    <v>5.51</v>
    <v>5.82</v>
    <v>5.57</v>
    <v>5.31</v>
    <v>5.23</v>
    <v>4.83</v>
    <v>4.33</v>
    <v>4.05</v>
    <v>3.97</v>
    <v>3.88</v>
    <v>4.33</v>
    <v>4.07</v>
    <v>3.93</v>
    <v>3.92</v>
    <v>3.65</v>
    <v>3.86</v>
    <v>3.84</v>
    <v>3.99</v>
    <v>3.95</v>
    <v>4.05</v>
    <v>3.79</v>
    <v>4</v>
    <v>4.01</v>
    <v>3.74</v>
    <v>3.53</v>
    <v>3.59</v>
    <v>3.51</v>
    <v>3.2</v>
    <v>2.9750000000000001</v>
    <v>2.89</v>
    <v>2.7</v>
    <v>2.95</v>
    <v>3.11</v>
    <v>3.1</v>
    <v>3.09</v>
    <v>3.09</v>
    <v>3.01</v>
    <v>2.98</v>
    <v>2.9</v>
    <v>2.93</v>
    <v>2.9</v>
    <v>2.99</v>
    <v>3.44</v>
    <v>3.86</v>
    <v>4.1399999999999997</v>
    <v>4.1100000000000003</v>
    <v>3.87</v>
    <v>3.58</v>
    <v>3.85</v>
    <v>3.82</v>
    <v>4.0999999999999996</v>
    <v>4.0199999999999996</v>
    <v>3.96</v>
    <v>3.77</v>
    <v>3.67</v>
    <v>4.1900000000000004</v>
    <v>4.32</v>
    <v>4.38</v>
    <v>5.01</v>
    <v>4.82</v>
    <v>4.97</v>
    <v>5.38</v>
    <v>5.5</v>
    <v>5.15</v>
    <v>5.585</v>
    <v>5.46</v>
    <v>5.66</v>
    <v>5.39</v>
    <v>5.28</v>
    <v>4.93</v>
    <v>5.25</v>
    <v>5.04</v>
    <v>5.32</v>
    <v>6.97</v>
    <v>6.95</v>
    <v>7.16</v>
    <v>7.43</v>
    <v>7.35</v>
    <v>6.62</v>
    <v>6.42</v>
    <v>6.63</v>
    <v>6.53</v>
    <v>6.68</v>
    <v>6.51</v>
    <v>6.19</v>
    <v>6.78</v>
    <v>6.45</v>
    <v>5.63</v>
    <v>6.45</v>
    <v>6.7</v>
    <v>6.3</v>
    <v>6.19</v>
    <v>6.85</v>
    <v>6.89</v>
    <v>7.11</v>
    <v>6.38</v>
    <v>6.13</v>
    <v>6.46</v>
    <v>6.49</v>
    <v>6.13</v>
    <v>7.39</v>
    <v>7.23</v>
    <v>6.29</v>
    <v>5.74</v>
    <v>5.73</v>
    <v>5.21</v>
    <v>5.5</v>
    <v>5.26</v>
    <v>4.8600000000000003</v>
    <v>4.66</v>
    <v>4.6399999999999997</v>
    <v>4.83</v>
    <v>5.57</v>
    <v>5.85</v>
    <v>5.39</v>
    <v>5.05</v>
    <v>4.9800000000000004</v>
    <v>4.8099999999999996</v>
    <v>4.95</v>
    <v>5.24</v>
    <v>5.2</v>
    <v>5.43</v>
    <v>5.39</v>
    <v>5.51</v>
    <v>5.53</v>
    <v>5.9</v>
    <v>4.51</v>
    <v>4.49</v>
    <v>4.5</v>
    <v>4.7</v>
    <v>5.73</v>
    <v>5.82</v>
    <v>5.81</v>
    <v>5.71</v>
    <v>5.89</v>
    <v>5.97</v>
    <v>5.96</v>
    <v>5.7</v>
    <v>5.78</v>
    <v>5.98</v>
    <v>6.06</v>
    <v>5.9</v>
    <v>6.02</v>
    <v>6.08</v>
    <v>5.49</v>
    <v>4.9649999999999999</v>
    <v>4.0999999999999996</v>
    <v>4.1749999999999998</v>
    <v>3.97</v>
    <v>4.08</v>
    <v>3.85</v>
    <v>3.75</v>
    <v>4.16</v>
    <v>3.79</v>
    <v>3.89</v>
    <v>3.08</v>
    <v>3.18</v>
    <v>3.2</v>
    <v>3.03</v>
    <v>3.04</v>
    <v>3.12</v>
    <v>2.87</v>
    <v>3.06</v>
    <v>3</v>
    <v>2.92</v>
    <v>3.2</v>
    <v>3.04</v>
    <v>2.68</v>
    <v>2.54</v>
    <v>2.3199999999999998</v>
    <v>2.2999999999999998</v>
    <v>2.46</v>
    <v>2.65</v>
    <v>2.31</v>
    <v>2.1</v>
    <v>2.23</v>
    <v>2.11</v>
    <v>2.46</v>
    <v>2.2200000000000002</v>
    <v>2.42</v>
    <v>2.44</v>
    <v>2.3199999999999998</v>
    <v>2.3250000000000002</v>
    <v>2.37</v>
    <v>2.34</v>
    <v>2.74</v>
    <v>2.86</v>
    <v>3</v>
    <v>3.08</v>
    <v>3.06</v>
    <v>3.08</v>
    <v>2.85</v>
    <v>3.1150000000000002</v>
    <v>3.16</v>
    <v>2.98</v>
    <v>3.04</v>
    <v>3.02</v>
    <v>3.12</v>
    <v>2.98</v>
    <v>3.15</v>
    <v>3.43</v>
    <v>3.31</v>
    <v>3.17</v>
    <v>3.86</v>
    <v>3.81</v>
    <v>3.78</v>
    <v>3.5049999999999999</v>
    <v>3.57</v>
    <v>3.47</v>
    <v>3.57</v>
    <v>3.35</v>
    <v>3.25</v>
    <v>3.12</v>
    <v>3.25</v>
    <v>3.4350000000000001</v>
    <v>3.74</v>
    <v>3.53</v>
    <v>3.9</v>
    <v>4.1399999999999997</v>
    <v>4.0599999999999996</v>
    <v>4.08</v>
    <v>3.84</v>
    <v>3.72</v>
    <v>3.93</v>
    <v>3.68</v>
    <v>3.81</v>
    <v>3.79</v>
    <v>3.53</v>
    <v>3.85</v>
    <v>3.85</v>
    <v>4.1900000000000004</v>
    <v>4.26</v>
    <v>4.78</v>
    <v>4.9000000000000004</v>
    <v>5.68</v>
    <v>6.05</v>
    <v>5.79</v>
    <v>6.03</v>
    <v>6.26</v>
    <v>6.24</v>
    <v>5.87</v>
    <v>6.03</v>
    <v>5.97</v>
    <v>6.27</v>
    <v>6.42</v>
    <v>6.36</v>
    <v>6.25</v>
    <v>6.94</v>
    <v>6.68</v>
    <v>6.65</v>
    <v>6.47</v>
    <v>6.16</v>
    <v>5.68</v>
    <v>5.45</v>
    <v>5.46</v>
    <v>4.93</v>
    <v>5.19</v>
    <v>5.01</v>
    <v>5.21</v>
    <v>4.87</v>
    <v>4.75</v>
    <v>4.76</v>
    <v>4.72</v>
    <v>4.9000000000000004</v>
    <v>5.32</v>
    <v>5.21</v>
    <v>6.05</v>
    <v>5.76</v>
    <v>5.95</v>
    <v>5.9</v>
    <v>6.38</v>
    <v>6.64</v>
    <v>7.12</v>
    <v>6.99</v>
    <v>7.02</v>
    <v>7.64</v>
    <v>8.32</v>
    <v>8.11</v>
    <v>7.4</v>
    <v>7.52</v>
    <v>7.72</v>
    <v>9.2200000000000006</v>
    <v>10.25</v>
    <v>9.9700000000000006</v>
    <v>10.85</v>
    <v>10.85</v>
    <v>11.51</v>
    <v>12.38</v>
    <v>11.85</v>
    <v>12.28</v>
    <v>13.96</v>
    <v>14.15</v>
    <v>14.14</v>
    <v>11.66</v>
    <v>11.47</v>
    <v>12.65</v>
    <v>12.59</v>
    <v>12.6</v>
    <v>13.81</v>
    <v>14.7</v>
    <v>15.34</v>
    <v>15.75</v>
    <v>17.600000000000001</v>
    <v>17.989999999999998</v>
    <v>16.97</v>
    <v>20.34</v>
    <v>20.89</v>
    <v>21.03</v>
    <v>18.72</v>
    <v>18.760000000000002</v>
    <v>19.91</v>
    <v>18.074999999999999</v>
    <v>16.11</v>
    <v>17.254999999999999</v>
    <v>20.66</v>
    <v>20.54</v>
    <v>19.96</v>
    <v>19.59</v>
    <v>19.07</v>
    <v>18.649999999999999</v>
    <v>22.76</v>
    <v>22.51</v>
    <v>24.71</v>
    <v>21.71</v>
    <v>20.69</v>
    <v>19.649999999999999</v>
    <v>18.670000000000002</v>
    <v>17.38</v>
    <v>14.93</v>
    <v>14.36</v>
    <v>14.35</v>
    <v>14.58</v>
    <v>14.62</v>
    <v>14.56</v>
    <v>14.15</v>
    <v>16.71</v>
    <v>17.52</v>
    <v>19.149999999999999</v>
    <v>20.350000000000001</v>
    <v>19.690000000000001</v>
    <v>17.64</v>
    <v>18.63</v>
    <v>19.829999999999998</v>
    <v>19.28</v>
    <v>19.48</v>
    <v>19.559999999999999</v>
    <v>18.48</v>
    <v>18.88</v>
    <v>17.05</v>
    <v>14.74</v>
    <v>14.99</v>
    <v>14.39</v>
    <v>15.15</v>
    <v>16.21</v>
    <v>16.34</v>
    <v>15.91</v>
    <v>16.22</v>
    <v>15.19</v>
    <v>15.08</v>
    <v>14.59</v>
    <v>14.76</v>
    <v>16.2</v>
    <v>18.16</v>
    <v>17.54</v>
    <v>16.079999999999998</v>
    <v>16.55</v>
    <v>16.63</v>
    <v>17.68</v>
    <v>18.25</v>
    <v>18.13</v>
    <v>17.52</v>
    <v>18.8</v>
    <v>17.920000000000002</v>
    <v>17.72</v>
    <v>17.39</v>
    <v>17.57</v>
    <v>16.489999999999998</v>
    <v>18.75</v>
    <v>18.97</v>
    <v>17.7</v>
    <v>15.96</v>
    <v>15.81</v>
    <v>16.260000000000002</v>
    <v>14.25</v>
    <v>12.7</v>
    <v>14.73</v>
    <v>16.760000000000002</v>
    <v>17.100000000000001</v>
    <v>16.28</v>
    <v>16.100000000000001</v>
    <v>16.420000000000002</v>
    <v>15.64</v>
    <v>15.42</v>
    <v>15.8</v>
    <v>14.65</v>
    <v>15.22</v>
    <v>17.12</v>
    <v>16.61</v>
    <v>16.48</v>
    <v>15.6</v>
    <v>15.76</v>
    <v>14.71</v>
    <v>16.04</v>
    <v>15.15</v>
    <v>13.62</v>
    <v>14.31</v>
    <v>13.96</v>
    <v>14.11</v>
    <v>13.71</v>
    <v>14.08</v>
    <v>15.14</v>
    <v>15.09</v>
    <v>14.67</v>
    <v>14.64</v>
    <v>14.01</v>
    <v>14.89</v>
    <v>14.88</v>
    <v>15.88</v>
    <v>14.35</v>
    <v>13.744999999999999</v>
    <v>12.015000000000001</v>
    <v>12.87</v>
    <v>12.64</v>
    <v>12.82</v>
    <v>13.35</v>
    <v>14.01</v>
    <v>15.42</v>
    <v>16.36</v>
    <v>16.53</v>
    <v>17.760000000000002</v>
    <v>18.45</v>
    <v>18</v>
    <v>17.34</v>
    <v>19.37</v>
    <v>19.29</v>
    <v>18.04</v>
    <v>19.440000000000001</v>
    <v>18.690000000000001</v>
    <v>18.2</v>
    <v>18.16</v>
    <v>17.260000000000002</v>
    <v>16.920000000000002</v>
    <v>17.739999999999998</v>
    <v>17.04</v>
    <v>17.89</v>
    <v>22.1</v>
    <v>21.91</v>
    <v>20.684999999999999</v>
    <v>20.55</v>
    <v>20.28</v>
    <v>20.059999999999999</v>
    <v>21.24</v>
    <v>22.29</v>
    <v>20.329999999999998</v>
    <v>19.12</v>
    <v>18.8</v>
    <v>19.48</v>
    <v>21.52</v>
    <v>21.97</v>
    <v>23.02</v>
    <v>25.16</v>
    <v>24.59</v>
    <v>23.65</v>
    <v>24.01</v>
    <v>26.29</v>
    <v>26.24</v>
    <v>25.55</v>
    <v>22.45</v>
    <v>24.29</v>
    <v>23.035</v>
    <v>21.02</v>
    <v>22.63</v>
    <v>24.5</v>
    <v>26.03</v>
    <v>26.21</v>
    <v>26.35</v>
    <v>29.18</v>
    <v>28.14</v>
    <v>27.64</v>
    <v>26.22</v>
    <v>25.68</v>
    <v>25.94</v>
    <v>24.83</v>
    <v>24.5</v>
    <v>22.84</v>
    <v>20.04</v>
    <v>21.73</v>
    <v>20.47</v>
    <v>21.85</v>
    <v>23.26</v>
    <v>22.11</v>
    <v>20.085000000000001</v>
    <v>19.87</v>
    <v>19.87</v>
    <v>17.72</v>
    <v>17.559999999999999</v>
    <v>20.54</v>
    <v>22.89</v>
    <v>24.46</v>
    <v>25.82</v>
    <v>23.15</v>
    <v>21.65</v>
    <v>20.420000000000002</v>
    <v>17.690000000000001</v>
    <v>22.655000000000001</v>
    <v>22.32</v>
    <v>24.16</v>
    <v>20.38</v>
    <v>18.71</v>
    <v>18.21</v>
    <v>17.18</v>
    <v>16.329999999999998</v>
    <v>17.21</v>
    <v>17.87</v>
    <v>16.62</v>
    <v>17.855</v>
    <v>18.5</v>
    <v>16.094999999999999</v>
    <v>15.89</v>
    <v>17.21</v>
    <v>15.765000000000001</v>
    <v>15.36</v>
    <v>16.309999999999999</v>
    <v>16.02</v>
    <v>16.77</v>
    <v>15.17</v>
    <v>15.5</v>
    <v>14.61</v>
    <v>15.18</v>
    <v>17.37</v>
    <v>17.739999999999998</v>
    <v>18.510000000000002</v>
    <v>16.899999999999999</v>
    <v>15.94</v>
    <v>16.850000000000001</v>
    <v>15.635</v>
    <v>15.09</v>
    <v>16.72</v>
    <v>16.940000000000001</v>
    <v>18.34</v>
    <v>18.899999999999999</v>
    <v>19.09</v>
    <v>18.350000000000001</v>
    <v>18.100000000000001</v>
    <v>17.73</v>
    <v>16.739999999999998</v>
    <v>16.510000000000002</v>
    <v>15.824999999999999</v>
    <v>15.46</v>
    <v>15.71</v>
    <v>15.48</v>
    <v>15.5</v>
    <v>14.56</v>
    <v>13.5</v>
    <v>13.52</v>
    <v>13</v>
    <v>11.34</v>
    <v>9.94</v>
    <v>10.039999999999999</v>
    <v>8.98</v>
    <v>8.94</v>
    <v>8.8800000000000008</v>
    <v>9.1300000000000008</v>
    <v>8.32</v>
    <v>7.94</v>
  </a>
  <a r="1" c="252">
    <v>17.254999999999999</v>
    <v>20.66</v>
    <v>20.54</v>
    <v>19.96</v>
    <v>19.59</v>
    <v>19.07</v>
    <v>18.649999999999999</v>
    <v>22.76</v>
    <v>22.51</v>
    <v>24.71</v>
    <v>21.71</v>
    <v>20.69</v>
    <v>19.649999999999999</v>
    <v>18.670000000000002</v>
    <v>17.38</v>
    <v>14.93</v>
    <v>14.36</v>
    <v>14.35</v>
    <v>14.58</v>
    <v>14.62</v>
    <v>14.56</v>
    <v>14.15</v>
    <v>16.71</v>
    <v>17.52</v>
    <v>19.149999999999999</v>
    <v>20.350000000000001</v>
    <v>19.690000000000001</v>
    <v>17.64</v>
    <v>18.63</v>
    <v>19.829999999999998</v>
    <v>19.28</v>
    <v>19.48</v>
    <v>19.559999999999999</v>
    <v>18.48</v>
    <v>18.88</v>
    <v>17.05</v>
    <v>14.74</v>
    <v>14.99</v>
    <v>14.39</v>
    <v>15.15</v>
    <v>16.21</v>
    <v>16.34</v>
    <v>15.91</v>
    <v>16.22</v>
    <v>15.19</v>
    <v>15.08</v>
    <v>14.59</v>
    <v>14.76</v>
    <v>16.2</v>
    <v>18.16</v>
    <v>17.54</v>
    <v>16.079999999999998</v>
    <v>16.55</v>
    <v>16.63</v>
    <v>17.68</v>
    <v>18.25</v>
    <v>18.13</v>
    <v>17.52</v>
    <v>18.8</v>
    <v>17.920000000000002</v>
    <v>17.72</v>
    <v>17.39</v>
    <v>17.57</v>
    <v>16.489999999999998</v>
    <v>18.75</v>
    <v>18.97</v>
    <v>17.7</v>
    <v>15.96</v>
    <v>15.81</v>
    <v>16.260000000000002</v>
    <v>14.25</v>
    <v>12.7</v>
    <v>14.73</v>
    <v>16.760000000000002</v>
    <v>17.100000000000001</v>
    <v>16.28</v>
    <v>16.100000000000001</v>
    <v>16.420000000000002</v>
    <v>15.64</v>
    <v>15.42</v>
    <v>15.8</v>
    <v>14.65</v>
    <v>15.22</v>
    <v>17.12</v>
    <v>16.61</v>
    <v>16.48</v>
    <v>15.6</v>
    <v>15.76</v>
    <v>14.71</v>
    <v>16.04</v>
    <v>15.15</v>
    <v>13.62</v>
    <v>14.31</v>
    <v>13.96</v>
    <v>14.11</v>
    <v>13.71</v>
    <v>14.08</v>
    <v>15.14</v>
    <v>15.09</v>
    <v>14.67</v>
    <v>14.64</v>
    <v>14.01</v>
    <v>14.89</v>
    <v>14.88</v>
    <v>15.88</v>
    <v>14.35</v>
    <v>13.744999999999999</v>
    <v>12.015000000000001</v>
    <v>12.87</v>
    <v>12.64</v>
    <v>12.82</v>
    <v>13.35</v>
    <v>14.01</v>
    <v>15.42</v>
    <v>16.36</v>
    <v>16.53</v>
    <v>17.760000000000002</v>
    <v>18.45</v>
    <v>18</v>
    <v>17.34</v>
    <v>19.37</v>
    <v>19.29</v>
    <v>18.04</v>
    <v>19.440000000000001</v>
    <v>18.690000000000001</v>
    <v>18.2</v>
    <v>18.16</v>
    <v>17.260000000000002</v>
    <v>16.920000000000002</v>
    <v>17.739999999999998</v>
    <v>17.04</v>
    <v>17.89</v>
    <v>22.1</v>
    <v>21.91</v>
    <v>20.684999999999999</v>
    <v>20.55</v>
    <v>20.28</v>
    <v>20.059999999999999</v>
    <v>21.24</v>
    <v>22.29</v>
    <v>20.329999999999998</v>
    <v>19.12</v>
    <v>18.8</v>
    <v>19.48</v>
    <v>21.52</v>
    <v>21.97</v>
    <v>23.02</v>
    <v>25.16</v>
    <v>24.59</v>
    <v>23.65</v>
    <v>24.01</v>
    <v>26.29</v>
    <v>26.24</v>
    <v>25.55</v>
    <v>22.45</v>
    <v>24.29</v>
    <v>23.035</v>
    <v>21.02</v>
    <v>22.63</v>
    <v>24.5</v>
    <v>26.03</v>
    <v>26.21</v>
    <v>26.35</v>
    <v>29.18</v>
    <v>28.14</v>
    <v>27.64</v>
    <v>26.22</v>
    <v>25.68</v>
    <v>25.94</v>
    <v>24.83</v>
    <v>24.5</v>
    <v>22.84</v>
    <v>20.04</v>
    <v>21.73</v>
    <v>20.47</v>
    <v>21.85</v>
    <v>23.26</v>
    <v>22.11</v>
    <v>20.085000000000001</v>
    <v>19.87</v>
    <v>19.87</v>
    <v>17.72</v>
    <v>17.559999999999999</v>
    <v>20.54</v>
    <v>22.89</v>
    <v>24.46</v>
    <v>25.82</v>
    <v>23.15</v>
    <v>21.65</v>
    <v>20.420000000000002</v>
    <v>17.690000000000001</v>
    <v>22.655000000000001</v>
    <v>22.32</v>
    <v>24.16</v>
    <v>20.38</v>
    <v>18.71</v>
    <v>18.21</v>
    <v>17.18</v>
    <v>16.329999999999998</v>
    <v>17.21</v>
    <v>17.87</v>
    <v>16.62</v>
    <v>17.855</v>
    <v>18.5</v>
    <v>16.094999999999999</v>
    <v>15.89</v>
    <v>17.21</v>
    <v>15.765000000000001</v>
    <v>15.36</v>
    <v>16.309999999999999</v>
    <v>16.02</v>
    <v>16.77</v>
    <v>15.17</v>
    <v>15.5</v>
    <v>14.61</v>
    <v>15.18</v>
    <v>17.37</v>
    <v>17.739999999999998</v>
    <v>18.510000000000002</v>
    <v>16.899999999999999</v>
    <v>15.94</v>
    <v>16.850000000000001</v>
    <v>15.635</v>
    <v>15.09</v>
    <v>16.72</v>
    <v>16.940000000000001</v>
    <v>18.34</v>
    <v>18.899999999999999</v>
    <v>19.09</v>
    <v>18.350000000000001</v>
    <v>18.100000000000001</v>
    <v>17.73</v>
    <v>16.739999999999998</v>
    <v>16.510000000000002</v>
    <v>15.824999999999999</v>
    <v>15.46</v>
    <v>15.71</v>
    <v>15.48</v>
    <v>15.5</v>
    <v>14.56</v>
    <v>13.5</v>
    <v>13.52</v>
    <v>13</v>
    <v>11.34</v>
    <v>9.94</v>
    <v>10.039999999999999</v>
    <v>8.98</v>
    <v>8.94</v>
    <v>8.8800000000000008</v>
    <v>9.1300000000000008</v>
    <v>8.32</v>
    <v>7.94</v>
  </a>
  <a r="1" c="254">
    <v>275.64999999999998</v>
    <v>276.3</v>
    <v>277.2</v>
    <v>276.64999999999998</v>
    <v>276.3</v>
    <v>276.25</v>
    <v>274.75</v>
    <v>275</v>
    <v>274.2</v>
    <v>274.75</v>
    <v>272.89999999999998</v>
    <v>271.45</v>
    <v>275.25</v>
    <v>278.8</v>
    <v>280.85000000000002</v>
    <v>279.3</v>
    <v>276.39999999999998</v>
    <v>274.89999999999998</v>
    <v>270.10000000000002</v>
    <v>270</v>
    <v>271.2</v>
    <v>270.2</v>
    <v>270.89999999999998</v>
    <v>273.35000000000002</v>
    <v>276.39999999999998</v>
    <v>276.60000000000002</v>
    <v>277.45</v>
    <v>276.85000000000002</v>
    <v>277.10000000000002</v>
    <v>277.60000000000002</v>
    <v>278.60000000000002</v>
    <v>278.55</v>
    <v>278.55</v>
    <v>278.3</v>
    <v>278.39999999999998</v>
    <v>280</v>
    <v>278.3</v>
    <v>280.55</v>
    <v>279.3</v>
    <v>279.14999999999998</v>
    <v>281.89999999999998</v>
    <v>283</v>
    <v>282.60000000000002</v>
    <v>283.60000000000002</v>
    <v>283.89999999999998</v>
    <v>285.8</v>
    <v>287.3</v>
    <v>290</v>
    <v>291.8</v>
    <v>291.39999999999998</v>
    <v>290.89999999999998</v>
    <v>293.75</v>
    <v>294.45</v>
    <v>294.14999999999998</v>
    <v>294.5</v>
    <v>296.39999999999998</v>
    <v>296.2</v>
    <v>292.64999999999998</v>
    <v>290.55</v>
    <v>290.45</v>
    <v>293.60000000000002</v>
    <v>293.25</v>
    <v>293.8</v>
    <v>295.35000000000002</v>
    <v>293.05</v>
    <v>292.64999999999998</v>
    <v>294.60000000000002</v>
    <v>297.75</v>
    <v>297.8</v>
    <v>297.75</v>
    <v>295</v>
    <v>297.5</v>
    <v>299.55</v>
    <v>299.10000000000002</v>
    <v>299.60000000000002</v>
    <v>297.95</v>
    <v>297.89999999999998</v>
    <v>298.2</v>
    <v>299.75</v>
    <v>303.14999999999998</v>
    <v>301.85000000000002</v>
    <v>304.3</v>
    <v>302.95</v>
    <v>303.55</v>
    <v>305.75</v>
    <v>305.60000000000002</v>
    <v>305.8</v>
    <v>300.8</v>
    <v>291.8</v>
    <v>295.55</v>
    <v>291.85000000000002</v>
    <v>289.14999999999998</v>
    <v>287.2</v>
    <v>292.75</v>
    <v>291</v>
    <v>289.60000000000002</v>
    <v>288</v>
    <v>289.25</v>
    <v>291.2</v>
    <v>289.14999999999998</v>
    <v>282</v>
    <v>277</v>
    <v>279.35000000000002</v>
    <v>280.2</v>
    <v>284.05</v>
    <v>281.14999999999998</v>
    <v>278.60000000000002</v>
    <v>281.7</v>
    <v>282.64999999999998</v>
    <v>289.75</v>
    <v>289.39999999999998</v>
    <v>286.3</v>
    <v>297.75</v>
    <v>297.45</v>
    <v>298.45</v>
    <v>297.95</v>
    <v>300.89999999999998</v>
    <v>299.64999999999998</v>
    <v>299.3</v>
    <v>304.25</v>
    <v>301.89999999999998</v>
    <v>299.55</v>
    <v>298.55</v>
    <v>298.55</v>
    <v>297.25</v>
    <v>296.39999999999998</v>
    <v>295.35000000000002</v>
    <v>293.60000000000002</v>
    <v>297.89999999999998</v>
    <v>294.35000000000002</v>
    <v>297.55</v>
    <v>304.35000000000002</v>
    <v>300.8</v>
    <v>299.14999999999998</v>
    <v>299.55</v>
    <v>296.60000000000002</v>
    <v>299.10000000000002</v>
    <v>302</v>
    <v>296.7</v>
    <v>299.14999999999998</v>
    <v>299.5</v>
    <v>304.10000000000002</v>
    <v>304.14999999999998</v>
    <v>306.64999999999998</v>
    <v>312.10000000000002</v>
    <v>308.10000000000002</v>
    <v>308.2</v>
    <v>306.89999999999998</v>
    <v>307</v>
    <v>305.3</v>
    <v>307.14999999999998</v>
    <v>305.10000000000002</v>
    <v>306.8</v>
    <v>305.64999999999998</v>
    <v>305.14999999999998</v>
    <v>303.55</v>
    <v>303.14999999999998</v>
    <v>305.14999999999998</v>
    <v>311.05</v>
    <v>311.8</v>
    <v>312.5</v>
    <v>314.14999999999998</v>
    <v>312.95</v>
    <v>312.05</v>
    <v>314.10000000000002</v>
    <v>311.64999999999998</v>
    <v>312.14999999999998</v>
    <v>314.35000000000002</v>
    <v>312.45</v>
    <v>312.39999999999998</v>
    <v>315.35000000000002</v>
    <v>314.10000000000002</v>
    <v>318.7</v>
    <v>320.64999999999998</v>
    <v>319.89999999999998</v>
    <v>317.85000000000002</v>
    <v>312.60000000000002</v>
    <v>315.3</v>
    <v>315.45</v>
    <v>315.3</v>
    <v>315.75</v>
    <v>316.3</v>
    <v>316.7</v>
    <v>315.5</v>
    <v>314.45</v>
    <v>316.35000000000002</v>
    <v>318.10000000000002</v>
    <v>314.2</v>
    <v>317.2</v>
    <v>317.05</v>
    <v>318.45</v>
    <v>317.35000000000002</v>
    <v>319.95</v>
    <v>319.60000000000002</v>
    <v>320.85000000000002</v>
    <v>323.39999999999998</v>
    <v>323.35000000000002</v>
    <v>324.10000000000002</v>
    <v>325.05</v>
    <v>325.2</v>
    <v>325.2</v>
    <v>324.64999999999998</v>
    <v>324.7</v>
    <v>324.05</v>
    <v>323.39999999999998</v>
    <v>321.2</v>
    <v>320.7</v>
    <v>320.25</v>
    <v>322.25</v>
    <v>322.25</v>
    <v>323.39999999999998</v>
    <v>323.45</v>
    <v>321.3</v>
    <v>323</v>
    <v>320.55</v>
    <v>319.2</v>
    <v>318.45</v>
    <v>320.14999999999998</v>
    <v>320.45</v>
    <v>320.5</v>
    <v>320.39999999999998</v>
    <v>315.75</v>
    <v>313.39999999999998</v>
    <v>315.2</v>
    <v>313.75</v>
    <v>312.60000000000002</v>
    <v>314.10000000000002</v>
    <v>317</v>
    <v>313.35000000000002</v>
    <v>316.64999999999998</v>
    <v>316.89999999999998</v>
    <v>315.64999999999998</v>
    <v>313.95</v>
    <v>315</v>
    <v>315.10000000000002</v>
    <v>314.5</v>
    <v>313.3</v>
    <v>309.35000000000002</v>
    <v>311.7</v>
    <v>312.64999999999998</v>
    <v>314.05</v>
    <v>311.14999999999998</v>
    <v>308.45</v>
    <v>311.7</v>
    <v>313.75</v>
    <v>313.39999999999998</v>
    <v>314.89999999999998</v>
    <v>315.89999999999998</v>
    <v>318.25</v>
    <v>315.7</v>
    <v>315.25</v>
    <v>318.3</v>
    <v>314.8</v>
    <v>313.45</v>
  </a>
  <a r="1" c="208">
    <v>287.3</v>
    <v>290</v>
    <v>291.8</v>
    <v>291.39999999999998</v>
    <v>290.89999999999998</v>
    <v>293.75</v>
    <v>294.45</v>
    <v>294.14999999999998</v>
    <v>294.5</v>
    <v>296.39999999999998</v>
    <v>296.2</v>
    <v>292.64999999999998</v>
    <v>290.55</v>
    <v>290.45</v>
    <v>293.60000000000002</v>
    <v>293.25</v>
    <v>293.8</v>
    <v>295.35000000000002</v>
    <v>293.05</v>
    <v>292.64999999999998</v>
    <v>294.60000000000002</v>
    <v>297.75</v>
    <v>297.8</v>
    <v>297.75</v>
    <v>295</v>
    <v>297.5</v>
    <v>299.55</v>
    <v>299.10000000000002</v>
    <v>299.60000000000002</v>
    <v>297.95</v>
    <v>297.89999999999998</v>
    <v>298.2</v>
    <v>299.75</v>
    <v>303.14999999999998</v>
    <v>301.85000000000002</v>
    <v>304.3</v>
    <v>302.95</v>
    <v>303.55</v>
    <v>305.75</v>
    <v>305.60000000000002</v>
    <v>305.8</v>
    <v>300.8</v>
    <v>291.8</v>
    <v>295.55</v>
    <v>291.85000000000002</v>
    <v>289.14999999999998</v>
    <v>287.2</v>
    <v>292.75</v>
    <v>291</v>
    <v>289.60000000000002</v>
    <v>288</v>
    <v>289.25</v>
    <v>291.2</v>
    <v>289.14999999999998</v>
    <v>282</v>
    <v>277</v>
    <v>279.35000000000002</v>
    <v>280.2</v>
    <v>284.05</v>
    <v>281.14999999999998</v>
    <v>278.60000000000002</v>
    <v>281.7</v>
    <v>282.64999999999998</v>
    <v>289.75</v>
    <v>289.39999999999998</v>
    <v>286.3</v>
    <v>297.75</v>
    <v>297.45</v>
    <v>298.45</v>
    <v>297.95</v>
    <v>300.89999999999998</v>
    <v>299.64999999999998</v>
    <v>299.3</v>
    <v>304.25</v>
    <v>301.89999999999998</v>
    <v>299.55</v>
    <v>298.55</v>
    <v>298.55</v>
    <v>297.25</v>
    <v>296.39999999999998</v>
    <v>295.35000000000002</v>
    <v>293.60000000000002</v>
    <v>297.89999999999998</v>
    <v>294.35000000000002</v>
    <v>297.55</v>
    <v>304.35000000000002</v>
    <v>300.8</v>
    <v>299.14999999999998</v>
    <v>299.55</v>
    <v>296.60000000000002</v>
    <v>299.10000000000002</v>
    <v>302</v>
    <v>296.7</v>
    <v>299.14999999999998</v>
    <v>299.5</v>
    <v>304.10000000000002</v>
    <v>304.14999999999998</v>
    <v>306.64999999999998</v>
    <v>312.10000000000002</v>
    <v>308.10000000000002</v>
    <v>308.2</v>
    <v>306.89999999999998</v>
    <v>307</v>
    <v>305.3</v>
    <v>307.14999999999998</v>
    <v>305.10000000000002</v>
    <v>306.8</v>
    <v>305.64999999999998</v>
    <v>305.14999999999998</v>
    <v>303.55</v>
    <v>303.14999999999998</v>
    <v>305.14999999999998</v>
    <v>311.05</v>
    <v>311.8</v>
    <v>312.5</v>
    <v>314.14999999999998</v>
    <v>312.95</v>
    <v>312.05</v>
    <v>314.10000000000002</v>
    <v>311.64999999999998</v>
    <v>312.14999999999998</v>
    <v>314.35000000000002</v>
    <v>312.45</v>
    <v>312.39999999999998</v>
    <v>315.35000000000002</v>
    <v>314.10000000000002</v>
    <v>318.7</v>
    <v>320.64999999999998</v>
    <v>319.89999999999998</v>
    <v>317.85000000000002</v>
    <v>312.60000000000002</v>
    <v>315.3</v>
    <v>315.45</v>
    <v>315.3</v>
    <v>315.75</v>
    <v>316.3</v>
    <v>316.7</v>
    <v>315.5</v>
    <v>314.45</v>
    <v>316.35000000000002</v>
    <v>318.10000000000002</v>
    <v>314.2</v>
    <v>317.2</v>
    <v>317.05</v>
    <v>318.45</v>
    <v>317.35000000000002</v>
    <v>319.95</v>
    <v>319.60000000000002</v>
    <v>320.85000000000002</v>
    <v>323.39999999999998</v>
    <v>323.35000000000002</v>
    <v>324.10000000000002</v>
    <v>325.05</v>
    <v>325.2</v>
    <v>325.2</v>
    <v>324.64999999999998</v>
    <v>324.7</v>
    <v>324.05</v>
    <v>323.39999999999998</v>
    <v>321.2</v>
    <v>320.7</v>
    <v>320.25</v>
    <v>322.25</v>
    <v>322.25</v>
    <v>323.39999999999998</v>
    <v>323.45</v>
    <v>321.3</v>
    <v>323</v>
    <v>320.55</v>
    <v>319.2</v>
    <v>318.45</v>
    <v>320.14999999999998</v>
    <v>320.45</v>
    <v>320.5</v>
    <v>320.39999999999998</v>
    <v>315.75</v>
    <v>313.39999999999998</v>
    <v>315.2</v>
    <v>313.75</v>
    <v>312.60000000000002</v>
    <v>314.10000000000002</v>
    <v>317</v>
    <v>313.35000000000002</v>
    <v>316.64999999999998</v>
    <v>316.89999999999998</v>
    <v>315.64999999999998</v>
    <v>313.95</v>
    <v>315</v>
    <v>315.10000000000002</v>
    <v>314.5</v>
    <v>313.3</v>
    <v>309.35000000000002</v>
    <v>311.7</v>
    <v>312.64999999999998</v>
    <v>314.05</v>
    <v>311.14999999999998</v>
    <v>308.45</v>
    <v>311.7</v>
    <v>313.75</v>
    <v>313.39999999999998</v>
    <v>314.89999999999998</v>
    <v>315.89999999999998</v>
    <v>318.25</v>
    <v>315.7</v>
    <v>315.25</v>
    <v>318.3</v>
    <v>314.8</v>
    <v>313.45</v>
  </a>
  <a r="1" c="761">
    <v>196.08</v>
    <v>196.98</v>
    <v>197.08</v>
    <v>196.04</v>
    <v>194.36</v>
    <v>195.04</v>
    <v>196.3</v>
    <v>197.6</v>
    <v>201.1</v>
    <v>201.35</v>
    <v>201.15</v>
    <v>200.85</v>
    <v>201.5</v>
    <v>203.25</v>
    <v>201.2</v>
    <v>202.9</v>
    <v>205.4</v>
    <v>206.3</v>
    <v>205.1</v>
    <v>207.2</v>
    <v>207.25</v>
    <v>207.1</v>
    <v>207.55</v>
    <v>208.25</v>
    <v>208.7</v>
    <v>208.1</v>
    <v>207.5</v>
    <v>208.3</v>
    <v>209.45</v>
    <v>211.9</v>
    <v>211.6</v>
    <v>212.5</v>
    <v>213.8</v>
    <v>213.2</v>
    <v>214.75</v>
    <v>215.35</v>
    <v>214.9</v>
    <v>214.95</v>
    <v>216.85</v>
    <v>216.95</v>
    <v>216.1</v>
    <v>216.95</v>
    <v>217.4</v>
    <v>217</v>
    <v>217.45</v>
    <v>218.1</v>
    <v>217.35</v>
    <v>217.35</v>
    <v>217.8</v>
    <v>215.5</v>
    <v>217.25</v>
    <v>216.7</v>
    <v>217.4</v>
    <v>217.1</v>
    <v>216.75</v>
    <v>215</v>
    <v>216.65</v>
    <v>215.65</v>
    <v>214.85</v>
    <v>212.65</v>
    <v>213.75</v>
    <v>213.2</v>
    <v>215</v>
    <v>214.35</v>
    <v>216.75</v>
    <v>217.4</v>
    <v>219.95</v>
    <v>220.35</v>
    <v>220.7</v>
    <v>220.75</v>
    <v>220</v>
    <v>219.9</v>
    <v>220</v>
    <v>221.25</v>
    <v>220.7</v>
    <v>220.6</v>
    <v>220.45</v>
    <v>221.7</v>
    <v>219.45</v>
    <v>220.5</v>
    <v>222.05</v>
    <v>223.6</v>
    <v>223.85</v>
    <v>223.55</v>
    <v>223.15</v>
    <v>225.3</v>
    <v>226.15</v>
    <v>225.25</v>
    <v>225.65</v>
    <v>225</v>
    <v>225.05</v>
    <v>226.3</v>
    <v>226.45</v>
    <v>225.65</v>
    <v>226.7</v>
    <v>229.5</v>
    <v>229.1</v>
    <v>228.6</v>
    <v>230.65</v>
    <v>231.15</v>
    <v>230.85</v>
    <v>229.8</v>
    <v>229.9</v>
    <v>230.4</v>
    <v>230.3</v>
    <v>232.6</v>
    <v>232.5</v>
    <v>232.85</v>
    <v>233.65</v>
    <v>233.8</v>
    <v>234.45</v>
    <v>232.3</v>
    <v>233.15</v>
    <v>233.55</v>
    <v>231.25</v>
    <v>232.6</v>
    <v>231.15</v>
    <v>231.5</v>
    <v>230.85</v>
    <v>231.05</v>
    <v>231.6</v>
    <v>227.7</v>
    <v>227.95</v>
    <v>228.7</v>
    <v>228</v>
    <v>230.05</v>
    <v>232.55</v>
    <v>231.8</v>
    <v>230.2</v>
    <v>233.1</v>
    <v>233.3</v>
    <v>231.9</v>
    <v>231.4</v>
    <v>232.6</v>
    <v>234.05</v>
    <v>236.55</v>
    <v>237.35</v>
    <v>238.35</v>
    <v>240.1</v>
    <v>240.15</v>
    <v>240.45</v>
    <v>242.1</v>
    <v>241.6</v>
    <v>241.45</v>
    <v>242.2</v>
    <v>241.7</v>
    <v>241.15</v>
    <v>241.2</v>
    <v>240.9</v>
    <v>241.55</v>
    <v>240.05</v>
    <v>237.7</v>
    <v>239.25</v>
    <v>239.85</v>
    <v>240.95</v>
    <v>239.55</v>
    <v>242</v>
    <v>243.25</v>
    <v>242.75</v>
    <v>242.1</v>
    <v>239.85</v>
    <v>242.25</v>
    <v>239.4</v>
    <v>236.85</v>
    <v>237.1</v>
    <v>238.55</v>
    <v>238.25</v>
    <v>240.7</v>
    <v>238.7</v>
    <v>240.75</v>
    <v>240.05</v>
    <v>238.85</v>
    <v>237.9</v>
    <v>237.25</v>
    <v>238.2</v>
    <v>237.2</v>
    <v>238.85</v>
    <v>240.35</v>
    <v>239.95</v>
    <v>239.95</v>
    <v>237.55</v>
    <v>239.65</v>
    <v>241.1</v>
    <v>243.25</v>
    <v>240.95</v>
    <v>240.35</v>
    <v>239.15</v>
    <v>238.65</v>
    <v>236.95</v>
    <v>239.35</v>
    <v>239.55</v>
    <v>238.15</v>
    <v>236.35</v>
    <v>238.4</v>
    <v>237.7</v>
    <v>238.5</v>
    <v>240.6</v>
    <v>237.2</v>
    <v>231.4</v>
    <v>226.15</v>
    <v>226.8</v>
    <v>230.5</v>
    <v>230.7</v>
    <v>232.2</v>
    <v>232</v>
    <v>233.15</v>
    <v>234.5</v>
    <v>237.85</v>
    <v>239.6</v>
    <v>238.35</v>
    <v>239.15</v>
    <v>239.95</v>
    <v>241.3</v>
    <v>241.25</v>
    <v>241.55</v>
    <v>242.25</v>
    <v>244.1</v>
    <v>244.2</v>
    <v>244.25</v>
    <v>242</v>
    <v>239.45</v>
    <v>238.15</v>
    <v>235.9</v>
    <v>237.6</v>
    <v>236.3</v>
    <v>236.6</v>
    <v>238.35</v>
    <v>240.35</v>
    <v>239.8</v>
    <v>240.75</v>
    <v>239.45</v>
    <v>242.95</v>
    <v>239.2</v>
    <v>240.4</v>
    <v>241.85</v>
    <v>241.75</v>
    <v>244.8</v>
    <v>245.95</v>
    <v>243.6</v>
    <v>242.75</v>
    <v>242.8</v>
    <v>240.7</v>
    <v>241.7</v>
    <v>242.2</v>
    <v>240.75</v>
    <v>242.5</v>
    <v>241.8</v>
    <v>243.1</v>
    <v>244.5</v>
    <v>242.35</v>
    <v>242.05</v>
    <v>244</v>
    <v>244.5</v>
    <v>242.8</v>
    <v>242.35</v>
    <v>241.45</v>
    <v>241.75</v>
    <v>241.75</v>
    <v>242.8</v>
    <v>241.15</v>
    <v>238.1</v>
    <v>235.55</v>
    <v>238.2</v>
    <v>237.1</v>
    <v>237.2</v>
    <v>236.1</v>
    <v>237.8</v>
    <v>236.1</v>
    <v>238.95</v>
    <v>233.9</v>
    <v>233.7</v>
    <v>236.65</v>
    <v>234.65</v>
    <v>235</v>
    <v>233.9</v>
    <v>233.85</v>
    <v>234.9</v>
    <v>237.4</v>
    <v>237.65</v>
    <v>236.25</v>
    <v>235.75</v>
    <v>236.65</v>
    <v>238.15</v>
    <v>239.35</v>
    <v>240.5</v>
    <v>241.45</v>
    <v>242.55</v>
    <v>243.1</v>
    <v>243.5</v>
    <v>242.15</v>
    <v>242.65</v>
    <v>242.45</v>
    <v>241.3</v>
    <v>240.9</v>
    <v>240</v>
    <v>240.35</v>
    <v>236.9</v>
    <v>235.1</v>
    <v>235.3</v>
    <v>237</v>
    <v>235.95</v>
    <v>239.05</v>
    <v>237.8</v>
    <v>240.25</v>
    <v>240.6</v>
    <v>240.15</v>
    <v>241.2</v>
    <v>239.25</v>
    <v>238.05</v>
    <v>237.8</v>
    <v>240.9</v>
    <v>243.35</v>
    <v>245</v>
    <v>245.15</v>
    <v>246</v>
    <v>246.95</v>
    <v>248.05</v>
    <v>247.85</v>
    <v>247.7</v>
    <v>248.65</v>
    <v>249.9</v>
    <v>252.15</v>
    <v>252.4</v>
    <v>250.4</v>
    <v>250.95</v>
    <v>252.1</v>
    <v>254.95</v>
    <v>253.95</v>
    <v>255.6</v>
    <v>256</v>
    <v>256.3</v>
    <v>259.3</v>
    <v>258.75</v>
    <v>260.10000000000002</v>
    <v>260.95</v>
    <v>258.5</v>
    <v>258.2</v>
    <v>259.55</v>
    <v>259.35000000000002</v>
    <v>259.55</v>
    <v>262.3</v>
    <v>261.14999999999998</v>
    <v>261.10000000000002</v>
    <v>263.95</v>
    <v>258.35000000000002</v>
    <v>260.55</v>
    <v>260.64999999999998</v>
    <v>259.55</v>
    <v>256.25</v>
    <v>251.85</v>
    <v>254.2</v>
    <v>253.65</v>
    <v>256.55</v>
    <v>258.7</v>
    <v>260.14999999999998</v>
    <v>260.60000000000002</v>
    <v>259.35000000000002</v>
    <v>257.85000000000002</v>
    <v>257.7</v>
    <v>259.45</v>
    <v>257.7</v>
    <v>256.8</v>
    <v>254.9</v>
    <v>251.2</v>
    <v>253.85</v>
    <v>252.7</v>
    <v>245.95</v>
    <v>233.4</v>
    <v>224.4</v>
    <v>229.45</v>
    <v>221.15</v>
    <v>229.6</v>
    <v>229.6</v>
    <v>235.85</v>
    <v>239.7</v>
    <v>239.35</v>
    <v>238.55</v>
    <v>240.05</v>
    <v>244</v>
    <v>245.3</v>
    <v>246.15</v>
    <v>247.45</v>
    <v>248.35</v>
    <v>249.65</v>
    <v>254.1</v>
    <v>254.95</v>
    <v>254.4</v>
    <v>253.15</v>
    <v>254.35</v>
    <v>255.45</v>
    <v>258.85000000000002</v>
    <v>259</v>
    <v>258.60000000000002</v>
    <v>260.25</v>
    <v>261.45</v>
    <v>262.25</v>
    <v>264.3</v>
    <v>264.2</v>
    <v>262.35000000000002</v>
    <v>260.14999999999998</v>
    <v>263.39999999999998</v>
    <v>263.7</v>
    <v>262.05</v>
    <v>261.55</v>
    <v>262.14999999999998</v>
    <v>261.8</v>
    <v>262.10000000000002</v>
    <v>263.2</v>
    <v>263.85000000000002</v>
    <v>264.60000000000002</v>
    <v>264.45</v>
    <v>264.35000000000002</v>
    <v>263.60000000000002</v>
    <v>262.85000000000002</v>
    <v>260.35000000000002</v>
    <v>261.5</v>
    <v>259.05</v>
    <v>258.05</v>
    <v>255.9</v>
    <v>256.55</v>
    <v>255.8</v>
    <v>258.64999999999998</v>
    <v>256.7</v>
    <v>257.10000000000002</v>
    <v>260</v>
    <v>258.89999999999998</v>
    <v>258.39999999999998</v>
    <v>258.89999999999998</v>
    <v>260.2</v>
    <v>258.89999999999998</v>
    <v>260.2</v>
    <v>261.25</v>
    <v>263.3</v>
    <v>264.7</v>
    <v>261.89999999999998</v>
    <v>261.8</v>
    <v>260.75</v>
    <v>259.05</v>
    <v>261.85000000000002</v>
    <v>261.7</v>
    <v>261.7</v>
    <v>260.55</v>
    <v>263.45</v>
    <v>263.89999999999998</v>
    <v>263.3</v>
    <v>262.95</v>
    <v>263.5</v>
    <v>263.35000000000002</v>
    <v>261.39999999999998</v>
    <v>255.1</v>
    <v>258.64999999999998</v>
    <v>259.05</v>
    <v>259.05</v>
    <v>261.55</v>
    <v>262.05</v>
    <v>261.95</v>
    <v>262.5</v>
    <v>263.85000000000002</v>
    <v>265.5</v>
    <v>265.64999999999998</v>
    <v>267.5</v>
    <v>268.2</v>
    <v>268.2</v>
    <v>269.2</v>
    <v>267.89999999999998</v>
    <v>265.85000000000002</v>
    <v>266.05</v>
    <v>265.7</v>
    <v>263.95</v>
    <v>264.60000000000002</v>
    <v>260.5</v>
    <v>262.3</v>
    <v>263.89999999999998</v>
    <v>263.55</v>
    <v>264.95</v>
    <v>265.05</v>
    <v>264.95</v>
    <v>266.39999999999998</v>
    <v>266.14999999999998</v>
    <v>267.35000000000002</v>
    <v>264.25</v>
    <v>264.25</v>
    <v>266.25</v>
    <v>265.89999999999998</v>
    <v>265.55</v>
    <v>266.35000000000002</v>
    <v>265.85000000000002</v>
    <v>264.2</v>
    <v>266.3</v>
    <v>266.7</v>
    <v>267.95</v>
    <v>271.14999999999998</v>
    <v>272.64999999999998</v>
    <v>273.95</v>
    <v>273.95</v>
    <v>273.55</v>
    <v>275.55</v>
    <v>274.3</v>
    <v>270.85000000000002</v>
    <v>272.2</v>
    <v>271.2</v>
    <v>272.60000000000002</v>
    <v>274.64999999999998</v>
    <v>272.05</v>
    <v>274.8</v>
    <v>275.39999999999998</v>
    <v>274.95</v>
    <v>275.64999999999998</v>
    <v>276.3</v>
    <v>277.2</v>
    <v>276.64999999999998</v>
    <v>276.3</v>
    <v>276.25</v>
    <v>274.75</v>
    <v>275</v>
    <v>274.2</v>
    <v>274.75</v>
    <v>272.89999999999998</v>
    <v>271.45</v>
    <v>275.25</v>
    <v>278.8</v>
    <v>280.85000000000002</v>
    <v>279.3</v>
    <v>276.39999999999998</v>
    <v>274.89999999999998</v>
    <v>270.10000000000002</v>
    <v>270</v>
    <v>271.2</v>
    <v>270.2</v>
    <v>270.89999999999998</v>
    <v>273.35000000000002</v>
    <v>276.39999999999998</v>
    <v>276.60000000000002</v>
    <v>277.45</v>
    <v>276.85000000000002</v>
    <v>277.10000000000002</v>
    <v>277.60000000000002</v>
    <v>278.60000000000002</v>
    <v>278.55</v>
    <v>278.55</v>
    <v>278.3</v>
    <v>278.39999999999998</v>
    <v>280</v>
    <v>278.3</v>
    <v>280.55</v>
    <v>279.3</v>
    <v>279.14999999999998</v>
    <v>281.89999999999998</v>
    <v>283</v>
    <v>282.60000000000002</v>
    <v>283.60000000000002</v>
    <v>283.89999999999998</v>
    <v>285.8</v>
    <v>287.3</v>
    <v>290</v>
    <v>291.8</v>
    <v>291.39999999999998</v>
    <v>290.89999999999998</v>
    <v>293.75</v>
    <v>294.45</v>
    <v>294.14999999999998</v>
    <v>294.5</v>
    <v>296.39999999999998</v>
    <v>296.2</v>
    <v>292.64999999999998</v>
    <v>290.55</v>
    <v>290.45</v>
    <v>293.60000000000002</v>
    <v>293.25</v>
    <v>293.8</v>
    <v>295.35000000000002</v>
    <v>293.05</v>
    <v>292.64999999999998</v>
    <v>294.60000000000002</v>
    <v>297.75</v>
    <v>297.8</v>
    <v>297.75</v>
    <v>295</v>
    <v>297.5</v>
    <v>299.55</v>
    <v>299.10000000000002</v>
    <v>299.60000000000002</v>
    <v>297.95</v>
    <v>297.89999999999998</v>
    <v>298.2</v>
    <v>299.75</v>
    <v>303.14999999999998</v>
    <v>301.85000000000002</v>
    <v>304.3</v>
    <v>302.95</v>
    <v>303.55</v>
    <v>305.75</v>
    <v>305.60000000000002</v>
    <v>305.8</v>
    <v>300.8</v>
    <v>291.8</v>
    <v>295.55</v>
    <v>291.85000000000002</v>
    <v>289.14999999999998</v>
    <v>287.2</v>
    <v>292.75</v>
    <v>291</v>
    <v>289.60000000000002</v>
    <v>288</v>
    <v>289.25</v>
    <v>291.2</v>
    <v>289.14999999999998</v>
    <v>282</v>
    <v>277</v>
    <v>279.35000000000002</v>
    <v>280.2</v>
    <v>284.05</v>
    <v>281.14999999999998</v>
    <v>278.60000000000002</v>
    <v>281.7</v>
    <v>282.64999999999998</v>
    <v>289.75</v>
    <v>289.39999999999998</v>
    <v>286.3</v>
    <v>297.75</v>
    <v>297.45</v>
    <v>298.45</v>
    <v>297.95</v>
    <v>300.89999999999998</v>
    <v>299.64999999999998</v>
    <v>299.3</v>
    <v>304.25</v>
    <v>301.89999999999998</v>
    <v>299.55</v>
    <v>298.55</v>
    <v>298.55</v>
    <v>297.25</v>
    <v>296.39999999999998</v>
    <v>295.35000000000002</v>
    <v>293.60000000000002</v>
    <v>297.89999999999998</v>
    <v>294.35000000000002</v>
    <v>297.55</v>
    <v>304.35000000000002</v>
    <v>300.8</v>
    <v>299.14999999999998</v>
    <v>299.55</v>
    <v>296.60000000000002</v>
    <v>299.10000000000002</v>
    <v>302</v>
    <v>296.7</v>
    <v>299.14999999999998</v>
    <v>299.5</v>
    <v>304.10000000000002</v>
    <v>304.14999999999998</v>
    <v>306.64999999999998</v>
    <v>312.10000000000002</v>
    <v>308.10000000000002</v>
    <v>308.2</v>
    <v>306.89999999999998</v>
    <v>307</v>
    <v>305.3</v>
    <v>307.14999999999998</v>
    <v>305.10000000000002</v>
    <v>306.8</v>
    <v>305.64999999999998</v>
    <v>305.14999999999998</v>
    <v>303.55</v>
    <v>303.14999999999998</v>
    <v>305.14999999999998</v>
    <v>311.05</v>
    <v>311.8</v>
    <v>312.5</v>
    <v>314.14999999999998</v>
    <v>312.95</v>
    <v>312.05</v>
    <v>314.10000000000002</v>
    <v>311.64999999999998</v>
    <v>312.14999999999998</v>
    <v>314.35000000000002</v>
    <v>312.45</v>
    <v>312.39999999999998</v>
    <v>315.35000000000002</v>
    <v>314.10000000000002</v>
    <v>318.7</v>
    <v>320.64999999999998</v>
    <v>319.89999999999998</v>
    <v>317.85000000000002</v>
    <v>312.60000000000002</v>
    <v>315.3</v>
    <v>315.45</v>
    <v>315.3</v>
    <v>315.75</v>
    <v>316.3</v>
    <v>316.7</v>
    <v>315.5</v>
    <v>314.45</v>
    <v>316.35000000000002</v>
    <v>318.10000000000002</v>
    <v>314.2</v>
    <v>317.2</v>
    <v>317.05</v>
    <v>318.45</v>
    <v>317.35000000000002</v>
    <v>319.95</v>
    <v>319.60000000000002</v>
    <v>320.85000000000002</v>
    <v>323.39999999999998</v>
    <v>323.35000000000002</v>
    <v>324.10000000000002</v>
    <v>325.05</v>
    <v>325.2</v>
    <v>325.2</v>
    <v>324.64999999999998</v>
    <v>324.7</v>
    <v>324.05</v>
    <v>323.39999999999998</v>
    <v>321.2</v>
    <v>320.7</v>
    <v>320.25</v>
    <v>322.25</v>
    <v>322.25</v>
    <v>323.39999999999998</v>
    <v>323.45</v>
    <v>321.3</v>
    <v>323</v>
    <v>320.55</v>
    <v>319.2</v>
    <v>318.45</v>
    <v>320.14999999999998</v>
    <v>320.45</v>
    <v>320.5</v>
    <v>320.39999999999998</v>
    <v>315.75</v>
    <v>313.39999999999998</v>
    <v>315.2</v>
    <v>313.75</v>
    <v>312.60000000000002</v>
    <v>314.10000000000002</v>
    <v>317</v>
    <v>313.35000000000002</v>
    <v>316.64999999999998</v>
    <v>316.89999999999998</v>
    <v>315.64999999999998</v>
    <v>313.95</v>
    <v>315</v>
    <v>315.10000000000002</v>
    <v>314.5</v>
    <v>313.3</v>
    <v>309.35000000000002</v>
    <v>311.7</v>
    <v>312.64999999999998</v>
    <v>314.05</v>
    <v>311.14999999999998</v>
    <v>308.45</v>
    <v>311.7</v>
    <v>313.75</v>
    <v>313.39999999999998</v>
    <v>314.89999999999998</v>
    <v>315.89999999999998</v>
    <v>318.25</v>
    <v>315.7</v>
    <v>315.25</v>
    <v>318.3</v>
    <v>314.8</v>
    <v>313.45</v>
  </a>
  <a r="1" c="208">
    <v>23.414999999999999</v>
    <v>23.524999999999999</v>
    <v>23.715</v>
    <v>23.77</v>
    <v>23.76</v>
    <v>24.07</v>
    <v>23.95</v>
    <v>23.99</v>
    <v>24.05</v>
    <v>24.285</v>
    <v>24.15</v>
    <v>24.26</v>
    <v>24.155000000000001</v>
    <v>24.37</v>
    <v>24.754999999999999</v>
    <v>24.625</v>
    <v>24.66</v>
    <v>24.695</v>
    <v>24.824999999999999</v>
    <v>24.795000000000002</v>
    <v>24.774999999999999</v>
    <v>24.69</v>
    <v>24.975000000000001</v>
    <v>24.995000000000001</v>
    <v>24.965</v>
    <v>25.145</v>
    <v>25.155000000000001</v>
    <v>25.21</v>
    <v>25.565000000000001</v>
    <v>25.45</v>
    <v>25.16</v>
    <v>25.31</v>
    <v>25.24</v>
    <v>25.47</v>
    <v>25.574999999999999</v>
    <v>25.66</v>
    <v>25.73</v>
    <v>25.975000000000001</v>
    <v>25.94</v>
    <v>25.795000000000002</v>
    <v>25.74</v>
    <v>25.75</v>
    <v>25.34</v>
    <v>25.484999999999999</v>
    <v>25.254999999999999</v>
    <v>25.164999999999999</v>
    <v>25.37</v>
    <v>25.56</v>
    <v>25.715</v>
    <v>25.34</v>
    <v>25.29</v>
    <v>25.32</v>
    <v>25.535</v>
    <v>25.364999999999998</v>
    <v>25.18</v>
    <v>24.765000000000001</v>
    <v>24.995000000000001</v>
    <v>24.925000000000001</v>
    <v>25.324999999999999</v>
    <v>25.195</v>
    <v>25.07</v>
    <v>25.425000000000001</v>
    <v>25.48</v>
    <v>25.635000000000002</v>
    <v>25.715</v>
    <v>25.39</v>
    <v>25.835000000000001</v>
    <v>25.9</v>
    <v>26.074999999999999</v>
    <v>26.045000000000002</v>
    <v>26.074999999999999</v>
    <v>26</v>
    <v>25.93</v>
    <v>26.04</v>
    <v>26.015000000000001</v>
    <v>26.055</v>
    <v>26.065000000000001</v>
    <v>26.074999999999999</v>
    <v>25.9</v>
    <v>25.824999999999999</v>
    <v>25.734999999999999</v>
    <v>25.695</v>
    <v>25.645</v>
    <v>25.71</v>
    <v>25.89</v>
    <v>25.95</v>
    <v>25.57</v>
    <v>25.745000000000001</v>
    <v>25.71</v>
    <v>25.434999999999999</v>
    <v>25.5</v>
    <v>25.5</v>
    <v>25.26</v>
    <v>25.164999999999999</v>
    <v>25.125</v>
    <v>25.344999999999999</v>
    <v>25.245000000000001</v>
    <v>25.105</v>
    <v>25.24</v>
    <v>25.245000000000001</v>
    <v>25.274999999999999</v>
    <v>25.145</v>
    <v>25.13</v>
    <v>25.35</v>
    <v>25.59</v>
    <v>25.4</v>
    <v>25.225000000000001</v>
    <v>25.11</v>
    <v>24.96</v>
    <v>24.93</v>
    <v>24.954999999999998</v>
    <v>24.81</v>
    <v>25.155000000000001</v>
    <v>25.15</v>
    <v>24.88</v>
    <v>24.84</v>
    <v>24.67</v>
    <v>24.754999999999999</v>
    <v>24.97</v>
    <v>24.74</v>
    <v>24.585000000000001</v>
    <v>24.555</v>
    <v>24.49</v>
    <v>24.52</v>
    <v>24.425000000000001</v>
    <v>24.42</v>
    <v>24.51</v>
    <v>24.875</v>
    <v>24.965</v>
    <v>24.844999999999999</v>
    <v>24.81</v>
    <v>24.975000000000001</v>
    <v>25.3</v>
    <v>25.305</v>
    <v>25.405000000000001</v>
    <v>25.49</v>
    <v>25.425000000000001</v>
    <v>25.48</v>
    <v>25.78</v>
    <v>25.684999999999999</v>
    <v>25.9</v>
    <v>25.844999999999999</v>
    <v>25.87</v>
    <v>25.74</v>
    <v>25.875</v>
    <v>25.774999999999999</v>
    <v>25.864999999999998</v>
    <v>25.85</v>
    <v>25.905000000000001</v>
    <v>25.78</v>
    <v>25.734999999999999</v>
    <v>25.734999999999999</v>
    <v>25.64</v>
    <v>25.635000000000002</v>
    <v>25.49</v>
    <v>25.46</v>
    <v>25.315000000000001</v>
    <v>25.195</v>
    <v>25.24</v>
    <v>25.19</v>
    <v>25.36</v>
    <v>25.355</v>
    <v>25.47</v>
    <v>25.72</v>
    <v>25.65</v>
    <v>25.71</v>
    <v>25.68</v>
    <v>25.74</v>
    <v>25.815000000000001</v>
    <v>26.15</v>
    <v>26.245000000000001</v>
    <v>26.274999999999999</v>
    <v>26.305</v>
    <v>26.3</v>
    <v>26.43</v>
    <v>26.33</v>
    <v>25.92</v>
    <v>25.905000000000001</v>
    <v>25.84</v>
    <v>25.77</v>
    <v>25.745000000000001</v>
    <v>25.93</v>
    <v>25.745000000000001</v>
    <v>25.96</v>
    <v>25.99</v>
    <v>25.954999999999998</v>
    <v>25.83</v>
    <v>25.695</v>
    <v>25.74</v>
    <v>25.695</v>
    <v>25.83</v>
    <v>25.96</v>
    <v>25.82</v>
    <v>26.925000000000001</v>
    <v>26.774999999999999</v>
    <v>26.79</v>
    <v>26.79</v>
    <v>27.094999999999999</v>
    <v>27.155000000000001</v>
    <v>27.04</v>
    <v>27.24</v>
    <v>27.11</v>
    <v>26.85</v>
    <v>26.87</v>
    <v>26.94</v>
    <v>26.9</v>
    <v>26.574999999999999</v>
    <v>26.62</v>
  </a>
  <a r="1" c="254">
    <v>22.9</v>
    <v>22.995000000000001</v>
    <v>23.22</v>
    <v>23.14</v>
    <v>23.295000000000002</v>
    <v>23.3</v>
    <v>23.375</v>
    <v>23.45</v>
    <v>23.504999999999999</v>
    <v>23.69</v>
    <v>23.72</v>
    <v>23.51</v>
    <v>23.87</v>
    <v>23.965</v>
    <v>24.03</v>
    <v>23.88</v>
    <v>23.905000000000001</v>
    <v>23.785</v>
    <v>23.65</v>
    <v>23.745000000000001</v>
    <v>23.84</v>
    <v>23.495000000000001</v>
    <v>23.574999999999999</v>
    <v>23.545000000000002</v>
    <v>23.78</v>
    <v>23.65</v>
    <v>23.69</v>
    <v>23.66</v>
    <v>23.855</v>
    <v>23.79</v>
    <v>23.965</v>
    <v>23.7</v>
    <v>23.51</v>
    <v>23.425000000000001</v>
    <v>23.425000000000001</v>
    <v>23.045000000000002</v>
    <v>22.885000000000002</v>
    <v>23.14</v>
    <v>22.815000000000001</v>
    <v>22.695</v>
    <v>22.96</v>
    <v>23.04</v>
    <v>23.004999999999999</v>
    <v>22.975000000000001</v>
    <v>23.04</v>
    <v>23.254999999999999</v>
    <v>23.414999999999999</v>
    <v>23.524999999999999</v>
    <v>23.715</v>
    <v>23.77</v>
    <v>23.76</v>
    <v>24.07</v>
    <v>23.95</v>
    <v>23.99</v>
    <v>24.05</v>
    <v>24.285</v>
    <v>24.15</v>
    <v>24.26</v>
    <v>24.155000000000001</v>
    <v>24.37</v>
    <v>24.754999999999999</v>
    <v>24.625</v>
    <v>24.66</v>
    <v>24.695</v>
    <v>24.824999999999999</v>
    <v>24.795000000000002</v>
    <v>24.774999999999999</v>
    <v>24.69</v>
    <v>24.975000000000001</v>
    <v>24.995000000000001</v>
    <v>24.965</v>
    <v>25.145</v>
    <v>25.155000000000001</v>
    <v>25.21</v>
    <v>25.565000000000001</v>
    <v>25.45</v>
    <v>25.16</v>
    <v>25.31</v>
    <v>25.24</v>
    <v>25.47</v>
    <v>25.574999999999999</v>
    <v>25.66</v>
    <v>25.73</v>
    <v>25.975000000000001</v>
    <v>25.94</v>
    <v>25.795000000000002</v>
    <v>25.74</v>
    <v>25.75</v>
    <v>25.34</v>
    <v>25.484999999999999</v>
    <v>25.254999999999999</v>
    <v>25.164999999999999</v>
    <v>25.37</v>
    <v>25.56</v>
    <v>25.715</v>
    <v>25.34</v>
    <v>25.29</v>
    <v>25.32</v>
    <v>25.535</v>
    <v>25.364999999999998</v>
    <v>25.18</v>
    <v>24.765000000000001</v>
    <v>24.995000000000001</v>
    <v>24.925000000000001</v>
    <v>25.324999999999999</v>
    <v>25.195</v>
    <v>25.07</v>
    <v>25.425000000000001</v>
    <v>25.48</v>
    <v>25.635000000000002</v>
    <v>25.715</v>
    <v>25.39</v>
    <v>25.835000000000001</v>
    <v>25.9</v>
    <v>26.074999999999999</v>
    <v>26.045000000000002</v>
    <v>26.074999999999999</v>
    <v>26</v>
    <v>25.93</v>
    <v>26.04</v>
    <v>26.015000000000001</v>
    <v>26.055</v>
    <v>26.065000000000001</v>
    <v>26.074999999999999</v>
    <v>25.9</v>
    <v>25.824999999999999</v>
    <v>25.734999999999999</v>
    <v>25.695</v>
    <v>25.645</v>
    <v>25.71</v>
    <v>25.89</v>
    <v>25.95</v>
    <v>25.57</v>
    <v>25.745000000000001</v>
    <v>25.71</v>
    <v>25.434999999999999</v>
    <v>25.5</v>
    <v>25.5</v>
    <v>25.26</v>
    <v>25.164999999999999</v>
    <v>25.125</v>
    <v>25.344999999999999</v>
    <v>25.245000000000001</v>
    <v>25.105</v>
    <v>25.24</v>
    <v>25.245000000000001</v>
    <v>25.274999999999999</v>
    <v>25.145</v>
    <v>25.13</v>
    <v>25.35</v>
    <v>25.59</v>
    <v>25.4</v>
    <v>25.225000000000001</v>
    <v>25.11</v>
    <v>24.96</v>
    <v>24.93</v>
    <v>24.954999999999998</v>
    <v>24.81</v>
    <v>25.155000000000001</v>
    <v>25.15</v>
    <v>24.88</v>
    <v>24.84</v>
    <v>24.67</v>
    <v>24.754999999999999</v>
    <v>24.97</v>
    <v>24.74</v>
    <v>24.585000000000001</v>
    <v>24.555</v>
    <v>24.49</v>
    <v>24.52</v>
    <v>24.425000000000001</v>
    <v>24.42</v>
    <v>24.51</v>
    <v>24.875</v>
    <v>24.965</v>
    <v>24.844999999999999</v>
    <v>24.81</v>
    <v>24.975000000000001</v>
    <v>25.3</v>
    <v>25.305</v>
    <v>25.405000000000001</v>
    <v>25.49</v>
    <v>25.425000000000001</v>
    <v>25.48</v>
    <v>25.78</v>
    <v>25.684999999999999</v>
    <v>25.9</v>
    <v>25.844999999999999</v>
    <v>25.87</v>
    <v>25.74</v>
    <v>25.875</v>
    <v>25.774999999999999</v>
    <v>25.864999999999998</v>
    <v>25.85</v>
    <v>25.905000000000001</v>
    <v>25.78</v>
    <v>25.734999999999999</v>
    <v>25.734999999999999</v>
    <v>25.64</v>
    <v>25.635000000000002</v>
    <v>25.49</v>
    <v>25.46</v>
    <v>25.315000000000001</v>
    <v>25.195</v>
    <v>25.24</v>
    <v>25.19</v>
    <v>25.36</v>
    <v>25.355</v>
    <v>25.47</v>
    <v>25.72</v>
    <v>25.65</v>
    <v>25.71</v>
    <v>25.68</v>
    <v>25.74</v>
    <v>25.815000000000001</v>
    <v>26.15</v>
    <v>26.245000000000001</v>
    <v>26.274999999999999</v>
    <v>26.305</v>
    <v>26.3</v>
    <v>26.43</v>
    <v>26.33</v>
    <v>25.92</v>
    <v>25.905000000000001</v>
    <v>25.84</v>
    <v>25.77</v>
    <v>25.745000000000001</v>
    <v>25.93</v>
    <v>25.745000000000001</v>
    <v>25.96</v>
    <v>25.99</v>
    <v>25.954999999999998</v>
    <v>25.83</v>
    <v>25.695</v>
    <v>25.74</v>
    <v>25.695</v>
    <v>25.83</v>
    <v>25.96</v>
    <v>25.82</v>
    <v>26.925000000000001</v>
    <v>26.774999999999999</v>
    <v>26.79</v>
    <v>26.79</v>
    <v>27.094999999999999</v>
    <v>27.155000000000001</v>
    <v>27.04</v>
    <v>27.24</v>
    <v>27.11</v>
    <v>26.85</v>
    <v>26.87</v>
    <v>26.94</v>
    <v>26.9</v>
    <v>26.574999999999999</v>
    <v>26.62</v>
  </a>
  <a r="1" c="761">
    <v>19.77</v>
    <v>20.225000000000001</v>
    <v>20.059999999999999</v>
    <v>20.13</v>
    <v>20.125</v>
    <v>19.984000000000002</v>
    <v>19.936</v>
    <v>20.184999999999999</v>
    <v>20.475000000000001</v>
    <v>20.574999999999999</v>
    <v>20.55</v>
    <v>20.614999999999998</v>
    <v>20.45</v>
    <v>20.52</v>
    <v>20.445</v>
    <v>20.614999999999998</v>
    <v>20.824999999999999</v>
    <v>20.954999999999998</v>
    <v>20.68</v>
    <v>20.715</v>
    <v>20.79</v>
    <v>20.745000000000001</v>
    <v>20.81</v>
    <v>20.79</v>
    <v>20.645</v>
    <v>20.574999999999999</v>
    <v>20.645</v>
    <v>20.53</v>
    <v>20.6</v>
    <v>20.785</v>
    <v>20.87</v>
    <v>20.81</v>
    <v>21</v>
    <v>20.905000000000001</v>
    <v>20.93</v>
    <v>21.024999999999999</v>
    <v>20.945</v>
    <v>20.94</v>
    <v>20.815000000000001</v>
    <v>20.8</v>
    <v>20.82</v>
    <v>20.91</v>
    <v>20.815000000000001</v>
    <v>20.895</v>
    <v>20.93</v>
    <v>21.004999999999999</v>
    <v>21.21</v>
    <v>21.274999999999999</v>
    <v>21.344999999999999</v>
    <v>21.465</v>
    <v>21.364999999999998</v>
    <v>21.43</v>
    <v>21.344999999999999</v>
    <v>21.23</v>
    <v>21.105</v>
    <v>21.07</v>
    <v>21.25</v>
    <v>21.274999999999999</v>
    <v>21.13</v>
    <v>20.78</v>
    <v>20.76</v>
    <v>20.704999999999998</v>
    <v>20.58</v>
    <v>20.75</v>
    <v>21.2</v>
    <v>21.39</v>
    <v>21.41</v>
    <v>21.515000000000001</v>
    <v>21.285</v>
    <v>21.364999999999998</v>
    <v>21.324999999999999</v>
    <v>21.234999999999999</v>
    <v>21.32</v>
    <v>21.914999999999999</v>
    <v>21.824999999999999</v>
    <v>21.68</v>
    <v>21.44</v>
    <v>21.695</v>
    <v>21.484999999999999</v>
    <v>21.54</v>
    <v>21.55</v>
    <v>21.754999999999999</v>
    <v>21.73</v>
    <v>21.79</v>
    <v>21.844999999999999</v>
    <v>22.015000000000001</v>
    <v>21.94</v>
    <v>21.754999999999999</v>
    <v>21.8</v>
    <v>21.61</v>
    <v>21.72</v>
    <v>21.94</v>
    <v>21.8</v>
    <v>21.79</v>
    <v>21.864999999999998</v>
    <v>21.86</v>
    <v>21.844999999999999</v>
    <v>21.875</v>
    <v>21.805</v>
    <v>21.66</v>
    <v>21.74</v>
    <v>21.5</v>
    <v>21.414999999999999</v>
    <v>21.44</v>
    <v>21.45</v>
    <v>21.67</v>
    <v>21.454999999999998</v>
    <v>21.5</v>
    <v>21.4</v>
    <v>21.4</v>
    <v>21.5</v>
    <v>21.74</v>
    <v>21.62</v>
    <v>21.855</v>
    <v>21.645</v>
    <v>21.785</v>
    <v>21.885000000000002</v>
    <v>21.96</v>
    <v>22.04</v>
    <v>21.95</v>
    <v>22</v>
    <v>21.675000000000001</v>
    <v>21.74</v>
    <v>21.75</v>
    <v>21.795000000000002</v>
    <v>21.835000000000001</v>
    <v>21.64</v>
    <v>21.61</v>
    <v>21.594999999999999</v>
    <v>21.774999999999999</v>
    <v>22.004999999999999</v>
    <v>21.92</v>
    <v>22.17</v>
    <v>22.315000000000001</v>
    <v>22.364999999999998</v>
    <v>22.344999999999999</v>
    <v>22.38</v>
    <v>22.344999999999999</v>
    <v>22.565000000000001</v>
    <v>22.67</v>
    <v>22.6</v>
    <v>22.545000000000002</v>
    <v>22.67</v>
    <v>22.774999999999999</v>
    <v>22.795000000000002</v>
    <v>22.925000000000001</v>
    <v>22.81</v>
    <v>22.62</v>
    <v>22.565000000000001</v>
    <v>22.7</v>
    <v>22.614999999999998</v>
    <v>22.465</v>
    <v>22.41</v>
    <v>22.09</v>
    <v>22.15</v>
    <v>21.89</v>
    <v>21.93</v>
    <v>22.015000000000001</v>
    <v>22.12</v>
    <v>22.15</v>
    <v>21.954999999999998</v>
    <v>21.91</v>
    <v>21.594999999999999</v>
    <v>21.71</v>
    <v>21.56</v>
    <v>21.87</v>
    <v>21.934999999999999</v>
    <v>22.105</v>
    <v>22.094999999999999</v>
    <v>22.07</v>
    <v>21.905000000000001</v>
    <v>21.87</v>
    <v>21.71</v>
    <v>21.93</v>
    <v>22.055</v>
    <v>22.085000000000001</v>
    <v>22.094999999999999</v>
    <v>22.2</v>
    <v>22.04</v>
    <v>22.024999999999999</v>
    <v>22.05</v>
    <v>21.97</v>
    <v>22.01</v>
    <v>22.02</v>
    <v>22.015000000000001</v>
    <v>21.98</v>
    <v>21.795000000000002</v>
    <v>21.745000000000001</v>
    <v>21.574999999999999</v>
    <v>21.605</v>
    <v>21.56</v>
    <v>21.504999999999999</v>
    <v>21.344999999999999</v>
    <v>21.42</v>
    <v>21.39</v>
    <v>21.385000000000002</v>
    <v>21.62</v>
    <v>21.585000000000001</v>
    <v>20.99</v>
    <v>20.484999999999999</v>
    <v>20.664999999999999</v>
    <v>21.094999999999999</v>
    <v>21.155000000000001</v>
    <v>21.274999999999999</v>
    <v>21.335000000000001</v>
    <v>21.46</v>
    <v>21.405000000000001</v>
    <v>21.73</v>
    <v>21.93</v>
    <v>21.66</v>
    <v>21.67</v>
    <v>21.535</v>
    <v>21.684999999999999</v>
    <v>21.73</v>
    <v>21.75</v>
    <v>21.68</v>
    <v>21.745000000000001</v>
    <v>21.64</v>
    <v>21.71</v>
    <v>21.5</v>
    <v>21.44</v>
    <v>21.475000000000001</v>
    <v>21.305</v>
    <v>21.305</v>
    <v>21.22</v>
    <v>21.07</v>
    <v>20.62</v>
    <v>20.85</v>
    <v>20.83</v>
    <v>20.86</v>
    <v>20.885000000000002</v>
    <v>21.055</v>
    <v>20.99</v>
    <v>21.145</v>
    <v>21.815000000000001</v>
    <v>21.824999999999999</v>
    <v>22.225000000000001</v>
    <v>22.155000000000001</v>
    <v>22.184999999999999</v>
    <v>22.245000000000001</v>
    <v>22.844999999999999</v>
    <v>22.805</v>
    <v>23.045000000000002</v>
    <v>23.425000000000001</v>
    <v>22.46</v>
    <v>22.125</v>
    <v>22.344999999999999</v>
    <v>22.295000000000002</v>
    <v>22.38</v>
    <v>22.03</v>
    <v>22.35</v>
    <v>22.215</v>
    <v>22.355</v>
    <v>22.19</v>
    <v>22.3</v>
    <v>22.204999999999998</v>
    <v>22.195</v>
    <v>22.18</v>
    <v>22.28</v>
    <v>22.14</v>
    <v>21.844999999999999</v>
    <v>21.77</v>
    <v>21.875</v>
    <v>21.96</v>
    <v>22.035</v>
    <v>22.07</v>
    <v>22.44</v>
    <v>21.89</v>
    <v>21.93</v>
    <v>21.765000000000001</v>
    <v>21.71</v>
    <v>21.785</v>
    <v>21.774999999999999</v>
    <v>22.015000000000001</v>
    <v>22.035</v>
    <v>22.065000000000001</v>
    <v>22.07</v>
    <v>22.125</v>
    <v>21.98</v>
    <v>21.99</v>
    <v>21.83</v>
    <v>21.65</v>
    <v>21.855</v>
    <v>21.86</v>
    <v>22.03</v>
    <v>22.065000000000001</v>
    <v>22.09</v>
    <v>22.12</v>
    <v>22.73</v>
    <v>22.46</v>
    <v>22.434999999999999</v>
    <v>22.184999999999999</v>
    <v>21.995000000000001</v>
    <v>22</v>
    <v>21.864999999999998</v>
    <v>21.895</v>
    <v>21.855</v>
    <v>21.695</v>
    <v>21.75</v>
    <v>21.745000000000001</v>
    <v>21.85</v>
    <v>22</v>
    <v>21.86</v>
    <v>21.754999999999999</v>
    <v>21.815000000000001</v>
    <v>21.72</v>
    <v>21.61</v>
    <v>21.48</v>
    <v>21.454999999999998</v>
    <v>21.504999999999999</v>
    <v>21.704999999999998</v>
    <v>21.734999999999999</v>
    <v>21.934999999999999</v>
    <v>21.864999999999998</v>
    <v>21.74</v>
    <v>21.765000000000001</v>
    <v>21.844999999999999</v>
    <v>21.83</v>
    <v>21.765000000000001</v>
    <v>21.94</v>
    <v>22.324999999999999</v>
    <v>22.36</v>
    <v>22.375</v>
    <v>22.32</v>
    <v>22.315000000000001</v>
    <v>22.08</v>
    <v>22.195</v>
    <v>22.25</v>
    <v>22.34</v>
    <v>22.33</v>
    <v>22.28</v>
    <v>22.195</v>
    <v>22.234999999999999</v>
    <v>22.445</v>
    <v>22.51</v>
    <v>22.53</v>
    <v>22.515000000000001</v>
    <v>22.495000000000001</v>
    <v>22.295000000000002</v>
    <v>22.14</v>
    <v>22.28</v>
    <v>22.24</v>
    <v>22.01</v>
    <v>21.95</v>
    <v>21.64</v>
    <v>21.61</v>
    <v>21.545000000000002</v>
    <v>21.555</v>
    <v>21.41</v>
    <v>21.265000000000001</v>
    <v>21.434999999999999</v>
    <v>21.364999999999998</v>
    <v>21.664999999999999</v>
    <v>21.844999999999999</v>
    <v>21.87</v>
    <v>21.984999999999999</v>
    <v>21.97</v>
    <v>21.934999999999999</v>
    <v>21.97</v>
    <v>22.12</v>
    <v>22.09</v>
    <v>22.22</v>
    <v>21.9</v>
    <v>21.86</v>
    <v>22.035</v>
    <v>21.91</v>
    <v>21.41</v>
    <v>20.6</v>
    <v>19.908000000000001</v>
    <v>20.100000000000001</v>
    <v>19.553999999999998</v>
    <v>19.98</v>
    <v>19.908000000000001</v>
    <v>20.260000000000002</v>
    <v>20.414999999999999</v>
    <v>20.315000000000001</v>
    <v>20.335000000000001</v>
    <v>20.324999999999999</v>
    <v>20.734999999999999</v>
    <v>20.844999999999999</v>
    <v>20.85</v>
    <v>20.9</v>
    <v>20.98</v>
    <v>20.905000000000001</v>
    <v>21.17</v>
    <v>21.26</v>
    <v>21.11</v>
    <v>21.074999999999999</v>
    <v>21.425000000000001</v>
    <v>21.54</v>
    <v>21.945</v>
    <v>22.1</v>
    <v>22.1</v>
    <v>22.085000000000001</v>
    <v>22.094999999999999</v>
    <v>22.04</v>
    <v>22.03</v>
    <v>22</v>
    <v>22.035</v>
    <v>21.83</v>
    <v>21.835000000000001</v>
    <v>21.925000000000001</v>
    <v>21.995000000000001</v>
    <v>21.91</v>
    <v>21.67</v>
    <v>21.545000000000002</v>
    <v>21.77</v>
    <v>21.81</v>
    <v>21.745000000000001</v>
    <v>21.83</v>
    <v>21.84</v>
    <v>21.965</v>
    <v>21.97</v>
    <v>21.48</v>
    <v>21.43</v>
    <v>21.61</v>
    <v>21.625</v>
    <v>21.555</v>
    <v>21.45</v>
    <v>21.43</v>
    <v>21.45</v>
    <v>21.48</v>
    <v>21.335000000000001</v>
    <v>21.425000000000001</v>
    <v>21.315000000000001</v>
    <v>21.364999999999998</v>
    <v>21.434999999999999</v>
    <v>21.614999999999998</v>
    <v>21.83</v>
    <v>21.81</v>
    <v>21.805</v>
    <v>21.734999999999999</v>
    <v>21.614999999999998</v>
    <v>21.684999999999999</v>
    <v>21.58</v>
    <v>21.67</v>
    <v>21.725000000000001</v>
    <v>21.62</v>
    <v>21.9</v>
    <v>21.815000000000001</v>
    <v>21.86</v>
    <v>21.96</v>
    <v>22.015000000000001</v>
    <v>21.995000000000001</v>
    <v>21.885000000000002</v>
    <v>21.945</v>
    <v>22.195</v>
    <v>22.315000000000001</v>
    <v>22.315000000000001</v>
    <v>21.885000000000002</v>
    <v>22.035</v>
    <v>22.12</v>
    <v>22.164999999999999</v>
    <v>22.27</v>
    <v>22.32</v>
    <v>22.28</v>
    <v>22.41</v>
    <v>22.41</v>
    <v>22.27</v>
    <v>22.29</v>
    <v>22.05</v>
    <v>22.15</v>
    <v>22.24</v>
    <v>22.53</v>
    <v>22.545000000000002</v>
    <v>22.47</v>
    <v>22.38</v>
    <v>22.52</v>
    <v>22.364999999999998</v>
    <v>22.26</v>
    <v>22.29</v>
    <v>22.25</v>
    <v>22.295000000000002</v>
    <v>22.32</v>
    <v>22.414999999999999</v>
    <v>22.475000000000001</v>
    <v>22.51</v>
    <v>22.33</v>
    <v>22.305</v>
    <v>22.32</v>
    <v>22.27</v>
    <v>22.375</v>
    <v>22.364999999999998</v>
    <v>22.395</v>
    <v>22.19</v>
    <v>22.38</v>
    <v>22.4</v>
    <v>22.414999999999999</v>
    <v>22.29</v>
    <v>22.34</v>
    <v>22.27</v>
    <v>22.274999999999999</v>
    <v>22.245000000000001</v>
    <v>22.19</v>
    <v>22.23</v>
    <v>22.245000000000001</v>
    <v>22.29</v>
    <v>22.44</v>
    <v>21.765000000000001</v>
    <v>22.27</v>
    <v>22.305</v>
    <v>22.37</v>
    <v>22.24</v>
    <v>22.225000000000001</v>
    <v>22.675000000000001</v>
    <v>22.72</v>
    <v>22.74</v>
    <v>22.9</v>
    <v>22.995000000000001</v>
    <v>23.22</v>
    <v>23.14</v>
    <v>23.295000000000002</v>
    <v>23.3</v>
    <v>23.375</v>
    <v>23.45</v>
    <v>23.504999999999999</v>
    <v>23.69</v>
    <v>23.72</v>
    <v>23.51</v>
    <v>23.87</v>
    <v>23.965</v>
    <v>24.03</v>
    <v>23.88</v>
    <v>23.905000000000001</v>
    <v>23.785</v>
    <v>23.65</v>
    <v>23.745000000000001</v>
    <v>23.84</v>
    <v>23.495000000000001</v>
    <v>23.574999999999999</v>
    <v>23.545000000000002</v>
    <v>23.78</v>
    <v>23.65</v>
    <v>23.69</v>
    <v>23.66</v>
    <v>23.855</v>
    <v>23.79</v>
    <v>23.965</v>
    <v>23.7</v>
    <v>23.51</v>
    <v>23.425000000000001</v>
    <v>23.425000000000001</v>
    <v>23.045000000000002</v>
    <v>22.885000000000002</v>
    <v>23.14</v>
    <v>22.815000000000001</v>
    <v>22.695</v>
    <v>22.96</v>
    <v>23.04</v>
    <v>23.004999999999999</v>
    <v>22.975000000000001</v>
    <v>23.04</v>
    <v>23.254999999999999</v>
    <v>23.414999999999999</v>
    <v>23.524999999999999</v>
    <v>23.715</v>
    <v>23.77</v>
    <v>23.76</v>
    <v>24.07</v>
    <v>23.95</v>
    <v>23.99</v>
    <v>24.05</v>
    <v>24.285</v>
    <v>24.15</v>
    <v>24.26</v>
    <v>24.155000000000001</v>
    <v>24.37</v>
    <v>24.754999999999999</v>
    <v>24.625</v>
    <v>24.66</v>
    <v>24.695</v>
    <v>24.824999999999999</v>
    <v>24.795000000000002</v>
    <v>24.774999999999999</v>
    <v>24.69</v>
    <v>24.975000000000001</v>
    <v>24.995000000000001</v>
    <v>24.965</v>
    <v>25.145</v>
    <v>25.155000000000001</v>
    <v>25.21</v>
    <v>25.565000000000001</v>
    <v>25.45</v>
    <v>25.16</v>
    <v>25.31</v>
    <v>25.24</v>
    <v>25.47</v>
    <v>25.574999999999999</v>
    <v>25.66</v>
    <v>25.73</v>
    <v>25.975000000000001</v>
    <v>25.94</v>
    <v>25.795000000000002</v>
    <v>25.74</v>
    <v>25.75</v>
    <v>25.34</v>
    <v>25.484999999999999</v>
    <v>25.254999999999999</v>
    <v>25.164999999999999</v>
    <v>25.37</v>
    <v>25.56</v>
    <v>25.715</v>
    <v>25.34</v>
    <v>25.29</v>
    <v>25.32</v>
    <v>25.535</v>
    <v>25.364999999999998</v>
    <v>25.18</v>
    <v>24.765000000000001</v>
    <v>24.995000000000001</v>
    <v>24.925000000000001</v>
    <v>25.324999999999999</v>
    <v>25.195</v>
    <v>25.07</v>
    <v>25.425000000000001</v>
    <v>25.48</v>
    <v>25.635000000000002</v>
    <v>25.715</v>
    <v>25.39</v>
    <v>25.835000000000001</v>
    <v>25.9</v>
    <v>26.074999999999999</v>
    <v>26.045000000000002</v>
    <v>26.074999999999999</v>
    <v>26</v>
    <v>25.93</v>
    <v>26.04</v>
    <v>26.015000000000001</v>
    <v>26.055</v>
    <v>26.065000000000001</v>
    <v>26.074999999999999</v>
    <v>25.9</v>
    <v>25.824999999999999</v>
    <v>25.734999999999999</v>
    <v>25.695</v>
    <v>25.645</v>
    <v>25.71</v>
    <v>25.89</v>
    <v>25.95</v>
    <v>25.57</v>
    <v>25.745000000000001</v>
    <v>25.71</v>
    <v>25.434999999999999</v>
    <v>25.5</v>
    <v>25.5</v>
    <v>25.26</v>
    <v>25.164999999999999</v>
    <v>25.125</v>
    <v>25.344999999999999</v>
    <v>25.245000000000001</v>
    <v>25.105</v>
    <v>25.24</v>
    <v>25.245000000000001</v>
    <v>25.274999999999999</v>
    <v>25.145</v>
    <v>25.13</v>
    <v>25.35</v>
    <v>25.59</v>
    <v>25.4</v>
    <v>25.225000000000001</v>
    <v>25.11</v>
    <v>24.96</v>
    <v>24.93</v>
    <v>24.954999999999998</v>
    <v>24.81</v>
    <v>25.155000000000001</v>
    <v>25.15</v>
    <v>24.88</v>
    <v>24.84</v>
    <v>24.67</v>
    <v>24.754999999999999</v>
    <v>24.97</v>
    <v>24.74</v>
    <v>24.585000000000001</v>
    <v>24.555</v>
    <v>24.49</v>
    <v>24.52</v>
    <v>24.425000000000001</v>
    <v>24.42</v>
    <v>24.51</v>
    <v>24.875</v>
    <v>24.965</v>
    <v>24.844999999999999</v>
    <v>24.81</v>
    <v>24.975000000000001</v>
    <v>25.3</v>
    <v>25.305</v>
    <v>25.405000000000001</v>
    <v>25.49</v>
    <v>25.425000000000001</v>
    <v>25.48</v>
    <v>25.78</v>
    <v>25.684999999999999</v>
    <v>25.9</v>
    <v>25.844999999999999</v>
    <v>25.87</v>
    <v>25.74</v>
    <v>25.875</v>
    <v>25.774999999999999</v>
    <v>25.864999999999998</v>
    <v>25.85</v>
    <v>25.905000000000001</v>
    <v>25.78</v>
    <v>25.734999999999999</v>
    <v>25.734999999999999</v>
    <v>25.64</v>
    <v>25.635000000000002</v>
    <v>25.49</v>
    <v>25.46</v>
    <v>25.315000000000001</v>
    <v>25.195</v>
    <v>25.24</v>
    <v>25.19</v>
    <v>25.36</v>
    <v>25.355</v>
    <v>25.47</v>
    <v>25.72</v>
    <v>25.65</v>
    <v>25.71</v>
    <v>25.68</v>
    <v>25.74</v>
    <v>25.815000000000001</v>
    <v>26.15</v>
    <v>26.245000000000001</v>
    <v>26.274999999999999</v>
    <v>26.305</v>
    <v>26.3</v>
    <v>26.43</v>
    <v>26.33</v>
    <v>25.92</v>
    <v>25.905000000000001</v>
    <v>25.84</v>
    <v>25.77</v>
    <v>25.745000000000001</v>
    <v>25.93</v>
    <v>25.745000000000001</v>
    <v>25.96</v>
    <v>25.99</v>
    <v>25.954999999999998</v>
    <v>25.83</v>
    <v>25.695</v>
    <v>25.74</v>
    <v>25.695</v>
    <v>25.83</v>
    <v>25.96</v>
    <v>25.82</v>
    <v>26.925000000000001</v>
    <v>26.774999999999999</v>
    <v>26.79</v>
    <v>26.79</v>
    <v>27.094999999999999</v>
    <v>27.155000000000001</v>
    <v>27.04</v>
    <v>27.24</v>
    <v>27.11</v>
    <v>26.85</v>
    <v>26.87</v>
    <v>26.94</v>
    <v>26.9</v>
    <v>26.574999999999999</v>
    <v>26.62</v>
  </a>
  <a r="1" c="208">
    <v>151.19999999999999</v>
    <v>151.5</v>
    <v>151.94</v>
    <v>152.18</v>
    <v>152.1</v>
    <v>152.31</v>
    <v>152.6</v>
    <v>152.33000000000001</v>
    <v>152.63</v>
    <v>152.79</v>
    <v>152.66</v>
    <v>152.63999999999999</v>
    <v>152.29</v>
    <v>152.12</v>
    <v>152.35</v>
    <v>152.34</v>
    <v>152.72</v>
    <v>152.63999999999999</v>
    <v>152.84</v>
    <v>152.91999999999999</v>
    <v>152.83000000000001</v>
    <v>152.68</v>
    <v>152.41999999999999</v>
    <v>152.71</v>
    <v>152.63</v>
    <v>152.78</v>
    <v>152.91999999999999</v>
    <v>153.27000000000001</v>
    <v>153.31</v>
    <v>153.55000000000001</v>
    <v>153.66</v>
    <v>153.62</v>
    <v>153.86000000000001</v>
    <v>153.96</v>
    <v>153.91999999999999</v>
    <v>153.96</v>
    <v>154.16999999999999</v>
    <v>154.19</v>
    <v>154.30000000000001</v>
    <v>154.46</v>
    <v>154.68</v>
    <v>153.91999999999999</v>
    <v>152.78</v>
    <v>153.38</v>
    <v>152.28</v>
    <v>151.4</v>
    <v>151.66999999999999</v>
    <v>152.44</v>
    <v>151.28</v>
    <v>150.5</v>
    <v>150.26</v>
    <v>150.72999999999999</v>
    <v>151.34</v>
    <v>150.71</v>
    <v>150.25</v>
    <v>148.87</v>
    <v>149.4</v>
    <v>149.03</v>
    <v>149.86000000000001</v>
    <v>148.4</v>
    <v>148.11000000000001</v>
    <v>148.74</v>
    <v>149.5</v>
    <v>149.78</v>
    <v>149.86000000000001</v>
    <v>148.72999999999999</v>
    <v>151.08000000000001</v>
    <v>150.69999999999999</v>
    <v>150.11000000000001</v>
    <v>149.68</v>
    <v>150.41999999999999</v>
    <v>150.31</v>
    <v>150.31</v>
    <v>151.51</v>
    <v>151.27000000000001</v>
    <v>150.61000000000001</v>
    <v>150.76</v>
    <v>150.66999999999999</v>
    <v>150.54</v>
    <v>150.28</v>
    <v>149.9</v>
    <v>149.35</v>
    <v>150.11000000000001</v>
    <v>149.5</v>
    <v>150.1</v>
    <v>151.13999999999999</v>
    <v>151.25</v>
    <v>151.34</v>
    <v>150.82</v>
    <v>150.16999999999999</v>
    <v>150.13999999999999</v>
    <v>150.80000000000001</v>
    <v>149.68</v>
    <v>149.78</v>
    <v>149.44999999999999</v>
    <v>150.65</v>
    <v>150.41999999999999</v>
    <v>151.09</v>
    <v>152.02000000000001</v>
    <v>151.62</v>
    <v>151.79</v>
    <v>151.97</v>
    <v>152.27000000000001</v>
    <v>151.55000000000001</v>
    <v>151.79</v>
    <v>151.1</v>
    <v>151.15</v>
    <v>150.97999999999999</v>
    <v>150.72999999999999</v>
    <v>150.80000000000001</v>
    <v>150.63999999999999</v>
    <v>151.05000000000001</v>
    <v>151.72</v>
    <v>152.16</v>
    <v>152.35</v>
    <v>152.55000000000001</v>
    <v>150.44999999999999</v>
    <v>149.84</v>
    <v>150.1</v>
    <v>150.34</v>
    <v>150.71</v>
    <v>150.76</v>
    <v>150.85</v>
    <v>150.77000000000001</v>
    <v>150.84</v>
    <v>150.68</v>
    <v>150.53</v>
    <v>150.27000000000001</v>
    <v>150.16</v>
    <v>149.76</v>
    <v>148.63999999999999</v>
    <v>149.19</v>
    <v>149.44</v>
    <v>149</v>
    <v>148.94999999999999</v>
    <v>148.9</v>
    <v>148.47</v>
    <v>148.43</v>
    <v>148.32</v>
    <v>148.13</v>
    <v>147.94999999999999</v>
    <v>147.5</v>
    <v>148.1</v>
    <v>148.57</v>
    <v>148.9</v>
    <v>148.22999999999999</v>
    <v>148.37</v>
    <v>148.03</v>
    <v>148.74</v>
    <v>149.24</v>
    <v>149.27000000000001</v>
    <v>149.05000000000001</v>
    <v>149.09</v>
    <v>148.59</v>
    <v>148.72999999999999</v>
    <v>148.76</v>
    <v>149.16999999999999</v>
    <v>148.51</v>
    <v>148.24</v>
    <v>147.68</v>
    <v>147.84</v>
    <v>147.88</v>
    <v>147.84</v>
    <v>147.82</v>
    <v>148.47</v>
    <v>148.11000000000001</v>
    <v>147.94999999999999</v>
    <v>147.72999999999999</v>
    <v>147.28</v>
    <v>147.22999999999999</v>
    <v>146.88999999999999</v>
    <v>147.29</v>
    <v>147.43</v>
    <v>146.94999999999999</v>
    <v>147.27000000000001</v>
    <v>146.38999999999999</v>
    <v>145.54</v>
    <v>145.84</v>
    <v>145.41999999999999</v>
    <v>145.22999999999999</v>
    <v>145.68</v>
    <v>145.93</v>
    <v>145.13</v>
    <v>145.97</v>
    <v>145.88999999999999</v>
    <v>144.81</v>
    <v>144.38999999999999</v>
    <v>144.68</v>
    <v>144.22</v>
    <v>144.05000000000001</v>
    <v>144.24</v>
    <v>143.38999999999999</v>
    <v>144.5</v>
    <v>144.24</v>
    <v>144.94999999999999</v>
    <v>144.31</v>
    <v>144.46</v>
    <v>144.66999999999999</v>
    <v>144.71</v>
    <v>145.06</v>
    <v>144.91</v>
    <v>145.54</v>
    <v>145.51</v>
    <v>144.79</v>
    <v>145.18</v>
    <v>144.78</v>
    <v>144.66</v>
    <v>144.88</v>
  </a>
  <a r="1" c="254">
    <v>154.56</v>
    <v>154.12</v>
    <v>154.21</v>
    <v>154.16</v>
    <v>154.43</v>
    <v>154.35</v>
    <v>154.47999999999999</v>
    <v>154.29</v>
    <v>154.36000000000001</v>
    <v>154.19999999999999</v>
    <v>154.28</v>
    <v>154.05000000000001</v>
    <v>154.22</v>
    <v>154.32</v>
    <v>154.59</v>
    <v>154.19</v>
    <v>153.86000000000001</v>
    <v>153.97999999999999</v>
    <v>153.85</v>
    <v>154.01</v>
    <v>153.82</v>
    <v>153.91999999999999</v>
    <v>154.09</v>
    <v>154.33000000000001</v>
    <v>154.43</v>
    <v>154.53</v>
    <v>154.47999999999999</v>
    <v>153.96</v>
    <v>153.91</v>
    <v>154.05000000000001</v>
    <v>153.88999999999999</v>
    <v>153.77000000000001</v>
    <v>153.13999999999999</v>
    <v>153.24</v>
    <v>153.13</v>
    <v>151.33000000000001</v>
    <v>151.16999999999999</v>
    <v>151.36000000000001</v>
    <v>151.58000000000001</v>
    <v>151.30000000000001</v>
    <v>151.58000000000001</v>
    <v>151.13</v>
    <v>150.99</v>
    <v>151.55000000000001</v>
    <v>152.11000000000001</v>
    <v>151.80000000000001</v>
    <v>151.19999999999999</v>
    <v>151.5</v>
    <v>151.94</v>
    <v>152.18</v>
    <v>152.1</v>
    <v>152.31</v>
    <v>152.6</v>
    <v>152.33000000000001</v>
    <v>152.63</v>
    <v>152.79</v>
    <v>152.66</v>
    <v>152.63999999999999</v>
    <v>152.29</v>
    <v>152.12</v>
    <v>152.35</v>
    <v>152.34</v>
    <v>152.72</v>
    <v>152.63999999999999</v>
    <v>152.84</v>
    <v>152.91999999999999</v>
    <v>152.83000000000001</v>
    <v>152.68</v>
    <v>152.41999999999999</v>
    <v>152.71</v>
    <v>152.63</v>
    <v>152.78</v>
    <v>152.91999999999999</v>
    <v>153.27000000000001</v>
    <v>153.31</v>
    <v>153.55000000000001</v>
    <v>153.66</v>
    <v>153.62</v>
    <v>153.86000000000001</v>
    <v>153.96</v>
    <v>153.91999999999999</v>
    <v>153.96</v>
    <v>154.16999999999999</v>
    <v>154.19</v>
    <v>154.30000000000001</v>
    <v>154.46</v>
    <v>154.68</v>
    <v>153.91999999999999</v>
    <v>152.78</v>
    <v>153.38</v>
    <v>152.28</v>
    <v>151.4</v>
    <v>151.66999999999999</v>
    <v>152.44</v>
    <v>151.28</v>
    <v>150.5</v>
    <v>150.26</v>
    <v>150.72999999999999</v>
    <v>151.34</v>
    <v>150.71</v>
    <v>150.25</v>
    <v>148.87</v>
    <v>149.4</v>
    <v>149.03</v>
    <v>149.86000000000001</v>
    <v>148.4</v>
    <v>148.11000000000001</v>
    <v>148.74</v>
    <v>149.5</v>
    <v>149.78</v>
    <v>149.86000000000001</v>
    <v>148.72999999999999</v>
    <v>151.08000000000001</v>
    <v>150.69999999999999</v>
    <v>150.11000000000001</v>
    <v>149.68</v>
    <v>150.41999999999999</v>
    <v>150.31</v>
    <v>150.31</v>
    <v>151.51</v>
    <v>151.27000000000001</v>
    <v>150.61000000000001</v>
    <v>150.76</v>
    <v>150.66999999999999</v>
    <v>150.54</v>
    <v>150.28</v>
    <v>149.9</v>
    <v>149.35</v>
    <v>150.11000000000001</v>
    <v>149.5</v>
    <v>150.1</v>
    <v>151.13999999999999</v>
    <v>151.25</v>
    <v>151.34</v>
    <v>150.82</v>
    <v>150.16999999999999</v>
    <v>150.13999999999999</v>
    <v>150.80000000000001</v>
    <v>149.68</v>
    <v>149.78</v>
    <v>149.44999999999999</v>
    <v>150.65</v>
    <v>150.41999999999999</v>
    <v>151.09</v>
    <v>152.02000000000001</v>
    <v>151.62</v>
    <v>151.79</v>
    <v>151.97</v>
    <v>152.27000000000001</v>
    <v>151.55000000000001</v>
    <v>151.79</v>
    <v>151.1</v>
    <v>151.15</v>
    <v>150.97999999999999</v>
    <v>150.72999999999999</v>
    <v>150.80000000000001</v>
    <v>150.63999999999999</v>
    <v>151.05000000000001</v>
    <v>151.72</v>
    <v>152.16</v>
    <v>152.35</v>
    <v>152.55000000000001</v>
    <v>150.44999999999999</v>
    <v>149.84</v>
    <v>150.1</v>
    <v>150.34</v>
    <v>150.71</v>
    <v>150.76</v>
    <v>150.85</v>
    <v>150.77000000000001</v>
    <v>150.84</v>
    <v>150.68</v>
    <v>150.53</v>
    <v>150.27000000000001</v>
    <v>150.16</v>
    <v>149.76</v>
    <v>148.63999999999999</v>
    <v>149.19</v>
    <v>149.44</v>
    <v>149</v>
    <v>148.94999999999999</v>
    <v>148.9</v>
    <v>148.47</v>
    <v>148.43</v>
    <v>148.32</v>
    <v>148.13</v>
    <v>147.94999999999999</v>
    <v>147.5</v>
    <v>148.1</v>
    <v>148.57</v>
    <v>148.9</v>
    <v>148.22999999999999</v>
    <v>148.37</v>
    <v>148.03</v>
    <v>148.74</v>
    <v>149.24</v>
    <v>149.27000000000001</v>
    <v>149.05000000000001</v>
    <v>149.09</v>
    <v>148.59</v>
    <v>148.72999999999999</v>
    <v>148.76</v>
    <v>149.16999999999999</v>
    <v>148.51</v>
    <v>148.24</v>
    <v>147.68</v>
    <v>147.84</v>
    <v>147.88</v>
    <v>147.84</v>
    <v>147.82</v>
    <v>148.47</v>
    <v>148.11000000000001</v>
    <v>147.94999999999999</v>
    <v>147.72999999999999</v>
    <v>147.28</v>
    <v>147.22999999999999</v>
    <v>146.88999999999999</v>
    <v>147.29</v>
    <v>147.43</v>
    <v>146.94999999999999</v>
    <v>147.27000000000001</v>
    <v>146.38999999999999</v>
    <v>145.54</v>
    <v>145.84</v>
    <v>145.41999999999999</v>
    <v>145.22999999999999</v>
    <v>145.68</v>
    <v>145.93</v>
    <v>145.13</v>
    <v>145.97</v>
    <v>145.88999999999999</v>
    <v>144.81</v>
    <v>144.38999999999999</v>
    <v>144.68</v>
    <v>144.22</v>
    <v>144.05000000000001</v>
    <v>144.24</v>
    <v>143.38999999999999</v>
    <v>144.5</v>
    <v>144.24</v>
    <v>144.94999999999999</v>
    <v>144.31</v>
    <v>144.46</v>
    <v>144.66999999999999</v>
    <v>144.71</v>
    <v>145.06</v>
    <v>144.91</v>
    <v>145.54</v>
    <v>145.51</v>
    <v>144.79</v>
    <v>145.18</v>
    <v>144.78</v>
    <v>144.66</v>
    <v>144.88</v>
  </a>
  <a r="1" c="761">
    <v>139.24</v>
    <v>139.26</v>
    <v>138.66999999999999</v>
    <v>139.19</v>
    <v>139.6</v>
    <v>140.13999999999999</v>
    <v>140.28</v>
    <v>140.88999999999999</v>
    <v>141.58000000000001</v>
    <v>142.41</v>
    <v>141.38999999999999</v>
    <v>142.06</v>
    <v>142.69999999999999</v>
    <v>142.49</v>
    <v>141.93</v>
    <v>141.9</v>
    <v>143.08000000000001</v>
    <v>142.88999999999999</v>
    <v>143.91999999999999</v>
    <v>143.59</v>
    <v>143.77000000000001</v>
    <v>144.21</v>
    <v>144.15</v>
    <v>143.63</v>
    <v>143.66</v>
    <v>144.38</v>
    <v>144.83000000000001</v>
    <v>145.32</v>
    <v>144.96</v>
    <v>146.31</v>
    <v>146.08000000000001</v>
    <v>147.13</v>
    <v>147.41</v>
    <v>147.58000000000001</v>
    <v>146.58000000000001</v>
    <v>146.61000000000001</v>
    <v>146.88</v>
    <v>147.61000000000001</v>
    <v>147.04</v>
    <v>147.74</v>
    <v>147.5</v>
    <v>148.57</v>
    <v>148.75</v>
    <v>149.13999999999999</v>
    <v>149.58000000000001</v>
    <v>149.91999999999999</v>
    <v>149.04</v>
    <v>148.22999999999999</v>
    <v>147.84</v>
    <v>147.97999999999999</v>
    <v>147.30000000000001</v>
    <v>146.96</v>
    <v>147.21</v>
    <v>146.82</v>
    <v>146.76</v>
    <v>147.19999999999999</v>
    <v>148.09</v>
    <v>147.5</v>
    <v>147.34</v>
    <v>146.37</v>
    <v>146.59</v>
    <v>146.76</v>
    <v>147.11000000000001</v>
    <v>146.30000000000001</v>
    <v>146.68</v>
    <v>147.33000000000001</v>
    <v>147.36000000000001</v>
    <v>148</v>
    <v>147.5</v>
    <v>148.03</v>
    <v>148.02000000000001</v>
    <v>147.44</v>
    <v>146.80000000000001</v>
    <v>146.93</v>
    <v>146.82</v>
    <v>146.38</v>
    <v>146.18</v>
    <v>146.72</v>
    <v>146.49</v>
    <v>147.02000000000001</v>
    <v>147.21</v>
    <v>146.93</v>
    <v>146.81</v>
    <v>147.04</v>
    <v>146.28</v>
    <v>146.77000000000001</v>
    <v>147.52000000000001</v>
    <v>146.85</v>
    <v>146.82</v>
    <v>146.87</v>
    <v>147.43</v>
    <v>146.81</v>
    <v>147.37</v>
    <v>148.44</v>
    <v>148.88999999999999</v>
    <v>149.22</v>
    <v>149.56</v>
    <v>149.12</v>
    <v>149.41999999999999</v>
    <v>149.41</v>
    <v>148.82</v>
    <v>148.65</v>
    <v>148.83000000000001</v>
    <v>148.56</v>
    <v>148.53</v>
    <v>148.80000000000001</v>
    <v>149.27000000000001</v>
    <v>148.84</v>
    <v>149.27000000000001</v>
    <v>149.77000000000001</v>
    <v>149.02000000000001</v>
    <v>147.99</v>
    <v>147.85</v>
    <v>148.82</v>
    <v>148.37</v>
    <v>148.01</v>
    <v>148.99</v>
    <v>148.44</v>
    <v>147.65</v>
    <v>148.9</v>
    <v>148.02000000000001</v>
    <v>147.24</v>
    <v>147.58000000000001</v>
    <v>147.57</v>
    <v>147.47999999999999</v>
    <v>148.07</v>
    <v>148.16999999999999</v>
    <v>146.99</v>
    <v>146.76</v>
    <v>147.47999999999999</v>
    <v>148.19</v>
    <v>147.72</v>
    <v>148.13999999999999</v>
    <v>148.55000000000001</v>
    <v>148.69999999999999</v>
    <v>149</v>
    <v>148.63</v>
    <v>148.34</v>
    <v>148.24</v>
    <v>148.37</v>
    <v>148.01</v>
    <v>149.22</v>
    <v>149.08000000000001</v>
    <v>148.69999999999999</v>
    <v>148.76</v>
    <v>148.85</v>
    <v>148.68</v>
    <v>148.16999999999999</v>
    <v>147.97</v>
    <v>148.69999999999999</v>
    <v>147.99</v>
    <v>147.32</v>
    <v>147.76</v>
    <v>147.65</v>
    <v>148.32</v>
    <v>148.37</v>
    <v>149.07</v>
    <v>148.55000000000001</v>
    <v>147.78</v>
    <v>146.61000000000001</v>
    <v>146.94</v>
    <v>148.19</v>
    <v>146.08000000000001</v>
    <v>146.18</v>
    <v>146.03</v>
    <v>146.72</v>
    <v>146.07</v>
    <v>146.19999999999999</v>
    <v>146.24</v>
    <v>146.41999999999999</v>
    <v>146.28</v>
    <v>145.88</v>
    <v>145.61000000000001</v>
    <v>145.28</v>
    <v>145.09</v>
    <v>145.28</v>
    <v>146</v>
    <v>145.76</v>
    <v>146.29</v>
    <v>146.78</v>
    <v>146.37</v>
    <v>147.07</v>
    <v>147.69999999999999</v>
    <v>147.91999999999999</v>
    <v>148.27000000000001</v>
    <v>148.68</v>
    <v>148.53</v>
    <v>148.55000000000001</v>
    <v>148.13</v>
    <v>148.22</v>
    <v>148.35</v>
    <v>148.07</v>
    <v>148.22</v>
    <v>148.44</v>
    <v>148.75</v>
    <v>148.97</v>
    <v>149.38999999999999</v>
    <v>149.63</v>
    <v>149.68</v>
    <v>149.46</v>
    <v>149.68</v>
    <v>149.12</v>
    <v>149.13</v>
    <v>149.58000000000001</v>
    <v>149.63</v>
    <v>150.38999999999999</v>
    <v>150.47999999999999</v>
    <v>149.88999999999999</v>
    <v>149.85</v>
    <v>150.13999999999999</v>
    <v>150.5</v>
    <v>150.18</v>
    <v>150.59</v>
    <v>150.16</v>
    <v>149.68</v>
    <v>149.82</v>
    <v>149.9</v>
    <v>149.69</v>
    <v>149.63</v>
    <v>149.94</v>
    <v>150.66</v>
    <v>150.69</v>
    <v>151.01</v>
    <v>150.91999999999999</v>
    <v>151.24</v>
    <v>151.88999999999999</v>
    <v>151.58000000000001</v>
    <v>152.05000000000001</v>
    <v>152.15</v>
    <v>152.13999999999999</v>
    <v>151.61000000000001</v>
    <v>151.72</v>
    <v>151.74</v>
    <v>152.13</v>
    <v>152.63</v>
    <v>151.91999999999999</v>
    <v>152.72999999999999</v>
    <v>152.91</v>
    <v>152.86000000000001</v>
    <v>153.63</v>
    <v>152.97</v>
    <v>152.75</v>
    <v>152.43</v>
    <v>151.94</v>
    <v>152</v>
    <v>151.94999999999999</v>
    <v>152.22</v>
    <v>151.93</v>
    <v>152.1</v>
    <v>152.88</v>
    <v>153.19</v>
    <v>153.37</v>
    <v>153.77000000000001</v>
    <v>152.58000000000001</v>
    <v>152.16</v>
    <v>152.18</v>
    <v>152.96</v>
    <v>152.44999999999999</v>
    <v>152.81</v>
    <v>152.22999999999999</v>
    <v>151.80000000000001</v>
    <v>151.30000000000001</v>
    <v>151.16</v>
    <v>151.26</v>
    <v>151.29</v>
    <v>150.63</v>
    <v>150.69999999999999</v>
    <v>151.4</v>
    <v>151.97999999999999</v>
    <v>151.93</v>
    <v>151.88999999999999</v>
    <v>152.83000000000001</v>
    <v>152.47</v>
    <v>152.38999999999999</v>
    <v>152.63999999999999</v>
    <v>152.55000000000001</v>
    <v>152.68</v>
    <v>153.19999999999999</v>
    <v>153.63</v>
    <v>153.76</v>
    <v>153.96</v>
    <v>154.76</v>
    <v>155.1</v>
    <v>155.56</v>
    <v>155.62</v>
    <v>155.9</v>
    <v>155.94</v>
    <v>156.13999999999999</v>
    <v>156.30000000000001</v>
    <v>156.09</v>
    <v>156.19</v>
    <v>153.04</v>
    <v>152.53</v>
    <v>152.51</v>
    <v>152.36000000000001</v>
    <v>152.22999999999999</v>
    <v>151.66999999999999</v>
    <v>151.93</v>
    <v>151.68</v>
    <v>151.38</v>
    <v>151.34</v>
    <v>151.44999999999999</v>
    <v>150.81</v>
    <v>150.96</v>
    <v>150.74</v>
    <v>150.03</v>
    <v>149.91</v>
    <v>149.35</v>
    <v>149.05000000000001</v>
    <v>148.88999999999999</v>
    <v>150.03</v>
    <v>150.32</v>
    <v>150.44999999999999</v>
    <v>150.66999999999999</v>
    <v>150.94</v>
    <v>150.96</v>
    <v>150.54</v>
    <v>150.55000000000001</v>
    <v>150.52000000000001</v>
    <v>150.5</v>
    <v>150.6</v>
    <v>151.04</v>
    <v>151.44</v>
    <v>151.88999999999999</v>
    <v>152.15</v>
    <v>152.6</v>
    <v>152.78</v>
    <v>152.41</v>
    <v>152.43</v>
    <v>151.66</v>
    <v>151.36000000000001</v>
    <v>152.13999999999999</v>
    <v>151.86000000000001</v>
    <v>151.6</v>
    <v>151.68</v>
    <v>151.02000000000001</v>
    <v>151.22</v>
    <v>151.68</v>
    <v>151.83000000000001</v>
    <v>151.93</v>
    <v>152.34</v>
    <v>152.35</v>
    <v>152.69</v>
    <v>152.01</v>
    <v>151.83000000000001</v>
    <v>149.41</v>
    <v>148.82</v>
    <v>149.08000000000001</v>
    <v>148.97999999999999</v>
    <v>148.59</v>
    <v>148.77000000000001</v>
    <v>148.91</v>
    <v>148.85</v>
    <v>149.51</v>
    <v>149.27000000000001</v>
    <v>149.69999999999999</v>
    <v>149.49</v>
    <v>149.78</v>
    <v>149.76</v>
    <v>149.9</v>
    <v>149.79</v>
    <v>149.87</v>
    <v>150.16</v>
    <v>150.28</v>
    <v>150.88</v>
    <v>150.54</v>
    <v>151.21</v>
    <v>150.65</v>
    <v>149.88999999999999</v>
    <v>150.58000000000001</v>
    <v>150.5</v>
    <v>151.63999999999999</v>
    <v>151.47999999999999</v>
    <v>151.99</v>
    <v>152.11000000000001</v>
    <v>152.12</v>
    <v>152.66999999999999</v>
    <v>152.82</v>
    <v>152.61000000000001</v>
    <v>153.55000000000001</v>
    <v>153.08000000000001</v>
    <v>152.9</v>
    <v>152.9</v>
    <v>153.30000000000001</v>
    <v>152.66999999999999</v>
    <v>152.9</v>
    <v>152.76</v>
    <v>153.52000000000001</v>
    <v>153.13</v>
    <v>153.02000000000001</v>
    <v>152.19999999999999</v>
    <v>152.05000000000001</v>
    <v>152.07</v>
    <v>152.81</v>
    <v>153.07</v>
    <v>153.22999999999999</v>
    <v>152.9</v>
    <v>152.71</v>
    <v>152.43</v>
    <v>153.13999999999999</v>
    <v>153.36000000000001</v>
    <v>153.6</v>
    <v>153.61000000000001</v>
    <v>153.94999999999999</v>
    <v>154.28</v>
    <v>154.18</v>
    <v>154.13</v>
    <v>154.09</v>
    <v>153.74</v>
    <v>154.19999999999999</v>
    <v>154.03</v>
    <v>154.49</v>
    <v>154.46</v>
    <v>152.72</v>
    <v>152.09</v>
    <v>152.38</v>
    <v>152.16999999999999</v>
    <v>152.43</v>
    <v>151.88</v>
    <v>152.11000000000001</v>
    <v>152.18</v>
    <v>152.44999999999999</v>
    <v>152.31</v>
    <v>152.41</v>
    <v>152.18</v>
    <v>152.30000000000001</v>
    <v>152.54</v>
    <v>152.03</v>
    <v>152.6</v>
    <v>152.53</v>
    <v>152.28</v>
    <v>151.77000000000001</v>
    <v>151.99</v>
    <v>151.62</v>
    <v>151.56</v>
    <v>151.56</v>
    <v>151.63</v>
    <v>151.85</v>
    <v>151.91999999999999</v>
    <v>151.97999999999999</v>
    <v>152.57</v>
    <v>152.85</v>
    <v>152.84</v>
    <v>151.71</v>
    <v>151.68</v>
    <v>152.19999999999999</v>
    <v>152.19999999999999</v>
    <v>152</v>
    <v>152.26</v>
    <v>152.15</v>
    <v>152.77000000000001</v>
    <v>152.96</v>
    <v>152.74</v>
    <v>152.84</v>
    <v>152.56</v>
    <v>152.41</v>
    <v>152.13</v>
    <v>152.81</v>
    <v>152.43</v>
    <v>151.91999999999999</v>
    <v>151.94999999999999</v>
    <v>152.22</v>
    <v>151.61000000000001</v>
    <v>152.1</v>
    <v>151.76</v>
    <v>151.88999999999999</v>
    <v>151.68</v>
    <v>152.02000000000001</v>
    <v>151.65</v>
    <v>151.66999999999999</v>
    <v>151.01</v>
    <v>151.51</v>
    <v>151.84</v>
    <v>152.47999999999999</v>
    <v>152.80000000000001</v>
    <v>152.63</v>
    <v>152.69999999999999</v>
    <v>152.77000000000001</v>
    <v>152.38</v>
    <v>152.79</v>
    <v>152.76</v>
    <v>152.91</v>
    <v>152.62</v>
    <v>152.44</v>
    <v>152.27000000000001</v>
    <v>152.36000000000001</v>
    <v>152.16</v>
    <v>151.88999999999999</v>
    <v>152.05000000000001</v>
    <v>152.56</v>
    <v>152.5</v>
    <v>152.52000000000001</v>
    <v>152.66999999999999</v>
    <v>152.86000000000001</v>
    <v>152.57</v>
    <v>152.66</v>
    <v>153.21</v>
    <v>152.80000000000001</v>
    <v>153.51</v>
    <v>153.5</v>
    <v>153.84</v>
    <v>154.5</v>
    <v>154.43</v>
    <v>154.22999999999999</v>
    <v>154.41999999999999</v>
    <v>154.69</v>
    <v>154.68</v>
    <v>154.56</v>
    <v>154.12</v>
    <v>154.21</v>
    <v>154.16</v>
    <v>154.43</v>
    <v>154.35</v>
    <v>154.47999999999999</v>
    <v>154.29</v>
    <v>154.36000000000001</v>
    <v>154.19999999999999</v>
    <v>154.28</v>
    <v>154.05000000000001</v>
    <v>154.22</v>
    <v>154.32</v>
    <v>154.59</v>
    <v>154.19</v>
    <v>153.86000000000001</v>
    <v>153.97999999999999</v>
    <v>153.85</v>
    <v>154.01</v>
    <v>153.82</v>
    <v>153.91999999999999</v>
    <v>154.09</v>
    <v>154.33000000000001</v>
    <v>154.43</v>
    <v>154.53</v>
    <v>154.47999999999999</v>
    <v>153.96</v>
    <v>153.91</v>
    <v>154.05000000000001</v>
    <v>153.88999999999999</v>
    <v>153.77000000000001</v>
    <v>153.13999999999999</v>
    <v>153.24</v>
    <v>153.13</v>
    <v>151.33000000000001</v>
    <v>151.16999999999999</v>
    <v>151.36000000000001</v>
    <v>151.58000000000001</v>
    <v>151.30000000000001</v>
    <v>151.58000000000001</v>
    <v>151.13</v>
    <v>150.99</v>
    <v>151.55000000000001</v>
    <v>152.11000000000001</v>
    <v>151.80000000000001</v>
    <v>151.19999999999999</v>
    <v>151.5</v>
    <v>151.94</v>
    <v>152.18</v>
    <v>152.1</v>
    <v>152.31</v>
    <v>152.6</v>
    <v>152.33000000000001</v>
    <v>152.63</v>
    <v>152.79</v>
    <v>152.66</v>
    <v>152.63999999999999</v>
    <v>152.29</v>
    <v>152.12</v>
    <v>152.35</v>
    <v>152.34</v>
    <v>152.72</v>
    <v>152.63999999999999</v>
    <v>152.84</v>
    <v>152.91999999999999</v>
    <v>152.83000000000001</v>
    <v>152.68</v>
    <v>152.41999999999999</v>
    <v>152.71</v>
    <v>152.63</v>
    <v>152.78</v>
    <v>152.91999999999999</v>
    <v>153.27000000000001</v>
    <v>153.31</v>
    <v>153.55000000000001</v>
    <v>153.66</v>
    <v>153.62</v>
    <v>153.86000000000001</v>
    <v>153.96</v>
    <v>153.91999999999999</v>
    <v>153.96</v>
    <v>154.16999999999999</v>
    <v>154.19</v>
    <v>154.30000000000001</v>
    <v>154.46</v>
    <v>154.68</v>
    <v>153.91999999999999</v>
    <v>152.78</v>
    <v>153.38</v>
    <v>152.28</v>
    <v>151.4</v>
    <v>151.66999999999999</v>
    <v>152.44</v>
    <v>151.28</v>
    <v>150.5</v>
    <v>150.26</v>
    <v>150.72999999999999</v>
    <v>151.34</v>
    <v>150.71</v>
    <v>150.25</v>
    <v>148.87</v>
    <v>149.4</v>
    <v>149.03</v>
    <v>149.86000000000001</v>
    <v>148.4</v>
    <v>148.11000000000001</v>
    <v>148.74</v>
    <v>149.5</v>
    <v>149.78</v>
    <v>149.86000000000001</v>
    <v>148.72999999999999</v>
    <v>151.08000000000001</v>
    <v>150.69999999999999</v>
    <v>150.11000000000001</v>
    <v>149.68</v>
    <v>150.41999999999999</v>
    <v>150.31</v>
    <v>150.31</v>
    <v>151.51</v>
    <v>151.27000000000001</v>
    <v>150.61000000000001</v>
    <v>150.76</v>
    <v>150.66999999999999</v>
    <v>150.54</v>
    <v>150.28</v>
    <v>149.9</v>
    <v>149.35</v>
    <v>150.11000000000001</v>
    <v>149.5</v>
    <v>150.1</v>
    <v>151.13999999999999</v>
    <v>151.25</v>
    <v>151.34</v>
    <v>150.82</v>
    <v>150.16999999999999</v>
    <v>150.13999999999999</v>
    <v>150.80000000000001</v>
    <v>149.68</v>
    <v>149.78</v>
    <v>149.44999999999999</v>
    <v>150.65</v>
    <v>150.41999999999999</v>
    <v>151.09</v>
    <v>152.02000000000001</v>
    <v>151.62</v>
    <v>151.79</v>
    <v>151.97</v>
    <v>152.27000000000001</v>
    <v>151.55000000000001</v>
    <v>151.79</v>
    <v>151.1</v>
    <v>151.15</v>
    <v>150.97999999999999</v>
    <v>150.72999999999999</v>
    <v>150.80000000000001</v>
    <v>150.63999999999999</v>
    <v>151.05000000000001</v>
    <v>151.72</v>
    <v>152.16</v>
    <v>152.35</v>
    <v>152.55000000000001</v>
    <v>150.44999999999999</v>
    <v>149.84</v>
    <v>150.1</v>
    <v>150.34</v>
    <v>150.71</v>
    <v>150.76</v>
    <v>150.85</v>
    <v>150.77000000000001</v>
    <v>150.84</v>
    <v>150.68</v>
    <v>150.53</v>
    <v>150.27000000000001</v>
    <v>150.16</v>
    <v>149.76</v>
    <v>148.63999999999999</v>
    <v>149.19</v>
    <v>149.44</v>
    <v>149</v>
    <v>148.94999999999999</v>
    <v>148.9</v>
    <v>148.47</v>
    <v>148.43</v>
    <v>148.32</v>
    <v>148.13</v>
    <v>147.94999999999999</v>
    <v>147.5</v>
    <v>148.1</v>
    <v>148.57</v>
    <v>148.9</v>
    <v>148.22999999999999</v>
    <v>148.37</v>
    <v>148.03</v>
    <v>148.74</v>
    <v>149.24</v>
    <v>149.27000000000001</v>
    <v>149.05000000000001</v>
    <v>149.09</v>
    <v>148.59</v>
    <v>148.72999999999999</v>
    <v>148.76</v>
    <v>149.16999999999999</v>
    <v>148.51</v>
    <v>148.24</v>
    <v>147.68</v>
    <v>147.84</v>
    <v>147.88</v>
    <v>147.84</v>
    <v>147.82</v>
    <v>148.47</v>
    <v>148.11000000000001</v>
    <v>147.94999999999999</v>
    <v>147.72999999999999</v>
    <v>147.28</v>
    <v>147.22999999999999</v>
    <v>146.88999999999999</v>
    <v>147.29</v>
    <v>147.43</v>
    <v>146.94999999999999</v>
    <v>147.27000000000001</v>
    <v>146.38999999999999</v>
    <v>145.54</v>
    <v>145.84</v>
    <v>145.41999999999999</v>
    <v>145.22999999999999</v>
    <v>145.68</v>
    <v>145.93</v>
    <v>145.13</v>
    <v>145.97</v>
    <v>145.88999999999999</v>
    <v>144.81</v>
    <v>144.38999999999999</v>
    <v>144.68</v>
    <v>144.22</v>
    <v>144.05000000000001</v>
    <v>144.24</v>
    <v>143.38999999999999</v>
    <v>144.5</v>
    <v>144.24</v>
    <v>144.94999999999999</v>
    <v>144.31</v>
    <v>144.46</v>
    <v>144.66999999999999</v>
    <v>144.71</v>
    <v>145.06</v>
    <v>144.91</v>
    <v>145.54</v>
    <v>145.51</v>
    <v>144.79</v>
    <v>145.18</v>
    <v>144.78</v>
    <v>144.66</v>
    <v>144.88</v>
  </a>
  <a r="1" c="205">
    <v>20.350000000000001</v>
    <v>19.91</v>
    <v>21.67</v>
    <v>23.8</v>
    <v>23.16</v>
    <v>23.65</v>
    <v>24.4</v>
    <v>24.28</v>
    <v>23.51</v>
    <v>22.29</v>
    <v>21.58</v>
    <v>20.260000000000002</v>
    <v>20.010000000000002</v>
    <v>20.45</v>
    <v>21.67</v>
    <v>21.75</v>
    <v>21.07</v>
    <v>20.010000000000002</v>
    <v>20.309999999999999</v>
    <v>19.47</v>
    <v>18.579999999999998</v>
    <v>18.68</v>
    <v>17.72</v>
    <v>17.37</v>
    <v>16</v>
    <v>16.89</v>
    <v>16.97</v>
    <v>17.170000000000002</v>
    <v>16.010000000000002</v>
    <v>14.98</v>
    <v>15.46</v>
    <v>15.31</v>
    <v>15.84</v>
    <v>15.68</v>
    <v>16.309999999999999</v>
    <v>14.98</v>
    <v>16.98</v>
    <v>17.850000000000001</v>
    <v>18.059999999999999</v>
    <v>16.95</v>
    <v>17.38</v>
    <v>18.04</v>
    <v>18.760000000000002</v>
    <v>18.91</v>
    <v>18.84</v>
    <v>19.079999999999998</v>
    <v>18.32</v>
    <v>18.239999999999998</v>
    <v>18.05</v>
    <v>17.84</v>
    <v>17.91</v>
    <v>18.03</v>
    <v>17.22</v>
    <v>17.23</v>
    <v>16.95</v>
    <v>17.66</v>
    <v>16.149999999999999</v>
    <v>16.36</v>
    <v>16.079999999999998</v>
    <v>14.55</v>
    <v>14.81</v>
    <v>15.92</v>
    <v>15.73</v>
    <v>15.79</v>
    <v>15.81</v>
    <v>15.72</v>
    <v>15.72</v>
    <v>15.32</v>
    <v>14.61</v>
    <v>15.63</v>
    <v>16.2</v>
    <v>17.37</v>
    <v>17.420000000000002</v>
    <v>17.98</v>
    <v>18.149999999999999</v>
    <v>17.809999999999999</v>
    <v>18.16</v>
    <v>17.09</v>
    <v>17.53</v>
    <v>18.09</v>
    <v>17.77</v>
    <v>17.809999999999999</v>
    <v>18.420000000000002</v>
    <v>18.600000000000001</v>
    <v>18.46</v>
    <v>17.850000000000001</v>
    <v>17.23</v>
    <v>17.28</v>
    <v>17.14</v>
    <v>16.510000000000002</v>
    <v>16.25</v>
    <v>16.04</v>
    <v>16.579999999999998</v>
    <v>17.190000000000001</v>
    <v>19.190000000000001</v>
    <v>18.3</v>
    <v>18.34</v>
    <v>18.05</v>
    <v>18.79</v>
    <v>19.649999999999999</v>
    <v>19.46</v>
    <v>20.18</v>
    <v>22.89</v>
    <v>25.22</v>
    <v>25.25</v>
    <v>23.27</v>
    <v>23.15</v>
    <v>22.02</v>
    <v>21.76</v>
    <v>21.08</v>
    <v>19.93</v>
    <v>20.059999999999999</v>
    <v>20.21</v>
    <v>19.77</v>
    <v>19.73</v>
    <v>18.5</v>
    <v>18.899999999999999</v>
    <v>18.47</v>
    <v>19.510000000000002</v>
    <v>18.84</v>
    <v>17.88</v>
    <v>18.98</v>
    <v>19.73</v>
    <v>19.68</v>
    <v>20.84</v>
    <v>20.7</v>
    <v>21.82</v>
    <v>21.87</v>
    <v>21.66</v>
    <v>21.92</v>
    <v>21.49</v>
    <v>21.87</v>
    <v>22.53</v>
    <v>22.41</v>
    <v>21.4</v>
    <v>21.68</v>
    <v>21.34</v>
    <v>21.19</v>
    <v>20.18</v>
    <v>19.38</v>
    <v>19.13</v>
    <v>20.74</v>
    <v>21.89</v>
    <v>22.08</v>
    <v>21.37</v>
    <v>21.6</v>
    <v>22.56</v>
    <v>24.26</v>
    <v>27.07</v>
    <v>25.56</v>
    <v>26.64</v>
    <v>27.54</v>
    <v>29.15</v>
    <v>28.55</v>
    <v>29.62</v>
    <v>29.05</v>
    <v>28.83</v>
    <v>28.23</v>
    <v>28.79</v>
    <v>27.85</v>
    <v>29.07</v>
    <v>28.47</v>
    <v>27.88</v>
    <v>28.23</v>
    <v>30.22</v>
    <v>30.54</v>
    <v>30.97</v>
    <v>31.56</v>
    <v>30.44</v>
    <v>32.68</v>
    <v>31.35</v>
    <v>30.79</v>
    <v>30.42</v>
    <v>30.56</v>
    <v>30.18</v>
    <v>31.01</v>
    <v>31.04</v>
    <v>30.85</v>
    <v>30.37</v>
    <v>30.23</v>
    <v>31.15</v>
    <v>30.13</v>
    <v>29.79</v>
    <v>29.57</v>
    <v>29.45</v>
    <v>28.99</v>
    <v>28.96</v>
    <v>31.57</v>
    <v>32.4</v>
    <v>32.630000000000003</v>
    <v>32.880000000000003</v>
    <v>32.950000000000003</v>
    <v>33.74</v>
    <v>33.03</v>
    <v>33.090000000000003</v>
    <v>33.51</v>
    <v>33.799999999999997</v>
    <v>32.270000000000003</v>
    <v>33.549999999999997</v>
    <v>31.81</v>
    <v>32.5</v>
    <v>33.549999999999997</v>
    <v>34.11</v>
    <v>33.520000000000003</v>
    <v>33.979999999999997</v>
  </a>
  <a r="1" c="754">
    <v>7.81</v>
    <v>8.14</v>
    <v>7.6</v>
    <v>7.67</v>
    <v>7.66</v>
    <v>7.57</v>
    <v>7.8</v>
    <v>7.73</v>
    <v>8.1</v>
    <v>8.4499999999999993</v>
    <v>8.1300000000000008</v>
    <v>8.44</v>
    <v>8.41</v>
    <v>8.16</v>
    <v>8.24</v>
    <v>8.17</v>
    <v>8.5399999999999991</v>
    <v>8.6999999999999993</v>
    <v>8.43</v>
    <v>8.4700000000000006</v>
    <v>8.58</v>
    <v>8.5299999999999994</v>
    <v>8.66</v>
    <v>8.67</v>
    <v>8.65</v>
    <v>8.5299999999999994</v>
    <v>8.24</v>
    <v>8.17</v>
    <v>8.44</v>
    <v>8.41</v>
    <v>8.35</v>
    <v>8.1</v>
    <v>7.83</v>
    <v>7.9</v>
    <v>7.76</v>
    <v>8.07</v>
    <v>8.58</v>
    <v>8.59</v>
    <v>8.5500000000000007</v>
    <v>8.5500000000000007</v>
    <v>8.98</v>
    <v>8.6300000000000008</v>
    <v>8.7200000000000006</v>
    <v>8.9600000000000009</v>
    <v>8.99</v>
    <v>8.94</v>
    <v>8.86</v>
    <v>8.82</v>
    <v>8.4</v>
    <v>7.95</v>
    <v>8.0399999999999991</v>
    <v>8.1300000000000008</v>
    <v>8.6199999999999992</v>
    <v>8.5500000000000007</v>
    <v>9.1300000000000008</v>
    <v>9.2899999999999991</v>
    <v>9.65</v>
    <v>9.36</v>
    <v>9.11</v>
    <v>9.66</v>
    <v>9.76</v>
    <v>9.8000000000000007</v>
    <v>9.9700000000000006</v>
    <v>9.8699999999999992</v>
    <v>9.86</v>
    <v>9.92</v>
    <v>9.99</v>
    <v>9.94</v>
    <v>9.68</v>
    <v>9.9499999999999993</v>
    <v>9.86</v>
    <v>9.64</v>
    <v>9.73</v>
    <v>9.61</v>
    <v>9.77</v>
    <v>9.99</v>
    <v>10.17</v>
    <v>9.73</v>
    <v>10.199999999999999</v>
    <v>10.24</v>
    <v>10.33</v>
    <v>10.220000000000001</v>
    <v>10.050000000000001</v>
    <v>10.36</v>
    <v>10.3</v>
    <v>10.33</v>
    <v>10.76</v>
    <v>10.6</v>
    <v>10.5</v>
    <v>10.33</v>
    <v>10.31</v>
    <v>10.050000000000001</v>
    <v>10.029999999999999</v>
    <v>10.23</v>
    <v>10.199999999999999</v>
    <v>10.36</v>
    <v>10.4</v>
    <v>10.39</v>
    <v>10.45</v>
    <v>10.31</v>
    <v>10.55</v>
    <v>10.82</v>
    <v>11.22</v>
    <v>11.12</v>
    <v>11.05</v>
    <v>11.02</v>
    <v>10.81</v>
    <v>10.93</v>
    <v>10.93</v>
    <v>10.81</v>
    <v>10.45</v>
    <v>10.53</v>
    <v>11.93</v>
    <v>12.23</v>
    <v>12.04</v>
    <v>12.05</v>
    <v>11.98</v>
    <v>12.18</v>
    <v>11.96</v>
    <v>11.46</v>
    <v>11.68</v>
    <v>11.85</v>
    <v>11.66</v>
    <v>11.7</v>
    <v>11.86</v>
    <v>12.12</v>
    <v>12.28</v>
    <v>12.45</v>
    <v>12.89</v>
    <v>12.64</v>
    <v>12.36</v>
    <v>12.6</v>
    <v>12.61</v>
    <v>12.82</v>
    <v>13</v>
    <v>15.38</v>
    <v>15.57</v>
    <v>15.8</v>
    <v>15.8</v>
    <v>15.78</v>
    <v>16.3</v>
    <v>17.02</v>
    <v>17.100000000000001</v>
    <v>17.420000000000002</v>
    <v>17.62</v>
    <v>18.239999999999998</v>
    <v>18.14</v>
    <v>17.149999999999999</v>
    <v>17.25</v>
    <v>17</v>
    <v>17.13</v>
    <v>16.46</v>
    <v>16.329999999999998</v>
    <v>15.96</v>
    <v>15.65</v>
    <v>16.54</v>
    <v>16.38</v>
    <v>16.73</v>
    <v>16.37</v>
    <v>16.5</v>
    <v>17.38</v>
    <v>16.43</v>
    <v>16.04</v>
    <v>16.07</v>
    <v>15.6</v>
    <v>15.45</v>
    <v>15.62</v>
    <v>15.96</v>
    <v>16.41</v>
    <v>16.420000000000002</v>
    <v>17.32</v>
    <v>17.649999999999999</v>
    <v>18.2</v>
    <v>17.440000000000001</v>
    <v>17.399999999999999</v>
    <v>17.399999999999999</v>
    <v>17.12</v>
    <v>16.95</v>
    <v>16.61</v>
    <v>17.25</v>
    <v>17.66</v>
    <v>19.149999999999999</v>
    <v>20.170000000000002</v>
    <v>20.27</v>
    <v>20.28</v>
    <v>20.55</v>
    <v>21.04</v>
    <v>21.49</v>
    <v>19.690000000000001</v>
    <v>20.29</v>
    <v>21.39</v>
    <v>20.91</v>
    <v>20.98</v>
    <v>21.42</v>
    <v>23.99</v>
    <v>23.01</v>
    <v>21.95</v>
    <v>23.09</v>
    <v>22.55</v>
    <v>23.53</v>
    <v>23.66</v>
    <v>23.01</v>
    <v>23.81</v>
    <v>23.72</v>
    <v>24.32</v>
    <v>24.67</v>
    <v>24.24</v>
    <v>24.44</v>
    <v>23.8</v>
    <v>23.67</v>
    <v>24.99</v>
    <v>25.09</v>
    <v>25.48</v>
    <v>25.18</v>
    <v>25.95</v>
    <v>26.41</v>
    <v>25.57</v>
    <v>24.88</v>
    <v>26.85</v>
    <v>25.06</v>
    <v>25.71</v>
    <v>24.98</v>
    <v>26.19</v>
    <v>26.97</v>
    <v>27.52</v>
    <v>27.23</v>
    <v>27.44</v>
    <v>27.58</v>
    <v>28.4</v>
    <v>28.94</v>
    <v>29.43</v>
    <v>30.24</v>
    <v>29.63</v>
    <v>29.75</v>
    <v>29.51</v>
    <v>29.83</v>
    <v>29.66</v>
    <v>29.8</v>
    <v>29.88</v>
    <v>31.04</v>
    <v>30.38</v>
    <v>31.84</v>
    <v>33.130000000000003</v>
    <v>31.3</v>
    <v>31.67</v>
    <v>31.06</v>
    <v>32.15</v>
    <v>30.94</v>
    <v>30</v>
    <v>27.9</v>
    <v>26.89</v>
    <v>26.4</v>
    <v>26.08</v>
    <v>26.13</v>
    <v>26.76</v>
    <v>27.05</v>
    <v>28.28</v>
    <v>29.21</v>
    <v>27.68</v>
    <v>27.89</v>
    <v>27.42</v>
    <v>29.02</v>
    <v>31.87</v>
    <v>34.24</v>
    <v>35.58</v>
    <v>36.74</v>
    <v>28.22</v>
    <v>17.760000000000002</v>
    <v>17.37</v>
    <v>17.579999999999998</v>
    <v>19.579999999999998</v>
    <v>22.02</v>
    <v>23.11</v>
    <v>21.72</v>
    <v>22.38</v>
    <v>21.27</v>
    <v>20.04</v>
    <v>20.2</v>
    <v>21.3</v>
    <v>24.01</v>
    <v>23.93</v>
    <v>26.31</v>
    <v>25.79</v>
    <v>26.18</v>
    <v>22.97</v>
    <v>21.46</v>
    <v>21.53</v>
    <v>21.73</v>
    <v>22.32</v>
    <v>21.53</v>
    <v>20.34</v>
    <v>19.34</v>
    <v>19.07</v>
    <v>19.399999999999999</v>
    <v>18.73</v>
    <v>18.739999999999998</v>
    <v>18.97</v>
    <v>17.670000000000002</v>
    <v>18.059999999999999</v>
    <v>17.989999999999998</v>
    <v>18.739999999999998</v>
    <v>18.61</v>
    <v>18.98</v>
    <v>18.18</v>
    <v>18.48</v>
    <v>17.329999999999998</v>
    <v>17.170000000000002</v>
    <v>17.2</v>
    <v>17.89</v>
    <v>18.809999999999999</v>
    <v>18.579999999999998</v>
    <v>19.02</v>
    <v>18.88</v>
    <v>18.75</v>
    <v>18.57</v>
    <v>18.48</v>
    <v>18.059999999999999</v>
    <v>18.010000000000002</v>
    <v>18.32</v>
    <v>18.350000000000001</v>
    <v>18.190000000000001</v>
    <v>18.420000000000002</v>
    <v>18.78</v>
    <v>20.96</v>
    <v>21.24</v>
    <v>21.66</v>
    <v>20.62</v>
    <v>21.31</v>
    <v>23.39</v>
    <v>23.49</v>
    <v>24.69</v>
    <v>23.08</v>
    <v>22.44</v>
    <v>20.73</v>
    <v>21.63</v>
    <v>20.6</v>
    <v>17.77</v>
    <v>16.649999999999999</v>
    <v>17.21</v>
    <v>16.57</v>
    <v>16.86</v>
    <v>17.14</v>
    <v>16.05</v>
    <v>15.82</v>
    <v>14.03</v>
    <v>14.29</v>
    <v>14.54</v>
    <v>13.7</v>
    <v>13.98</v>
    <v>14.47</v>
    <v>13.86</v>
    <v>14.38</v>
    <v>14.42</v>
    <v>14.43</v>
    <v>15.66</v>
    <v>15.73</v>
    <v>15.11</v>
    <v>14.37</v>
    <v>13.76</v>
    <v>13.56</v>
    <v>14.03</v>
    <v>14.54</v>
    <v>13.15</v>
    <v>12.1</v>
    <v>11.92</v>
    <v>11.63</v>
    <v>12.88</v>
    <v>11.71</v>
    <v>12.06</v>
    <v>11.91</v>
    <v>11.98</v>
    <v>11.35</v>
    <v>11.46</v>
    <v>11.02</v>
    <v>11.31</v>
    <v>12.08</v>
    <v>12.56</v>
    <v>13.14</v>
    <v>13.4</v>
    <v>13.45</v>
    <v>13.06</v>
    <v>13.49</v>
    <v>13.68</v>
    <v>13.44</v>
    <v>13.11</v>
    <v>13.2</v>
    <v>13.31</v>
    <v>13.35</v>
    <v>14.32</v>
    <v>14.91</v>
    <v>14.59</v>
    <v>13.94</v>
    <v>13.95</v>
    <v>13.79</v>
    <v>13.67</v>
    <v>13.14</v>
    <v>13.27</v>
    <v>13.09</v>
    <v>13.57</v>
    <v>13.5</v>
    <v>13.09</v>
    <v>13.14</v>
    <v>12.93</v>
    <v>13.17</v>
    <v>13.2</v>
    <v>13.64</v>
    <v>13.91</v>
    <v>13.6</v>
    <v>13.16</v>
    <v>12.85</v>
    <v>12.73</v>
    <v>12.16</v>
    <v>12.6</v>
    <v>12.56</v>
    <v>12.59</v>
    <v>14.18</v>
    <v>16.809999999999999</v>
    <v>16.13</v>
    <v>15.02</v>
    <v>15.34</v>
    <v>15.11</v>
    <v>15.49</v>
    <v>15.14</v>
    <v>15.16</v>
    <v>15.45</v>
    <v>14.87</v>
    <v>15</v>
    <v>15.23</v>
    <v>14.94</v>
    <v>14</v>
    <v>14.14</v>
    <v>14.04</v>
    <v>14.97</v>
    <v>15.9</v>
    <v>15.6</v>
    <v>15.63</v>
    <v>15.62</v>
    <v>16.559999999999999</v>
    <v>15.89</v>
    <v>16.04</v>
    <v>16.05</v>
    <v>15.48</v>
    <v>15.56</v>
    <v>15.65</v>
    <v>15.08</v>
    <v>15.8</v>
    <v>15.87</v>
    <v>20.23</v>
    <v>19.579999999999998</v>
    <v>18.73</v>
    <v>18.02</v>
    <v>18.53</v>
    <v>18.440000000000001</v>
    <v>17.809999999999999</v>
    <v>19.13</v>
    <v>19.71</v>
    <v>19.010000000000002</v>
    <v>18.170000000000002</v>
    <v>18.29</v>
    <v>19.55</v>
    <v>19.7</v>
    <v>19.72</v>
    <v>19.920000000000002</v>
    <v>19.55</v>
    <v>19.64</v>
    <v>18.53</v>
    <v>18.77</v>
    <v>18.68</v>
    <v>18.899999999999999</v>
    <v>18.57</v>
    <v>18.7</v>
    <v>18.86</v>
    <v>20.76</v>
    <v>20.350000000000001</v>
    <v>20.37</v>
    <v>20.39</v>
    <v>20.61</v>
    <v>21.1</v>
    <v>21.49</v>
    <v>22.08</v>
    <v>21.55</v>
    <v>20.57</v>
    <v>20.309999999999999</v>
    <v>20.52</v>
    <v>21.04</v>
    <v>19.87</v>
    <v>20.03</v>
    <v>19.2</v>
    <v>19.329999999999998</v>
    <v>19.98</v>
    <v>19.96</v>
    <v>19.77</v>
    <v>20.37</v>
    <v>18.399999999999999</v>
    <v>18.89</v>
    <v>19.21</v>
    <v>18.57</v>
    <v>18.23</v>
    <v>17.82</v>
    <v>18.54</v>
    <v>19.440000000000001</v>
    <v>18.45</v>
    <v>18.690000000000001</v>
    <v>18.79</v>
    <v>18.87</v>
    <v>18.149999999999999</v>
    <v>17.75</v>
    <v>17.010000000000002</v>
    <v>17.989999999999998</v>
    <v>17.62</v>
    <v>16.7</v>
    <v>19.940000000000001</v>
    <v>19.579999999999998</v>
    <v>19.510000000000002</v>
    <v>19.89</v>
    <v>19.8</v>
    <v>20.47</v>
    <v>18.510000000000002</v>
    <v>18.440000000000001</v>
    <v>17.3</v>
    <v>17.34</v>
    <v>16.88</v>
    <v>16.3</v>
    <v>17.27</v>
    <v>17.48</v>
    <v>18.03</v>
    <v>18.170000000000002</v>
    <v>18.25</v>
    <v>17.940000000000001</v>
    <v>17.7</v>
    <v>18.399999999999999</v>
    <v>18.55</v>
    <v>19.05</v>
    <v>19.18</v>
    <v>19.27</v>
    <v>19.510000000000002</v>
    <v>19.510000000000002</v>
    <v>18.559999999999999</v>
    <v>17.489999999999998</v>
    <v>18.14</v>
    <v>17.39</v>
    <v>17.87</v>
    <v>17.989999999999998</v>
    <v>18.32</v>
    <v>18.350000000000001</v>
    <v>19.11</v>
    <v>20.7</v>
    <v>20.41</v>
    <v>20.8</v>
    <v>20.350000000000001</v>
    <v>19.91</v>
    <v>21.67</v>
    <v>23.8</v>
    <v>23.16</v>
    <v>23.65</v>
    <v>24.4</v>
    <v>24.28</v>
    <v>23.51</v>
    <v>22.29</v>
    <v>21.58</v>
    <v>20.260000000000002</v>
    <v>20.010000000000002</v>
    <v>20.45</v>
    <v>21.67</v>
    <v>21.75</v>
    <v>21.07</v>
    <v>20.010000000000002</v>
    <v>20.309999999999999</v>
    <v>19.47</v>
    <v>18.579999999999998</v>
    <v>18.68</v>
    <v>17.72</v>
    <v>17.37</v>
    <v>16</v>
    <v>16.89</v>
    <v>16.97</v>
    <v>17.170000000000002</v>
    <v>16.010000000000002</v>
    <v>14.98</v>
    <v>15.46</v>
    <v>15.31</v>
    <v>15.84</v>
    <v>15.68</v>
    <v>16.309999999999999</v>
    <v>14.98</v>
    <v>16.98</v>
    <v>17.850000000000001</v>
    <v>18.059999999999999</v>
    <v>16.95</v>
    <v>17.38</v>
    <v>18.04</v>
    <v>18.760000000000002</v>
    <v>18.91</v>
    <v>18.84</v>
    <v>19.079999999999998</v>
    <v>18.32</v>
    <v>18.239999999999998</v>
    <v>18.05</v>
    <v>17.84</v>
    <v>17.91</v>
    <v>18.03</v>
    <v>17.22</v>
    <v>17.23</v>
    <v>16.95</v>
    <v>17.66</v>
    <v>16.149999999999999</v>
    <v>16.36</v>
    <v>16.079999999999998</v>
    <v>14.55</v>
    <v>14.81</v>
    <v>15.92</v>
    <v>15.73</v>
    <v>15.79</v>
    <v>15.81</v>
    <v>15.72</v>
    <v>15.72</v>
    <v>15.32</v>
    <v>14.61</v>
    <v>15.63</v>
    <v>16.2</v>
    <v>17.37</v>
    <v>17.420000000000002</v>
    <v>17.98</v>
    <v>18.149999999999999</v>
    <v>17.809999999999999</v>
    <v>18.16</v>
    <v>17.09</v>
    <v>17.53</v>
    <v>18.09</v>
    <v>17.77</v>
    <v>17.809999999999999</v>
    <v>18.420000000000002</v>
    <v>18.600000000000001</v>
    <v>18.46</v>
    <v>17.850000000000001</v>
    <v>17.23</v>
    <v>17.28</v>
    <v>17.14</v>
    <v>16.510000000000002</v>
    <v>16.25</v>
    <v>16.04</v>
    <v>16.579999999999998</v>
    <v>17.190000000000001</v>
    <v>19.190000000000001</v>
    <v>18.3</v>
    <v>18.34</v>
    <v>18.05</v>
    <v>18.79</v>
    <v>19.649999999999999</v>
    <v>19.46</v>
    <v>20.18</v>
    <v>22.89</v>
    <v>25.22</v>
    <v>25.25</v>
    <v>23.27</v>
    <v>23.15</v>
    <v>22.02</v>
    <v>21.76</v>
    <v>21.08</v>
    <v>19.93</v>
    <v>20.059999999999999</v>
    <v>20.21</v>
    <v>19.77</v>
    <v>19.73</v>
    <v>18.5</v>
    <v>18.899999999999999</v>
    <v>18.47</v>
    <v>19.510000000000002</v>
    <v>18.84</v>
    <v>17.88</v>
    <v>18.98</v>
    <v>19.73</v>
    <v>19.68</v>
    <v>20.84</v>
    <v>20.7</v>
    <v>21.82</v>
    <v>21.87</v>
    <v>21.66</v>
    <v>21.92</v>
    <v>21.49</v>
    <v>21.87</v>
    <v>22.53</v>
    <v>22.41</v>
    <v>21.4</v>
    <v>21.68</v>
    <v>21.34</v>
    <v>21.19</v>
    <v>20.18</v>
    <v>19.38</v>
    <v>19.13</v>
    <v>20.74</v>
    <v>21.89</v>
    <v>22.08</v>
    <v>21.37</v>
    <v>21.6</v>
    <v>22.56</v>
    <v>24.26</v>
    <v>27.07</v>
    <v>25.56</v>
    <v>26.64</v>
    <v>27.54</v>
    <v>29.15</v>
    <v>28.55</v>
    <v>29.62</v>
    <v>29.05</v>
    <v>28.83</v>
    <v>28.23</v>
    <v>28.79</v>
    <v>27.85</v>
    <v>29.07</v>
    <v>28.47</v>
    <v>27.88</v>
    <v>28.23</v>
    <v>30.22</v>
    <v>30.54</v>
    <v>30.97</v>
    <v>31.56</v>
    <v>30.44</v>
    <v>32.68</v>
    <v>31.35</v>
    <v>30.79</v>
    <v>30.42</v>
    <v>30.56</v>
    <v>30.18</v>
    <v>31.01</v>
    <v>31.04</v>
    <v>30.85</v>
    <v>30.37</v>
    <v>30.23</v>
    <v>31.15</v>
    <v>30.13</v>
    <v>29.79</v>
    <v>29.57</v>
    <v>29.45</v>
    <v>28.99</v>
    <v>28.96</v>
    <v>31.57</v>
    <v>32.4</v>
    <v>32.630000000000003</v>
    <v>32.880000000000003</v>
    <v>32.950000000000003</v>
    <v>33.74</v>
    <v>33.03</v>
    <v>33.090000000000003</v>
    <v>33.51</v>
    <v>33.799999999999997</v>
    <v>32.270000000000003</v>
    <v>33.549999999999997</v>
    <v>31.81</v>
    <v>32.5</v>
    <v>33.549999999999997</v>
    <v>34.11</v>
    <v>33.520000000000003</v>
    <v>33.979999999999997</v>
  </a>
  <a r="1" c="252">
    <v>18.690000000000001</v>
    <v>18.79</v>
    <v>18.87</v>
    <v>18.149999999999999</v>
    <v>17.75</v>
    <v>17.010000000000002</v>
    <v>17.989999999999998</v>
    <v>17.62</v>
    <v>16.7</v>
    <v>19.940000000000001</v>
    <v>19.579999999999998</v>
    <v>19.510000000000002</v>
    <v>19.89</v>
    <v>19.8</v>
    <v>20.47</v>
    <v>18.510000000000002</v>
    <v>18.440000000000001</v>
    <v>17.3</v>
    <v>17.34</v>
    <v>16.88</v>
    <v>16.3</v>
    <v>17.27</v>
    <v>17.48</v>
    <v>18.03</v>
    <v>18.170000000000002</v>
    <v>18.25</v>
    <v>17.940000000000001</v>
    <v>17.7</v>
    <v>18.399999999999999</v>
    <v>18.55</v>
    <v>19.05</v>
    <v>19.18</v>
    <v>19.27</v>
    <v>19.510000000000002</v>
    <v>19.510000000000002</v>
    <v>18.559999999999999</v>
    <v>17.489999999999998</v>
    <v>18.14</v>
    <v>17.39</v>
    <v>17.87</v>
    <v>17.989999999999998</v>
    <v>18.32</v>
    <v>18.350000000000001</v>
    <v>19.11</v>
    <v>20.7</v>
    <v>20.41</v>
    <v>20.8</v>
    <v>20.350000000000001</v>
    <v>19.91</v>
    <v>21.67</v>
    <v>23.8</v>
    <v>23.16</v>
    <v>23.65</v>
    <v>24.4</v>
    <v>24.28</v>
    <v>23.51</v>
    <v>22.29</v>
    <v>21.58</v>
    <v>20.260000000000002</v>
    <v>20.010000000000002</v>
    <v>20.45</v>
    <v>21.67</v>
    <v>21.75</v>
    <v>21.07</v>
    <v>20.010000000000002</v>
    <v>20.309999999999999</v>
    <v>19.47</v>
    <v>18.579999999999998</v>
    <v>18.68</v>
    <v>17.72</v>
    <v>17.37</v>
    <v>16</v>
    <v>16.89</v>
    <v>16.97</v>
    <v>17.170000000000002</v>
    <v>16.010000000000002</v>
    <v>14.98</v>
    <v>15.46</v>
    <v>15.31</v>
    <v>15.84</v>
    <v>15.68</v>
    <v>16.309999999999999</v>
    <v>14.98</v>
    <v>16.98</v>
    <v>17.850000000000001</v>
    <v>18.059999999999999</v>
    <v>16.95</v>
    <v>17.38</v>
    <v>18.04</v>
    <v>18.760000000000002</v>
    <v>18.91</v>
    <v>18.84</v>
    <v>19.079999999999998</v>
    <v>18.32</v>
    <v>18.239999999999998</v>
    <v>18.05</v>
    <v>17.84</v>
    <v>17.91</v>
    <v>18.03</v>
    <v>17.22</v>
    <v>17.23</v>
    <v>16.95</v>
    <v>17.66</v>
    <v>16.149999999999999</v>
    <v>16.36</v>
    <v>16.079999999999998</v>
    <v>14.55</v>
    <v>14.81</v>
    <v>15.92</v>
    <v>15.73</v>
    <v>15.79</v>
    <v>15.81</v>
    <v>15.72</v>
    <v>15.72</v>
    <v>15.32</v>
    <v>14.61</v>
    <v>15.63</v>
    <v>16.2</v>
    <v>17.37</v>
    <v>17.420000000000002</v>
    <v>17.98</v>
    <v>18.149999999999999</v>
    <v>17.809999999999999</v>
    <v>18.16</v>
    <v>17.09</v>
    <v>17.53</v>
    <v>18.09</v>
    <v>17.77</v>
    <v>17.809999999999999</v>
    <v>18.420000000000002</v>
    <v>18.600000000000001</v>
    <v>18.46</v>
    <v>17.850000000000001</v>
    <v>17.23</v>
    <v>17.28</v>
    <v>17.14</v>
    <v>16.510000000000002</v>
    <v>16.25</v>
    <v>16.04</v>
    <v>16.579999999999998</v>
    <v>17.190000000000001</v>
    <v>19.190000000000001</v>
    <v>18.3</v>
    <v>18.34</v>
    <v>18.05</v>
    <v>18.79</v>
    <v>19.649999999999999</v>
    <v>19.46</v>
    <v>20.18</v>
    <v>22.89</v>
    <v>25.22</v>
    <v>25.25</v>
    <v>23.27</v>
    <v>23.15</v>
    <v>22.02</v>
    <v>21.76</v>
    <v>21.08</v>
    <v>19.93</v>
    <v>20.059999999999999</v>
    <v>20.21</v>
    <v>19.77</v>
    <v>19.73</v>
    <v>18.5</v>
    <v>18.899999999999999</v>
    <v>18.47</v>
    <v>19.510000000000002</v>
    <v>18.84</v>
    <v>17.88</v>
    <v>18.98</v>
    <v>19.73</v>
    <v>19.68</v>
    <v>20.84</v>
    <v>20.7</v>
    <v>21.82</v>
    <v>21.87</v>
    <v>21.66</v>
    <v>21.92</v>
    <v>21.49</v>
    <v>21.87</v>
    <v>22.53</v>
    <v>22.41</v>
    <v>21.4</v>
    <v>21.68</v>
    <v>21.34</v>
    <v>21.19</v>
    <v>20.18</v>
    <v>19.38</v>
    <v>19.13</v>
    <v>20.74</v>
    <v>21.89</v>
    <v>22.08</v>
    <v>21.37</v>
    <v>21.6</v>
    <v>22.56</v>
    <v>24.26</v>
    <v>27.07</v>
    <v>25.56</v>
    <v>26.64</v>
    <v>27.54</v>
    <v>29.15</v>
    <v>28.55</v>
    <v>29.62</v>
    <v>29.05</v>
    <v>28.83</v>
    <v>28.23</v>
    <v>28.79</v>
    <v>27.85</v>
    <v>29.07</v>
    <v>28.47</v>
    <v>27.88</v>
    <v>28.23</v>
    <v>30.22</v>
    <v>30.54</v>
    <v>30.97</v>
    <v>31.56</v>
    <v>30.44</v>
    <v>32.68</v>
    <v>31.35</v>
    <v>30.79</v>
    <v>30.42</v>
    <v>30.56</v>
    <v>30.18</v>
    <v>31.01</v>
    <v>31.04</v>
    <v>30.85</v>
    <v>30.37</v>
    <v>30.23</v>
    <v>31.15</v>
    <v>30.13</v>
    <v>29.79</v>
    <v>29.57</v>
    <v>29.45</v>
    <v>28.99</v>
    <v>28.96</v>
    <v>31.57</v>
    <v>32.4</v>
    <v>32.630000000000003</v>
    <v>32.880000000000003</v>
    <v>32.950000000000003</v>
    <v>33.74</v>
    <v>33.03</v>
    <v>33.090000000000003</v>
    <v>33.51</v>
    <v>33.799999999999997</v>
    <v>32.270000000000003</v>
    <v>33.549999999999997</v>
    <v>31.81</v>
    <v>32.5</v>
    <v>33.549999999999997</v>
    <v>34.11</v>
    <v>33.520000000000003</v>
    <v>33.979999999999997</v>
  </a>
  <a r="1" c="205">
    <v>44.87</v>
    <v>46.77</v>
    <v>48.71</v>
    <v>50.76</v>
    <v>49.78</v>
    <v>50.45</v>
    <v>49.45</v>
    <v>50.95</v>
    <v>48.94</v>
    <v>50.88</v>
    <v>47.56</v>
    <v>50.8</v>
    <v>50.66</v>
    <v>48.33</v>
    <v>49.33</v>
    <v>47.25</v>
    <v>43.37</v>
    <v>45.49</v>
    <v>45.8</v>
    <v>43.24</v>
    <v>39.979999999999997</v>
    <v>38.56</v>
    <v>38.47</v>
    <v>35.340000000000003</v>
    <v>30.43</v>
    <v>34.99</v>
    <v>35.479999999999997</v>
    <v>35.19</v>
    <v>33.61</v>
    <v>31.3</v>
    <v>34.11</v>
    <v>33.18</v>
    <v>33.340000000000003</v>
    <v>33.43</v>
    <v>31.9</v>
    <v>30.78</v>
    <v>31.62</v>
    <v>33.590000000000003</v>
    <v>40.880000000000003</v>
    <v>38.369999999999997</v>
    <v>38.340000000000003</v>
    <v>37.049999999999997</v>
    <v>37.130000000000003</v>
    <v>36.020000000000003</v>
    <v>35.729999999999997</v>
    <v>35.869999999999997</v>
    <v>35.119999999999997</v>
    <v>34.270000000000003</v>
    <v>33.03</v>
    <v>32.979999999999997</v>
    <v>33.29</v>
    <v>33.31</v>
    <v>32.380000000000003</v>
    <v>31.9</v>
    <v>31.2</v>
    <v>33.11</v>
    <v>32.700000000000003</v>
    <v>31.96</v>
    <v>29.84</v>
    <v>27.51</v>
    <v>26.59</v>
    <v>28.83</v>
    <v>27.79</v>
    <v>29.3</v>
    <v>29.24</v>
    <v>28.49</v>
    <v>28.99</v>
    <v>28.08</v>
    <v>28.79</v>
    <v>29.76</v>
    <v>35.76</v>
    <v>43.25</v>
    <v>44.68</v>
    <v>46.09</v>
    <v>48.32</v>
    <v>46.28</v>
    <v>47.36</v>
    <v>43.63</v>
    <v>42.69</v>
    <v>43.84</v>
    <v>43.08</v>
    <v>42.11</v>
    <v>45.12</v>
    <v>46.2</v>
    <v>45.75</v>
    <v>48</v>
    <v>52.57</v>
    <v>47.68</v>
    <v>49.24</v>
    <v>56.89</v>
    <v>55.87</v>
    <v>55.26</v>
    <v>57.47</v>
    <v>51.95</v>
    <v>49.31</v>
    <v>48.44</v>
    <v>52.47</v>
    <v>58.89</v>
    <v>63.64</v>
    <v>63.62</v>
    <v>65.400000000000006</v>
    <v>70.14</v>
    <v>72.069999999999993</v>
    <v>69.28</v>
    <v>71.400000000000006</v>
    <v>68.23</v>
    <v>65.66</v>
    <v>56.78</v>
    <v>62.8</v>
    <v>56.69</v>
    <v>56.63</v>
    <v>57.99</v>
    <v>57.85</v>
    <v>61.18</v>
    <v>56.06</v>
    <v>54.69</v>
    <v>56.55</v>
    <v>58.32</v>
    <v>57.85</v>
    <v>53.6</v>
    <v>50.56</v>
    <v>49.31</v>
    <v>53.88</v>
    <v>53.26</v>
    <v>51.4</v>
    <v>49.12</v>
    <v>48.87</v>
    <v>45.36</v>
    <v>45.08</v>
    <v>44.77</v>
    <v>42.86</v>
    <v>38.880000000000003</v>
    <v>39.29</v>
    <v>37.51</v>
    <v>35.1</v>
    <v>34.78</v>
    <v>34.24</v>
    <v>35.51</v>
    <v>34.68</v>
    <v>34.07</v>
    <v>32.840000000000003</v>
    <v>35.92</v>
    <v>33.880000000000003</v>
    <v>31.99</v>
    <v>35.770000000000003</v>
    <v>36.44</v>
    <v>38.85</v>
    <v>41.72</v>
    <v>39.93</v>
    <v>39.72</v>
    <v>44.43</v>
    <v>42.53</v>
    <v>43.44</v>
    <v>45.2</v>
    <v>44.98</v>
    <v>46.26</v>
    <v>46.84</v>
    <v>44.12</v>
    <v>43.36</v>
    <v>41.53</v>
    <v>44.86</v>
    <v>41.06</v>
    <v>42.05</v>
    <v>40.03</v>
    <v>42.46</v>
    <v>39.200000000000003</v>
    <v>39.31</v>
    <v>37.78</v>
    <v>37.64</v>
    <v>39.020000000000003</v>
    <v>39.520000000000003</v>
    <v>40.47</v>
    <v>38.14</v>
    <v>36.840000000000003</v>
    <v>36.75</v>
    <v>37.5</v>
    <v>37.049999999999997</v>
    <v>36.840000000000003</v>
    <v>40.340000000000003</v>
    <v>39.130000000000003</v>
    <v>40.51</v>
    <v>40.74</v>
    <v>42.54</v>
    <v>44.98</v>
    <v>45.48</v>
    <v>44.58</v>
    <v>43.91</v>
    <v>43.86</v>
    <v>43.99</v>
    <v>43.77</v>
    <v>42.97</v>
    <v>43.29</v>
    <v>41.34</v>
    <v>39.450000000000003</v>
    <v>39.89</v>
    <v>36.270000000000003</v>
    <v>34.729999999999997</v>
    <v>31.42</v>
    <v>34.35</v>
    <v>31.28</v>
    <v>30.78</v>
    <v>31.26</v>
    <v>32.28</v>
    <v>31.16</v>
    <v>31.27</v>
  </a>
  <a r="1" c="252">
    <v>59.37</v>
    <v>60.3</v>
    <v>62.8</v>
    <v>57.15</v>
    <v>61.11</v>
    <v>60.17</v>
    <v>62.38</v>
    <v>58.4</v>
    <v>53.38</v>
    <v>55.41</v>
    <v>57.43</v>
    <v>59.27</v>
    <v>55.37</v>
    <v>54.42</v>
    <v>50.71</v>
    <v>45.4</v>
    <v>47.18</v>
    <v>47.79</v>
    <v>49.12</v>
    <v>47.88</v>
    <v>41</v>
    <v>41.71</v>
    <v>46.76</v>
    <v>47.06</v>
    <v>46.9</v>
    <v>49.3</v>
    <v>47.12</v>
    <v>46.93</v>
    <v>48.65</v>
    <v>54.76</v>
    <v>52.69</v>
    <v>54.36</v>
    <v>54.44</v>
    <v>51.67</v>
    <v>52.55</v>
    <v>50.35</v>
    <v>46.07</v>
    <v>49.67</v>
    <v>45.85</v>
    <v>46.44</v>
    <v>48.48</v>
    <v>53.86</v>
    <v>51.39</v>
    <v>49.82</v>
    <v>46</v>
    <v>45.25</v>
    <v>45.31</v>
    <v>44.87</v>
    <v>46.77</v>
    <v>48.71</v>
    <v>50.76</v>
    <v>49.78</v>
    <v>50.45</v>
    <v>49.45</v>
    <v>50.95</v>
    <v>48.94</v>
    <v>50.88</v>
    <v>47.56</v>
    <v>50.8</v>
    <v>50.66</v>
    <v>48.33</v>
    <v>49.33</v>
    <v>47.25</v>
    <v>43.37</v>
    <v>45.49</v>
    <v>45.8</v>
    <v>43.24</v>
    <v>39.979999999999997</v>
    <v>38.56</v>
    <v>38.47</v>
    <v>35.340000000000003</v>
    <v>30.43</v>
    <v>34.99</v>
    <v>35.479999999999997</v>
    <v>35.19</v>
    <v>33.61</v>
    <v>31.3</v>
    <v>34.11</v>
    <v>33.18</v>
    <v>33.340000000000003</v>
    <v>33.43</v>
    <v>31.9</v>
    <v>30.78</v>
    <v>31.62</v>
    <v>33.590000000000003</v>
    <v>40.880000000000003</v>
    <v>38.369999999999997</v>
    <v>38.340000000000003</v>
    <v>37.049999999999997</v>
    <v>37.130000000000003</v>
    <v>36.020000000000003</v>
    <v>35.729999999999997</v>
    <v>35.869999999999997</v>
    <v>35.119999999999997</v>
    <v>34.270000000000003</v>
    <v>33.03</v>
    <v>32.979999999999997</v>
    <v>33.29</v>
    <v>33.31</v>
    <v>32.380000000000003</v>
    <v>31.9</v>
    <v>31.2</v>
    <v>33.11</v>
    <v>32.700000000000003</v>
    <v>31.96</v>
    <v>29.84</v>
    <v>27.51</v>
    <v>26.59</v>
    <v>28.83</v>
    <v>27.79</v>
    <v>29.3</v>
    <v>29.24</v>
    <v>28.49</v>
    <v>28.99</v>
    <v>28.08</v>
    <v>28.79</v>
    <v>29.76</v>
    <v>35.76</v>
    <v>43.25</v>
    <v>44.68</v>
    <v>46.09</v>
    <v>48.32</v>
    <v>46.28</v>
    <v>47.36</v>
    <v>43.63</v>
    <v>42.69</v>
    <v>43.84</v>
    <v>43.08</v>
    <v>42.11</v>
    <v>45.12</v>
    <v>46.2</v>
    <v>45.75</v>
    <v>48</v>
    <v>52.57</v>
    <v>47.68</v>
    <v>49.24</v>
    <v>56.89</v>
    <v>55.87</v>
    <v>55.26</v>
    <v>57.47</v>
    <v>51.95</v>
    <v>49.31</v>
    <v>48.44</v>
    <v>52.47</v>
    <v>58.89</v>
    <v>63.64</v>
    <v>63.62</v>
    <v>65.400000000000006</v>
    <v>70.14</v>
    <v>72.069999999999993</v>
    <v>69.28</v>
    <v>71.400000000000006</v>
    <v>68.23</v>
    <v>65.66</v>
    <v>56.78</v>
    <v>62.8</v>
    <v>56.69</v>
    <v>56.63</v>
    <v>57.99</v>
    <v>57.85</v>
    <v>61.18</v>
    <v>56.06</v>
    <v>54.69</v>
    <v>56.55</v>
    <v>58.32</v>
    <v>57.85</v>
    <v>53.6</v>
    <v>50.56</v>
    <v>49.31</v>
    <v>53.88</v>
    <v>53.26</v>
    <v>51.4</v>
    <v>49.12</v>
    <v>48.87</v>
    <v>45.36</v>
    <v>45.08</v>
    <v>44.77</v>
    <v>42.86</v>
    <v>38.880000000000003</v>
    <v>39.29</v>
    <v>37.51</v>
    <v>35.1</v>
    <v>34.78</v>
    <v>34.24</v>
    <v>35.51</v>
    <v>34.68</v>
    <v>34.07</v>
    <v>32.840000000000003</v>
    <v>35.92</v>
    <v>33.880000000000003</v>
    <v>31.99</v>
    <v>35.770000000000003</v>
    <v>36.44</v>
    <v>38.85</v>
    <v>41.72</v>
    <v>39.93</v>
    <v>39.72</v>
    <v>44.43</v>
    <v>42.53</v>
    <v>43.44</v>
    <v>45.2</v>
    <v>44.98</v>
    <v>46.26</v>
    <v>46.84</v>
    <v>44.12</v>
    <v>43.36</v>
    <v>41.53</v>
    <v>44.86</v>
    <v>41.06</v>
    <v>42.05</v>
    <v>40.03</v>
    <v>42.46</v>
    <v>39.200000000000003</v>
    <v>39.31</v>
    <v>37.78</v>
    <v>37.64</v>
    <v>39.020000000000003</v>
    <v>39.520000000000003</v>
    <v>40.47</v>
    <v>38.14</v>
    <v>36.840000000000003</v>
    <v>36.75</v>
    <v>37.5</v>
    <v>37.049999999999997</v>
    <v>36.840000000000003</v>
    <v>40.340000000000003</v>
    <v>39.130000000000003</v>
    <v>40.51</v>
    <v>40.74</v>
    <v>42.54</v>
    <v>44.98</v>
    <v>45.48</v>
    <v>44.58</v>
    <v>43.91</v>
    <v>43.86</v>
    <v>43.99</v>
    <v>43.77</v>
    <v>42.97</v>
    <v>43.29</v>
    <v>41.34</v>
    <v>39.450000000000003</v>
    <v>39.89</v>
    <v>36.270000000000003</v>
    <v>34.729999999999997</v>
    <v>31.42</v>
    <v>34.35</v>
    <v>31.28</v>
    <v>30.78</v>
    <v>31.26</v>
    <v>32.28</v>
    <v>31.16</v>
    <v>31.27</v>
  </a>
  <a r="1" c="754">
    <v>12.64</v>
    <v>11.01</v>
    <v>10.4</v>
    <v>9.92</v>
    <v>10.14</v>
    <v>9.5</v>
    <v>9.64</v>
    <v>10.220000000000001</v>
    <v>11.14</v>
    <v>11.58</v>
    <v>11.21</v>
    <v>11.47</v>
    <v>11.41</v>
    <v>11.23</v>
    <v>10.66</v>
    <v>11.55</v>
    <v>12.69</v>
    <v>12.99</v>
    <v>12.2</v>
    <v>12.7</v>
    <v>12.85</v>
    <v>12.29</v>
    <v>12.42</v>
    <v>12.36</v>
    <v>12.1</v>
    <v>12.21</v>
    <v>12.48</v>
    <v>12.23</v>
    <v>13.61</v>
    <v>13.76</v>
    <v>13.01</v>
    <v>12.97</v>
    <v>13.2</v>
    <v>13.69</v>
    <v>13.05</v>
    <v>12.76</v>
    <v>13.43</v>
    <v>14.76</v>
    <v>14.93</v>
    <v>14.57</v>
    <v>14.32</v>
    <v>13.39</v>
    <v>13.79</v>
    <v>13.64</v>
    <v>13.52</v>
    <v>13.21</v>
    <v>13.23</v>
    <v>12.39</v>
    <v>12.16</v>
    <v>11.93</v>
    <v>12.28</v>
    <v>12</v>
    <v>12.64</v>
    <v>12.45</v>
    <v>12.09</v>
    <v>11.56</v>
    <v>11.4</v>
    <v>10.97</v>
    <v>10.85</v>
    <v>10.72</v>
    <v>10.85</v>
    <v>11.72</v>
    <v>11.75</v>
    <v>11.07</v>
    <v>11.28</v>
    <v>11.01</v>
    <v>11.21</v>
    <v>10.69</v>
    <v>10.27</v>
    <v>10.24</v>
    <v>10.27</v>
    <v>9.8699999999999992</v>
    <v>10.44</v>
    <v>10.41</v>
    <v>10.9</v>
    <v>11.16</v>
    <v>11.62</v>
    <v>10.54</v>
    <v>10.93</v>
    <v>11.01</v>
    <v>10.82</v>
    <v>10.62</v>
    <v>10.63</v>
    <v>10.99</v>
    <v>10.65</v>
    <v>11.24</v>
    <v>11.57</v>
    <v>11.26</v>
    <v>10.36</v>
    <v>10.66</v>
    <v>10.09</v>
    <v>9.3699999999999992</v>
    <v>9.92</v>
    <v>10.9</v>
    <v>10.81</v>
    <v>9.7899999999999991</v>
    <v>9.8699999999999992</v>
    <v>9.6300000000000008</v>
    <v>9.1999999999999993</v>
    <v>9.31</v>
    <v>9.5399999999999991</v>
    <v>9.24</v>
    <v>9.58</v>
    <v>9.42</v>
    <v>9.39</v>
    <v>9.5500000000000007</v>
    <v>9.11</v>
    <v>9.5500000000000007</v>
    <v>9.99</v>
    <v>9.99</v>
    <v>9.36</v>
    <v>9.32</v>
    <v>9.1199999999999992</v>
    <v>9.2100000000000009</v>
    <v>8.3699999999999992</v>
    <v>8.4</v>
    <v>8</v>
    <v>8.24</v>
    <v>8.0299999999999994</v>
    <v>7.53</v>
    <v>7.52</v>
    <v>7.28</v>
    <v>7.37</v>
    <v>7.09</v>
    <v>7.49</v>
    <v>7.97</v>
    <v>8.1999999999999993</v>
    <v>8.18</v>
    <v>8.9700000000000006</v>
    <v>8.92</v>
    <v>8.5500000000000007</v>
    <v>8.75</v>
    <v>9</v>
    <v>8.94</v>
    <v>9.2799999999999994</v>
    <v>8.6300000000000008</v>
    <v>8.7799999999999994</v>
    <v>9.1999999999999993</v>
    <v>8.7100000000000009</v>
    <v>8.77</v>
    <v>9.2200000000000006</v>
    <v>9</v>
    <v>8.7100000000000009</v>
    <v>8.7799999999999994</v>
    <v>8.8800000000000008</v>
    <v>8.48</v>
    <v>8.6</v>
    <v>8.32</v>
    <v>8.43</v>
    <v>8.2799999999999994</v>
    <v>8.14</v>
    <v>8.4</v>
    <v>8.15</v>
    <v>7.78</v>
    <v>7.71</v>
    <v>7.93</v>
    <v>7.83</v>
    <v>7.86</v>
    <v>8.2200000000000006</v>
    <v>7.87</v>
    <v>7.95</v>
    <v>7.71</v>
    <v>7.7</v>
    <v>7.56</v>
    <v>7.21</v>
    <v>6.8</v>
    <v>6.76</v>
    <v>6.76</v>
    <v>6.59</v>
    <v>6.73</v>
    <v>7.1</v>
    <v>7.03</v>
    <v>6.84</v>
    <v>7.14</v>
    <v>7.17</v>
    <v>7.41</v>
    <v>7.67</v>
    <v>7.93</v>
    <v>8.4499999999999993</v>
    <v>8.02</v>
    <v>8.4499999999999993</v>
    <v>8.9499999999999993</v>
    <v>9.0299999999999994</v>
    <v>8.56</v>
    <v>8.2100000000000009</v>
    <v>7.43</v>
    <v>8.08</v>
    <v>8.3000000000000007</v>
    <v>7.62</v>
    <v>7.93</v>
    <v>8.2100000000000009</v>
    <v>7.89</v>
    <v>7.8</v>
    <v>8.15</v>
    <v>7.52</v>
    <v>7.08</v>
    <v>6.57</v>
    <v>7.21</v>
    <v>6.8</v>
    <v>7.11</v>
    <v>7.12</v>
    <v>6.72</v>
    <v>7.28</v>
    <v>7.31</v>
    <v>7.42</v>
    <v>7.28</v>
    <v>7.29</v>
    <v>7.21</v>
    <v>7.77</v>
    <v>7.31</v>
    <v>7.38</v>
    <v>7.51</v>
    <v>7.28</v>
    <v>7.01</v>
    <v>7.32</v>
    <v>7.42</v>
    <v>6.96</v>
    <v>7.01</v>
    <v>7.04</v>
    <v>6.8</v>
    <v>6.62</v>
    <v>6.9</v>
    <v>7.23</v>
    <v>7.38</v>
    <v>7.76</v>
    <v>7.82</v>
    <v>8.1199999999999992</v>
    <v>7.83</v>
    <v>7.72</v>
    <v>8.2200000000000006</v>
    <v>8.01</v>
    <v>8.1199999999999992</v>
    <v>7.59</v>
    <v>8.06</v>
    <v>9.7100000000000009</v>
    <v>8.74</v>
    <v>8.17</v>
    <v>9.1999999999999993</v>
    <v>9.25</v>
    <v>9.31</v>
    <v>9.07</v>
    <v>9.5500000000000007</v>
    <v>9.5399999999999991</v>
    <v>9.81</v>
    <v>10.66</v>
    <v>10.84</v>
    <v>10.49</v>
    <v>12.3</v>
    <v>12.5</v>
    <v>13.3</v>
    <v>14.76</v>
    <v>15.01</v>
    <v>14.74</v>
    <v>15.71</v>
    <v>16.96</v>
    <v>17.809999999999999</v>
    <v>16.739999999999998</v>
    <v>16.87</v>
    <v>15.03</v>
    <v>14.85</v>
    <v>14.37</v>
    <v>15.35</v>
    <v>16.45</v>
    <v>22.11</v>
    <v>24.79</v>
    <v>23.52</v>
    <v>23.01</v>
    <v>26.76</v>
    <v>26.16</v>
    <v>29.14</v>
    <v>25.23</v>
    <v>27.89</v>
    <v>28.86</v>
    <v>32.78</v>
    <v>31.8</v>
    <v>30.88</v>
    <v>30.65</v>
    <v>32.21</v>
    <v>36.5</v>
    <v>32.06</v>
    <v>32.79</v>
    <v>33.42</v>
    <v>35.950000000000003</v>
    <v>37.97</v>
    <v>34.24</v>
    <v>32.97</v>
    <v>29.83</v>
    <v>29.99</v>
    <v>33.83</v>
    <v>41.81</v>
    <v>43.84</v>
    <v>37.5</v>
    <v>37.76</v>
    <v>44.42</v>
    <v>41.32</v>
    <v>44.58</v>
    <v>48.24</v>
    <v>45.48</v>
    <v>44.29</v>
    <v>41.77</v>
    <v>43.1</v>
    <v>47.77</v>
    <v>51.07</v>
    <v>49.59</v>
    <v>30.25</v>
    <v>32.33</v>
    <v>27.86</v>
    <v>29.51</v>
    <v>39.39</v>
    <v>41.55</v>
    <v>38.89</v>
    <v>45.31</v>
    <v>42.04</v>
    <v>41.35</v>
    <v>40.76</v>
    <v>38.54</v>
    <v>38.86</v>
    <v>39.54</v>
    <v>38.81</v>
    <v>39.49</v>
    <v>41.47</v>
    <v>41.86</v>
    <v>42.32</v>
    <v>41.27</v>
    <v>40.57</v>
    <v>41.07</v>
    <v>37.700000000000003</v>
    <v>38</v>
    <v>38.65</v>
    <v>37.46</v>
    <v>33.94</v>
    <v>34.14</v>
    <v>33.75</v>
    <v>31.74</v>
    <v>31.24</v>
    <v>29.73</v>
    <v>29.93</v>
    <v>24.91</v>
    <v>24.57</v>
    <v>23.11</v>
    <v>22.35</v>
    <v>22.63</v>
    <v>20.48</v>
    <v>20.55</v>
    <v>18.27</v>
    <v>18.7</v>
    <v>21.82</v>
    <v>21.37</v>
    <v>25</v>
    <v>24.93</v>
    <v>22.68</v>
    <v>23.3</v>
    <v>21.14</v>
    <v>22.26</v>
    <v>26.12</v>
    <v>25.55</v>
    <v>24.8</v>
    <v>23.65</v>
    <v>22.85</v>
    <v>22.07</v>
    <v>23.19</v>
    <v>25.05</v>
    <v>23.25</v>
    <v>20.68</v>
    <v>22.75</v>
    <v>21.28</v>
    <v>26.37</v>
    <v>25.89</v>
    <v>26.09</v>
    <v>25.35</v>
    <v>25.4</v>
    <v>24.57</v>
    <v>25.74</v>
    <v>24.03</v>
    <v>25.56</v>
    <v>26.8</v>
    <v>28.39</v>
    <v>28.9</v>
    <v>28.7</v>
    <v>28.09</v>
    <v>27.46</v>
    <v>27.38</v>
    <v>30.92</v>
    <v>29.82</v>
    <v>29.42</v>
    <v>29.14</v>
    <v>31.84</v>
    <v>31.27</v>
    <v>32.89</v>
    <v>33.22</v>
    <v>33.409999999999997</v>
    <v>32.54</v>
    <v>34.99</v>
    <v>35.090000000000003</v>
    <v>35.31</v>
    <v>33.54</v>
    <v>45.79</v>
    <v>45.69</v>
    <v>48.04</v>
    <v>47.56</v>
    <v>43.2</v>
    <v>40.340000000000003</v>
    <v>40.57</v>
    <v>39.81</v>
    <v>39.64</v>
    <v>36.659999999999997</v>
    <v>39.020000000000003</v>
    <v>40.06</v>
    <v>39.74</v>
    <v>39.700000000000003</v>
    <v>38.71</v>
    <v>37.840000000000003</v>
    <v>38.43</v>
    <v>38.04</v>
    <v>39.630000000000003</v>
    <v>40.36</v>
    <v>41.14</v>
    <v>40.86</v>
    <v>38.11</v>
    <v>41.12</v>
    <v>40.25</v>
    <v>42.97</v>
    <v>40.1</v>
    <v>44.75</v>
    <v>44.39</v>
    <v>45.2</v>
    <v>44.97</v>
    <v>45.56</v>
    <v>45.93</v>
    <v>41.81</v>
    <v>42.41</v>
    <v>41.47</v>
    <v>43.54</v>
    <v>44.84</v>
    <v>46.51</v>
    <v>44.43</v>
    <v>41.94</v>
    <v>43.28</v>
    <v>43.9</v>
    <v>43.17</v>
    <v>42.34</v>
    <v>40.53</v>
    <v>39.880000000000003</v>
    <v>39.869999999999997</v>
    <v>38.119999999999997</v>
    <v>39.86</v>
    <v>42.02</v>
    <v>41.23</v>
    <v>40.49</v>
    <v>41.85</v>
    <v>44.94</v>
    <v>43</v>
    <v>41.21</v>
    <v>41.03</v>
    <v>40.229999999999997</v>
    <v>40.229999999999997</v>
    <v>36.799999999999997</v>
    <v>36.79</v>
    <v>37.17</v>
    <v>39.78</v>
    <v>38.68</v>
    <v>40.75</v>
    <v>41.42</v>
    <v>43.3</v>
    <v>42.74</v>
    <v>42.99</v>
    <v>40.97</v>
    <v>42.11</v>
    <v>41.8</v>
    <v>41.01</v>
    <v>44</v>
    <v>43.86</v>
    <v>47.05</v>
    <v>55.61</v>
    <v>59.11</v>
    <v>62.26</v>
    <v>65.44</v>
    <v>66.81</v>
    <v>70.41</v>
    <v>71.94</v>
    <v>75.14</v>
    <v>73.86</v>
    <v>69.430000000000007</v>
    <v>67.28</v>
    <v>64.260000000000005</v>
    <v>61.5</v>
    <v>63.09</v>
    <v>69.599999999999994</v>
    <v>73.28</v>
    <v>78.989999999999995</v>
    <v>79.23</v>
    <v>74.3</v>
    <v>77.5</v>
    <v>70.650000000000006</v>
    <v>82.09</v>
    <v>77.55</v>
    <v>72.41</v>
    <v>65.59</v>
    <v>62.94</v>
    <v>59.94</v>
    <v>59.5</v>
    <v>55.45</v>
    <v>59.37</v>
    <v>60.3</v>
    <v>62.8</v>
    <v>57.15</v>
    <v>61.11</v>
    <v>60.17</v>
    <v>62.38</v>
    <v>58.4</v>
    <v>53.38</v>
    <v>55.41</v>
    <v>57.43</v>
    <v>59.27</v>
    <v>55.37</v>
    <v>54.42</v>
    <v>50.71</v>
    <v>45.4</v>
    <v>47.18</v>
    <v>47.79</v>
    <v>49.12</v>
    <v>47.88</v>
    <v>41</v>
    <v>41.71</v>
    <v>46.76</v>
    <v>47.06</v>
    <v>46.9</v>
    <v>49.3</v>
    <v>47.12</v>
    <v>46.93</v>
    <v>48.65</v>
    <v>54.76</v>
    <v>52.69</v>
    <v>54.36</v>
    <v>54.44</v>
    <v>51.67</v>
    <v>52.55</v>
    <v>50.35</v>
    <v>46.07</v>
    <v>49.67</v>
    <v>45.85</v>
    <v>46.44</v>
    <v>48.48</v>
    <v>53.86</v>
    <v>51.39</v>
    <v>49.82</v>
    <v>46</v>
    <v>45.25</v>
    <v>45.31</v>
    <v>44.87</v>
    <v>46.77</v>
    <v>48.71</v>
    <v>50.76</v>
    <v>49.78</v>
    <v>50.45</v>
    <v>49.45</v>
    <v>50.95</v>
    <v>48.94</v>
    <v>50.88</v>
    <v>47.56</v>
    <v>50.8</v>
    <v>50.66</v>
    <v>48.33</v>
    <v>49.33</v>
    <v>47.25</v>
    <v>43.37</v>
    <v>45.49</v>
    <v>45.8</v>
    <v>43.24</v>
    <v>39.979999999999997</v>
    <v>38.56</v>
    <v>38.47</v>
    <v>35.340000000000003</v>
    <v>30.43</v>
    <v>34.99</v>
    <v>35.479999999999997</v>
    <v>35.19</v>
    <v>33.61</v>
    <v>31.3</v>
    <v>34.11</v>
    <v>33.18</v>
    <v>33.340000000000003</v>
    <v>33.43</v>
    <v>31.9</v>
    <v>30.78</v>
    <v>31.62</v>
    <v>33.590000000000003</v>
    <v>40.880000000000003</v>
    <v>38.369999999999997</v>
    <v>38.340000000000003</v>
    <v>37.049999999999997</v>
    <v>37.130000000000003</v>
    <v>36.020000000000003</v>
    <v>35.729999999999997</v>
    <v>35.869999999999997</v>
    <v>35.119999999999997</v>
    <v>34.270000000000003</v>
    <v>33.03</v>
    <v>32.979999999999997</v>
    <v>33.29</v>
    <v>33.31</v>
    <v>32.380000000000003</v>
    <v>31.9</v>
    <v>31.2</v>
    <v>33.11</v>
    <v>32.700000000000003</v>
    <v>31.96</v>
    <v>29.84</v>
    <v>27.51</v>
    <v>26.59</v>
    <v>28.83</v>
    <v>27.79</v>
    <v>29.3</v>
    <v>29.24</v>
    <v>28.49</v>
    <v>28.99</v>
    <v>28.08</v>
    <v>28.79</v>
    <v>29.76</v>
    <v>35.76</v>
    <v>43.25</v>
    <v>44.68</v>
    <v>46.09</v>
    <v>48.32</v>
    <v>46.28</v>
    <v>47.36</v>
    <v>43.63</v>
    <v>42.69</v>
    <v>43.84</v>
    <v>43.08</v>
    <v>42.11</v>
    <v>45.12</v>
    <v>46.2</v>
    <v>45.75</v>
    <v>48</v>
    <v>52.57</v>
    <v>47.68</v>
    <v>49.24</v>
    <v>56.89</v>
    <v>55.87</v>
    <v>55.26</v>
    <v>57.47</v>
    <v>51.95</v>
    <v>49.31</v>
    <v>48.44</v>
    <v>52.47</v>
    <v>58.89</v>
    <v>63.64</v>
    <v>63.62</v>
    <v>65.400000000000006</v>
    <v>70.14</v>
    <v>72.069999999999993</v>
    <v>69.28</v>
    <v>71.400000000000006</v>
    <v>68.23</v>
    <v>65.66</v>
    <v>56.78</v>
    <v>62.8</v>
    <v>56.69</v>
    <v>56.63</v>
    <v>57.99</v>
    <v>57.85</v>
    <v>61.18</v>
    <v>56.06</v>
    <v>54.69</v>
    <v>56.55</v>
    <v>58.32</v>
    <v>57.85</v>
    <v>53.6</v>
    <v>50.56</v>
    <v>49.31</v>
    <v>53.88</v>
    <v>53.26</v>
    <v>51.4</v>
    <v>49.12</v>
    <v>48.87</v>
    <v>45.36</v>
    <v>45.08</v>
    <v>44.77</v>
    <v>42.86</v>
    <v>38.880000000000003</v>
    <v>39.29</v>
    <v>37.51</v>
    <v>35.1</v>
    <v>34.78</v>
    <v>34.24</v>
    <v>35.51</v>
    <v>34.68</v>
    <v>34.07</v>
    <v>32.840000000000003</v>
    <v>35.92</v>
    <v>33.880000000000003</v>
    <v>31.99</v>
    <v>35.770000000000003</v>
    <v>36.44</v>
    <v>38.85</v>
    <v>41.72</v>
    <v>39.93</v>
    <v>39.72</v>
    <v>44.43</v>
    <v>42.53</v>
    <v>43.44</v>
    <v>45.2</v>
    <v>44.98</v>
    <v>46.26</v>
    <v>46.84</v>
    <v>44.12</v>
    <v>43.36</v>
    <v>41.53</v>
    <v>44.86</v>
    <v>41.06</v>
    <v>42.05</v>
    <v>40.03</v>
    <v>42.46</v>
    <v>39.200000000000003</v>
    <v>39.31</v>
    <v>37.78</v>
    <v>37.64</v>
    <v>39.020000000000003</v>
    <v>39.520000000000003</v>
    <v>40.47</v>
    <v>38.14</v>
    <v>36.840000000000003</v>
    <v>36.75</v>
    <v>37.5</v>
    <v>37.049999999999997</v>
    <v>36.840000000000003</v>
    <v>40.340000000000003</v>
    <v>39.130000000000003</v>
    <v>40.51</v>
    <v>40.74</v>
    <v>42.54</v>
    <v>44.98</v>
    <v>45.48</v>
    <v>44.58</v>
    <v>43.91</v>
    <v>43.86</v>
    <v>43.99</v>
    <v>43.77</v>
    <v>42.97</v>
    <v>43.29</v>
    <v>41.34</v>
    <v>39.450000000000003</v>
    <v>39.89</v>
    <v>36.270000000000003</v>
    <v>34.729999999999997</v>
    <v>31.42</v>
    <v>34.35</v>
    <v>31.28</v>
    <v>30.78</v>
    <v>31.26</v>
    <v>32.28</v>
    <v>31.16</v>
    <v>31.27</v>
  </a>
  <a r="1" c="254">
    <v>109.78</v>
    <v>110.59</v>
    <v>111.36</v>
    <v>111.56</v>
    <v>111.77</v>
    <v>111.93</v>
    <v>111.82</v>
    <v>111.95</v>
    <v>111.54</v>
    <v>111.75</v>
    <v>110.22</v>
    <v>108.73</v>
    <v>110.93</v>
    <v>111.34</v>
    <v>111.96</v>
    <v>110.52</v>
    <v>110.23</v>
    <v>109.77</v>
    <v>108.29</v>
    <v>108.58</v>
    <v>109.26</v>
    <v>108.13</v>
    <v>109.55</v>
    <v>109.79</v>
    <v>111.09</v>
    <v>111.01</v>
    <v>111.43</v>
    <v>111</v>
    <v>111.04</v>
    <v>111.03</v>
    <v>111.31</v>
    <v>111.7</v>
    <v>111.51</v>
    <v>111.62</v>
    <v>111.37</v>
    <v>110.96</v>
    <v>110.34</v>
    <v>110.48</v>
    <v>109.74</v>
    <v>109.25</v>
    <v>110.43</v>
    <v>110.95</v>
    <v>111.18</v>
    <v>111.4</v>
    <v>111.54</v>
    <v>111.81</v>
    <v>111.35</v>
    <v>112.71</v>
    <v>113.12</v>
    <v>113.46</v>
    <v>113.28</v>
    <v>114.2</v>
    <v>114.18</v>
    <v>114.32</v>
    <v>113.68</v>
    <v>114.95</v>
    <v>114.78</v>
    <v>113.12</v>
    <v>112.16</v>
    <v>112.27</v>
    <v>113.02</v>
    <v>112.76</v>
    <v>112.34</v>
    <v>112.2</v>
    <v>112.31</v>
    <v>111.41</v>
    <v>112.19</v>
    <v>113.44</v>
    <v>112.95</v>
    <v>112.7</v>
    <v>111.52</v>
    <v>112.63</v>
    <v>113.24</v>
    <v>113.44</v>
    <v>113.45</v>
    <v>112.38</v>
    <v>112.28</v>
    <v>112.04</v>
    <v>112.28</v>
    <v>113.52</v>
    <v>113.43</v>
    <v>113.71</v>
    <v>112.92</v>
    <v>113.4</v>
    <v>114.22</v>
    <v>114.04</v>
    <v>113.58</v>
    <v>113.89</v>
    <v>112.62</v>
    <v>113.87</v>
    <v>113.25</v>
    <v>111.99</v>
    <v>111.52</v>
    <v>113.01</v>
    <v>112.61</v>
    <v>112.03</v>
    <v>111.89</v>
    <v>112.16</v>
    <v>112.41</v>
    <v>111.7</v>
    <v>109.85</v>
    <v>108.74</v>
    <v>109.15</v>
    <v>109.25</v>
    <v>110.15</v>
    <v>108.99</v>
    <v>107.5</v>
    <v>108.23</v>
    <v>108.12</v>
    <v>110.34</v>
    <v>110.38</v>
    <v>109.74</v>
    <v>112.54</v>
    <v>112.7</v>
    <v>112.99</v>
    <v>112.96</v>
    <v>114.16</v>
    <v>114.65</v>
    <v>115.32</v>
    <v>116.68</v>
    <v>116.21</v>
    <v>116.1</v>
    <v>116.56</v>
    <v>116.98</v>
    <v>116.75</v>
    <v>116.62</v>
    <v>116.27</v>
    <v>116.34</v>
    <v>117.07</v>
    <v>117.45</v>
    <v>118.21</v>
    <v>119.58</v>
    <v>119.63</v>
    <v>119.51</v>
    <v>119.94</v>
    <v>119.18</v>
    <v>120.43</v>
    <v>121.99</v>
    <v>121.03</v>
    <v>120.39</v>
    <v>120.3</v>
    <v>121.35</v>
    <v>121.51</v>
    <v>122.82</v>
    <v>123.54</v>
    <v>123.13</v>
    <v>122.86</v>
    <v>123.16</v>
    <v>123.43</v>
    <v>123.76</v>
    <v>124.27</v>
    <v>123.9</v>
    <v>123.91</v>
    <v>123.34</v>
    <v>122.67</v>
    <v>120.88</v>
    <v>120.73</v>
    <v>120.89</v>
    <v>122.82</v>
    <v>124.26</v>
    <v>124.11</v>
    <v>124.17</v>
    <v>124.67</v>
    <v>124.82</v>
    <v>125.04</v>
    <v>123.92</v>
    <v>124.73</v>
    <v>124.08</v>
    <v>123.73</v>
    <v>123.88</v>
    <v>125.09</v>
    <v>125.89</v>
    <v>125.23</v>
    <v>125.72</v>
    <v>126.34</v>
    <v>125.4</v>
    <v>124.48</v>
    <v>125.72</v>
    <v>126.16</v>
    <v>126.33</v>
    <v>126.09</v>
    <v>126.29</v>
    <v>126.27</v>
    <v>124.86</v>
    <v>125.25</v>
    <v>125.74</v>
    <v>126.02</v>
    <v>124.45</v>
    <v>125.28</v>
    <v>124.78</v>
    <v>125.17</v>
    <v>124.32</v>
    <v>123.69</v>
    <v>124.23</v>
    <v>126.11</v>
    <v>127.8</v>
    <v>128.26</v>
    <v>128.09</v>
    <v>128.66999999999999</v>
    <v>128.75</v>
    <v>128.72</v>
    <v>128.80000000000001</v>
    <v>129.38</v>
    <v>128.86000000000001</v>
    <v>128.71</v>
    <v>127.44</v>
    <v>126.99</v>
    <v>126.18</v>
    <v>126.5</v>
    <v>126.23</v>
    <v>126.53</v>
    <v>126.68</v>
    <v>127.15</v>
    <v>128.21</v>
    <v>126.78</v>
    <v>126.58</v>
    <v>126.82</v>
    <v>127.84</v>
    <v>127.44</v>
    <v>127.33</v>
    <v>127.17</v>
    <v>126.03</v>
    <v>125.42</v>
    <v>126.64</v>
    <v>126.43</v>
    <v>125.8</v>
    <v>126.45</v>
    <v>127.41</v>
    <v>127.05</v>
    <v>128.6</v>
    <v>129.38</v>
    <v>129.12</v>
    <v>128.38</v>
    <v>128.91999999999999</v>
    <v>128.57</v>
    <v>128.69</v>
    <v>129.13999999999999</v>
    <v>128.81</v>
    <v>130.04</v>
    <v>131.18</v>
    <v>131.85</v>
    <v>131.47</v>
    <v>130.97999999999999</v>
    <v>131.66999999999999</v>
    <v>132.27000000000001</v>
    <v>131.74</v>
    <v>131.79</v>
    <v>130.72</v>
    <v>130.55000000000001</v>
    <v>130.69</v>
    <v>130.47</v>
    <v>131.19999999999999</v>
    <v>129.93</v>
    <v>129.88999999999999</v>
  </a>
  <a r="1" c="208">
    <v>111.35</v>
    <v>112.71</v>
    <v>113.12</v>
    <v>113.46</v>
    <v>113.28</v>
    <v>114.2</v>
    <v>114.18</v>
    <v>114.32</v>
    <v>113.68</v>
    <v>114.95</v>
    <v>114.78</v>
    <v>113.12</v>
    <v>112.16</v>
    <v>112.27</v>
    <v>113.02</v>
    <v>112.76</v>
    <v>112.34</v>
    <v>112.2</v>
    <v>112.31</v>
    <v>111.41</v>
    <v>112.19</v>
    <v>113.44</v>
    <v>112.95</v>
    <v>112.7</v>
    <v>111.52</v>
    <v>112.63</v>
    <v>113.24</v>
    <v>113.44</v>
    <v>113.45</v>
    <v>112.38</v>
    <v>112.28</v>
    <v>112.04</v>
    <v>112.28</v>
    <v>113.52</v>
    <v>113.43</v>
    <v>113.71</v>
    <v>112.92</v>
    <v>113.4</v>
    <v>114.22</v>
    <v>114.04</v>
    <v>113.58</v>
    <v>113.89</v>
    <v>112.62</v>
    <v>113.87</v>
    <v>113.25</v>
    <v>111.99</v>
    <v>111.52</v>
    <v>113.01</v>
    <v>112.61</v>
    <v>112.03</v>
    <v>111.89</v>
    <v>112.16</v>
    <v>112.41</v>
    <v>111.7</v>
    <v>109.85</v>
    <v>108.74</v>
    <v>109.15</v>
    <v>109.25</v>
    <v>110.15</v>
    <v>108.99</v>
    <v>107.5</v>
    <v>108.23</v>
    <v>108.12</v>
    <v>110.34</v>
    <v>110.38</v>
    <v>109.74</v>
    <v>112.54</v>
    <v>112.7</v>
    <v>112.99</v>
    <v>112.96</v>
    <v>114.16</v>
    <v>114.65</v>
    <v>115.32</v>
    <v>116.68</v>
    <v>116.21</v>
    <v>116.1</v>
    <v>116.56</v>
    <v>116.98</v>
    <v>116.75</v>
    <v>116.62</v>
    <v>116.27</v>
    <v>116.34</v>
    <v>117.07</v>
    <v>117.45</v>
    <v>118.21</v>
    <v>119.58</v>
    <v>119.63</v>
    <v>119.51</v>
    <v>119.94</v>
    <v>119.18</v>
    <v>120.43</v>
    <v>121.99</v>
    <v>121.03</v>
    <v>120.39</v>
    <v>120.3</v>
    <v>121.35</v>
    <v>121.51</v>
    <v>122.82</v>
    <v>123.54</v>
    <v>123.13</v>
    <v>122.86</v>
    <v>123.16</v>
    <v>123.43</v>
    <v>123.76</v>
    <v>124.27</v>
    <v>123.9</v>
    <v>123.91</v>
    <v>123.34</v>
    <v>122.67</v>
    <v>120.88</v>
    <v>120.73</v>
    <v>120.89</v>
    <v>122.82</v>
    <v>124.26</v>
    <v>124.11</v>
    <v>124.17</v>
    <v>124.67</v>
    <v>124.82</v>
    <v>125.04</v>
    <v>123.92</v>
    <v>124.73</v>
    <v>124.08</v>
    <v>123.73</v>
    <v>123.88</v>
    <v>125.09</v>
    <v>125.89</v>
    <v>125.23</v>
    <v>125.72</v>
    <v>126.34</v>
    <v>125.4</v>
    <v>124.48</v>
    <v>125.72</v>
    <v>126.16</v>
    <v>126.33</v>
    <v>126.09</v>
    <v>126.29</v>
    <v>126.27</v>
    <v>124.86</v>
    <v>125.25</v>
    <v>125.74</v>
    <v>126.02</v>
    <v>124.45</v>
    <v>125.28</v>
    <v>124.78</v>
    <v>125.17</v>
    <v>124.32</v>
    <v>123.69</v>
    <v>124.23</v>
    <v>126.11</v>
    <v>127.8</v>
    <v>128.26</v>
    <v>128.09</v>
    <v>128.66999999999999</v>
    <v>128.75</v>
    <v>128.72</v>
    <v>128.80000000000001</v>
    <v>129.38</v>
    <v>128.86000000000001</v>
    <v>128.71</v>
    <v>127.44</v>
    <v>126.99</v>
    <v>126.18</v>
    <v>126.5</v>
    <v>126.23</v>
    <v>126.53</v>
    <v>126.68</v>
    <v>127.15</v>
    <v>128.21</v>
    <v>126.78</v>
    <v>126.58</v>
    <v>126.82</v>
    <v>127.84</v>
    <v>127.44</v>
    <v>127.33</v>
    <v>127.17</v>
    <v>126.03</v>
    <v>125.42</v>
    <v>126.64</v>
    <v>126.43</v>
    <v>125.8</v>
    <v>126.45</v>
    <v>127.41</v>
    <v>127.05</v>
    <v>128.6</v>
    <v>129.38</v>
    <v>129.12</v>
    <v>128.38</v>
    <v>128.91999999999999</v>
    <v>128.57</v>
    <v>128.69</v>
    <v>129.13999999999999</v>
    <v>128.81</v>
    <v>130.04</v>
    <v>131.18</v>
    <v>131.85</v>
    <v>131.47</v>
    <v>130.97999999999999</v>
    <v>131.66999999999999</v>
    <v>132.27000000000001</v>
    <v>131.74</v>
    <v>131.79</v>
    <v>130.72</v>
    <v>130.55000000000001</v>
    <v>130.69</v>
    <v>130.47</v>
    <v>131.19999999999999</v>
    <v>129.93</v>
    <v>129.88999999999999</v>
  </a>
  <a r="1" c="761">
    <v>75.040000000000006</v>
    <v>75.489999999999995</v>
    <v>75.16</v>
    <v>74.58</v>
    <v>73.930000000000007</v>
    <v>73.98</v>
    <v>74.63</v>
    <v>75.489999999999995</v>
    <v>76.55</v>
    <v>76.95</v>
    <v>76.760000000000005</v>
    <v>77.239999999999995</v>
    <v>76.94</v>
    <v>77.31</v>
    <v>77.14</v>
    <v>77.680000000000007</v>
    <v>78.16</v>
    <v>78.459999999999994</v>
    <v>78.02</v>
    <v>78.260000000000005</v>
    <v>78.34</v>
    <v>78.400000000000006</v>
    <v>79.040000000000006</v>
    <v>78.989999999999995</v>
    <v>78.83</v>
    <v>78.73</v>
    <v>78.55</v>
    <v>78.62</v>
    <v>78.97</v>
    <v>79.87</v>
    <v>79.77</v>
    <v>80.17</v>
    <v>80.28</v>
    <v>80.349999999999994</v>
    <v>80.84</v>
    <v>81.16</v>
    <v>81.12</v>
    <v>81.45</v>
    <v>81.38</v>
    <v>81.98</v>
    <v>82.01</v>
    <v>82.12</v>
    <v>82.35</v>
    <v>81.709999999999994</v>
    <v>82.06</v>
    <v>81.77</v>
    <v>82.08</v>
    <v>81.84</v>
    <v>82.23</v>
    <v>81.84</v>
    <v>81.78</v>
    <v>81.63</v>
    <v>81.78</v>
    <v>82.4</v>
    <v>82.43</v>
    <v>82.1</v>
    <v>82.68</v>
    <v>82.74</v>
    <v>82.97</v>
    <v>82.4</v>
    <v>82.71</v>
    <v>83.01</v>
    <v>83.95</v>
    <v>84.06</v>
    <v>84.53</v>
    <v>84.87</v>
    <v>84.97</v>
    <v>85.32</v>
    <v>85.54</v>
    <v>85.02</v>
    <v>84.71</v>
    <v>86.03</v>
    <v>86.15</v>
    <v>86.36</v>
    <v>86.73</v>
    <v>86.77</v>
    <v>86.95</v>
    <v>87.67</v>
    <v>86.81</v>
    <v>86.93</v>
    <v>87.36</v>
    <v>87.74</v>
    <v>87.55</v>
    <v>86.65</v>
    <v>86.54</v>
    <v>88.04</v>
    <v>88.37</v>
    <v>88.06</v>
    <v>87.94</v>
    <v>87.96</v>
    <v>88.17</v>
    <v>88.81</v>
    <v>88.8</v>
    <v>88.15</v>
    <v>88.48</v>
    <v>88.89</v>
    <v>88.9</v>
    <v>88.32</v>
    <v>89.08</v>
    <v>89.09</v>
    <v>89.14</v>
    <v>88.59</v>
    <v>89.38</v>
    <v>89.54</v>
    <v>89.73</v>
    <v>91.01</v>
    <v>90.99</v>
    <v>90.71</v>
    <v>90.91</v>
    <v>90.86</v>
    <v>91.44</v>
    <v>90.7</v>
    <v>90.79</v>
    <v>90.83</v>
    <v>90.19</v>
    <v>90.41</v>
    <v>89.88</v>
    <v>90.29</v>
    <v>90.39</v>
    <v>90.86</v>
    <v>90.65</v>
    <v>89.23</v>
    <v>88.73</v>
    <v>88.97</v>
    <v>88.1</v>
    <v>88.29</v>
    <v>89.27</v>
    <v>89.31</v>
    <v>88.2</v>
    <v>89.79</v>
    <v>89.8</v>
    <v>89.58</v>
    <v>88.91</v>
    <v>89.68</v>
    <v>90.3</v>
    <v>90.96</v>
    <v>90.92</v>
    <v>91.15</v>
    <v>91.44</v>
    <v>91.32</v>
    <v>91.23</v>
    <v>91.92</v>
    <v>92.31</v>
    <v>91.99</v>
    <v>92.51</v>
    <v>92.28</v>
    <v>92.37</v>
    <v>92.37</v>
    <v>92.08</v>
    <v>92.22</v>
    <v>91.88</v>
    <v>91.52</v>
    <v>91.27</v>
    <v>90.69</v>
    <v>91.36</v>
    <v>91.17</v>
    <v>92.27</v>
    <v>92.57</v>
    <v>93.09</v>
    <v>93.48</v>
    <v>93.32</v>
    <v>93.81</v>
    <v>93.78</v>
    <v>94.07</v>
    <v>94.09</v>
    <v>94.6</v>
    <v>94.73</v>
    <v>95.11</v>
    <v>94.76</v>
    <v>94.94</v>
    <v>94.89</v>
    <v>94.83</v>
    <v>94.83</v>
    <v>95.18</v>
    <v>94.65</v>
    <v>94.8</v>
    <v>95.09</v>
    <v>95.28</v>
    <v>95.34</v>
    <v>95.5</v>
    <v>95.65</v>
    <v>96.05</v>
    <v>95.87</v>
    <v>96.32</v>
    <v>96.34</v>
    <v>96.48</v>
    <v>95.49</v>
    <v>94.91</v>
    <v>94.36</v>
    <v>94.8</v>
    <v>95.68</v>
    <v>94.02</v>
    <v>93.56</v>
    <v>93.71</v>
    <v>93.89</v>
    <v>93.98</v>
    <v>95.37</v>
    <v>94.44</v>
    <v>90.61</v>
    <v>88.61</v>
    <v>89.38</v>
    <v>90.64</v>
    <v>90.66</v>
    <v>91.01</v>
    <v>91.18</v>
    <v>92.07</v>
    <v>92.3</v>
    <v>94.05</v>
    <v>94.3</v>
    <v>94.08</v>
    <v>94.18</v>
    <v>94.34</v>
    <v>94.37</v>
    <v>94.31</v>
    <v>94.35</v>
    <v>94.36</v>
    <v>95.42</v>
    <v>95.07</v>
    <v>95.7</v>
    <v>94.72</v>
    <v>93.6</v>
    <v>92.95</v>
    <v>91.75</v>
    <v>92.82</v>
    <v>93</v>
    <v>92.56</v>
    <v>94.29</v>
    <v>94.99</v>
    <v>94.58</v>
    <v>95.13</v>
    <v>94.68</v>
    <v>95.96</v>
    <v>95.41</v>
    <v>96</v>
    <v>96.04</v>
    <v>96.05</v>
    <v>96.33</v>
    <v>96.63</v>
    <v>96.39</v>
    <v>96.58</v>
    <v>96.89</v>
    <v>96.7</v>
    <v>97.31</v>
    <v>97.57</v>
    <v>97.54</v>
    <v>98.27</v>
    <v>98.47</v>
    <v>98.82</v>
    <v>99.59</v>
    <v>99.41</v>
    <v>99.36</v>
    <v>100.24</v>
    <v>100.1</v>
    <v>99.74</v>
    <v>99.84</v>
    <v>99.51</v>
    <v>99.42</v>
    <v>99.75</v>
    <v>99.68</v>
    <v>99.78</v>
    <v>99.28</v>
    <v>97.55</v>
    <v>98.3</v>
    <v>97.46</v>
    <v>97.93</v>
    <v>101.02</v>
    <v>101.67</v>
    <v>102.36</v>
    <v>103.47</v>
    <v>103.1</v>
    <v>103.48</v>
    <v>103.43</v>
    <v>102.15</v>
    <v>102.38</v>
    <v>102.27</v>
    <v>102.37</v>
    <v>103.72</v>
    <v>104.89</v>
    <v>104.68</v>
    <v>104.8</v>
    <v>103.94</v>
    <v>104.41</v>
    <v>104.84</v>
    <v>105.71</v>
    <v>105.65</v>
    <v>105.94</v>
    <v>105.84</v>
    <v>105.9</v>
    <v>105.55</v>
    <v>105.74</v>
    <v>106.37</v>
    <v>106.15</v>
    <v>105.6</v>
    <v>105.8</v>
    <v>105.48</v>
    <v>105.7</v>
    <v>103.99</v>
    <v>104.2</v>
    <v>104.01</v>
    <v>104.5</v>
    <v>103.93</v>
    <v>105.3</v>
    <v>105.12</v>
    <v>105.79</v>
    <v>105.02</v>
    <v>105.08</v>
    <v>105.15</v>
    <v>104.12</v>
    <v>103.99</v>
    <v>103.83</v>
    <v>105.45</v>
    <v>105.77</v>
    <v>106.71</v>
    <v>106.16</v>
    <v>106.26</v>
    <v>107.18</v>
    <v>107.33</v>
    <v>106.85</v>
    <v>105.12</v>
    <v>106.48</v>
    <v>106.79</v>
    <v>107.08</v>
    <v>108.19</v>
    <v>107.25</v>
    <v>107.22</v>
    <v>106.9</v>
    <v>108.14</v>
    <v>107.93</v>
    <v>108.52</v>
    <v>108.27</v>
    <v>107.56</v>
    <v>108.11</v>
    <v>107.88</v>
    <v>108.4</v>
    <v>108.48</v>
    <v>108.83</v>
    <v>107.76</v>
    <v>107.85</v>
    <v>106.64</v>
    <v>105.03</v>
    <v>106.39</v>
    <v>106.6</v>
    <v>105.43</v>
    <v>105.74</v>
    <v>102.25</v>
    <v>100.74</v>
    <v>101.06</v>
    <v>99.17</v>
    <v>98.47</v>
    <v>96.41</v>
    <v>97.4</v>
    <v>96.74</v>
    <v>97.8</v>
    <v>98.24</v>
    <v>97.87</v>
    <v>98.86</v>
    <v>99.19</v>
    <v>98.97</v>
    <v>100.7</v>
    <v>100.83</v>
    <v>100.34</v>
    <v>99.97</v>
    <v>97.83</v>
    <v>97.11</v>
    <v>98.44</v>
    <v>98.34</v>
    <v>93.52</v>
    <v>89.05</v>
    <v>86.58</v>
    <v>89.52</v>
    <v>85.29</v>
    <v>88.68</v>
    <v>87.79</v>
    <v>90.34</v>
    <v>91.17</v>
    <v>90.13</v>
    <v>89.26</v>
    <v>88.52</v>
    <v>91.25</v>
    <v>91.92</v>
    <v>92.41</v>
    <v>92.58</v>
    <v>93.06</v>
    <v>93.34</v>
    <v>95.62</v>
    <v>95.74</v>
    <v>95.3</v>
    <v>94.82</v>
    <v>96.37</v>
    <v>96.31</v>
    <v>99.47</v>
    <v>100.1</v>
    <v>99.82</v>
    <v>100.22</v>
    <v>100.95</v>
    <v>100.33</v>
    <v>100.6</v>
    <v>99.81</v>
    <v>99</v>
    <v>97.95</v>
    <v>98.89</v>
    <v>99.65</v>
    <v>99.77</v>
    <v>99.31</v>
    <v>99.27</v>
    <v>98.8</v>
    <v>100.06</v>
    <v>100.05</v>
    <v>100.17</v>
    <v>100.49</v>
    <v>100.45</v>
    <v>100.51</v>
    <v>100.43</v>
    <v>99.59</v>
    <v>99.22</v>
    <v>99.6</v>
    <v>99.38</v>
    <v>99.33</v>
    <v>98.57</v>
    <v>98.83</v>
    <v>98.65</v>
    <v>99.57</v>
    <v>99.46</v>
    <v>99.52</v>
    <v>100.37</v>
    <v>100.15</v>
    <v>100</v>
    <v>100.23</v>
    <v>101.23</v>
    <v>100.57</v>
    <v>100.88</v>
    <v>100.88</v>
    <v>101.22</v>
    <v>101.96</v>
    <v>101.32</v>
    <v>101.46</v>
    <v>102.06</v>
    <v>100.59</v>
    <v>102.52</v>
    <v>102.22</v>
    <v>102.33</v>
    <v>101.63</v>
    <v>102.52</v>
    <v>102.74</v>
    <v>102.95</v>
    <v>103.82</v>
    <v>104.25</v>
    <v>104.71</v>
    <v>104.93</v>
    <v>101.85</v>
    <v>103.01</v>
    <v>102.78</v>
    <v>103.04</v>
    <v>103.26</v>
    <v>103.57</v>
    <v>104.18</v>
    <v>104.2</v>
    <v>104.34</v>
    <v>104.84</v>
    <v>104.75</v>
    <v>104.73</v>
    <v>104.15</v>
    <v>104.55</v>
    <v>105.1</v>
    <v>105.04</v>
    <v>104.81</v>
    <v>105.59</v>
    <v>105.36</v>
    <v>104.6</v>
    <v>104.86</v>
    <v>103.71</v>
    <v>104.4</v>
    <v>105.26</v>
    <v>104.55</v>
    <v>105.19</v>
    <v>105.22</v>
    <v>105.79</v>
    <v>106.47</v>
    <v>106.51</v>
    <v>106.63</v>
    <v>105.76</v>
    <v>105.68</v>
    <v>106.87</v>
    <v>106.93</v>
    <v>107.19</v>
    <v>107.28</v>
    <v>107.08</v>
    <v>106.97</v>
    <v>107.08</v>
    <v>107.37</v>
    <v>107.23</v>
    <v>108.04</v>
    <v>108.41</v>
    <v>108.87</v>
    <v>109.24</v>
    <v>109.07</v>
    <v>110.01</v>
    <v>110.07</v>
    <v>107.92</v>
    <v>108.76</v>
    <v>108.22</v>
    <v>108.92</v>
    <v>108.83</v>
    <v>107.69</v>
    <v>109.51</v>
    <v>109.94</v>
    <v>109.31</v>
    <v>109.78</v>
    <v>110.59</v>
    <v>111.36</v>
    <v>111.56</v>
    <v>111.77</v>
    <v>111.93</v>
    <v>111.82</v>
    <v>111.95</v>
    <v>111.54</v>
    <v>111.75</v>
    <v>110.22</v>
    <v>108.73</v>
    <v>110.93</v>
    <v>111.34</v>
    <v>111.96</v>
    <v>110.52</v>
    <v>110.23</v>
    <v>109.77</v>
    <v>108.29</v>
    <v>108.58</v>
    <v>109.26</v>
    <v>108.13</v>
    <v>109.55</v>
    <v>109.79</v>
    <v>111.09</v>
    <v>111.01</v>
    <v>111.43</v>
    <v>111</v>
    <v>111.04</v>
    <v>111.03</v>
    <v>111.31</v>
    <v>111.7</v>
    <v>111.51</v>
    <v>111.62</v>
    <v>111.37</v>
    <v>110.96</v>
    <v>110.34</v>
    <v>110.48</v>
    <v>109.74</v>
    <v>109.25</v>
    <v>110.43</v>
    <v>110.95</v>
    <v>111.18</v>
    <v>111.4</v>
    <v>111.54</v>
    <v>111.81</v>
    <v>111.35</v>
    <v>112.71</v>
    <v>113.12</v>
    <v>113.46</v>
    <v>113.28</v>
    <v>114.2</v>
    <v>114.18</v>
    <v>114.32</v>
    <v>113.68</v>
    <v>114.95</v>
    <v>114.78</v>
    <v>113.12</v>
    <v>112.16</v>
    <v>112.27</v>
    <v>113.02</v>
    <v>112.76</v>
    <v>112.34</v>
    <v>112.2</v>
    <v>112.31</v>
    <v>111.41</v>
    <v>112.19</v>
    <v>113.44</v>
    <v>112.95</v>
    <v>112.7</v>
    <v>111.52</v>
    <v>112.63</v>
    <v>113.24</v>
    <v>113.44</v>
    <v>113.45</v>
    <v>112.38</v>
    <v>112.28</v>
    <v>112.04</v>
    <v>112.28</v>
    <v>113.52</v>
    <v>113.43</v>
    <v>113.71</v>
    <v>112.92</v>
    <v>113.4</v>
    <v>114.22</v>
    <v>114.04</v>
    <v>113.58</v>
    <v>113.89</v>
    <v>112.62</v>
    <v>113.87</v>
    <v>113.25</v>
    <v>111.99</v>
    <v>111.52</v>
    <v>113.01</v>
    <v>112.61</v>
    <v>112.03</v>
    <v>111.89</v>
    <v>112.16</v>
    <v>112.41</v>
    <v>111.7</v>
    <v>109.85</v>
    <v>108.74</v>
    <v>109.15</v>
    <v>109.25</v>
    <v>110.15</v>
    <v>108.99</v>
    <v>107.5</v>
    <v>108.23</v>
    <v>108.12</v>
    <v>110.34</v>
    <v>110.38</v>
    <v>109.74</v>
    <v>112.54</v>
    <v>112.7</v>
    <v>112.99</v>
    <v>112.96</v>
    <v>114.16</v>
    <v>114.65</v>
    <v>115.32</v>
    <v>116.68</v>
    <v>116.21</v>
    <v>116.1</v>
    <v>116.56</v>
    <v>116.98</v>
    <v>116.75</v>
    <v>116.62</v>
    <v>116.27</v>
    <v>116.34</v>
    <v>117.07</v>
    <v>117.45</v>
    <v>118.21</v>
    <v>119.58</v>
    <v>119.63</v>
    <v>119.51</v>
    <v>119.94</v>
    <v>119.18</v>
    <v>120.43</v>
    <v>121.99</v>
    <v>121.03</v>
    <v>120.39</v>
    <v>120.3</v>
    <v>121.35</v>
    <v>121.51</v>
    <v>122.82</v>
    <v>123.54</v>
    <v>123.13</v>
    <v>122.86</v>
    <v>123.16</v>
    <v>123.43</v>
    <v>123.76</v>
    <v>124.27</v>
    <v>123.9</v>
    <v>123.91</v>
    <v>123.34</v>
    <v>122.67</v>
    <v>120.88</v>
    <v>120.73</v>
    <v>120.89</v>
    <v>122.82</v>
    <v>124.26</v>
    <v>124.11</v>
    <v>124.17</v>
    <v>124.67</v>
    <v>124.82</v>
    <v>125.04</v>
    <v>123.92</v>
    <v>124.73</v>
    <v>124.08</v>
    <v>123.73</v>
    <v>123.88</v>
    <v>125.09</v>
    <v>125.89</v>
    <v>125.23</v>
    <v>125.72</v>
    <v>126.34</v>
    <v>125.4</v>
    <v>124.48</v>
    <v>125.72</v>
    <v>126.16</v>
    <v>126.33</v>
    <v>126.09</v>
    <v>126.29</v>
    <v>126.27</v>
    <v>124.86</v>
    <v>125.25</v>
    <v>125.74</v>
    <v>126.02</v>
    <v>124.45</v>
    <v>125.28</v>
    <v>124.78</v>
    <v>125.17</v>
    <v>124.32</v>
    <v>123.69</v>
    <v>124.23</v>
    <v>126.11</v>
    <v>127.8</v>
    <v>128.26</v>
    <v>128.09</v>
    <v>128.66999999999999</v>
    <v>128.75</v>
    <v>128.72</v>
    <v>128.80000000000001</v>
    <v>129.38</v>
    <v>128.86000000000001</v>
    <v>128.71</v>
    <v>127.44</v>
    <v>126.99</v>
    <v>126.18</v>
    <v>126.5</v>
    <v>126.23</v>
    <v>126.53</v>
    <v>126.68</v>
    <v>127.15</v>
    <v>128.21</v>
    <v>126.78</v>
    <v>126.58</v>
    <v>126.82</v>
    <v>127.84</v>
    <v>127.44</v>
    <v>127.33</v>
    <v>127.17</v>
    <v>126.03</v>
    <v>125.42</v>
    <v>126.64</v>
    <v>126.43</v>
    <v>125.8</v>
    <v>126.45</v>
    <v>127.41</v>
    <v>127.05</v>
    <v>128.6</v>
    <v>129.38</v>
    <v>129.12</v>
    <v>128.38</v>
    <v>128.91999999999999</v>
    <v>128.57</v>
    <v>128.69</v>
    <v>129.13999999999999</v>
    <v>128.81</v>
    <v>130.04</v>
    <v>131.18</v>
    <v>131.85</v>
    <v>131.47</v>
    <v>130.97999999999999</v>
    <v>131.66999999999999</v>
    <v>132.27000000000001</v>
    <v>131.74</v>
    <v>131.79</v>
    <v>130.72</v>
    <v>130.55000000000001</v>
    <v>130.69</v>
    <v>130.47</v>
    <v>131.19999999999999</v>
    <v>129.93</v>
    <v>129.88999999999999</v>
  </a>
  <a r="1" c="208">
    <v>98.41</v>
    <v>102.14</v>
    <v>102.64</v>
    <v>103.38</v>
    <v>101.24</v>
    <v>104.66</v>
    <v>105.16</v>
    <v>105.54</v>
    <v>103.88</v>
    <v>106.16</v>
    <v>106.22</v>
    <v>103</v>
    <v>102.92</v>
    <v>103.36</v>
    <v>104.22</v>
    <v>104.86</v>
    <v>104.64</v>
    <v>104.94</v>
    <v>104.42</v>
    <v>100.42</v>
    <v>101.32</v>
    <v>102.5</v>
    <v>98.01</v>
    <v>95.7</v>
    <v>96.33</v>
    <v>97.7</v>
    <v>98.61</v>
    <v>98.61</v>
    <v>96.89</v>
    <v>95.07</v>
    <v>96.82</v>
    <v>95.76</v>
    <v>96.55</v>
    <v>99.19</v>
    <v>98.65</v>
    <v>99.67</v>
    <v>98.76</v>
    <v>99.43</v>
    <v>100.98</v>
    <v>100.5</v>
    <v>100.62</v>
    <v>99.33</v>
    <v>96.34</v>
    <v>98.64</v>
    <v>98.71</v>
    <v>96.6</v>
    <v>96.81</v>
    <v>99.3</v>
    <v>99.12</v>
    <v>98.25</v>
    <v>98.19</v>
    <v>98.53</v>
    <v>98.58</v>
    <v>97.16</v>
    <v>94.56</v>
    <v>92.7</v>
    <v>93.67</v>
    <v>93.43</v>
    <v>94.78</v>
    <v>92.6</v>
    <v>90.71</v>
    <v>90.3</v>
    <v>90.98</v>
    <v>94.57</v>
    <v>93.6</v>
    <v>91.78</v>
    <v>97.51</v>
    <v>96.31</v>
    <v>97.8</v>
    <v>97.88</v>
    <v>99.68</v>
    <v>99.43</v>
    <v>100.78</v>
    <v>103.88</v>
    <v>102.7</v>
    <v>102.86</v>
    <v>103.22</v>
    <v>102.56</v>
    <v>104.06</v>
    <v>102.72</v>
    <v>100.9</v>
    <v>101.86</v>
    <v>103.74</v>
    <v>103.18</v>
    <v>105.58</v>
    <v>107.9</v>
    <v>107.6</v>
    <v>108.18</v>
    <v>107.5</v>
    <v>104.48</v>
    <v>107.02</v>
    <v>109.76</v>
    <v>107.92</v>
    <v>107.64</v>
    <v>108.36</v>
    <v>111.38</v>
    <v>110.3</v>
    <v>113.76</v>
    <v>116.02</v>
    <v>115.06</v>
    <v>114.14</v>
    <v>115.16</v>
    <v>115.78</v>
    <v>117.88</v>
    <v>121.94</v>
    <v>120.92</v>
    <v>122.08</v>
    <v>118.46</v>
    <v>120.1</v>
    <v>118.72</v>
    <v>118.16</v>
    <v>118.84</v>
    <v>121.58</v>
    <v>122.5</v>
    <v>120.3</v>
    <v>122.04</v>
    <v>122.74</v>
    <v>122.04</v>
    <v>122.56</v>
    <v>118.08</v>
    <v>117.68</v>
    <v>118.68</v>
    <v>117.16</v>
    <v>118.78</v>
    <v>121.66</v>
    <v>120.34</v>
    <v>117.62</v>
    <v>119.36</v>
    <v>119.64</v>
    <v>115.38</v>
    <v>114.26</v>
    <v>117.4</v>
    <v>116.56</v>
    <v>115.78</v>
    <v>115.98</v>
    <v>115.42</v>
    <v>115.48</v>
    <v>112.5</v>
    <v>112.82</v>
    <v>115.06</v>
    <v>114.52</v>
    <v>111.62</v>
    <v>113.42</v>
    <v>111.44</v>
    <v>111.18</v>
    <v>110.76</v>
    <v>112.5</v>
    <v>112.82</v>
    <v>114.46</v>
    <v>117.62</v>
    <v>117.08</v>
    <v>117.64</v>
    <v>119.96</v>
    <v>120.42</v>
    <v>121.82</v>
    <v>120.76</v>
    <v>121.12</v>
    <v>121.34</v>
    <v>122.02</v>
    <v>118.76</v>
    <v>117.96</v>
    <v>117.94</v>
    <v>118.54</v>
    <v>117.74</v>
    <v>117.9</v>
    <v>116.96</v>
    <v>119.04</v>
    <v>119.6</v>
    <v>117.74</v>
    <v>115.54</v>
    <v>115.32</v>
    <v>115.78</v>
    <v>117.36</v>
    <v>118.54</v>
    <v>117.8</v>
    <v>115.82</v>
    <v>114.42</v>
    <v>115.42</v>
    <v>112.96</v>
    <v>112.4</v>
    <v>113.12</v>
    <v>114.3</v>
    <v>114.56</v>
    <v>116.68</v>
    <v>118.62</v>
    <v>118.44</v>
    <v>116.54</v>
    <v>117.5</v>
    <v>117.38</v>
    <v>120.14</v>
    <v>120.02</v>
    <v>120.8</v>
    <v>123.84</v>
    <v>124.38</v>
    <v>124.72</v>
    <v>122.24</v>
    <v>121.76</v>
    <v>122.52</v>
    <v>122.04</v>
    <v>120.16</v>
    <v>120.32</v>
    <v>118.34</v>
    <v>118.36</v>
    <v>119.24</v>
    <v>118.26</v>
    <v>120.62</v>
    <v>118.32</v>
    <v>117.2</v>
  </a>
  <a r="1" c="254">
    <v>99.87</v>
    <v>100.14</v>
    <v>101.28</v>
    <v>100.86</v>
    <v>100.38</v>
    <v>101.32</v>
    <v>100.26</v>
    <v>100.88</v>
    <v>99.99</v>
    <v>99.79</v>
    <v>97.91</v>
    <v>95.99</v>
    <v>97.45</v>
    <v>97.9</v>
    <v>98.19</v>
    <v>97.63</v>
    <v>96.34</v>
    <v>95.23</v>
    <v>93.49</v>
    <v>94.12</v>
    <v>94.32</v>
    <v>91.88</v>
    <v>93.15</v>
    <v>93.11</v>
    <v>95.07</v>
    <v>94.72</v>
    <v>95.3</v>
    <v>95.66</v>
    <v>95.73</v>
    <v>97.08</v>
    <v>97.57</v>
    <v>97.93</v>
    <v>98.03</v>
    <v>97.64</v>
    <v>97.33</v>
    <v>97.33</v>
    <v>96.37</v>
    <v>96.8</v>
    <v>95.47</v>
    <v>93.84</v>
    <v>95.14</v>
    <v>95.49</v>
    <v>95.39</v>
    <v>95.45</v>
    <v>95.7</v>
    <v>96.59</v>
    <v>98.41</v>
    <v>102.14</v>
    <v>102.64</v>
    <v>103.38</v>
    <v>101.24</v>
    <v>104.66</v>
    <v>105.16</v>
    <v>105.54</v>
    <v>103.88</v>
    <v>106.16</v>
    <v>106.22</v>
    <v>103</v>
    <v>102.92</v>
    <v>103.36</v>
    <v>104.22</v>
    <v>104.86</v>
    <v>104.64</v>
    <v>104.94</v>
    <v>104.42</v>
    <v>100.42</v>
    <v>101.32</v>
    <v>102.5</v>
    <v>98.01</v>
    <v>95.7</v>
    <v>96.33</v>
    <v>97.7</v>
    <v>98.61</v>
    <v>98.61</v>
    <v>96.89</v>
    <v>95.07</v>
    <v>96.82</v>
    <v>95.76</v>
    <v>96.55</v>
    <v>99.19</v>
    <v>98.65</v>
    <v>99.67</v>
    <v>98.76</v>
    <v>99.43</v>
    <v>100.98</v>
    <v>100.5</v>
    <v>100.62</v>
    <v>99.33</v>
    <v>96.34</v>
    <v>98.64</v>
    <v>98.71</v>
    <v>96.6</v>
    <v>96.81</v>
    <v>99.3</v>
    <v>99.12</v>
    <v>98.25</v>
    <v>98.19</v>
    <v>98.53</v>
    <v>98.58</v>
    <v>97.16</v>
    <v>94.56</v>
    <v>92.7</v>
    <v>93.67</v>
    <v>93.43</v>
    <v>94.78</v>
    <v>92.6</v>
    <v>90.71</v>
    <v>90.3</v>
    <v>90.98</v>
    <v>94.57</v>
    <v>93.6</v>
    <v>91.78</v>
    <v>97.51</v>
    <v>96.31</v>
    <v>97.8</v>
    <v>97.88</v>
    <v>99.68</v>
    <v>99.43</v>
    <v>100.78</v>
    <v>103.88</v>
    <v>102.7</v>
    <v>102.86</v>
    <v>103.22</v>
    <v>102.56</v>
    <v>104.06</v>
    <v>102.72</v>
    <v>100.9</v>
    <v>101.86</v>
    <v>103.74</v>
    <v>103.18</v>
    <v>105.58</v>
    <v>107.9</v>
    <v>107.6</v>
    <v>108.18</v>
    <v>107.5</v>
    <v>104.48</v>
    <v>107.02</v>
    <v>109.76</v>
    <v>107.92</v>
    <v>107.64</v>
    <v>108.36</v>
    <v>111.38</v>
    <v>110.3</v>
    <v>113.76</v>
    <v>116.02</v>
    <v>115.06</v>
    <v>114.14</v>
    <v>115.16</v>
    <v>115.78</v>
    <v>117.88</v>
    <v>121.94</v>
    <v>120.92</v>
    <v>122.08</v>
    <v>118.46</v>
    <v>120.1</v>
    <v>118.72</v>
    <v>118.16</v>
    <v>118.84</v>
    <v>121.58</v>
    <v>122.5</v>
    <v>120.3</v>
    <v>122.04</v>
    <v>122.74</v>
    <v>122.04</v>
    <v>122.56</v>
    <v>118.08</v>
    <v>117.68</v>
    <v>118.68</v>
    <v>117.16</v>
    <v>118.78</v>
    <v>121.66</v>
    <v>120.34</v>
    <v>117.62</v>
    <v>119.36</v>
    <v>119.64</v>
    <v>115.38</v>
    <v>114.26</v>
    <v>117.4</v>
    <v>116.56</v>
    <v>115.78</v>
    <v>115.98</v>
    <v>115.42</v>
    <v>115.48</v>
    <v>112.5</v>
    <v>112.82</v>
    <v>115.06</v>
    <v>114.52</v>
    <v>111.62</v>
    <v>113.42</v>
    <v>111.44</v>
    <v>111.18</v>
    <v>110.76</v>
    <v>112.5</v>
    <v>112.82</v>
    <v>114.46</v>
    <v>117.62</v>
    <v>117.08</v>
    <v>117.64</v>
    <v>119.96</v>
    <v>120.42</v>
    <v>121.82</v>
    <v>120.76</v>
    <v>121.12</v>
    <v>121.34</v>
    <v>122.02</v>
    <v>118.76</v>
    <v>117.96</v>
    <v>117.94</v>
    <v>118.54</v>
    <v>117.74</v>
    <v>117.9</v>
    <v>116.96</v>
    <v>119.04</v>
    <v>119.6</v>
    <v>117.74</v>
    <v>115.54</v>
    <v>115.32</v>
    <v>115.78</v>
    <v>117.36</v>
    <v>118.54</v>
    <v>117.8</v>
    <v>115.82</v>
    <v>114.42</v>
    <v>115.42</v>
    <v>112.96</v>
    <v>112.4</v>
    <v>113.12</v>
    <v>114.3</v>
    <v>114.56</v>
    <v>116.68</v>
    <v>118.62</v>
    <v>118.44</v>
    <v>116.54</v>
    <v>117.5</v>
    <v>117.38</v>
    <v>120.14</v>
    <v>120.02</v>
    <v>120.8</v>
    <v>123.84</v>
    <v>124.38</v>
    <v>124.72</v>
    <v>122.24</v>
    <v>121.76</v>
    <v>122.52</v>
    <v>122.04</v>
    <v>120.16</v>
    <v>120.32</v>
    <v>118.34</v>
    <v>118.36</v>
    <v>119.24</v>
    <v>118.26</v>
    <v>120.62</v>
    <v>118.32</v>
    <v>117.2</v>
  </a>
  <a r="1" c="761">
    <v>71.739999999999995</v>
    <v>72.52</v>
    <v>72.709999999999994</v>
    <v>72.88</v>
    <v>72.569999999999993</v>
    <v>71.849999999999994</v>
    <v>72.900000000000006</v>
    <v>73.650000000000006</v>
    <v>75.73</v>
    <v>76.48</v>
    <v>76.06</v>
    <v>77.19</v>
    <v>77.37</v>
    <v>78.31</v>
    <v>78.05</v>
    <v>78.69</v>
    <v>80.260000000000005</v>
    <v>81.87</v>
    <v>81.400000000000006</v>
    <v>81.819999999999993</v>
    <v>82.4</v>
    <v>81.83</v>
    <v>82.76</v>
    <v>82.9</v>
    <v>82.81</v>
    <v>82.6</v>
    <v>82.58</v>
    <v>83.88</v>
    <v>83.75</v>
    <v>84.78</v>
    <v>84.02</v>
    <v>84.84</v>
    <v>85.72</v>
    <v>85.42</v>
    <v>86.25</v>
    <v>86.67</v>
    <v>87.12</v>
    <v>87</v>
    <v>87.84</v>
    <v>88.88</v>
    <v>87.09</v>
    <v>87.47</v>
    <v>87.17</v>
    <v>87.07</v>
    <v>86.35</v>
    <v>87.1</v>
    <v>86.91</v>
    <v>86.67</v>
    <v>85.23</v>
    <v>83.55</v>
    <v>83.22</v>
    <v>82.99</v>
    <v>83.92</v>
    <v>83.85</v>
    <v>83.82</v>
    <v>83.52</v>
    <v>84.42</v>
    <v>84.03</v>
    <v>84.14</v>
    <v>83.53</v>
    <v>86.01</v>
    <v>86.57</v>
    <v>88.34</v>
    <v>88.39</v>
    <v>92.66</v>
    <v>94.31</v>
    <v>93.66</v>
    <v>93.68</v>
    <v>93.92</v>
    <v>93.33</v>
    <v>93.57</v>
    <v>93.79</v>
    <v>94.42</v>
    <v>95.15</v>
    <v>95.88</v>
    <v>96.57</v>
    <v>97.93</v>
    <v>97.88</v>
    <v>95.41</v>
    <v>96.33</v>
    <v>96.65</v>
    <v>97.4</v>
    <v>96.61</v>
    <v>94.84</v>
    <v>94.66</v>
    <v>97.7</v>
    <v>97.35</v>
    <v>97.69</v>
    <v>98.67</v>
    <v>97.4</v>
    <v>97.15</v>
    <v>98.68</v>
    <v>99.38</v>
    <v>97.78</v>
    <v>99</v>
    <v>101.28</v>
    <v>99.67</v>
    <v>97.48</v>
    <v>99.21</v>
    <v>98.43</v>
    <v>97.88</v>
    <v>96.16</v>
    <v>96.44</v>
    <v>95.95</v>
    <v>96.06</v>
    <v>99.01</v>
    <v>98.31</v>
    <v>98.26</v>
    <v>98.4</v>
    <v>98.01</v>
    <v>97.64</v>
    <v>96.91</v>
    <v>97.58</v>
    <v>97.66</v>
    <v>97.35</v>
    <v>97.98</v>
    <v>96.98</v>
    <v>97.39</v>
    <v>97.1</v>
    <v>96.45</v>
    <v>96.82</v>
    <v>95.98</v>
    <v>93.35</v>
    <v>92.69</v>
    <v>90.94</v>
    <v>91.07</v>
    <v>93.47</v>
    <v>94.6</v>
    <v>93.62</v>
    <v>95.42</v>
    <v>94.67</v>
    <v>93.41</v>
    <v>92.39</v>
    <v>93.96</v>
    <v>94.93</v>
    <v>96.64</v>
    <v>96.46</v>
    <v>97.13</v>
    <v>97.93</v>
    <v>97.6</v>
    <v>97.85</v>
    <v>98.91</v>
    <v>99.13</v>
    <v>98.63</v>
    <v>99.46</v>
    <v>98.85</v>
    <v>99.55</v>
    <v>100.56</v>
    <v>100.3</v>
    <v>100.46</v>
    <v>100.3</v>
    <v>99.21</v>
    <v>98.24</v>
    <v>97.03</v>
    <v>97.8</v>
    <v>97.75</v>
    <v>101.26</v>
    <v>102.46</v>
    <v>102.94</v>
    <v>102.82</v>
    <v>102.22</v>
    <v>104.58</v>
    <v>102.82</v>
    <v>101.04</v>
    <v>101.62</v>
    <v>102.32</v>
    <v>101.22</v>
    <v>102.98</v>
    <v>101.58</v>
    <v>100.94</v>
    <v>101.04</v>
    <v>101.42</v>
    <v>101.46</v>
    <v>101.82</v>
    <v>101</v>
    <v>101.44</v>
    <v>103.24</v>
    <v>103.2</v>
    <v>103.78</v>
    <v>103.8</v>
    <v>102.2</v>
    <v>103.14</v>
    <v>103.1</v>
    <v>104.58</v>
    <v>103.56</v>
    <v>102.88</v>
    <v>98.21</v>
    <v>96.37</v>
    <v>95.45</v>
    <v>97.06</v>
    <v>98.39</v>
    <v>96.06</v>
    <v>93.55</v>
    <v>94.08</v>
    <v>93.41</v>
    <v>93.45</v>
    <v>95.82</v>
    <v>93.96</v>
    <v>88.38</v>
    <v>87.4</v>
    <v>88.78</v>
    <v>90.61</v>
    <v>90.41</v>
    <v>90.38</v>
    <v>90.59</v>
    <v>91.17</v>
    <v>91.39</v>
    <v>94.09</v>
    <v>94.32</v>
    <v>94.23</v>
    <v>94.95</v>
    <v>94.65</v>
    <v>93.99</v>
    <v>92.99</v>
    <v>93.2</v>
    <v>93.24</v>
    <v>95.09</v>
    <v>94.82</v>
    <v>95.2</v>
    <v>92.94</v>
    <v>89.94</v>
    <v>89.04</v>
    <v>86.93</v>
    <v>87.29</v>
    <v>87.21</v>
    <v>88.28</v>
    <v>90.12</v>
    <v>91.08</v>
    <v>90.09</v>
    <v>90.97</v>
    <v>90.37</v>
    <v>93.43</v>
    <v>90.88</v>
    <v>91.26</v>
    <v>92.05</v>
    <v>92.18</v>
    <v>94.98</v>
    <v>96.08</v>
    <v>94.8</v>
    <v>94.09</v>
    <v>95.06</v>
    <v>94.11</v>
    <v>94.52</v>
    <v>93.85</v>
    <v>93.68</v>
    <v>94.92</v>
    <v>94.03</v>
    <v>94.61</v>
    <v>96.28</v>
    <v>90.62</v>
    <v>88.66</v>
    <v>88.89</v>
    <v>90.75</v>
    <v>89.69</v>
    <v>90.47</v>
    <v>90.32</v>
    <v>90.56</v>
    <v>90.79</v>
    <v>90.97</v>
    <v>91.16</v>
    <v>88.99</v>
    <v>86.94</v>
    <v>88.1</v>
    <v>87.07</v>
    <v>87.74</v>
    <v>86.47</v>
    <v>88.38</v>
    <v>88.01</v>
    <v>88.73</v>
    <v>88.7</v>
    <v>87.62</v>
    <v>90.27</v>
    <v>87.83</v>
    <v>87.47</v>
    <v>87.14</v>
    <v>87.11</v>
    <v>87.99</v>
    <v>88.97</v>
    <v>89.71</v>
    <v>89.15</v>
    <v>87.84</v>
    <v>88.65</v>
    <v>90.29</v>
    <v>91.19</v>
    <v>92</v>
    <v>93.59</v>
    <v>94.06</v>
    <v>94.41</v>
    <v>94.88</v>
    <v>94.06</v>
    <v>94.66</v>
    <v>94.85</v>
    <v>94.52</v>
    <v>94.35</v>
    <v>94.83</v>
    <v>95.82</v>
    <v>93.57</v>
    <v>93.34</v>
    <v>93.16</v>
    <v>93.25</v>
    <v>92.44</v>
    <v>93.99</v>
    <v>92.98</v>
    <v>96.59</v>
    <v>96.92</v>
    <v>95.64</v>
    <v>95.69</v>
    <v>95.08</v>
    <v>93.87</v>
    <v>94.29</v>
    <v>95.44</v>
    <v>97.44</v>
    <v>97.79</v>
    <v>98.35</v>
    <v>97.78</v>
    <v>99.04</v>
    <v>97.7</v>
    <v>97.34</v>
    <v>94.08</v>
    <v>94.43</v>
    <v>96.68</v>
    <v>97.72</v>
    <v>99.23</v>
    <v>97.87</v>
    <v>99.57</v>
    <v>99.52</v>
    <v>100.7</v>
    <v>99.72</v>
    <v>100.98</v>
    <v>101.76</v>
    <v>101.76</v>
    <v>103.36</v>
    <v>103.36</v>
    <v>103.98</v>
    <v>102.84</v>
    <v>102.44</v>
    <v>102.22</v>
    <v>102.6</v>
    <v>101.82</v>
    <v>100.16</v>
    <v>101.38</v>
    <v>99.24</v>
    <v>97.49</v>
    <v>99.24</v>
    <v>95.44</v>
    <v>97.74</v>
    <v>98.27</v>
    <v>96.94</v>
    <v>93.97</v>
    <v>92.29</v>
    <v>93.31</v>
    <v>92.58</v>
    <v>94.41</v>
    <v>95.09</v>
    <v>95.7</v>
    <v>96.62</v>
    <v>95.86</v>
    <v>94.92</v>
    <v>96.15</v>
    <v>96.63</v>
    <v>94.74</v>
    <v>93.61</v>
    <v>91.86</v>
    <v>90.18</v>
    <v>91.66</v>
    <v>91.29</v>
    <v>87.31</v>
    <v>84.3</v>
    <v>80.22</v>
    <v>82.67</v>
    <v>79.7</v>
    <v>83.23</v>
    <v>82.58</v>
    <v>84.6</v>
    <v>86.76</v>
    <v>85</v>
    <v>84.07</v>
    <v>83.48</v>
    <v>86.88</v>
    <v>87.73</v>
    <v>88.29</v>
    <v>88.27</v>
    <v>88.9</v>
    <v>88.96</v>
    <v>92.21</v>
    <v>92.29</v>
    <v>91.66</v>
    <v>91.65</v>
    <v>93.19</v>
    <v>93.37</v>
    <v>96.49</v>
    <v>97.81</v>
    <v>97.91</v>
    <v>98.08</v>
    <v>97.48</v>
    <v>97.06</v>
    <v>96.96</v>
    <v>97.56</v>
    <v>96.83</v>
    <v>95.38</v>
    <v>96.51</v>
    <v>97.56</v>
    <v>96.99</v>
    <v>96.75</v>
    <v>96.17</v>
    <v>95.39</v>
    <v>96.16</v>
    <v>97.37</v>
    <v>97.74</v>
    <v>98.74</v>
    <v>98.74</v>
    <v>99.14</v>
    <v>98.4</v>
    <v>97.88</v>
    <v>96.32</v>
    <v>97.24</v>
    <v>96.45</v>
    <v>95.81</v>
    <v>94.44</v>
    <v>94.45</v>
    <v>95.19</v>
    <v>97.02</v>
    <v>96.47</v>
    <v>95.96</v>
    <v>97.23</v>
    <v>97.14</v>
    <v>96.31</v>
    <v>95.89</v>
    <v>97.11</v>
    <v>96.18</v>
    <v>97.35</v>
    <v>98.37</v>
    <v>98.6</v>
    <v>99.26</v>
    <v>98.18</v>
    <v>97.8</v>
    <v>98.61</v>
    <v>96.87</v>
    <v>98.56</v>
    <v>97.93</v>
    <v>97.63</v>
    <v>96.05</v>
    <v>95.13</v>
    <v>94.17</v>
    <v>93.75</v>
    <v>94.22</v>
    <v>94.56</v>
    <v>95.12</v>
    <v>94.16</v>
    <v>91.74</v>
    <v>92.21</v>
    <v>92.35</v>
    <v>91.81</v>
    <v>93.38</v>
    <v>93.05</v>
    <v>93.01</v>
    <v>91.15</v>
    <v>92.26</v>
    <v>92.47</v>
    <v>92.01</v>
    <v>92.35</v>
    <v>91.89</v>
    <v>91.39</v>
    <v>92.22</v>
    <v>92.13</v>
    <v>91.82</v>
    <v>92.48</v>
    <v>92.42</v>
    <v>90.72</v>
    <v>90.76</v>
    <v>88.23</v>
    <v>88.96</v>
    <v>90.07</v>
    <v>90.15</v>
    <v>91.31</v>
    <v>91.43</v>
    <v>89.9</v>
    <v>89.85</v>
    <v>90.18</v>
    <v>90.97</v>
    <v>90.41</v>
    <v>91.72</v>
    <v>95.48</v>
    <v>94.69</v>
    <v>95.34</v>
    <v>95.94</v>
    <v>95.69</v>
    <v>95.19</v>
    <v>95.1</v>
    <v>96.34</v>
    <v>96.9</v>
    <v>97.54</v>
    <v>99.95</v>
    <v>99.86</v>
    <v>100.86</v>
    <v>99.93</v>
    <v>99.25</v>
    <v>98.86</v>
    <v>95.96</v>
    <v>97.44</v>
    <v>97.26</v>
    <v>98.8</v>
    <v>99.02</v>
    <v>98.06</v>
    <v>100.6</v>
    <v>101.04</v>
    <v>99.75</v>
    <v>99.87</v>
    <v>100.14</v>
    <v>101.28</v>
    <v>100.86</v>
    <v>100.38</v>
    <v>101.32</v>
    <v>100.26</v>
    <v>100.88</v>
    <v>99.99</v>
    <v>99.79</v>
    <v>97.91</v>
    <v>95.99</v>
    <v>97.45</v>
    <v>97.9</v>
    <v>98.19</v>
    <v>97.63</v>
    <v>96.34</v>
    <v>95.23</v>
    <v>93.49</v>
    <v>94.12</v>
    <v>94.32</v>
    <v>91.88</v>
    <v>93.15</v>
    <v>93.11</v>
    <v>95.07</v>
    <v>94.72</v>
    <v>95.3</v>
    <v>95.66</v>
    <v>95.73</v>
    <v>97.08</v>
    <v>97.57</v>
    <v>97.93</v>
    <v>98.03</v>
    <v>97.64</v>
    <v>97.33</v>
    <v>97.33</v>
    <v>96.37</v>
    <v>96.8</v>
    <v>95.47</v>
    <v>93.84</v>
    <v>95.14</v>
    <v>95.49</v>
    <v>95.39</v>
    <v>95.45</v>
    <v>95.7</v>
    <v>96.59</v>
    <v>98.41</v>
    <v>102.14</v>
    <v>102.64</v>
    <v>103.38</v>
    <v>101.24</v>
    <v>104.66</v>
    <v>105.16</v>
    <v>105.54</v>
    <v>103.88</v>
    <v>106.16</v>
    <v>106.22</v>
    <v>103</v>
    <v>102.92</v>
    <v>103.36</v>
    <v>104.22</v>
    <v>104.86</v>
    <v>104.64</v>
    <v>104.94</v>
    <v>104.42</v>
    <v>100.42</v>
    <v>101.32</v>
    <v>102.5</v>
    <v>98.01</v>
    <v>95.7</v>
    <v>96.33</v>
    <v>97.7</v>
    <v>98.61</v>
    <v>98.61</v>
    <v>96.89</v>
    <v>95.07</v>
    <v>96.82</v>
    <v>95.76</v>
    <v>96.55</v>
    <v>99.19</v>
    <v>98.65</v>
    <v>99.67</v>
    <v>98.76</v>
    <v>99.43</v>
    <v>100.98</v>
    <v>100.5</v>
    <v>100.62</v>
    <v>99.33</v>
    <v>96.34</v>
    <v>98.64</v>
    <v>98.71</v>
    <v>96.6</v>
    <v>96.81</v>
    <v>99.3</v>
    <v>99.12</v>
    <v>98.25</v>
    <v>98.19</v>
    <v>98.53</v>
    <v>98.58</v>
    <v>97.16</v>
    <v>94.56</v>
    <v>92.7</v>
    <v>93.67</v>
    <v>93.43</v>
    <v>94.78</v>
    <v>92.6</v>
    <v>90.71</v>
    <v>90.3</v>
    <v>90.98</v>
    <v>94.57</v>
    <v>93.6</v>
    <v>91.78</v>
    <v>97.51</v>
    <v>96.31</v>
    <v>97.8</v>
    <v>97.88</v>
    <v>99.68</v>
    <v>99.43</v>
    <v>100.78</v>
    <v>103.88</v>
    <v>102.7</v>
    <v>102.86</v>
    <v>103.22</v>
    <v>102.56</v>
    <v>104.06</v>
    <v>102.72</v>
    <v>100.9</v>
    <v>101.86</v>
    <v>103.74</v>
    <v>103.18</v>
    <v>105.58</v>
    <v>107.9</v>
    <v>107.6</v>
    <v>108.18</v>
    <v>107.5</v>
    <v>104.48</v>
    <v>107.02</v>
    <v>109.76</v>
    <v>107.92</v>
    <v>107.64</v>
    <v>108.36</v>
    <v>111.38</v>
    <v>110.3</v>
    <v>113.76</v>
    <v>116.02</v>
    <v>115.06</v>
    <v>114.14</v>
    <v>115.16</v>
    <v>115.78</v>
    <v>117.88</v>
    <v>121.94</v>
    <v>120.92</v>
    <v>122.08</v>
    <v>118.46</v>
    <v>120.1</v>
    <v>118.72</v>
    <v>118.16</v>
    <v>118.84</v>
    <v>121.58</v>
    <v>122.5</v>
    <v>120.3</v>
    <v>122.04</v>
    <v>122.74</v>
    <v>122.04</v>
    <v>122.56</v>
    <v>118.08</v>
    <v>117.68</v>
    <v>118.68</v>
    <v>117.16</v>
    <v>118.78</v>
    <v>121.66</v>
    <v>120.34</v>
    <v>117.62</v>
    <v>119.36</v>
    <v>119.64</v>
    <v>115.38</v>
    <v>114.26</v>
    <v>117.4</v>
    <v>116.56</v>
    <v>115.78</v>
    <v>115.98</v>
    <v>115.42</v>
    <v>115.48</v>
    <v>112.5</v>
    <v>112.82</v>
    <v>115.06</v>
    <v>114.52</v>
    <v>111.62</v>
    <v>113.42</v>
    <v>111.44</v>
    <v>111.18</v>
    <v>110.76</v>
    <v>112.5</v>
    <v>112.82</v>
    <v>114.46</v>
    <v>117.62</v>
    <v>117.08</v>
    <v>117.64</v>
    <v>119.96</v>
    <v>120.42</v>
    <v>121.82</v>
    <v>120.76</v>
    <v>121.12</v>
    <v>121.34</v>
    <v>122.02</v>
    <v>118.76</v>
    <v>117.96</v>
    <v>117.94</v>
    <v>118.54</v>
    <v>117.74</v>
    <v>117.9</v>
    <v>116.96</v>
    <v>119.04</v>
    <v>119.6</v>
    <v>117.74</v>
    <v>115.54</v>
    <v>115.32</v>
    <v>115.78</v>
    <v>117.36</v>
    <v>118.54</v>
    <v>117.8</v>
    <v>115.82</v>
    <v>114.42</v>
    <v>115.42</v>
    <v>112.96</v>
    <v>112.4</v>
    <v>113.12</v>
    <v>114.3</v>
    <v>114.56</v>
    <v>116.68</v>
    <v>118.62</v>
    <v>118.44</v>
    <v>116.54</v>
    <v>117.5</v>
    <v>117.38</v>
    <v>120.14</v>
    <v>120.02</v>
    <v>120.8</v>
    <v>123.84</v>
    <v>124.38</v>
    <v>124.72</v>
    <v>122.24</v>
    <v>121.76</v>
    <v>122.52</v>
    <v>122.04</v>
    <v>120.16</v>
    <v>120.32</v>
    <v>118.34</v>
    <v>118.36</v>
    <v>119.24</v>
    <v>118.26</v>
    <v>120.62</v>
    <v>118.32</v>
    <v>117.2</v>
  </a>
  <a r="1" c="254">
    <v>127.56</v>
    <v>127.49</v>
    <v>127.52</v>
    <v>127.46</v>
    <v>127.5</v>
    <v>127.48</v>
    <v>127.47</v>
    <v>127.52</v>
    <v>127.5</v>
    <v>127.5</v>
    <v>127.47</v>
    <v>127.49</v>
    <v>127.48</v>
    <v>127.5</v>
    <v>127.57</v>
    <v>127.51</v>
    <v>127.48</v>
    <v>127.44</v>
    <v>127.45</v>
    <v>127.53</v>
    <v>127.56</v>
    <v>127.56</v>
    <v>127.58</v>
    <v>127.56</v>
    <v>127.59</v>
    <v>127.63</v>
    <v>127.61</v>
    <v>127.54</v>
    <v>127.57</v>
    <v>127.59</v>
    <v>127.56</v>
    <v>127.5</v>
    <v>127.34</v>
    <v>127.37</v>
    <v>127.3</v>
    <v>127.42</v>
    <v>127.42</v>
    <v>127.43</v>
    <v>127.5</v>
    <v>127.5</v>
    <v>127.55</v>
    <v>127.48</v>
    <v>127.41</v>
    <v>127.55</v>
    <v>127.73</v>
    <v>127.61</v>
    <v>127.61</v>
    <v>127.63</v>
    <v>127.72</v>
    <v>127.78</v>
    <v>127.74</v>
    <v>127.8</v>
    <v>127.84</v>
    <v>127.83</v>
    <v>127.84</v>
    <v>127.87</v>
    <v>127.86</v>
    <v>127.91</v>
    <v>127.9</v>
    <v>127.86</v>
    <v>127.86</v>
    <v>127.83</v>
    <v>127.93</v>
    <v>127.87</v>
    <v>127.96</v>
    <v>127.98</v>
    <v>128.06</v>
    <v>128.01</v>
    <v>127.95</v>
    <v>128.07</v>
    <v>128.09</v>
    <v>128.06</v>
    <v>128.13999999999999</v>
    <v>128.09</v>
    <v>128.13999999999999</v>
    <v>128.19</v>
    <v>128.25</v>
    <v>128.24</v>
    <v>128.22999999999999</v>
    <v>128.26</v>
    <v>128.28</v>
    <v>128.22999999999999</v>
    <v>128.30000000000001</v>
    <v>128.30000000000001</v>
    <v>128.33000000000001</v>
    <v>128.35</v>
    <v>128.43</v>
    <v>128.22999999999999</v>
    <v>127.97</v>
    <v>128.09</v>
    <v>127.85</v>
    <v>127.7</v>
    <v>127.57</v>
    <v>127.82</v>
    <v>127.48</v>
    <v>127.43</v>
    <v>127.41</v>
    <v>127.49</v>
    <v>127.53</v>
    <v>127.4</v>
    <v>127.13</v>
    <v>126.83</v>
    <v>127.05</v>
    <v>126.96</v>
    <v>127</v>
    <v>126.77</v>
    <v>126.91</v>
    <v>127.05</v>
    <v>127.08</v>
    <v>127.2</v>
    <v>127.22</v>
    <v>126.9</v>
    <v>127.5</v>
    <v>127.45</v>
    <v>127.3</v>
    <v>127.19</v>
    <v>127.43</v>
    <v>127.5</v>
    <v>127.55</v>
    <v>127.82</v>
    <v>127.65</v>
    <v>127.57</v>
    <v>127.47</v>
    <v>127.57</v>
    <v>127.53</v>
    <v>127.49</v>
    <v>127.38</v>
    <v>127.2</v>
    <v>127.47</v>
    <v>127.22</v>
    <v>127.41</v>
    <v>127.66</v>
    <v>127.64</v>
    <v>127.64</v>
    <v>127.53</v>
    <v>127.4</v>
    <v>127.33</v>
    <v>127.48</v>
    <v>127.34</v>
    <v>127.4</v>
    <v>127.34</v>
    <v>127.6</v>
    <v>127.56</v>
    <v>127.65</v>
    <v>128</v>
    <v>127.74</v>
    <v>127.77</v>
    <v>127.85</v>
    <v>127.9</v>
    <v>127.7</v>
    <v>127.77</v>
    <v>127.67</v>
    <v>127.64</v>
    <v>127.58</v>
    <v>127.56</v>
    <v>127.66</v>
    <v>127.61</v>
    <v>127.7</v>
    <v>127.86</v>
    <v>127.96</v>
    <v>127.99</v>
    <v>128.01</v>
    <v>127.95</v>
    <v>127.89</v>
    <v>127.96</v>
    <v>128.05000000000001</v>
    <v>128.1</v>
    <v>128.22</v>
    <v>128.21</v>
    <v>128.15</v>
    <v>128.16999999999999</v>
    <v>128.22999999999999</v>
    <v>128.30000000000001</v>
    <v>128.22999999999999</v>
    <v>128.22999999999999</v>
    <v>128.11000000000001</v>
    <v>127.85</v>
    <v>127.97</v>
    <v>128.05000000000001</v>
    <v>127.88</v>
    <v>127.82</v>
    <v>127.87</v>
    <v>127.83</v>
    <v>127.77</v>
    <v>127.76</v>
    <v>127.73</v>
    <v>127.68</v>
    <v>127.59</v>
    <v>127.73</v>
    <v>127.83</v>
    <v>127.97</v>
    <v>127.84</v>
    <v>127.94</v>
    <v>127.86</v>
    <v>128.01</v>
    <v>128.13</v>
    <v>128.12</v>
    <v>128.1</v>
    <v>128.13999999999999</v>
    <v>127.98</v>
    <v>128.01</v>
    <v>128.04</v>
    <v>128.08000000000001</v>
    <v>128.01</v>
    <v>128</v>
    <v>127.88</v>
    <v>127.89</v>
    <v>127.94</v>
    <v>127.96</v>
    <v>127.93</v>
    <v>128.07</v>
    <v>128.06</v>
    <v>128.02000000000001</v>
    <v>127.93</v>
    <v>127.88</v>
    <v>127.81</v>
    <v>127.72</v>
    <v>127.84</v>
    <v>127.9</v>
    <v>127.76</v>
    <v>127.83</v>
    <v>127.66</v>
    <v>127.33</v>
    <v>127.36</v>
    <v>127.2</v>
    <v>127.23</v>
    <v>127.33</v>
    <v>127.38</v>
    <v>127.2</v>
    <v>127.38</v>
    <v>127.36</v>
    <v>127.11</v>
    <v>127.06</v>
    <v>127.22</v>
    <v>127.17</v>
    <v>127.16</v>
    <v>127.32</v>
    <v>127.28</v>
    <v>127.38</v>
    <v>127.41</v>
    <v>127.52</v>
    <v>127.56</v>
    <v>127.51</v>
    <v>127.52</v>
    <v>127.44</v>
    <v>127.48</v>
    <v>127.55</v>
    <v>127.67</v>
    <v>127.73</v>
    <v>127.6</v>
    <v>127.65</v>
    <v>127.54</v>
    <v>127.53</v>
    <v>127.61</v>
  </a>
  <a r="1" c="208">
    <v>127.61</v>
    <v>127.63</v>
    <v>127.72</v>
    <v>127.78</v>
    <v>127.74</v>
    <v>127.8</v>
    <v>127.84</v>
    <v>127.83</v>
    <v>127.84</v>
    <v>127.87</v>
    <v>127.86</v>
    <v>127.91</v>
    <v>127.9</v>
    <v>127.86</v>
    <v>127.86</v>
    <v>127.83</v>
    <v>127.93</v>
    <v>127.87</v>
    <v>127.96</v>
    <v>127.98</v>
    <v>128.06</v>
    <v>128.01</v>
    <v>127.95</v>
    <v>128.07</v>
    <v>128.09</v>
    <v>128.06</v>
    <v>128.13999999999999</v>
    <v>128.09</v>
    <v>128.13999999999999</v>
    <v>128.19</v>
    <v>128.25</v>
    <v>128.24</v>
    <v>128.22999999999999</v>
    <v>128.26</v>
    <v>128.28</v>
    <v>128.22999999999999</v>
    <v>128.30000000000001</v>
    <v>128.30000000000001</v>
    <v>128.33000000000001</v>
    <v>128.35</v>
    <v>128.43</v>
    <v>128.22999999999999</v>
    <v>127.97</v>
    <v>128.09</v>
    <v>127.85</v>
    <v>127.7</v>
    <v>127.57</v>
    <v>127.82</v>
    <v>127.48</v>
    <v>127.43</v>
    <v>127.41</v>
    <v>127.49</v>
    <v>127.53</v>
    <v>127.4</v>
    <v>127.13</v>
    <v>126.83</v>
    <v>127.05</v>
    <v>126.96</v>
    <v>127</v>
    <v>126.77</v>
    <v>126.91</v>
    <v>127.05</v>
    <v>127.08</v>
    <v>127.2</v>
    <v>127.22</v>
    <v>126.9</v>
    <v>127.5</v>
    <v>127.45</v>
    <v>127.3</v>
    <v>127.19</v>
    <v>127.43</v>
    <v>127.5</v>
    <v>127.55</v>
    <v>127.82</v>
    <v>127.65</v>
    <v>127.57</v>
    <v>127.47</v>
    <v>127.57</v>
    <v>127.53</v>
    <v>127.49</v>
    <v>127.38</v>
    <v>127.2</v>
    <v>127.47</v>
    <v>127.22</v>
    <v>127.41</v>
    <v>127.66</v>
    <v>127.64</v>
    <v>127.64</v>
    <v>127.53</v>
    <v>127.4</v>
    <v>127.33</v>
    <v>127.48</v>
    <v>127.34</v>
    <v>127.4</v>
    <v>127.34</v>
    <v>127.6</v>
    <v>127.56</v>
    <v>127.65</v>
    <v>128</v>
    <v>127.74</v>
    <v>127.77</v>
    <v>127.85</v>
    <v>127.9</v>
    <v>127.7</v>
    <v>127.77</v>
    <v>127.67</v>
    <v>127.64</v>
    <v>127.58</v>
    <v>127.56</v>
    <v>127.66</v>
    <v>127.61</v>
    <v>127.7</v>
    <v>127.86</v>
    <v>127.96</v>
    <v>127.99</v>
    <v>128.01</v>
    <v>127.95</v>
    <v>127.89</v>
    <v>127.96</v>
    <v>128.05000000000001</v>
    <v>128.1</v>
    <v>128.22</v>
    <v>128.21</v>
    <v>128.15</v>
    <v>128.16999999999999</v>
    <v>128.22999999999999</v>
    <v>128.30000000000001</v>
    <v>128.22999999999999</v>
    <v>128.22999999999999</v>
    <v>128.11000000000001</v>
    <v>127.85</v>
    <v>127.97</v>
    <v>128.05000000000001</v>
    <v>127.88</v>
    <v>127.82</v>
    <v>127.87</v>
    <v>127.83</v>
    <v>127.77</v>
    <v>127.76</v>
    <v>127.73</v>
    <v>127.68</v>
    <v>127.59</v>
    <v>127.73</v>
    <v>127.83</v>
    <v>127.97</v>
    <v>127.84</v>
    <v>127.94</v>
    <v>127.86</v>
    <v>128.01</v>
    <v>128.13</v>
    <v>128.12</v>
    <v>128.1</v>
    <v>128.13999999999999</v>
    <v>127.98</v>
    <v>128.01</v>
    <v>128.04</v>
    <v>128.08000000000001</v>
    <v>128.01</v>
    <v>128</v>
    <v>127.88</v>
    <v>127.89</v>
    <v>127.94</v>
    <v>127.96</v>
    <v>127.93</v>
    <v>128.07</v>
    <v>128.06</v>
    <v>128.02000000000001</v>
    <v>127.93</v>
    <v>127.88</v>
    <v>127.81</v>
    <v>127.72</v>
    <v>127.84</v>
    <v>127.9</v>
    <v>127.76</v>
    <v>127.83</v>
    <v>127.66</v>
    <v>127.33</v>
    <v>127.36</v>
    <v>127.2</v>
    <v>127.23</v>
    <v>127.33</v>
    <v>127.38</v>
    <v>127.2</v>
    <v>127.38</v>
    <v>127.36</v>
    <v>127.11</v>
    <v>127.06</v>
    <v>127.22</v>
    <v>127.17</v>
    <v>127.16</v>
    <v>127.32</v>
    <v>127.28</v>
    <v>127.38</v>
    <v>127.41</v>
    <v>127.52</v>
    <v>127.56</v>
    <v>127.51</v>
    <v>127.52</v>
    <v>127.44</v>
    <v>127.48</v>
    <v>127.55</v>
    <v>127.67</v>
    <v>127.73</v>
    <v>127.6</v>
    <v>127.65</v>
    <v>127.54</v>
    <v>127.53</v>
    <v>127.61</v>
  </a>
  <a r="1" c="761">
    <v>118.82</v>
    <v>118.85</v>
    <v>118.83</v>
    <v>118.98</v>
    <v>119.07</v>
    <v>119.14</v>
    <v>119.2</v>
    <v>119.36</v>
    <v>119.33</v>
    <v>119.44</v>
    <v>119.32</v>
    <v>119.37</v>
    <v>119.44</v>
    <v>119.42</v>
    <v>119.31</v>
    <v>119.3</v>
    <v>119.48</v>
    <v>119.56</v>
    <v>119.75</v>
    <v>119.69</v>
    <v>119.64</v>
    <v>119.7</v>
    <v>119.66</v>
    <v>119.58</v>
    <v>119.55</v>
    <v>119.76</v>
    <v>119.9</v>
    <v>120.11</v>
    <v>120.11</v>
    <v>120.52</v>
    <v>120.47</v>
    <v>120.57</v>
    <v>120.65</v>
    <v>120.72</v>
    <v>120.51</v>
    <v>120.48</v>
    <v>120.49</v>
    <v>120.61</v>
    <v>120.89</v>
    <v>121.06</v>
    <v>120.94</v>
    <v>121.06</v>
    <v>121.18</v>
    <v>121.31</v>
    <v>121.41</v>
    <v>121.44</v>
    <v>121.46</v>
    <v>121.39</v>
    <v>121.28</v>
    <v>121.35</v>
    <v>121.11</v>
    <v>121</v>
    <v>121.1</v>
    <v>120.91</v>
    <v>120.91</v>
    <v>120.96</v>
    <v>121.23</v>
    <v>121.1</v>
    <v>121.13</v>
    <v>120.86</v>
    <v>120.93</v>
    <v>120.87</v>
    <v>120.97</v>
    <v>120.89</v>
    <v>120.94</v>
    <v>121.18</v>
    <v>121.14</v>
    <v>121.31</v>
    <v>121.19</v>
    <v>121.4</v>
    <v>121.37</v>
    <v>121.11</v>
    <v>120.98</v>
    <v>121.02</v>
    <v>120.98</v>
    <v>120.91</v>
    <v>120.82</v>
    <v>120.87</v>
    <v>120.75</v>
    <v>120.82</v>
    <v>120.86</v>
    <v>120.76</v>
    <v>120.77</v>
    <v>120.88</v>
    <v>120.7</v>
    <v>120.61</v>
    <v>120.76</v>
    <v>120.63</v>
    <v>120.64</v>
    <v>120.66</v>
    <v>120.71</v>
    <v>120.7</v>
    <v>120.74</v>
    <v>120.88</v>
    <v>120.87</v>
    <v>121.03</v>
    <v>121.15</v>
    <v>121.04</v>
    <v>121</v>
    <v>120.93</v>
    <v>120.91</v>
    <v>120.84</v>
    <v>120.82</v>
    <v>120.91</v>
    <v>120.86</v>
    <v>121</v>
    <v>121.12</v>
    <v>121.01</v>
    <v>121.05</v>
    <v>121.21</v>
    <v>121.16</v>
    <v>121.09</v>
    <v>121.09</v>
    <v>121.15</v>
    <v>121.1</v>
    <v>121.05</v>
    <v>121.11</v>
    <v>121</v>
    <v>120.97</v>
    <v>121.21</v>
    <v>121.07</v>
    <v>121.02</v>
    <v>121.02</v>
    <v>120.99</v>
    <v>120.94</v>
    <v>121.06</v>
    <v>121.04</v>
    <v>120.94</v>
    <v>120.88</v>
    <v>120.95</v>
    <v>121.04</v>
    <v>120.9</v>
    <v>121.07</v>
    <v>121.21</v>
    <v>121.25</v>
    <v>121.26</v>
    <v>121.14</v>
    <v>121.21</v>
    <v>121.11</v>
    <v>121.19</v>
    <v>121.11</v>
    <v>121.4</v>
    <v>121.36</v>
    <v>121.17</v>
    <v>121.23</v>
    <v>121.27</v>
    <v>121.22</v>
    <v>121.13</v>
    <v>121.02</v>
    <v>121.19</v>
    <v>121.09</v>
    <v>121.1</v>
    <v>121.18</v>
    <v>121.17</v>
    <v>121.32</v>
    <v>121.39</v>
    <v>121.44</v>
    <v>121.38</v>
    <v>121.23</v>
    <v>121.15</v>
    <v>121.24</v>
    <v>121.42</v>
    <v>121.53</v>
    <v>121.67</v>
    <v>121.59</v>
    <v>121.61</v>
    <v>121.6</v>
    <v>121.62</v>
    <v>121.68</v>
    <v>121.69</v>
    <v>121.69</v>
    <v>121.69</v>
    <v>121.68</v>
    <v>121.66</v>
    <v>121.55</v>
    <v>121.56</v>
    <v>121.67</v>
    <v>121.66</v>
    <v>121.81</v>
    <v>121.85</v>
    <v>121.77</v>
    <v>121.88</v>
    <v>122.12</v>
    <v>122.04</v>
    <v>122.15</v>
    <v>122.17</v>
    <v>122.21</v>
    <v>122.33</v>
    <v>122.41</v>
    <v>122.14</v>
    <v>122.3</v>
    <v>122.36</v>
    <v>122.47</v>
    <v>122.5</v>
    <v>122.56</v>
    <v>122.65</v>
    <v>122.74</v>
    <v>122.88</v>
    <v>123.02</v>
    <v>123</v>
    <v>122.97</v>
    <v>122.98</v>
    <v>122.98</v>
    <v>123.03</v>
    <v>123.1</v>
    <v>123.14</v>
    <v>123.19</v>
    <v>123.04</v>
    <v>123.05</v>
    <v>123.16</v>
    <v>123.24</v>
    <v>123.14</v>
    <v>123.29</v>
    <v>123.26</v>
    <v>123.25</v>
    <v>123.28</v>
    <v>123.34</v>
    <v>123.31</v>
    <v>123.26</v>
    <v>123.3</v>
    <v>123.5</v>
    <v>123.51</v>
    <v>123.68</v>
    <v>123.69</v>
    <v>123.8</v>
    <v>123.93</v>
    <v>123.78</v>
    <v>123.87</v>
    <v>123.87</v>
    <v>123.86</v>
    <v>123.73</v>
    <v>123.81</v>
    <v>123.81</v>
    <v>123.98</v>
    <v>124.18</v>
    <v>124</v>
    <v>124.16</v>
    <v>124.25</v>
    <v>124.25</v>
    <v>124.39</v>
    <v>124.28</v>
    <v>124.33</v>
    <v>124.11</v>
    <v>123.87</v>
    <v>123.95</v>
    <v>123.9</v>
    <v>124.03</v>
    <v>123.93</v>
    <v>124</v>
    <v>124.07</v>
    <v>124.24</v>
    <v>124.24</v>
    <v>124.42</v>
    <v>124.21</v>
    <v>124.11</v>
    <v>124.29</v>
    <v>124.4</v>
    <v>124.37</v>
    <v>124.38</v>
    <v>124.26</v>
    <v>124.08</v>
    <v>124</v>
    <v>124.09</v>
    <v>124.04</v>
    <v>124.01</v>
    <v>124.26</v>
    <v>124.25</v>
    <v>124.18</v>
    <v>124.37</v>
    <v>124.42</v>
    <v>124.3</v>
    <v>124.54</v>
    <v>124.51</v>
    <v>124.42</v>
    <v>124.53</v>
    <v>124.54</v>
    <v>124.58</v>
    <v>124.78</v>
    <v>124.71</v>
    <v>124.64</v>
    <v>124.62</v>
    <v>124.81</v>
    <v>124.96</v>
    <v>125.17</v>
    <v>125.01</v>
    <v>124.99</v>
    <v>125.01</v>
    <v>125.06</v>
    <v>125.06</v>
    <v>125.07</v>
    <v>125.06</v>
    <v>125.03</v>
    <v>124.87</v>
    <v>124.9</v>
    <v>124.92</v>
    <v>124.93</v>
    <v>125</v>
    <v>124.92</v>
    <v>124.99</v>
    <v>125.02</v>
    <v>125</v>
    <v>125.06</v>
    <v>124.82</v>
    <v>124.71</v>
    <v>124.81</v>
    <v>124.77</v>
    <v>124.6</v>
    <v>124.62</v>
    <v>124.52</v>
    <v>124.49</v>
    <v>124.74</v>
    <v>124.8</v>
    <v>124.84</v>
    <v>124.87</v>
    <v>124.9</v>
    <v>124.77</v>
    <v>124.77</v>
    <v>124.61</v>
    <v>124.8</v>
    <v>124.76</v>
    <v>124.83</v>
    <v>124.97</v>
    <v>125.2</v>
    <v>125.33</v>
    <v>125.37</v>
    <v>125.36</v>
    <v>125.36</v>
    <v>125.27</v>
    <v>125.33</v>
    <v>125.24</v>
    <v>125.17</v>
    <v>125.32</v>
    <v>125.24</v>
    <v>125.3</v>
    <v>125.24</v>
    <v>125.16</v>
    <v>125.27</v>
    <v>125.39</v>
    <v>125.37</v>
    <v>125.44</v>
    <v>125.48</v>
    <v>125.53</v>
    <v>125.65</v>
    <v>125.5</v>
    <v>125.58</v>
    <v>125.16</v>
    <v>125.06</v>
    <v>125.14</v>
    <v>125.16</v>
    <v>125.23</v>
    <v>125.24</v>
    <v>125.33</v>
    <v>125.3</v>
    <v>125.36</v>
    <v>125.32</v>
    <v>125.32</v>
    <v>125.44</v>
    <v>125.55</v>
    <v>125.54</v>
    <v>125.45</v>
    <v>125.59</v>
    <v>125.67</v>
    <v>125.83</v>
    <v>125.77</v>
    <v>125.85</v>
    <v>125.78</v>
    <v>126.04</v>
    <v>126.33</v>
    <v>126.38</v>
    <v>126.17</v>
    <v>126.35</v>
    <v>126.33</v>
    <v>126.28</v>
    <v>126.31</v>
    <v>126.42</v>
    <v>126.52</v>
    <v>126.63</v>
    <v>126.71</v>
    <v>126.64</v>
    <v>126.73</v>
    <v>126.62</v>
    <v>126.7</v>
    <v>126.62</v>
    <v>126.81</v>
    <v>126.68</v>
    <v>126.64</v>
    <v>126.64</v>
    <v>126.81</v>
    <v>126.65</v>
    <v>126.65</v>
    <v>126.37</v>
    <v>126.33</v>
    <v>126.27</v>
    <v>126.45</v>
    <v>126.5</v>
    <v>126.55</v>
    <v>126.54</v>
    <v>126.51</v>
    <v>126.63</v>
    <v>126.72</v>
    <v>126.75</v>
    <v>126.76</v>
    <v>126.73</v>
    <v>126.78</v>
    <v>126.83</v>
    <v>126.83</v>
    <v>126.84</v>
    <v>126.76</v>
    <v>126.65</v>
    <v>126.65</v>
    <v>126.67</v>
    <v>126.7</v>
    <v>126.73</v>
    <v>126.87</v>
    <v>126.68</v>
    <v>126.74</v>
    <v>126.66</v>
    <v>126.73</v>
    <v>126.69</v>
    <v>126.71</v>
    <v>126.77</v>
    <v>126.78</v>
    <v>126.81</v>
    <v>126.88</v>
    <v>126.81</v>
    <v>126.87</v>
    <v>126.84</v>
    <v>126.83</v>
    <v>126.88</v>
    <v>126.92</v>
    <v>126.9</v>
    <v>126.82</v>
    <v>126.81</v>
    <v>126.79</v>
    <v>126.77</v>
    <v>126.8</v>
    <v>126.87</v>
    <v>127.03</v>
    <v>127</v>
    <v>126.85</v>
    <v>127.07</v>
    <v>127.09</v>
    <v>127.13</v>
    <v>126.86</v>
    <v>126.82</v>
    <v>126.91</v>
    <v>126.87</v>
    <v>126.83</v>
    <v>126.84</v>
    <v>126.95</v>
    <v>127</v>
    <v>126.97</v>
    <v>126.99</v>
    <v>126.97</v>
    <v>126.89</v>
    <v>126.93</v>
    <v>126.89</v>
    <v>127.01</v>
    <v>127.03</v>
    <v>126.96</v>
    <v>126.96</v>
    <v>127.04</v>
    <v>126.97</v>
    <v>127.01</v>
    <v>126.93</v>
    <v>127.03</v>
    <v>127.04</v>
    <v>127.07</v>
    <v>127.03</v>
    <v>126.99</v>
    <v>126.92</v>
    <v>127.04</v>
    <v>127.05</v>
    <v>127.19</v>
    <v>127.21</v>
    <v>127.21</v>
    <v>127.13</v>
    <v>127.11</v>
    <v>127.07</v>
    <v>127.06</v>
    <v>127.08</v>
    <v>127.11</v>
    <v>127.11</v>
    <v>127.05</v>
    <v>127.08</v>
    <v>127.08</v>
    <v>127.09</v>
    <v>127.11</v>
    <v>127.09</v>
    <v>127.12</v>
    <v>127.13</v>
    <v>127.13</v>
    <v>127.19</v>
    <v>127.19</v>
    <v>127.26</v>
    <v>127.2</v>
    <v>127.25</v>
    <v>127.27</v>
    <v>127.36</v>
    <v>127.45</v>
    <v>127.47</v>
    <v>127.6</v>
    <v>127.58</v>
    <v>127.56</v>
    <v>127.52</v>
    <v>127.57</v>
    <v>127.58</v>
    <v>127.56</v>
    <v>127.49</v>
    <v>127.52</v>
    <v>127.46</v>
    <v>127.5</v>
    <v>127.48</v>
    <v>127.47</v>
    <v>127.52</v>
    <v>127.5</v>
    <v>127.5</v>
    <v>127.47</v>
    <v>127.49</v>
    <v>127.48</v>
    <v>127.5</v>
    <v>127.57</v>
    <v>127.51</v>
    <v>127.48</v>
    <v>127.44</v>
    <v>127.45</v>
    <v>127.53</v>
    <v>127.56</v>
    <v>127.56</v>
    <v>127.58</v>
    <v>127.56</v>
    <v>127.59</v>
    <v>127.63</v>
    <v>127.61</v>
    <v>127.54</v>
    <v>127.57</v>
    <v>127.59</v>
    <v>127.56</v>
    <v>127.5</v>
    <v>127.34</v>
    <v>127.37</v>
    <v>127.3</v>
    <v>127.42</v>
    <v>127.42</v>
    <v>127.43</v>
    <v>127.5</v>
    <v>127.5</v>
    <v>127.55</v>
    <v>127.48</v>
    <v>127.41</v>
    <v>127.55</v>
    <v>127.73</v>
    <v>127.61</v>
    <v>127.61</v>
    <v>127.63</v>
    <v>127.72</v>
    <v>127.78</v>
    <v>127.74</v>
    <v>127.8</v>
    <v>127.84</v>
    <v>127.83</v>
    <v>127.84</v>
    <v>127.87</v>
    <v>127.86</v>
    <v>127.91</v>
    <v>127.9</v>
    <v>127.86</v>
    <v>127.86</v>
    <v>127.83</v>
    <v>127.93</v>
    <v>127.87</v>
    <v>127.96</v>
    <v>127.98</v>
    <v>128.06</v>
    <v>128.01</v>
    <v>127.95</v>
    <v>128.07</v>
    <v>128.09</v>
    <v>128.06</v>
    <v>128.13999999999999</v>
    <v>128.09</v>
    <v>128.13999999999999</v>
    <v>128.19</v>
    <v>128.25</v>
    <v>128.24</v>
    <v>128.22999999999999</v>
    <v>128.26</v>
    <v>128.28</v>
    <v>128.22999999999999</v>
    <v>128.30000000000001</v>
    <v>128.30000000000001</v>
    <v>128.33000000000001</v>
    <v>128.35</v>
    <v>128.43</v>
    <v>128.22999999999999</v>
    <v>127.97</v>
    <v>128.09</v>
    <v>127.85</v>
    <v>127.7</v>
    <v>127.57</v>
    <v>127.82</v>
    <v>127.48</v>
    <v>127.43</v>
    <v>127.41</v>
    <v>127.49</v>
    <v>127.53</v>
    <v>127.4</v>
    <v>127.13</v>
    <v>126.83</v>
    <v>127.05</v>
    <v>126.96</v>
    <v>127</v>
    <v>126.77</v>
    <v>126.91</v>
    <v>127.05</v>
    <v>127.08</v>
    <v>127.2</v>
    <v>127.22</v>
    <v>126.9</v>
    <v>127.5</v>
    <v>127.45</v>
    <v>127.3</v>
    <v>127.19</v>
    <v>127.43</v>
    <v>127.5</v>
    <v>127.55</v>
    <v>127.82</v>
    <v>127.65</v>
    <v>127.57</v>
    <v>127.47</v>
    <v>127.57</v>
    <v>127.53</v>
    <v>127.49</v>
    <v>127.38</v>
    <v>127.2</v>
    <v>127.47</v>
    <v>127.22</v>
    <v>127.41</v>
    <v>127.66</v>
    <v>127.64</v>
    <v>127.64</v>
    <v>127.53</v>
    <v>127.4</v>
    <v>127.33</v>
    <v>127.48</v>
    <v>127.34</v>
    <v>127.4</v>
    <v>127.34</v>
    <v>127.6</v>
    <v>127.56</v>
    <v>127.65</v>
    <v>128</v>
    <v>127.74</v>
    <v>127.77</v>
    <v>127.85</v>
    <v>127.9</v>
    <v>127.7</v>
    <v>127.77</v>
    <v>127.67</v>
    <v>127.64</v>
    <v>127.58</v>
    <v>127.56</v>
    <v>127.66</v>
    <v>127.61</v>
    <v>127.7</v>
    <v>127.86</v>
    <v>127.96</v>
    <v>127.99</v>
    <v>128.01</v>
    <v>127.95</v>
    <v>127.89</v>
    <v>127.96</v>
    <v>128.05000000000001</v>
    <v>128.1</v>
    <v>128.22</v>
    <v>128.21</v>
    <v>128.15</v>
    <v>128.16999999999999</v>
    <v>128.22999999999999</v>
    <v>128.30000000000001</v>
    <v>128.22999999999999</v>
    <v>128.22999999999999</v>
    <v>128.11000000000001</v>
    <v>127.85</v>
    <v>127.97</v>
    <v>128.05000000000001</v>
    <v>127.88</v>
    <v>127.82</v>
    <v>127.87</v>
    <v>127.83</v>
    <v>127.77</v>
    <v>127.76</v>
    <v>127.73</v>
    <v>127.68</v>
    <v>127.59</v>
    <v>127.73</v>
    <v>127.83</v>
    <v>127.97</v>
    <v>127.84</v>
    <v>127.94</v>
    <v>127.86</v>
    <v>128.01</v>
    <v>128.13</v>
    <v>128.12</v>
    <v>128.1</v>
    <v>128.13999999999999</v>
    <v>127.98</v>
    <v>128.01</v>
    <v>128.04</v>
    <v>128.08000000000001</v>
    <v>128.01</v>
    <v>128</v>
    <v>127.88</v>
    <v>127.89</v>
    <v>127.94</v>
    <v>127.96</v>
    <v>127.93</v>
    <v>128.07</v>
    <v>128.06</v>
    <v>128.02000000000001</v>
    <v>127.93</v>
    <v>127.88</v>
    <v>127.81</v>
    <v>127.72</v>
    <v>127.84</v>
    <v>127.9</v>
    <v>127.76</v>
    <v>127.83</v>
    <v>127.66</v>
    <v>127.33</v>
    <v>127.36</v>
    <v>127.2</v>
    <v>127.23</v>
    <v>127.33</v>
    <v>127.38</v>
    <v>127.2</v>
    <v>127.38</v>
    <v>127.36</v>
    <v>127.11</v>
    <v>127.06</v>
    <v>127.22</v>
    <v>127.17</v>
    <v>127.16</v>
    <v>127.32</v>
    <v>127.28</v>
    <v>127.38</v>
    <v>127.41</v>
    <v>127.52</v>
    <v>127.56</v>
    <v>127.51</v>
    <v>127.52</v>
    <v>127.44</v>
    <v>127.48</v>
    <v>127.55</v>
    <v>127.67</v>
    <v>127.73</v>
    <v>127.6</v>
    <v>127.65</v>
    <v>127.54</v>
    <v>127.53</v>
    <v>127.61</v>
  </a>
  <a r="1" c="254">
    <v>108.18</v>
    <v>110.24</v>
    <v>109.98</v>
    <v>109.9</v>
    <v>110.09</v>
    <v>109.53</v>
    <v>108.74</v>
    <v>108.54</v>
    <v>108.33</v>
    <v>108.47</v>
    <v>106.98</v>
    <v>104.88</v>
    <v>107.66</v>
    <v>107.46</v>
    <v>107.73</v>
    <v>105.44</v>
    <v>104.92</v>
    <v>104.33</v>
    <v>103.15</v>
    <v>103.7</v>
    <v>104.55</v>
    <v>103.79</v>
    <v>106.14</v>
    <v>107.77</v>
    <v>108.97</v>
    <v>109.04</v>
    <v>109.65</v>
    <v>108.58</v>
    <v>108.25</v>
    <v>108.72</v>
    <v>110.38</v>
    <v>110.61</v>
    <v>110.94</v>
    <v>111.06</v>
    <v>110.91</v>
    <v>111.55</v>
    <v>111.14</v>
    <v>110.19</v>
    <v>109</v>
    <v>108.82</v>
    <v>109.47</v>
    <v>110.1</v>
    <v>111.2</v>
    <v>109.93</v>
    <v>109.18</v>
    <v>108.95</v>
    <v>108.43</v>
    <v>110.47</v>
    <v>111.23</v>
    <v>112.15</v>
    <v>113.47</v>
    <v>115.27</v>
    <v>114.69</v>
    <v>115.3</v>
    <v>115.52</v>
    <v>118.02</v>
    <v>118.04</v>
    <v>115.77</v>
    <v>115.87</v>
    <v>116.73</v>
    <v>118.65</v>
    <v>116.39</v>
    <v>114.09</v>
    <v>113.24</v>
    <v>113.55</v>
    <v>112.3</v>
    <v>111.97</v>
    <v>114.18</v>
    <v>114.13</v>
    <v>113.61</v>
    <v>112.72</v>
    <v>114.42</v>
    <v>115.38</v>
    <v>115.67</v>
    <v>114.1</v>
    <v>112.5</v>
    <v>114.26</v>
    <v>113.64</v>
    <v>113.96</v>
    <v>115.57</v>
    <v>115.05</v>
    <v>114.99</v>
    <v>112.8</v>
    <v>114.38</v>
    <v>114.73</v>
    <v>115.13</v>
    <v>113.75</v>
    <v>114.92</v>
    <v>113.87</v>
    <v>115.54</v>
    <v>114.05</v>
    <v>111.34</v>
    <v>110.26</v>
    <v>113.01</v>
    <v>111.42</v>
    <v>110.77</v>
    <v>110.34</v>
    <v>111.15</v>
    <v>111.3</v>
    <v>110.81</v>
    <v>109.4</v>
    <v>108.73</v>
    <v>109.73</v>
    <v>110.64</v>
    <v>111.86</v>
    <v>110.96</v>
    <v>109.22</v>
    <v>108.79</v>
    <v>108.78</v>
    <v>111.59</v>
    <v>111.78</v>
    <v>111.48</v>
    <v>114.31</v>
    <v>114.5</v>
    <v>114.86</v>
    <v>115.02</v>
    <v>117.26</v>
    <v>117.18</v>
    <v>117.78</v>
    <v>120.19</v>
    <v>121.03</v>
    <v>121.07</v>
    <v>121.35</v>
    <v>121.93</v>
    <v>121.46</v>
    <v>121.24</v>
    <v>120.22</v>
    <v>119.94</v>
    <v>121.14</v>
    <v>122.48</v>
    <v>123.98</v>
    <v>125.09</v>
    <v>124.59</v>
    <v>123.75</v>
    <v>125.1</v>
    <v>122.22</v>
    <v>123.73</v>
    <v>125.39</v>
    <v>122.9</v>
    <v>121.89</v>
    <v>120.57</v>
    <v>123.3</v>
    <v>124.25</v>
    <v>126.18</v>
    <v>127.88</v>
    <v>127.93</v>
    <v>128.52000000000001</v>
    <v>128.91</v>
    <v>127.72</v>
    <v>127.48</v>
    <v>128.87</v>
    <v>127.78</v>
    <v>129.05000000000001</v>
    <v>127.55</v>
    <v>127.31</v>
    <v>125.75</v>
    <v>126.73</v>
    <v>127.73</v>
    <v>131.16999999999999</v>
    <v>131.26</v>
    <v>130.33000000000001</v>
    <v>131.19999999999999</v>
    <v>131.75</v>
    <v>132.85</v>
    <v>134.09</v>
    <v>133.9</v>
    <v>135.96</v>
    <v>135.32</v>
    <v>135.13999999999999</v>
    <v>133.57</v>
    <v>135.33000000000001</v>
    <v>136.97999999999999</v>
    <v>133.97</v>
    <v>134.43</v>
    <v>135.32</v>
    <v>133.93</v>
    <v>131.81</v>
    <v>133.97</v>
    <v>133.32</v>
    <v>133.26</v>
    <v>132.85</v>
    <v>133.44999999999999</v>
    <v>133.97</v>
    <v>132.54</v>
    <v>132.87</v>
    <v>133.5</v>
    <v>133.31</v>
    <v>131.77000000000001</v>
    <v>132.97999999999999</v>
    <v>132.46</v>
    <v>132.72</v>
    <v>131.13999999999999</v>
    <v>129.80000000000001</v>
    <v>129.77000000000001</v>
    <v>132.44</v>
    <v>134.25</v>
    <v>134.27000000000001</v>
    <v>134.38</v>
    <v>134.34</v>
    <v>134.03</v>
    <v>134.44999999999999</v>
    <v>134.86000000000001</v>
    <v>135.5</v>
    <v>135.37</v>
    <v>135.15</v>
    <v>134.1</v>
    <v>133.91999999999999</v>
    <v>131.77000000000001</v>
    <v>132.07</v>
    <v>131.86000000000001</v>
    <v>132.1</v>
    <v>132.08000000000001</v>
    <v>132.62</v>
    <v>132.53</v>
    <v>130.11000000000001</v>
    <v>129.83000000000001</v>
    <v>130.16</v>
    <v>131.01</v>
    <v>131.03</v>
    <v>130.87</v>
    <v>130.93</v>
    <v>129.11000000000001</v>
    <v>127.92</v>
    <v>128.66999999999999</v>
    <v>128.34</v>
    <v>127.4</v>
    <v>128.28</v>
    <v>129.15</v>
    <v>127.54</v>
    <v>128.83000000000001</v>
    <v>129.47999999999999</v>
    <v>128.58000000000001</v>
    <v>127.05</v>
    <v>127.59</v>
    <v>126.82</v>
    <v>126.73</v>
    <v>127.32</v>
    <v>126.98</v>
    <v>129.22999999999999</v>
    <v>130.01</v>
    <v>129.97</v>
    <v>128.04</v>
    <v>126.9</v>
    <v>128.63</v>
    <v>128.79</v>
    <v>127.45</v>
    <v>126.73</v>
    <v>126.27</v>
    <v>125.48</v>
    <v>125.41</v>
    <v>126.91</v>
    <v>127.47</v>
    <v>127.1</v>
    <v>127.27</v>
  </a>
  <a r="1" c="761">
    <v>78.8</v>
    <v>78.86</v>
    <v>78.08</v>
    <v>78.52</v>
    <v>77.459999999999994</v>
    <v>76.91</v>
    <v>78.09</v>
    <v>78.239999999999995</v>
    <v>79.319999999999993</v>
    <v>81.59</v>
    <v>80.569999999999993</v>
    <v>80.72</v>
    <v>79.61</v>
    <v>79.510000000000005</v>
    <v>78.790000000000006</v>
    <v>79.400000000000006</v>
    <v>82.19</v>
    <v>83.57</v>
    <v>81.2</v>
    <v>81.99</v>
    <v>82.27</v>
    <v>81.61</v>
    <v>82.23</v>
    <v>82</v>
    <v>82.25</v>
    <v>81.99</v>
    <v>81.63</v>
    <v>82.08</v>
    <v>82.73</v>
    <v>84.54</v>
    <v>86.03</v>
    <v>86.15</v>
    <v>86.66</v>
    <v>85.84</v>
    <v>86.75</v>
    <v>86.89</v>
    <v>86.56</v>
    <v>86.99</v>
    <v>90.47</v>
    <v>91.06</v>
    <v>90.62</v>
    <v>91.55</v>
    <v>92.55</v>
    <v>91.14</v>
    <v>92.27</v>
    <v>92.39</v>
    <v>92.79</v>
    <v>91.62</v>
    <v>92.14</v>
    <v>90.81</v>
    <v>89.58</v>
    <v>89.14</v>
    <v>89.41</v>
    <v>89.8</v>
    <v>89.26</v>
    <v>88.06</v>
    <v>88.83</v>
    <v>88.86</v>
    <v>88.62</v>
    <v>87.71</v>
    <v>87.88</v>
    <v>87.88</v>
    <v>90.57</v>
    <v>90.74</v>
    <v>90.88</v>
    <v>90.97</v>
    <v>91.03</v>
    <v>91.71</v>
    <v>91.97</v>
    <v>91.27</v>
    <v>89.16</v>
    <v>90.55</v>
    <v>89.56</v>
    <v>90.65</v>
    <v>90.21</v>
    <v>91</v>
    <v>92.03</v>
    <v>94.7</v>
    <v>92.97</v>
    <v>92.63</v>
    <v>94.42</v>
    <v>94.75</v>
    <v>93.7</v>
    <v>92.7</v>
    <v>91.97</v>
    <v>92.57</v>
    <v>92.75</v>
    <v>93.27</v>
    <v>94.43</v>
    <v>94.42</v>
    <v>94.8</v>
    <v>95.6</v>
    <v>95.86</v>
    <v>94.64</v>
    <v>95</v>
    <v>95.26</v>
    <v>95.47</v>
    <v>94.64</v>
    <v>94.1</v>
    <v>94.75</v>
    <v>93.3</v>
    <v>93.37</v>
    <v>93.52</v>
    <v>93.57</v>
    <v>93.67</v>
    <v>96.61</v>
    <v>95.98</v>
    <v>96.03</v>
    <v>95.9</v>
    <v>96.95</v>
    <v>98.79</v>
    <v>95.85</v>
    <v>96.03</v>
    <v>96.44</v>
    <v>95.16</v>
    <v>95.62</v>
    <v>95.42</v>
    <v>94.7</v>
    <v>94.53</v>
    <v>94.87</v>
    <v>93.62</v>
    <v>92.59</v>
    <v>92.05</v>
    <v>92.33</v>
    <v>91.32</v>
    <v>91.66</v>
    <v>93.62</v>
    <v>93.06</v>
    <v>91.8</v>
    <v>93.42</v>
    <v>93.96</v>
    <v>93.18</v>
    <v>93.51</v>
    <v>94.37</v>
    <v>95.57</v>
    <v>96.34</v>
    <v>95.61</v>
    <v>95.98</v>
    <v>95.64</v>
    <v>96.13</v>
    <v>96.47</v>
    <v>96.99</v>
    <v>96.9</v>
    <v>96.5</v>
    <v>97.19</v>
    <v>96.88</v>
    <v>96.64</v>
    <v>95.6</v>
    <v>95.49</v>
    <v>95.86</v>
    <v>95.59</v>
    <v>94.54</v>
    <v>95.21</v>
    <v>94.81</v>
    <v>95.03</v>
    <v>93.82</v>
    <v>94.74</v>
    <v>94.58</v>
    <v>94.17</v>
    <v>94.42</v>
    <v>94.08</v>
    <v>96.09</v>
    <v>94.59</v>
    <v>93.98</v>
    <v>93.45</v>
    <v>94.54</v>
    <v>94.24</v>
    <v>94.84</v>
    <v>94.57</v>
    <v>95.53</v>
    <v>94.57</v>
    <v>94.55</v>
    <v>94.7</v>
    <v>95.78</v>
    <v>94.7</v>
    <v>95.02</v>
    <v>94.62</v>
    <v>94.45</v>
    <v>93.77</v>
    <v>94.64</v>
    <v>93.9</v>
    <v>94.45</v>
    <v>97.83</v>
    <v>99.21</v>
    <v>100.8</v>
    <v>103.07</v>
    <v>103.3</v>
    <v>102.66</v>
    <v>100.33</v>
    <v>101.08</v>
    <v>103.65</v>
    <v>103.36</v>
    <v>103.33</v>
    <v>103.6</v>
    <v>103.86</v>
    <v>103.99</v>
    <v>104.57</v>
    <v>101.82</v>
    <v>96.47</v>
    <v>92.98</v>
    <v>94.1</v>
    <v>95.35</v>
    <v>95.32</v>
    <v>95.34</v>
    <v>94.62</v>
    <v>95.19</v>
    <v>94.93</v>
    <v>97.36</v>
    <v>97.87</v>
    <v>96.78</v>
    <v>97.27</v>
    <v>97.69</v>
    <v>99.74</v>
    <v>99.88</v>
    <v>98.93</v>
    <v>98.91</v>
    <v>100.35</v>
    <v>99.97</v>
    <v>100.61</v>
    <v>98.87</v>
    <v>97.7</v>
    <v>96.43</v>
    <v>94.64</v>
    <v>95.8</v>
    <v>95.35</v>
    <v>94.47</v>
    <v>96.78</v>
    <v>98.57</v>
    <v>98.47</v>
    <v>100.75</v>
    <v>99.66</v>
    <v>101.44</v>
    <v>100.74</v>
    <v>100.08</v>
    <v>100.16</v>
    <v>99.66</v>
    <v>99.64</v>
    <v>100.96</v>
    <v>100.64</v>
    <v>99.67</v>
    <v>100.11</v>
    <v>99.62</v>
    <v>100.91</v>
    <v>100.74</v>
    <v>100.75</v>
    <v>101.54</v>
    <v>100.49</v>
    <v>102.15</v>
    <v>103.29</v>
    <v>104.3</v>
    <v>105.8</v>
    <v>105.58</v>
    <v>105.47</v>
    <v>104</v>
    <v>103.81</v>
    <v>103.11</v>
    <v>103.17</v>
    <v>103.25</v>
    <v>104.36</v>
    <v>103.79</v>
    <v>104.14</v>
    <v>102.75</v>
    <v>102.69</v>
    <v>103.04</v>
    <v>103.1</v>
    <v>110.9</v>
    <v>111.48</v>
    <v>112.18</v>
    <v>115.24</v>
    <v>114.14</v>
    <v>114.73</v>
    <v>112.27</v>
    <v>110.63</v>
    <v>110.51</v>
    <v>109.88</v>
    <v>110.54</v>
    <v>113.46</v>
    <v>115.99</v>
    <v>118.19</v>
    <v>116.92</v>
    <v>115.76</v>
    <v>116.8</v>
    <v>116.35</v>
    <v>116.63</v>
    <v>115.93</v>
    <v>116.26</v>
    <v>115.15</v>
    <v>114.59</v>
    <v>114.69</v>
    <v>115.01</v>
    <v>114.92</v>
    <v>114.29</v>
    <v>112.61</v>
    <v>113.24</v>
    <v>112.12</v>
    <v>112.67</v>
    <v>108.6</v>
    <v>108.99</v>
    <v>107.96</v>
    <v>108.43</v>
    <v>107.77</v>
    <v>110.56</v>
    <v>110.12</v>
    <v>110.93</v>
    <v>109.78</v>
    <v>108.93</v>
    <v>109.51</v>
    <v>107.42</v>
    <v>107.11</v>
    <v>108.08</v>
    <v>110.74</v>
    <v>111.05</v>
    <v>111.47</v>
    <v>111.57</v>
    <v>111.88</v>
    <v>111.51</v>
    <v>111.79</v>
    <v>111.16</v>
    <v>109.89</v>
    <v>110.1</v>
    <v>110.65</v>
    <v>111.87</v>
    <v>112.18</v>
    <v>110.91</v>
    <v>110.84</v>
    <v>111.68</v>
    <v>112.8</v>
    <v>111.37</v>
    <v>111.69</v>
    <v>111.07</v>
    <v>109.27</v>
    <v>109.18</v>
    <v>109.59</v>
    <v>109.61</v>
    <v>110.35</v>
    <v>110.65</v>
    <v>108.58</v>
    <v>107.89</v>
    <v>105.53</v>
    <v>103.62</v>
    <v>105.44</v>
    <v>105.29</v>
    <v>104.12</v>
    <v>103.39</v>
    <v>98.19</v>
    <v>97.06</v>
    <v>97.55</v>
    <v>95.05</v>
    <v>95.23</v>
    <v>93.16</v>
    <v>93.65</v>
    <v>92.9</v>
    <v>94.3</v>
    <v>95.04</v>
    <v>94.79</v>
    <v>95.99</v>
    <v>96.78</v>
    <v>96.07</v>
    <v>98.3</v>
    <v>98.13</v>
    <v>97.44</v>
    <v>96.92</v>
    <v>94.17</v>
    <v>93.69</v>
    <v>94.49</v>
    <v>94.5</v>
    <v>87.79</v>
    <v>84.17</v>
    <v>82.33</v>
    <v>84.71</v>
    <v>80.02</v>
    <v>82.24</v>
    <v>80.63</v>
    <v>83</v>
    <v>84.34</v>
    <v>83.75</v>
    <v>82.99</v>
    <v>82.86</v>
    <v>85.93</v>
    <v>86.17</v>
    <v>86.39</v>
    <v>86.61</v>
    <v>87</v>
    <v>87.01</v>
    <v>89.52</v>
    <v>90.03</v>
    <v>89.05</v>
    <v>88.74</v>
    <v>90.55</v>
    <v>90.78</v>
    <v>94.65</v>
    <v>95.42</v>
    <v>94.37</v>
    <v>94.32</v>
    <v>95.25</v>
    <v>94</v>
    <v>94.65</v>
    <v>93</v>
    <v>91.52</v>
    <v>90.84</v>
    <v>91.59</v>
    <v>92.94</v>
    <v>92.93</v>
    <v>92.37</v>
    <v>92.35</v>
    <v>91.3</v>
    <v>93.23</v>
    <v>93.02</v>
    <v>93.2</v>
    <v>94.49</v>
    <v>95.02</v>
    <v>95.92</v>
    <v>95.57</v>
    <v>93.28</v>
    <v>92.75</v>
    <v>92.89</v>
    <v>93.04</v>
    <v>93.43</v>
    <v>92.09</v>
    <v>92.83</v>
    <v>92.68</v>
    <v>94.2</v>
    <v>93.38</v>
    <v>93.31</v>
    <v>94.28</v>
    <v>93.86</v>
    <v>94.39</v>
    <v>95.24</v>
    <v>96.68</v>
    <v>95.78</v>
    <v>96.07</v>
    <v>96.66</v>
    <v>96.82</v>
    <v>98.35</v>
    <v>97.12</v>
    <v>97.13</v>
    <v>97.42</v>
    <v>95.58</v>
    <v>98.43</v>
    <v>97.73</v>
    <v>97.75</v>
    <v>96.94</v>
    <v>98.15</v>
    <v>97.61</v>
    <v>97.18</v>
    <v>98.35</v>
    <v>98.59</v>
    <v>99.59</v>
    <v>98.45</v>
    <v>94.69</v>
    <v>96.24</v>
    <v>96.73</v>
    <v>96.82</v>
    <v>96.23</v>
    <v>96.5</v>
    <v>96.91</v>
    <v>98.11</v>
    <v>100.02</v>
    <v>99.64</v>
    <v>99.7</v>
    <v>99.49</v>
    <v>98.63</v>
    <v>99.13</v>
    <v>102.28</v>
    <v>102.21</v>
    <v>102.51</v>
    <v>103.78</v>
    <v>103.22</v>
    <v>102.53</v>
    <v>102.71</v>
    <v>101.9</v>
    <v>102.05</v>
    <v>103.04</v>
    <v>102.91</v>
    <v>103.56</v>
    <v>103.18</v>
    <v>103.21</v>
    <v>104.4</v>
    <v>104.12</v>
    <v>103.92</v>
    <v>102.54</v>
    <v>103.94</v>
    <v>105.46</v>
    <v>106.02</v>
    <v>105.88</v>
    <v>106.93</v>
    <v>106.21</v>
    <v>104.75</v>
    <v>105.21</v>
    <v>105.33</v>
    <v>104.74</v>
    <v>105.57</v>
    <v>106.09</v>
    <v>107.69</v>
    <v>108.61</v>
    <v>107.34</v>
    <v>108.37</v>
    <v>108.75</v>
    <v>106</v>
    <v>107.76</v>
    <v>107.98</v>
    <v>110.05</v>
    <v>109.26</v>
    <v>106.37</v>
    <v>108.49</v>
    <v>109.21</v>
    <v>107.4</v>
    <v>108.18</v>
    <v>110.24</v>
    <v>109.98</v>
    <v>109.9</v>
    <v>110.09</v>
    <v>109.53</v>
    <v>108.74</v>
    <v>108.54</v>
    <v>108.33</v>
    <v>108.47</v>
    <v>106.98</v>
    <v>104.88</v>
    <v>107.66</v>
    <v>107.46</v>
    <v>107.73</v>
    <v>105.44</v>
    <v>104.92</v>
    <v>104.33</v>
    <v>103.15</v>
    <v>103.7</v>
    <v>104.55</v>
    <v>103.79</v>
    <v>106.14</v>
    <v>107.77</v>
    <v>108.97</v>
    <v>109.04</v>
    <v>109.65</v>
    <v>108.58</v>
    <v>108.25</v>
    <v>108.72</v>
    <v>110.38</v>
    <v>110.61</v>
    <v>110.94</v>
    <v>111.06</v>
    <v>110.91</v>
    <v>111.55</v>
    <v>111.14</v>
    <v>110.19</v>
    <v>109</v>
    <v>108.82</v>
    <v>109.47</v>
    <v>110.1</v>
    <v>111.2</v>
    <v>109.93</v>
    <v>109.18</v>
    <v>108.95</v>
    <v>108.43</v>
    <v>110.47</v>
    <v>111.23</v>
    <v>112.15</v>
    <v>113.47</v>
    <v>115.27</v>
    <v>114.69</v>
    <v>115.3</v>
    <v>115.52</v>
    <v>118.02</v>
    <v>118.04</v>
    <v>115.77</v>
    <v>115.87</v>
    <v>116.73</v>
    <v>118.65</v>
    <v>116.39</v>
    <v>114.09</v>
    <v>113.24</v>
    <v>113.55</v>
    <v>112.3</v>
    <v>111.97</v>
    <v>114.18</v>
    <v>114.13</v>
    <v>113.61</v>
    <v>112.72</v>
    <v>114.42</v>
    <v>115.38</v>
    <v>115.67</v>
    <v>114.1</v>
    <v>112.5</v>
    <v>114.26</v>
    <v>113.64</v>
    <v>113.96</v>
    <v>115.57</v>
    <v>115.05</v>
    <v>114.99</v>
    <v>112.8</v>
    <v>114.38</v>
    <v>114.73</v>
    <v>115.13</v>
    <v>113.75</v>
    <v>114.92</v>
    <v>113.87</v>
    <v>115.54</v>
    <v>114.05</v>
    <v>111.34</v>
    <v>110.26</v>
    <v>113.01</v>
    <v>111.42</v>
    <v>110.77</v>
    <v>110.34</v>
    <v>111.15</v>
    <v>111.3</v>
    <v>110.81</v>
    <v>109.4</v>
    <v>108.73</v>
    <v>109.73</v>
    <v>110.64</v>
    <v>111.86</v>
    <v>110.96</v>
    <v>109.22</v>
    <v>108.79</v>
    <v>108.78</v>
    <v>111.59</v>
    <v>111.78</v>
    <v>111.48</v>
    <v>114.31</v>
    <v>114.5</v>
    <v>114.86</v>
    <v>115.02</v>
    <v>117.26</v>
    <v>117.18</v>
    <v>117.78</v>
    <v>120.19</v>
    <v>121.03</v>
    <v>121.07</v>
    <v>121.35</v>
    <v>121.93</v>
    <v>121.46</v>
    <v>121.24</v>
    <v>120.22</v>
    <v>119.94</v>
    <v>121.14</v>
    <v>122.48</v>
    <v>123.98</v>
    <v>125.09</v>
    <v>124.59</v>
    <v>123.75</v>
    <v>125.1</v>
    <v>122.22</v>
    <v>123.73</v>
    <v>125.39</v>
    <v>122.9</v>
    <v>121.89</v>
    <v>120.57</v>
    <v>123.3</v>
    <v>124.25</v>
    <v>126.18</v>
    <v>127.88</v>
    <v>127.93</v>
    <v>128.52000000000001</v>
    <v>128.91</v>
    <v>127.72</v>
    <v>127.48</v>
    <v>128.87</v>
    <v>127.78</v>
    <v>129.05000000000001</v>
    <v>127.55</v>
    <v>127.31</v>
    <v>125.75</v>
    <v>126.73</v>
    <v>127.73</v>
    <v>131.16999999999999</v>
    <v>131.26</v>
    <v>130.33000000000001</v>
    <v>131.19999999999999</v>
    <v>131.75</v>
    <v>132.85</v>
    <v>134.09</v>
    <v>133.9</v>
    <v>135.96</v>
    <v>135.32</v>
    <v>135.13999999999999</v>
    <v>133.57</v>
    <v>135.33000000000001</v>
    <v>136.97999999999999</v>
    <v>133.97</v>
    <v>134.43</v>
    <v>135.32</v>
    <v>133.93</v>
    <v>131.81</v>
    <v>133.97</v>
    <v>133.32</v>
    <v>133.26</v>
    <v>132.85</v>
    <v>133.44999999999999</v>
    <v>133.97</v>
    <v>132.54</v>
    <v>132.87</v>
    <v>133.5</v>
    <v>133.31</v>
    <v>131.77000000000001</v>
    <v>132.97999999999999</v>
    <v>132.46</v>
    <v>132.72</v>
    <v>131.13999999999999</v>
    <v>129.80000000000001</v>
    <v>129.77000000000001</v>
    <v>132.44</v>
    <v>134.25</v>
    <v>134.27000000000001</v>
    <v>134.38</v>
    <v>134.34</v>
    <v>134.03</v>
    <v>134.44999999999999</v>
    <v>134.86000000000001</v>
    <v>135.5</v>
    <v>135.37</v>
    <v>135.15</v>
    <v>134.1</v>
    <v>133.91999999999999</v>
    <v>131.77000000000001</v>
    <v>132.07</v>
    <v>131.86000000000001</v>
    <v>132.1</v>
    <v>132.08000000000001</v>
    <v>132.62</v>
    <v>132.53</v>
    <v>130.11000000000001</v>
    <v>129.83000000000001</v>
    <v>130.16</v>
    <v>131.01</v>
    <v>131.03</v>
    <v>130.87</v>
    <v>130.93</v>
    <v>129.11000000000001</v>
    <v>127.92</v>
    <v>128.66999999999999</v>
    <v>128.34</v>
    <v>127.4</v>
    <v>128.28</v>
    <v>129.15</v>
    <v>127.54</v>
    <v>128.83000000000001</v>
    <v>129.47999999999999</v>
    <v>128.58000000000001</v>
    <v>127.05</v>
    <v>127.59</v>
    <v>126.82</v>
    <v>126.73</v>
    <v>127.32</v>
    <v>126.98</v>
    <v>129.22999999999999</v>
    <v>130.01</v>
    <v>129.97</v>
    <v>128.04</v>
    <v>126.9</v>
    <v>128.63</v>
    <v>128.79</v>
    <v>127.45</v>
    <v>126.73</v>
    <v>126.27</v>
    <v>125.48</v>
    <v>125.41</v>
    <v>126.91</v>
    <v>127.47</v>
    <v>127.1</v>
    <v>127.27</v>
  </a>
  <a r="1" c="208">
    <v>108.43</v>
    <v>110.47</v>
    <v>111.23</v>
    <v>112.15</v>
    <v>113.47</v>
    <v>115.27</v>
    <v>114.69</v>
    <v>115.3</v>
    <v>115.52</v>
    <v>118.02</v>
    <v>118.04</v>
    <v>115.77</v>
    <v>115.87</v>
    <v>116.73</v>
    <v>118.65</v>
    <v>116.39</v>
    <v>114.09</v>
    <v>113.24</v>
    <v>113.55</v>
    <v>112.3</v>
    <v>111.97</v>
    <v>114.18</v>
    <v>114.13</v>
    <v>113.61</v>
    <v>112.72</v>
    <v>114.42</v>
    <v>115.38</v>
    <v>115.67</v>
    <v>114.1</v>
    <v>112.5</v>
    <v>114.26</v>
    <v>113.64</v>
    <v>113.96</v>
    <v>115.57</v>
    <v>115.05</v>
    <v>114.99</v>
    <v>112.8</v>
    <v>114.38</v>
    <v>114.73</v>
    <v>115.13</v>
    <v>113.75</v>
    <v>114.92</v>
    <v>113.87</v>
    <v>115.54</v>
    <v>114.05</v>
    <v>111.34</v>
    <v>110.26</v>
    <v>113.01</v>
    <v>111.42</v>
    <v>110.77</v>
    <v>110.34</v>
    <v>111.15</v>
    <v>111.3</v>
    <v>110.81</v>
    <v>109.4</v>
    <v>108.73</v>
    <v>109.73</v>
    <v>110.64</v>
    <v>111.86</v>
    <v>110.96</v>
    <v>109.22</v>
    <v>108.79</v>
    <v>108.78</v>
    <v>111.59</v>
    <v>111.78</v>
    <v>111.48</v>
    <v>114.31</v>
    <v>114.5</v>
    <v>114.86</v>
    <v>115.02</v>
    <v>117.26</v>
    <v>117.18</v>
    <v>117.78</v>
    <v>120.19</v>
    <v>121.03</v>
    <v>121.07</v>
    <v>121.35</v>
    <v>121.93</v>
    <v>121.46</v>
    <v>121.24</v>
    <v>120.22</v>
    <v>119.94</v>
    <v>121.14</v>
    <v>122.48</v>
    <v>123.98</v>
    <v>125.09</v>
    <v>124.59</v>
    <v>123.75</v>
    <v>125.1</v>
    <v>122.22</v>
    <v>123.73</v>
    <v>125.39</v>
    <v>122.9</v>
    <v>121.89</v>
    <v>120.57</v>
    <v>123.3</v>
    <v>124.25</v>
    <v>126.18</v>
    <v>127.88</v>
    <v>127.93</v>
    <v>128.52000000000001</v>
    <v>128.91</v>
    <v>127.72</v>
    <v>127.48</v>
    <v>128.87</v>
    <v>127.78</v>
    <v>129.05000000000001</v>
    <v>127.55</v>
    <v>127.31</v>
    <v>125.75</v>
    <v>126.73</v>
    <v>127.73</v>
    <v>131.16999999999999</v>
    <v>131.26</v>
    <v>130.33000000000001</v>
    <v>131.19999999999999</v>
    <v>131.75</v>
    <v>132.85</v>
    <v>134.09</v>
    <v>133.9</v>
    <v>135.96</v>
    <v>135.32</v>
    <v>135.13999999999999</v>
    <v>133.57</v>
    <v>135.33000000000001</v>
    <v>136.97999999999999</v>
    <v>133.97</v>
    <v>134.43</v>
    <v>135.32</v>
    <v>133.93</v>
    <v>131.81</v>
    <v>133.97</v>
    <v>133.32</v>
    <v>133.26</v>
    <v>132.85</v>
    <v>133.44999999999999</v>
    <v>133.97</v>
    <v>132.54</v>
    <v>132.87</v>
    <v>133.5</v>
    <v>133.31</v>
    <v>131.77000000000001</v>
    <v>132.97999999999999</v>
    <v>132.46</v>
    <v>132.72</v>
    <v>131.13999999999999</v>
    <v>129.80000000000001</v>
    <v>129.77000000000001</v>
    <v>132.44</v>
    <v>134.25</v>
    <v>134.27000000000001</v>
    <v>134.38</v>
    <v>134.34</v>
    <v>134.03</v>
    <v>134.44999999999999</v>
    <v>134.86000000000001</v>
    <v>135.5</v>
    <v>135.37</v>
    <v>135.15</v>
    <v>134.1</v>
    <v>133.91999999999999</v>
    <v>131.77000000000001</v>
    <v>132.07</v>
    <v>131.86000000000001</v>
    <v>132.1</v>
    <v>132.08000000000001</v>
    <v>132.62</v>
    <v>132.53</v>
    <v>130.11000000000001</v>
    <v>129.83000000000001</v>
    <v>130.16</v>
    <v>131.01</v>
    <v>131.03</v>
    <v>130.87</v>
    <v>130.93</v>
    <v>129.11000000000001</v>
    <v>127.92</v>
    <v>128.66999999999999</v>
    <v>128.34</v>
    <v>127.4</v>
    <v>128.28</v>
    <v>129.15</v>
    <v>127.54</v>
    <v>128.83000000000001</v>
    <v>129.47999999999999</v>
    <v>128.58000000000001</v>
    <v>127.05</v>
    <v>127.59</v>
    <v>126.82</v>
    <v>126.73</v>
    <v>127.32</v>
    <v>126.98</v>
    <v>129.22999999999999</v>
    <v>130.01</v>
    <v>129.97</v>
    <v>128.04</v>
    <v>126.9</v>
    <v>128.63</v>
    <v>128.79</v>
    <v>127.45</v>
    <v>126.73</v>
    <v>126.27</v>
    <v>125.48</v>
    <v>125.41</v>
    <v>126.91</v>
    <v>127.47</v>
    <v>127.1</v>
    <v>127.27</v>
  </a>
  <a r="1" c="205">
    <v>194.91</v>
    <v>195.71</v>
    <v>192.59</v>
    <v>193.75</v>
    <v>192.84</v>
    <v>189.65</v>
    <v>198.52</v>
    <v>204.68</v>
    <v>202.29</v>
    <v>193.61</v>
    <v>189.85</v>
    <v>191.09</v>
    <v>179.92</v>
    <v>173.88</v>
    <v>178.18</v>
    <v>177.16</v>
    <v>182.44</v>
    <v>174.9</v>
    <v>172.8</v>
    <v>169.01</v>
    <v>164.58</v>
    <v>160.06</v>
    <v>154.66999999999999</v>
    <v>146.66999999999999</v>
    <v>136.47999999999999</v>
    <v>142.82</v>
    <v>156.59</v>
    <v>159.88999999999999</v>
    <v>157.16</v>
    <v>156.47999999999999</v>
    <v>160.13999999999999</v>
    <v>153.97</v>
    <v>156.16999999999999</v>
    <v>156.54</v>
    <v>148.08000000000001</v>
    <v>141.31</v>
    <v>146.13999999999999</v>
    <v>147.88999999999999</v>
    <v>150.31</v>
    <v>145.4</v>
    <v>149.25</v>
    <v>149.01</v>
    <v>152.37</v>
    <v>154.79</v>
    <v>152.96</v>
    <v>151.56</v>
    <v>149.4</v>
    <v>163.12</v>
    <v>159.16</v>
    <v>155.11000000000001</v>
    <v>155.97</v>
    <v>154.69</v>
    <v>152.9</v>
    <v>155.52000000000001</v>
    <v>149.68</v>
    <v>154.34</v>
    <v>147.09</v>
    <v>146.02000000000001</v>
    <v>142.81</v>
    <v>139.66</v>
    <v>138.80000000000001</v>
    <v>147.11000000000001</v>
    <v>145.22999999999999</v>
    <v>146.38</v>
    <v>145.54</v>
    <v>143.16999999999999</v>
    <v>143.66</v>
    <v>137.86000000000001</v>
    <v>138.09</v>
    <v>155.62</v>
    <v>163</v>
    <v>169.81</v>
    <v>178.34</v>
    <v>175.06</v>
    <v>177.58</v>
    <v>181.17</v>
    <v>187.5</v>
    <v>176.28</v>
    <v>173.28</v>
    <v>172.96</v>
    <v>165.96</v>
    <v>163.83000000000001</v>
    <v>161.38999999999999</v>
    <v>171.83</v>
    <v>180.29</v>
    <v>185.35</v>
    <v>194.03</v>
    <v>194.59</v>
    <v>195.95</v>
    <v>193.84</v>
    <v>186.83</v>
    <v>189.76</v>
    <v>195.61</v>
    <v>192.95</v>
    <v>186.61</v>
    <v>181.46</v>
    <v>188.16</v>
    <v>189.77</v>
    <v>192.08</v>
    <v>193.06</v>
    <v>190.96</v>
    <v>203.7</v>
    <v>225.78</v>
    <v>248.15</v>
    <v>244.58</v>
    <v>230.33</v>
    <v>236.34</v>
    <v>213.68</v>
    <v>211.82</v>
    <v>205.81</v>
    <v>201.26</v>
    <v>184.1</v>
    <v>184.13</v>
    <v>192.64</v>
    <v>188.33</v>
    <v>183.53</v>
    <v>184.29</v>
    <v>175.07</v>
    <v>165.16</v>
    <v>157.53</v>
    <v>152.46</v>
    <v>148.53</v>
    <v>147.76</v>
    <v>146.55000000000001</v>
    <v>142.5</v>
    <v>140.27000000000001</v>
    <v>143.76</v>
    <v>141.6</v>
    <v>140.49</v>
    <v>144.22</v>
    <v>140.63999999999999</v>
    <v>131.54</v>
    <v>127.94</v>
    <v>132.49</v>
    <v>124.21</v>
    <v>126.41</v>
    <v>121.38</v>
    <v>127.05</v>
    <v>125.84</v>
    <v>120.04</v>
    <v>114.99</v>
    <v>119.9</v>
    <v>119.96</v>
    <v>117.74</v>
    <v>127.56</v>
    <v>129.87</v>
    <v>141.85</v>
    <v>145.74</v>
    <v>144.38999999999999</v>
    <v>143.47</v>
    <v>147.02000000000001</v>
    <v>151.05000000000001</v>
    <v>145.47999999999999</v>
    <v>153.28</v>
    <v>156.22</v>
    <v>150.52000000000001</v>
    <v>146.65</v>
    <v>142.79</v>
    <v>143.81</v>
    <v>142.07</v>
    <v>146.47</v>
    <v>142.44999999999999</v>
    <v>144.76</v>
    <v>148.87</v>
    <v>151.94</v>
    <v>150.85</v>
    <v>149.12</v>
    <v>141.32</v>
    <v>145.75</v>
    <v>154.04</v>
    <v>158.78</v>
    <v>162.52000000000001</v>
    <v>161.63</v>
    <v>152.94</v>
    <v>150.28</v>
    <v>144.79</v>
    <v>140.35</v>
    <v>143.16</v>
    <v>150.59</v>
    <v>147.61000000000001</v>
    <v>148.56</v>
    <v>149.19999999999999</v>
    <v>144.56</v>
    <v>139.54</v>
    <v>137.1</v>
    <v>132.6</v>
    <v>137.79</v>
    <v>137.30000000000001</v>
    <v>138.07</v>
    <v>142.30000000000001</v>
    <v>142.47999999999999</v>
    <v>144.77000000000001</v>
    <v>143.56</v>
    <v>135.69</v>
    <v>141.4</v>
    <v>137.38999999999999</v>
    <v>143.19999999999999</v>
    <v>130.55000000000001</v>
    <v>134.47</v>
    <v>128.22999999999999</v>
    <v>129.59</v>
    <v>131.13999999999999</v>
    <v>129.13</v>
    <v>125.54</v>
    <v>126.16</v>
  </a>
  <a r="1" c="252">
    <v>280.07</v>
    <v>283.33</v>
    <v>281.39999999999998</v>
    <v>280.83</v>
    <v>275.3</v>
    <v>256.89</v>
    <v>262.61</v>
    <v>257.85000000000002</v>
    <v>248.17</v>
    <v>250.31</v>
    <v>243.8</v>
    <v>239.26</v>
    <v>240.83</v>
    <v>236.15</v>
    <v>226.99</v>
    <v>217.57</v>
    <v>222.85</v>
    <v>219.86</v>
    <v>220.49</v>
    <v>225.53</v>
    <v>210.69</v>
    <v>198.76</v>
    <v>200.28</v>
    <v>197.03</v>
    <v>204.96</v>
    <v>201.95</v>
    <v>200.94</v>
    <v>201.1</v>
    <v>207.73</v>
    <v>214.33</v>
    <v>217.58</v>
    <v>220.54</v>
    <v>221.53</v>
    <v>223.01</v>
    <v>198.85</v>
    <v>189.97</v>
    <v>184.92</v>
    <v>188.65</v>
    <v>178.46</v>
    <v>180.03</v>
    <v>191.97</v>
    <v>198.38</v>
    <v>195.34</v>
    <v>197.49</v>
    <v>197.99</v>
    <v>195.38</v>
    <v>197.21</v>
    <v>194.91</v>
    <v>195.71</v>
    <v>192.59</v>
    <v>193.75</v>
    <v>192.84</v>
    <v>189.65</v>
    <v>198.52</v>
    <v>204.68</v>
    <v>202.29</v>
    <v>193.61</v>
    <v>189.85</v>
    <v>191.09</v>
    <v>179.92</v>
    <v>173.88</v>
    <v>178.18</v>
    <v>177.16</v>
    <v>182.44</v>
    <v>174.9</v>
    <v>172.8</v>
    <v>169.01</v>
    <v>164.58</v>
    <v>160.06</v>
    <v>154.66999999999999</v>
    <v>146.66999999999999</v>
    <v>136.47999999999999</v>
    <v>142.82</v>
    <v>156.59</v>
    <v>159.88999999999999</v>
    <v>157.16</v>
    <v>156.47999999999999</v>
    <v>160.13999999999999</v>
    <v>153.97</v>
    <v>156.16999999999999</v>
    <v>156.54</v>
    <v>148.08000000000001</v>
    <v>141.31</v>
    <v>146.13999999999999</v>
    <v>147.88999999999999</v>
    <v>150.31</v>
    <v>145.4</v>
    <v>149.25</v>
    <v>149.01</v>
    <v>152.37</v>
    <v>154.79</v>
    <v>152.96</v>
    <v>151.56</v>
    <v>149.4</v>
    <v>163.12</v>
    <v>159.16</v>
    <v>155.11000000000001</v>
    <v>155.97</v>
    <v>154.69</v>
    <v>152.9</v>
    <v>155.52000000000001</v>
    <v>149.68</v>
    <v>154.34</v>
    <v>147.09</v>
    <v>146.02000000000001</v>
    <v>142.81</v>
    <v>139.66</v>
    <v>138.80000000000001</v>
    <v>147.11000000000001</v>
    <v>145.22999999999999</v>
    <v>146.38</v>
    <v>145.54</v>
    <v>143.16999999999999</v>
    <v>143.66</v>
    <v>137.86000000000001</v>
    <v>138.09</v>
    <v>155.62</v>
    <v>163</v>
    <v>169.81</v>
    <v>178.34</v>
    <v>175.06</v>
    <v>177.58</v>
    <v>181.17</v>
    <v>187.5</v>
    <v>176.28</v>
    <v>173.28</v>
    <v>172.96</v>
    <v>165.96</v>
    <v>163.83000000000001</v>
    <v>161.38999999999999</v>
    <v>171.83</v>
    <v>180.29</v>
    <v>185.35</v>
    <v>194.03</v>
    <v>194.59</v>
    <v>195.95</v>
    <v>193.84</v>
    <v>186.83</v>
    <v>189.76</v>
    <v>195.61</v>
    <v>192.95</v>
    <v>186.61</v>
    <v>181.46</v>
    <v>188.16</v>
    <v>189.77</v>
    <v>192.08</v>
    <v>193.06</v>
    <v>190.96</v>
    <v>203.7</v>
    <v>225.78</v>
    <v>248.15</v>
    <v>244.58</v>
    <v>230.33</v>
    <v>236.34</v>
    <v>213.68</v>
    <v>211.82</v>
    <v>205.81</v>
    <v>201.26</v>
    <v>184.1</v>
    <v>184.13</v>
    <v>192.64</v>
    <v>188.33</v>
    <v>183.53</v>
    <v>184.29</v>
    <v>175.07</v>
    <v>165.16</v>
    <v>157.53</v>
    <v>152.46</v>
    <v>148.53</v>
    <v>147.76</v>
    <v>146.55000000000001</v>
    <v>142.5</v>
    <v>140.27000000000001</v>
    <v>143.76</v>
    <v>141.6</v>
    <v>140.49</v>
    <v>144.22</v>
    <v>140.63999999999999</v>
    <v>131.54</v>
    <v>127.94</v>
    <v>132.49</v>
    <v>124.21</v>
    <v>126.41</v>
    <v>121.38</v>
    <v>127.05</v>
    <v>125.84</v>
    <v>120.04</v>
    <v>114.99</v>
    <v>119.9</v>
    <v>119.96</v>
    <v>117.74</v>
    <v>127.56</v>
    <v>129.87</v>
    <v>141.85</v>
    <v>145.74</v>
    <v>144.38999999999999</v>
    <v>143.47</v>
    <v>147.02000000000001</v>
    <v>151.05000000000001</v>
    <v>145.47999999999999</v>
    <v>153.28</v>
    <v>156.22</v>
    <v>150.52000000000001</v>
    <v>146.65</v>
    <v>142.79</v>
    <v>143.81</v>
    <v>142.07</v>
    <v>146.47</v>
    <v>142.44999999999999</v>
    <v>144.76</v>
    <v>148.87</v>
    <v>151.94</v>
    <v>150.85</v>
    <v>149.12</v>
    <v>141.32</v>
    <v>145.75</v>
    <v>154.04</v>
    <v>158.78</v>
    <v>162.52000000000001</v>
    <v>161.63</v>
    <v>152.94</v>
    <v>150.28</v>
    <v>144.79</v>
    <v>140.35</v>
    <v>143.16</v>
    <v>150.59</v>
    <v>147.61000000000001</v>
    <v>148.56</v>
    <v>149.19999999999999</v>
    <v>144.56</v>
    <v>139.54</v>
    <v>137.1</v>
    <v>132.6</v>
    <v>137.79</v>
    <v>137.30000000000001</v>
    <v>138.07</v>
    <v>142.30000000000001</v>
    <v>142.47999999999999</v>
    <v>144.77000000000001</v>
    <v>143.56</v>
    <v>135.69</v>
    <v>141.4</v>
    <v>137.38999999999999</v>
    <v>143.19999999999999</v>
    <v>130.55000000000001</v>
    <v>134.47</v>
    <v>128.22999999999999</v>
    <v>129.59</v>
    <v>131.13999999999999</v>
    <v>129.13</v>
    <v>125.54</v>
    <v>126.16</v>
  </a>
  <a r="1" c="754">
    <v>103.66</v>
    <v>103.2</v>
    <v>101.43</v>
    <v>100.4</v>
    <v>100.99</v>
    <v>101.65</v>
    <v>103.4</v>
    <v>105.75</v>
    <v>106.87</v>
    <v>108.05</v>
    <v>109.11</v>
    <v>108.99</v>
    <v>112.33</v>
    <v>112.18</v>
    <v>113.07</v>
    <v>114.15</v>
    <v>116.1</v>
    <v>114.06</v>
    <v>114.67</v>
    <v>115.36</v>
    <v>116.92</v>
    <v>116.08</v>
    <v>116.24</v>
    <v>116.25</v>
    <v>116.47</v>
    <v>116.24</v>
    <v>116.21</v>
    <v>116.21</v>
    <v>117.16</v>
    <v>115.78</v>
    <v>114.53</v>
    <v>112.03</v>
    <v>112.87</v>
    <v>113.61</v>
    <v>115.13</v>
    <v>100.81</v>
    <v>102.99</v>
    <v>100.31</v>
    <v>103.32</v>
    <v>105</v>
    <v>106.25</v>
    <v>104.15</v>
    <v>105.86</v>
    <v>106.2</v>
    <v>106.19</v>
    <v>105.94</v>
    <v>106.25</v>
    <v>105.43</v>
    <v>104.06</v>
    <v>102.46</v>
    <v>102.59</v>
    <v>102.73</v>
    <v>104.66</v>
    <v>103.63</v>
    <v>103.92</v>
    <v>104.77</v>
    <v>106.6</v>
    <v>106.57</v>
    <v>106.43</v>
    <v>108.7</v>
    <v>109.67</v>
    <v>110.1</v>
    <v>111.83</v>
    <v>114.31</v>
    <v>115</v>
    <v>114.64</v>
    <v>113.75</v>
    <v>114.16</v>
    <v>111.7</v>
    <v>115.53</v>
    <v>115.79</v>
    <v>116.39</v>
    <v>115.3</v>
    <v>117.27</v>
    <v>116.68</v>
    <v>116.64</v>
    <v>115.84</v>
    <v>113.68</v>
    <v>114.26</v>
    <v>112.78</v>
    <v>111.31</v>
    <v>108.45</v>
    <v>108.16</v>
    <v>111.01</v>
    <v>111.95</v>
    <v>110.97</v>
    <v>111.38</v>
    <v>111.68</v>
    <v>111.68</v>
    <v>113.78</v>
    <v>114.06</v>
    <v>110.94</v>
    <v>112.27</v>
    <v>114.54</v>
    <v>112.42</v>
    <v>114.13</v>
    <v>127.54</v>
    <v>125.52</v>
    <v>125.53</v>
    <v>125.54</v>
    <v>127.8</v>
    <v>129.19</v>
    <v>129.24</v>
    <v>129.01</v>
    <v>127.79</v>
    <v>126.08</v>
    <v>126.47</v>
    <v>125.27</v>
    <v>125.61</v>
    <v>125.48</v>
    <v>124.34</v>
    <v>126.24</v>
    <v>124.19</v>
    <v>124.9</v>
    <v>124.35</v>
    <v>123.23</v>
    <v>121.75</v>
    <v>123.24</v>
    <v>121.11</v>
    <v>119.88</v>
    <v>120.62</v>
    <v>118.67</v>
    <v>116</v>
    <v>114.88</v>
    <v>114.53</v>
    <v>115.09</v>
    <v>115.34</v>
    <v>114.89</v>
    <v>117.21</v>
    <v>116.49</v>
    <v>113.75</v>
    <v>114.63</v>
    <v>114.96</v>
    <v>115.8</v>
    <v>118.34</v>
    <v>117.93</v>
    <v>117.39</v>
    <v>116.64</v>
    <v>116.67</v>
    <v>116.37</v>
    <v>120.87</v>
    <v>121.63</v>
    <v>122.16</v>
    <v>123.5</v>
    <v>124.52</v>
    <v>124.63</v>
    <v>124.6</v>
    <v>124.09</v>
    <v>122.91</v>
    <v>124.49</v>
    <v>123.74</v>
    <v>117.09</v>
    <v>117.19</v>
    <v>119.28</v>
    <v>120.07</v>
    <v>122.63</v>
    <v>123.5</v>
    <v>125.92</v>
    <v>124.5</v>
    <v>123.88</v>
    <v>140.38</v>
    <v>139.85</v>
    <v>138.13</v>
    <v>141.31</v>
    <v>144.63999999999999</v>
    <v>142.91</v>
    <v>141.5</v>
    <v>139.88999999999999</v>
    <v>139.16999999999999</v>
    <v>138.22999999999999</v>
    <v>140.18</v>
    <v>141.19999999999999</v>
    <v>143.09</v>
    <v>143.28</v>
    <v>144.38</v>
    <v>144.83000000000001</v>
    <v>145.03</v>
    <v>140.68</v>
    <v>142.07</v>
    <v>142.76</v>
    <v>144.77000000000001</v>
    <v>143.07</v>
    <v>142.61000000000001</v>
    <v>139.26</v>
    <v>138.03</v>
    <v>138.56</v>
    <v>140.16999999999999</v>
    <v>143.11000000000001</v>
    <v>138.77000000000001</v>
    <v>137.82</v>
    <v>139.01</v>
    <v>138.31</v>
    <v>135.66999999999999</v>
    <v>139.44999999999999</v>
    <v>137.51</v>
    <v>133.28</v>
    <v>127.86</v>
    <v>128.21</v>
    <v>125.9</v>
    <v>128.96</v>
    <v>132.06</v>
    <v>132.58000000000001</v>
    <v>134.26</v>
    <v>135.6</v>
    <v>136.93</v>
    <v>137.47</v>
    <v>137.91999999999999</v>
    <v>139.16999999999999</v>
    <v>140.19999999999999</v>
    <v>138.08000000000001</v>
    <v>139.19</v>
    <v>138.9</v>
    <v>138.47999999999999</v>
    <v>137.88</v>
    <v>139.41999999999999</v>
    <v>141.29</v>
    <v>139.5</v>
    <v>140.75</v>
    <v>142.61000000000001</v>
    <v>141.81</v>
    <v>139.88999999999999</v>
    <v>155.88999999999999</v>
    <v>157.18</v>
    <v>161.38</v>
    <v>162.03</v>
    <v>170.33</v>
    <v>167.47</v>
    <v>164.53</v>
    <v>167.59</v>
    <v>168</v>
    <v>165.95</v>
    <v>165.8</v>
    <v>166.28</v>
    <v>168.1</v>
    <v>168.74</v>
    <v>170.4</v>
    <v>167.16</v>
    <v>167.71</v>
    <v>166.86</v>
    <v>170.86</v>
    <v>169.97</v>
    <v>174.37</v>
    <v>178.29</v>
    <v>175.41</v>
    <v>175.77</v>
    <v>176.12</v>
    <v>174.09</v>
    <v>174.77</v>
    <v>175.68</v>
    <v>174.69</v>
    <v>173.76</v>
    <v>175.31</v>
    <v>173.1</v>
    <v>174.38</v>
    <v>173.52</v>
    <v>172.42</v>
    <v>173.43</v>
    <v>174.56</v>
    <v>167.84</v>
    <v>170.02</v>
    <v>169.59</v>
    <v>171.78</v>
    <v>181.24</v>
    <v>186.37</v>
    <v>189.25</v>
    <v>189.13</v>
    <v>189.58</v>
    <v>189.63</v>
    <v>187.05</v>
    <v>183.74</v>
    <v>185.73</v>
    <v>188.9</v>
    <v>190.75</v>
    <v>192.43</v>
    <v>192.29</v>
    <v>187.99</v>
    <v>190.37</v>
    <v>182.7</v>
    <v>184.84</v>
    <v>181.41</v>
    <v>182.89</v>
    <v>188.19</v>
    <v>186.24</v>
    <v>191.69</v>
    <v>190.45</v>
    <v>177.74</v>
    <v>178.58</v>
    <v>175.32</v>
    <v>173.39</v>
    <v>171.23</v>
    <v>169.71</v>
    <v>165.41</v>
    <v>168.79</v>
    <v>169.66</v>
    <v>169.14</v>
    <v>171.41</v>
    <v>171.68</v>
    <v>168.96</v>
    <v>166.91</v>
    <v>166.64</v>
    <v>166.03</v>
    <v>166.32</v>
    <v>165.69</v>
    <v>162.03</v>
    <v>163.13999999999999</v>
    <v>154.5</v>
    <v>153.91999999999999</v>
    <v>156.31</v>
    <v>158.31</v>
    <v>159.54</v>
    <v>161.03</v>
    <v>172.57</v>
    <v>184.22</v>
    <v>186.47</v>
    <v>183.6</v>
    <v>158.28</v>
    <v>164</v>
    <v>162.02000000000001</v>
    <v>170.38</v>
    <v>170.06</v>
    <v>168.6</v>
    <v>167.89</v>
    <v>171.66</v>
    <v>172.35</v>
    <v>174.46</v>
    <v>178.92</v>
    <v>177.19</v>
    <v>172.22</v>
    <v>173.86</v>
    <v>174.16</v>
    <v>179.8</v>
    <v>181.52</v>
    <v>176</v>
    <v>167.81</v>
    <v>169.96</v>
    <v>168.54</v>
    <v>172.47</v>
    <v>164.76</v>
    <v>166.06</v>
    <v>162.02000000000001</v>
    <v>157.47</v>
    <v>161.56</v>
    <v>150.94</v>
    <v>155.16</v>
    <v>148.79</v>
    <v>144.18</v>
    <v>150.88999999999999</v>
    <v>147.66</v>
    <v>149.27000000000001</v>
    <v>154.01</v>
    <v>149.44999999999999</v>
    <v>152.44999999999999</v>
    <v>152.72</v>
    <v>152.22999999999999</v>
    <v>154.87</v>
    <v>153.93</v>
    <v>147.80000000000001</v>
    <v>145.78</v>
    <v>140.87</v>
    <v>139.81</v>
    <v>141.94</v>
    <v>145.86000000000001</v>
    <v>137.22999999999999</v>
    <v>128.27000000000001</v>
    <v>127.16</v>
    <v>124.5</v>
    <v>139.69</v>
    <v>133.35</v>
    <v>132.35</v>
    <v>134.63999999999999</v>
    <v>133.94</v>
    <v>129.76</v>
    <v>128.62</v>
    <v>122.82</v>
    <v>127.24</v>
    <v>131.4</v>
    <v>137.51</v>
    <v>138.49</v>
    <v>140.13999999999999</v>
    <v>140.79</v>
    <v>140.72</v>
    <v>145.49</v>
    <v>150.72999999999999</v>
    <v>149.29</v>
    <v>147.69999999999999</v>
    <v>149.37</v>
    <v>150.30000000000001</v>
    <v>150.34</v>
    <v>157.22</v>
    <v>162.27000000000001</v>
    <v>162.94999999999999</v>
    <v>159.4</v>
    <v>160.49</v>
    <v>159.63999999999999</v>
    <v>160.31</v>
    <v>157.18</v>
    <v>157.31</v>
    <v>155.97</v>
    <v>161.91</v>
    <v>163.85</v>
    <v>162.9</v>
    <v>165.53</v>
    <v>166.57</v>
    <v>169.14</v>
    <v>168.1</v>
    <v>171.14</v>
    <v>174.02</v>
    <v>177.15</v>
    <v>177.48</v>
    <v>176.38</v>
    <v>199.86</v>
    <v>215.22</v>
    <v>211.1</v>
    <v>208.18</v>
    <v>210.87</v>
    <v>205.17</v>
    <v>207.04</v>
    <v>215.27</v>
    <v>210.72</v>
    <v>212.82</v>
    <v>210.24</v>
    <v>218.63</v>
    <v>218.96</v>
    <v>229.98</v>
    <v>237.32</v>
    <v>232.26</v>
    <v>234.5</v>
    <v>235.81</v>
    <v>235</v>
    <v>230.56</v>
    <v>229.28</v>
    <v>234.96</v>
    <v>241.3</v>
    <v>248.75</v>
    <v>245.45</v>
    <v>243.54</v>
    <v>238.11</v>
    <v>241.9</v>
    <v>242.83</v>
    <v>245.12</v>
    <v>247.71</v>
    <v>249.98</v>
    <v>250.6</v>
    <v>253.77</v>
    <v>244.42</v>
    <v>252.53</v>
    <v>255.67</v>
    <v>256.43</v>
    <v>249.39</v>
    <v>250.05</v>
    <v>252.68</v>
    <v>253.86</v>
    <v>244.18</v>
    <v>244.96</v>
    <v>248.28</v>
    <v>249.07</v>
    <v>234.62</v>
    <v>235.06</v>
    <v>233.16</v>
    <v>236.37</v>
    <v>235.41</v>
    <v>234.21</v>
    <v>235.81</v>
    <v>240.32</v>
    <v>226.13</v>
    <v>225.3</v>
    <v>223.45</v>
    <v>223</v>
    <v>232.8</v>
    <v>238.48</v>
    <v>241.51</v>
    <v>328.33</v>
    <v>307.86</v>
    <v>292.18</v>
    <v>302.14</v>
    <v>306.64999999999998</v>
    <v>301.41000000000003</v>
    <v>296.62</v>
    <v>308.66000000000003</v>
    <v>328.15</v>
    <v>313.83</v>
    <v>308.45999999999998</v>
    <v>291.33</v>
    <v>283.45999999999998</v>
    <v>282.76</v>
    <v>281.24</v>
    <v>289.01</v>
    <v>288.77999999999997</v>
    <v>286.14</v>
    <v>291.58999999999997</v>
    <v>284.24</v>
    <v>288.63</v>
    <v>296.95999999999998</v>
    <v>292.95999999999998</v>
    <v>308.01</v>
    <v>299</v>
    <v>303.62</v>
    <v>313</v>
    <v>291.31</v>
    <v>277.18</v>
    <v>275.14999999999998</v>
    <v>272.66000000000003</v>
    <v>280.07</v>
    <v>283.33</v>
    <v>281.39999999999998</v>
    <v>280.83</v>
    <v>275.3</v>
    <v>256.89</v>
    <v>262.61</v>
    <v>257.85000000000002</v>
    <v>248.17</v>
    <v>250.31</v>
    <v>243.8</v>
    <v>239.26</v>
    <v>240.83</v>
    <v>236.15</v>
    <v>226.99</v>
    <v>217.57</v>
    <v>222.85</v>
    <v>219.86</v>
    <v>220.49</v>
    <v>225.53</v>
    <v>210.69</v>
    <v>198.76</v>
    <v>200.28</v>
    <v>197.03</v>
    <v>204.96</v>
    <v>201.95</v>
    <v>200.94</v>
    <v>201.1</v>
    <v>207.73</v>
    <v>214.33</v>
    <v>217.58</v>
    <v>220.54</v>
    <v>221.53</v>
    <v>223.01</v>
    <v>198.85</v>
    <v>189.97</v>
    <v>184.92</v>
    <v>188.65</v>
    <v>178.46</v>
    <v>180.03</v>
    <v>191.97</v>
    <v>198.38</v>
    <v>195.34</v>
    <v>197.49</v>
    <v>197.99</v>
    <v>195.38</v>
    <v>197.21</v>
    <v>194.91</v>
    <v>195.71</v>
    <v>192.59</v>
    <v>193.75</v>
    <v>192.84</v>
    <v>189.65</v>
    <v>198.52</v>
    <v>204.68</v>
    <v>202.29</v>
    <v>193.61</v>
    <v>189.85</v>
    <v>191.09</v>
    <v>179.92</v>
    <v>173.88</v>
    <v>178.18</v>
    <v>177.16</v>
    <v>182.44</v>
    <v>174.9</v>
    <v>172.8</v>
    <v>169.01</v>
    <v>164.58</v>
    <v>160.06</v>
    <v>154.66999999999999</v>
    <v>146.66999999999999</v>
    <v>136.47999999999999</v>
    <v>142.82</v>
    <v>156.59</v>
    <v>159.88999999999999</v>
    <v>157.16</v>
    <v>156.47999999999999</v>
    <v>160.13999999999999</v>
    <v>153.97</v>
    <v>156.16999999999999</v>
    <v>156.54</v>
    <v>148.08000000000001</v>
    <v>141.31</v>
    <v>146.13999999999999</v>
    <v>147.88999999999999</v>
    <v>150.31</v>
    <v>145.4</v>
    <v>149.25</v>
    <v>149.01</v>
    <v>152.37</v>
    <v>154.79</v>
    <v>152.96</v>
    <v>151.56</v>
    <v>149.4</v>
    <v>163.12</v>
    <v>159.16</v>
    <v>155.11000000000001</v>
    <v>155.97</v>
    <v>154.69</v>
    <v>152.9</v>
    <v>155.52000000000001</v>
    <v>149.68</v>
    <v>154.34</v>
    <v>147.09</v>
    <v>146.02000000000001</v>
    <v>142.81</v>
    <v>139.66</v>
    <v>138.80000000000001</v>
    <v>147.11000000000001</v>
    <v>145.22999999999999</v>
    <v>146.38</v>
    <v>145.54</v>
    <v>143.16999999999999</v>
    <v>143.66</v>
    <v>137.86000000000001</v>
    <v>138.09</v>
    <v>155.62</v>
    <v>163</v>
    <v>169.81</v>
    <v>178.34</v>
    <v>175.06</v>
    <v>177.58</v>
    <v>181.17</v>
    <v>187.5</v>
    <v>176.28</v>
    <v>173.28</v>
    <v>172.96</v>
    <v>165.96</v>
    <v>163.83000000000001</v>
    <v>161.38999999999999</v>
    <v>171.83</v>
    <v>180.29</v>
    <v>185.35</v>
    <v>194.03</v>
    <v>194.59</v>
    <v>195.95</v>
    <v>193.84</v>
    <v>186.83</v>
    <v>189.76</v>
    <v>195.61</v>
    <v>192.95</v>
    <v>186.61</v>
    <v>181.46</v>
    <v>188.16</v>
    <v>189.77</v>
    <v>192.08</v>
    <v>193.06</v>
    <v>190.96</v>
    <v>203.7</v>
    <v>225.78</v>
    <v>248.15</v>
    <v>244.58</v>
    <v>230.33</v>
    <v>236.34</v>
    <v>213.68</v>
    <v>211.82</v>
    <v>205.81</v>
    <v>201.26</v>
    <v>184.1</v>
    <v>184.13</v>
    <v>192.64</v>
    <v>188.33</v>
    <v>183.53</v>
    <v>184.29</v>
    <v>175.07</v>
    <v>165.16</v>
    <v>157.53</v>
    <v>152.46</v>
    <v>148.53</v>
    <v>147.76</v>
    <v>146.55000000000001</v>
    <v>142.5</v>
    <v>140.27000000000001</v>
    <v>143.76</v>
    <v>141.6</v>
    <v>140.49</v>
    <v>144.22</v>
    <v>140.63999999999999</v>
    <v>131.54</v>
    <v>127.94</v>
    <v>132.49</v>
    <v>124.21</v>
    <v>126.41</v>
    <v>121.38</v>
    <v>127.05</v>
    <v>125.84</v>
    <v>120.04</v>
    <v>114.99</v>
    <v>119.9</v>
    <v>119.96</v>
    <v>117.74</v>
    <v>127.56</v>
    <v>129.87</v>
    <v>141.85</v>
    <v>145.74</v>
    <v>144.38999999999999</v>
    <v>143.47</v>
    <v>147.02000000000001</v>
    <v>151.05000000000001</v>
    <v>145.47999999999999</v>
    <v>153.28</v>
    <v>156.22</v>
    <v>150.52000000000001</v>
    <v>146.65</v>
    <v>142.79</v>
    <v>143.81</v>
    <v>142.07</v>
    <v>146.47</v>
    <v>142.44999999999999</v>
    <v>144.76</v>
    <v>148.87</v>
    <v>151.94</v>
    <v>150.85</v>
    <v>149.12</v>
    <v>141.32</v>
    <v>145.75</v>
    <v>154.04</v>
    <v>158.78</v>
    <v>162.52000000000001</v>
    <v>161.63</v>
    <v>152.94</v>
    <v>150.28</v>
    <v>144.79</v>
    <v>140.35</v>
    <v>143.16</v>
    <v>150.59</v>
    <v>147.61000000000001</v>
    <v>148.56</v>
    <v>149.19999999999999</v>
    <v>144.56</v>
    <v>139.54</v>
    <v>137.1</v>
    <v>132.6</v>
    <v>137.79</v>
    <v>137.30000000000001</v>
    <v>138.07</v>
    <v>142.30000000000001</v>
    <v>142.47999999999999</v>
    <v>144.77000000000001</v>
    <v>143.56</v>
    <v>135.69</v>
    <v>141.4</v>
    <v>137.38999999999999</v>
    <v>143.19999999999999</v>
    <v>130.55000000000001</v>
    <v>134.47</v>
    <v>128.22999999999999</v>
    <v>129.59</v>
    <v>131.13999999999999</v>
    <v>129.13</v>
    <v>125.54</v>
    <v>126.16</v>
  </a>
  <a r="1" c="205">
    <v>9.9700000000000006</v>
    <v>10.6</v>
    <v>11</v>
    <v>11.23</v>
    <v>11.06</v>
    <v>11.02</v>
    <v>11.75</v>
    <v>11.57</v>
    <v>11.08</v>
    <v>11.28</v>
    <v>10.92</v>
    <v>11.1</v>
    <v>10.45</v>
    <v>10.62</v>
    <v>10.9</v>
    <v>10.33</v>
    <v>9.84</v>
    <v>9.94</v>
    <v>9.69</v>
    <v>9.08</v>
    <v>8.4600000000000009</v>
    <v>8.42</v>
    <v>8.26</v>
    <v>8.07</v>
    <v>7.35</v>
    <v>8.56</v>
    <v>8.81</v>
    <v>8.25</v>
    <v>7.96</v>
    <v>7.46</v>
    <v>7.46</v>
    <v>7.32</v>
    <v>7.54</v>
    <v>7.83</v>
    <v>7.82</v>
    <v>7.83</v>
    <v>8.36</v>
    <v>8.52</v>
    <v>8.98</v>
    <v>8.6</v>
    <v>8.6199999999999992</v>
    <v>8.51</v>
    <v>8.16</v>
    <v>8.27</v>
    <v>8.07</v>
    <v>8.2200000000000006</v>
    <v>7.9</v>
    <v>7.79</v>
    <v>7.47</v>
    <v>7.3</v>
    <v>7.54</v>
    <v>7.82</v>
    <v>7.39</v>
    <v>6.875</v>
    <v>6.55</v>
    <v>6.89</v>
    <v>6.36</v>
    <v>6.48</v>
    <v>6.06</v>
    <v>5.9</v>
    <v>6.03</v>
    <v>6.87</v>
    <v>6.68</v>
    <v>6.78</v>
    <v>6.7</v>
    <v>6.7</v>
    <v>6.79</v>
    <v>6.55</v>
    <v>6.43</v>
    <v>6.84</v>
    <v>6.97</v>
    <v>7.85</v>
    <v>7.7</v>
    <v>8.08</v>
    <v>8.32</v>
    <v>7.85</v>
    <v>8.2200000000000006</v>
    <v>7.82</v>
    <v>8.19</v>
    <v>8.16</v>
    <v>8.06</v>
    <v>7.71</v>
    <v>7.96</v>
    <v>9.56</v>
    <v>9.4700000000000006</v>
    <v>9.14</v>
    <v>9.3699999999999992</v>
    <v>9.6300000000000008</v>
    <v>8.8800000000000008</v>
    <v>8.4499999999999993</v>
    <v>8.06</v>
    <v>8.42</v>
    <v>8.52</v>
    <v>8.41</v>
    <v>8.35</v>
    <v>8.4499999999999993</v>
    <v>8.4499999999999993</v>
    <v>8.32</v>
    <v>8.17</v>
    <v>8.1300000000000008</v>
    <v>8.08</v>
    <v>8.56</v>
    <v>9</v>
    <v>9.25</v>
    <v>8.82</v>
    <v>8.08</v>
    <v>8.01</v>
    <v>7.39</v>
    <v>7.49</v>
    <v>7.02</v>
    <v>6.75</v>
    <v>7</v>
    <v>6.9</v>
    <v>7.33</v>
    <v>7.03</v>
    <v>6.96</v>
    <v>7.12</v>
    <v>6.88</v>
    <v>6.44</v>
    <v>6.34</v>
    <v>6.21</v>
    <v>6.41</v>
    <v>6.4</v>
    <v>6.47</v>
    <v>6.68</v>
    <v>6.55</v>
    <v>6.96</v>
    <v>6.64</v>
    <v>6.8</v>
    <v>6.68</v>
    <v>6.64</v>
    <v>6.49</v>
    <v>6.69</v>
    <v>6.5</v>
    <v>6.31</v>
    <v>6.27</v>
    <v>6.31</v>
    <v>6.5549999999999997</v>
    <v>6.46</v>
    <v>6.22</v>
    <v>6.16</v>
    <v>6.41</v>
    <v>6.24</v>
    <v>5.7</v>
    <v>6.14</v>
    <v>6.13</v>
    <v>6.1</v>
    <v>6.51</v>
    <v>6.43</v>
    <v>7.08</v>
    <v>8.02</v>
    <v>7.46</v>
    <v>7.41</v>
    <v>7.4</v>
    <v>7.48</v>
    <v>7.43</v>
    <v>7.04</v>
    <v>6.99</v>
    <v>7.16</v>
    <v>6.97</v>
    <v>7.32</v>
    <v>7</v>
    <v>7.05</v>
    <v>7.01</v>
    <v>7.22</v>
    <v>7.11</v>
    <v>7.16</v>
    <v>6.85</v>
    <v>6.78</v>
    <v>6.74</v>
    <v>6.74</v>
    <v>6.57</v>
    <v>6.48</v>
    <v>6.28</v>
    <v>6.26</v>
    <v>6.47</v>
    <v>6.15</v>
    <v>5.93</v>
    <v>6</v>
    <v>5.93</v>
    <v>6.17</v>
    <v>6.12</v>
    <v>6.01</v>
    <v>6.1</v>
    <v>6.05</v>
    <v>5.83</v>
    <v>5.84</v>
    <v>6.02</v>
    <v>6.05</v>
    <v>5.84</v>
    <v>5.88</v>
    <v>5.72</v>
    <v>5.63</v>
    <v>5.52</v>
    <v>5.39</v>
    <v>4.97</v>
    <v>4.88</v>
    <v>4.53</v>
    <v>4.8899999999999997</v>
    <v>4.72</v>
    <v>4.6500000000000004</v>
    <v>4.7</v>
    <v>4.6100000000000003</v>
    <v>4.5</v>
    <v>4.43</v>
  </a>
  <a r="1" c="252">
    <v>18.239999999999998</v>
    <v>17.98</v>
    <v>18.329999999999998</v>
    <v>17.71</v>
    <v>18.149999999999999</v>
    <v>16.87</v>
    <v>17.62</v>
    <v>17.11</v>
    <v>15.13</v>
    <v>15.72</v>
    <v>14.23</v>
    <v>14.14</v>
    <v>14.41</v>
    <v>13.44</v>
    <v>13.24</v>
    <v>12.22</v>
    <v>12.17</v>
    <v>11.43</v>
    <v>11.53</v>
    <v>11.63</v>
    <v>11.29</v>
    <v>11.22</v>
    <v>11.95</v>
    <v>11.94</v>
    <v>11.82</v>
    <v>12.05</v>
    <v>11.52</v>
    <v>11.22</v>
    <v>11.78</v>
    <v>12.8</v>
    <v>12.76</v>
    <v>12.68</v>
    <v>12.31</v>
    <v>12.21</v>
    <v>12.03</v>
    <v>11.65</v>
    <v>10.79</v>
    <v>11.11</v>
    <v>10.99</v>
    <v>10.89</v>
    <v>11.02</v>
    <v>11.27</v>
    <v>11</v>
    <v>10.9</v>
    <v>10.7</v>
    <v>10.41</v>
    <v>10.039999999999999</v>
    <v>9.9700000000000006</v>
    <v>10.6</v>
    <v>11</v>
    <v>11.23</v>
    <v>11.06</v>
    <v>11.02</v>
    <v>11.75</v>
    <v>11.57</v>
    <v>11.08</v>
    <v>11.28</v>
    <v>10.92</v>
    <v>11.1</v>
    <v>10.45</v>
    <v>10.62</v>
    <v>10.9</v>
    <v>10.33</v>
    <v>9.84</v>
    <v>9.94</v>
    <v>9.69</v>
    <v>9.08</v>
    <v>8.4600000000000009</v>
    <v>8.42</v>
    <v>8.26</v>
    <v>8.07</v>
    <v>7.35</v>
    <v>8.56</v>
    <v>8.81</v>
    <v>8.25</v>
    <v>7.96</v>
    <v>7.46</v>
    <v>7.46</v>
    <v>7.32</v>
    <v>7.54</v>
    <v>7.83</v>
    <v>7.82</v>
    <v>7.83</v>
    <v>8.36</v>
    <v>8.52</v>
    <v>8.98</v>
    <v>8.6</v>
    <v>8.6199999999999992</v>
    <v>8.51</v>
    <v>8.16</v>
    <v>8.27</v>
    <v>8.07</v>
    <v>8.2200000000000006</v>
    <v>7.9</v>
    <v>7.79</v>
    <v>7.47</v>
    <v>7.3</v>
    <v>7.54</v>
    <v>7.82</v>
    <v>7.39</v>
    <v>6.875</v>
    <v>6.55</v>
    <v>6.89</v>
    <v>6.36</v>
    <v>6.48</v>
    <v>6.06</v>
    <v>5.9</v>
    <v>6.03</v>
    <v>6.87</v>
    <v>6.68</v>
    <v>6.78</v>
    <v>6.7</v>
    <v>6.7</v>
    <v>6.79</v>
    <v>6.55</v>
    <v>6.43</v>
    <v>6.84</v>
    <v>6.97</v>
    <v>7.85</v>
    <v>7.7</v>
    <v>8.08</v>
    <v>8.32</v>
    <v>7.85</v>
    <v>8.2200000000000006</v>
    <v>7.82</v>
    <v>8.19</v>
    <v>8.16</v>
    <v>8.06</v>
    <v>7.71</v>
    <v>7.96</v>
    <v>9.56</v>
    <v>9.4700000000000006</v>
    <v>9.14</v>
    <v>9.3699999999999992</v>
    <v>9.6300000000000008</v>
    <v>8.8800000000000008</v>
    <v>8.4499999999999993</v>
    <v>8.06</v>
    <v>8.42</v>
    <v>8.52</v>
    <v>8.41</v>
    <v>8.35</v>
    <v>8.4499999999999993</v>
    <v>8.4499999999999993</v>
    <v>8.32</v>
    <v>8.17</v>
    <v>8.1300000000000008</v>
    <v>8.08</v>
    <v>8.56</v>
    <v>9</v>
    <v>9.25</v>
    <v>8.82</v>
    <v>8.08</v>
    <v>8.01</v>
    <v>7.39</v>
    <v>7.49</v>
    <v>7.02</v>
    <v>6.75</v>
    <v>7</v>
    <v>6.9</v>
    <v>7.33</v>
    <v>7.03</v>
    <v>6.96</v>
    <v>7.12</v>
    <v>6.88</v>
    <v>6.44</v>
    <v>6.34</v>
    <v>6.21</v>
    <v>6.41</v>
    <v>6.4</v>
    <v>6.47</v>
    <v>6.68</v>
    <v>6.55</v>
    <v>6.96</v>
    <v>6.64</v>
    <v>6.8</v>
    <v>6.68</v>
    <v>6.64</v>
    <v>6.49</v>
    <v>6.69</v>
    <v>6.5</v>
    <v>6.31</v>
    <v>6.27</v>
    <v>6.31</v>
    <v>6.5549999999999997</v>
    <v>6.46</v>
    <v>6.22</v>
    <v>6.16</v>
    <v>6.41</v>
    <v>6.24</v>
    <v>5.7</v>
    <v>6.14</v>
    <v>6.13</v>
    <v>6.1</v>
    <v>6.51</v>
    <v>6.43</v>
    <v>7.08</v>
    <v>8.02</v>
    <v>7.46</v>
    <v>7.41</v>
    <v>7.4</v>
    <v>7.48</v>
    <v>7.43</v>
    <v>7.04</v>
    <v>6.99</v>
    <v>7.16</v>
    <v>6.97</v>
    <v>7.32</v>
    <v>7</v>
    <v>7.05</v>
    <v>7.01</v>
    <v>7.22</v>
    <v>7.11</v>
    <v>7.16</v>
    <v>6.85</v>
    <v>6.78</v>
    <v>6.74</v>
    <v>6.74</v>
    <v>6.57</v>
    <v>6.48</v>
    <v>6.28</v>
    <v>6.26</v>
    <v>6.47</v>
    <v>6.15</v>
    <v>5.93</v>
    <v>6</v>
    <v>5.93</v>
    <v>6.17</v>
    <v>6.12</v>
    <v>6.01</v>
    <v>6.1</v>
    <v>6.05</v>
    <v>5.83</v>
    <v>5.84</v>
    <v>6.02</v>
    <v>6.05</v>
    <v>5.84</v>
    <v>5.88</v>
    <v>5.72</v>
    <v>5.63</v>
    <v>5.52</v>
    <v>5.39</v>
    <v>4.97</v>
    <v>4.88</v>
    <v>4.53</v>
    <v>4.8899999999999997</v>
    <v>4.72</v>
    <v>4.6500000000000004</v>
    <v>4.7</v>
    <v>4.6100000000000003</v>
    <v>4.5</v>
    <v>4.43</v>
  </a>
  <a r="1" c="754">
    <v>1.64</v>
    <v>1.69</v>
    <v>1.6</v>
    <v>1.56</v>
    <v>1.57</v>
    <v>1.57</v>
    <v>1.59</v>
    <v>1.54</v>
    <v>1.72</v>
    <v>1.84</v>
    <v>1.78</v>
    <v>1.82</v>
    <v>1.77</v>
    <v>1.73</v>
    <v>1.79</v>
    <v>1.99</v>
    <v>2.13</v>
    <v>2.23</v>
    <v>2.11</v>
    <v>2.23</v>
    <v>2.2200000000000002</v>
    <v>2.12</v>
    <v>2.17</v>
    <v>2.16</v>
    <v>2.23</v>
    <v>2.2799999999999998</v>
    <v>2.2999999999999998</v>
    <v>2.14</v>
    <v>2.2999999999999998</v>
    <v>2.2799999999999998</v>
    <v>2.1</v>
    <v>2.09</v>
    <v>2.11</v>
    <v>2.1</v>
    <v>2.04</v>
    <v>1.97</v>
    <v>2.19</v>
    <v>2.2599999999999998</v>
    <v>2.21</v>
    <v>2.17</v>
    <v>2.2400000000000002</v>
    <v>2.09</v>
    <v>2.13</v>
    <v>2.0699999999999998</v>
    <v>2.13</v>
    <v>2.13</v>
    <v>2.23</v>
    <v>2.12</v>
    <v>2.08</v>
    <v>1.98</v>
    <v>2.06</v>
    <v>1.99</v>
    <v>2.1</v>
    <v>1.87</v>
    <v>1.875</v>
    <v>1.77</v>
    <v>1.82</v>
    <v>1.82</v>
    <v>1.79</v>
    <v>1.81</v>
    <v>1.85</v>
    <v>1.98</v>
    <v>1.92</v>
    <v>1.9</v>
    <v>1.86</v>
    <v>1.84</v>
    <v>1.88</v>
    <v>1.79</v>
    <v>1.66</v>
    <v>1.71</v>
    <v>1.7</v>
    <v>1.63</v>
    <v>1.72</v>
    <v>1.71</v>
    <v>1.95</v>
    <v>2.2599999999999998</v>
    <v>2.35</v>
    <v>2.2749999999999999</v>
    <v>2.2549999999999999</v>
    <v>3.76</v>
    <v>3.82</v>
    <v>3.99</v>
    <v>3.77</v>
    <v>3.97</v>
    <v>3.92</v>
    <v>5.75</v>
    <v>6.86</v>
    <v>6.34</v>
    <v>7.42</v>
    <v>6.0350000000000001</v>
    <v>5.625</v>
    <v>4.96</v>
    <v>5.04</v>
    <v>5.63</v>
    <v>5.86</v>
    <v>5.98</v>
    <v>6.93</v>
    <v>8.65</v>
    <v>8.3699999999999992</v>
    <v>8.91</v>
    <v>8.24</v>
    <v>8.33</v>
    <v>7.93</v>
    <v>6.68</v>
    <v>6.14</v>
    <v>5.86</v>
    <v>5.81</v>
    <v>5.93</v>
    <v>5.89</v>
    <v>5.56</v>
    <v>5.38</v>
    <v>5.05</v>
    <v>5.27</v>
    <v>5.18</v>
    <v>5</v>
    <v>4.8499999999999996</v>
    <v>4.51</v>
    <v>4.7699999999999996</v>
    <v>4.38</v>
    <v>3.97</v>
    <v>4.0599999999999996</v>
    <v>3.96</v>
    <v>3.83</v>
    <v>3.55</v>
    <v>3.78</v>
    <v>4.17</v>
    <v>4.01</v>
    <v>4.16</v>
    <v>4.4000000000000004</v>
    <v>4.62</v>
    <v>4.24</v>
    <v>4.41</v>
    <v>4.49</v>
    <v>4.5</v>
    <v>5.21</v>
    <v>4.9400000000000004</v>
    <v>4.8099999999999996</v>
    <v>4.75</v>
    <v>5.09</v>
    <v>5.52</v>
    <v>5.3</v>
    <v>5.32</v>
    <v>5.1100000000000003</v>
    <v>5.05</v>
    <v>5.48</v>
    <v>5.12</v>
    <v>5.07</v>
    <v>4.99</v>
    <v>5.0599999999999996</v>
    <v>4.91</v>
    <v>4.7</v>
    <v>4.88</v>
    <v>5.05</v>
    <v>4.78</v>
    <v>4.93</v>
    <v>4.9800000000000004</v>
    <v>4.84</v>
    <v>4.6500000000000004</v>
    <v>4.7699999999999996</v>
    <v>4.6500000000000004</v>
    <v>4.6500000000000004</v>
    <v>4.62</v>
    <v>4.43</v>
    <v>4.29</v>
    <v>4.09</v>
    <v>4.05</v>
    <v>4</v>
    <v>3.98</v>
    <v>3.92</v>
    <v>3.98</v>
    <v>3.99</v>
    <v>3.95</v>
    <v>3.89</v>
    <v>3.94</v>
    <v>3.93</v>
    <v>4.1900000000000004</v>
    <v>4.2</v>
    <v>4.1399999999999997</v>
    <v>5.07</v>
    <v>5.37</v>
    <v>6.2</v>
    <v>5.63</v>
    <v>5.83</v>
    <v>5.49</v>
    <v>5</v>
    <v>4.93</v>
    <v>4.9800000000000004</v>
    <v>4.9400000000000004</v>
    <v>4.55</v>
    <v>4.83</v>
    <v>5.12</v>
    <v>4.78</v>
    <v>4.95</v>
    <v>5.09</v>
    <v>4.66</v>
    <v>4.62</v>
    <v>4.22</v>
    <v>4.46</v>
    <v>4.3</v>
    <v>5.21</v>
    <v>4.87</v>
    <v>5.16</v>
    <v>4.99</v>
    <v>4.9800000000000004</v>
    <v>4.95</v>
    <v>4.97</v>
    <v>4.95</v>
    <v>5.14</v>
    <v>5.36</v>
    <v>4.93</v>
    <v>5.03</v>
    <v>5</v>
    <v>4.95</v>
    <v>4.8499999999999996</v>
    <v>4.84</v>
    <v>4.8899999999999997</v>
    <v>4.5599999999999996</v>
    <v>4.49</v>
    <v>4.4800000000000004</v>
    <v>4.3499999999999996</v>
    <v>4.62</v>
    <v>4.5999999999999996</v>
    <v>4.84</v>
    <v>4.87</v>
    <v>4.8499999999999996</v>
    <v>4.76</v>
    <v>4.8</v>
    <v>4.8499999999999996</v>
    <v>5.01</v>
    <v>4.97</v>
    <v>4.88</v>
    <v>4.9000000000000004</v>
    <v>4.8899999999999997</v>
    <v>4.91</v>
    <v>4.78</v>
    <v>4.66</v>
    <v>4.5599999999999996</v>
    <v>4.7300000000000004</v>
    <v>4.6900000000000004</v>
    <v>4.6900000000000004</v>
    <v>4.74</v>
    <v>4.68</v>
    <v>4.63</v>
    <v>4.84</v>
    <v>4.91</v>
    <v>5.19</v>
    <v>5.31</v>
    <v>5.25</v>
    <v>5.23</v>
    <v>5.5</v>
    <v>5.39</v>
    <v>5.27</v>
    <v>4.9800000000000004</v>
    <v>5.28</v>
    <v>5.18</v>
    <v>6.12</v>
    <v>6.01</v>
    <v>5.45</v>
    <v>5.03</v>
    <v>5.14</v>
    <v>5.09</v>
    <v>5.37</v>
    <v>5.69</v>
    <v>6.95</v>
    <v>7.2</v>
    <v>7.77</v>
    <v>7.56</v>
    <v>6.27</v>
    <v>6.63</v>
    <v>6.36</v>
    <v>6.19</v>
    <v>6.51</v>
    <v>6.44</v>
    <v>6.98</v>
    <v>8.25</v>
    <v>8.0299999999999994</v>
    <v>7.61</v>
    <v>7.88</v>
    <v>9.31</v>
    <v>8.9499999999999993</v>
    <v>8.8800000000000008</v>
    <v>10.15</v>
    <v>13.33</v>
    <v>15.01</v>
    <v>15.06</v>
    <v>14.225</v>
    <v>13.55</v>
    <v>13.67</v>
    <v>16.91</v>
    <v>19.690000000000001</v>
    <v>19.39</v>
    <v>20.844999999999999</v>
    <v>18.855</v>
    <v>21.754999999999999</v>
    <v>20.43</v>
    <v>20.239999999999998</v>
    <v>24.23</v>
    <v>23.95</v>
    <v>22.68</v>
    <v>19.84</v>
    <v>20.16</v>
    <v>20.62</v>
    <v>19.89</v>
    <v>17.975000000000001</v>
    <v>15.02</v>
    <v>14.09</v>
    <v>12.82</v>
    <v>12.79</v>
    <v>13.89</v>
    <v>13.97</v>
    <v>13.64</v>
    <v>16.52</v>
    <v>16.38</v>
    <v>16.399999999999999</v>
    <v>15.84</v>
    <v>14.07</v>
    <v>14.23</v>
    <v>13.99</v>
    <v>14</v>
    <v>14.15</v>
    <v>14.24</v>
    <v>15.71</v>
    <v>15.81</v>
    <v>15.78</v>
    <v>15.6</v>
    <v>15.33</v>
    <v>13.805</v>
    <v>13.97</v>
    <v>15.25</v>
    <v>10.965</v>
    <v>11.44</v>
    <v>11.07</v>
    <v>10.91</v>
    <v>10.31</v>
    <v>9.43</v>
    <v>8.9</v>
    <v>9.57</v>
    <v>9.2100000000000009</v>
    <v>10.82</v>
    <v>10.32</v>
    <v>9.7149999999999999</v>
    <v>10.15</v>
    <v>9.5500000000000007</v>
    <v>9.74</v>
    <v>8.57</v>
    <v>8.5399999999999991</v>
    <v>9.1300000000000008</v>
    <v>8.91</v>
    <v>10.34</v>
    <v>10.08</v>
    <v>9.57</v>
    <v>9.85</v>
    <v>9.59</v>
    <v>9.86</v>
    <v>10.31</v>
    <v>10.199999999999999</v>
    <v>9.3800000000000008</v>
    <v>8.8800000000000008</v>
    <v>8.5</v>
    <v>8.1199999999999992</v>
    <v>8.1999999999999993</v>
    <v>8.66</v>
    <v>8.3000000000000007</v>
    <v>7.32</v>
    <v>7.6</v>
    <v>7.18</v>
    <v>8.83</v>
    <v>8.1999999999999993</v>
    <v>8.2799999999999994</v>
    <v>8.15</v>
    <v>8.23</v>
    <v>7.76</v>
    <v>7.82</v>
    <v>7.5</v>
    <v>8.14</v>
    <v>8.75</v>
    <v>9.3800000000000008</v>
    <v>9.52</v>
    <v>9.74</v>
    <v>9.4700000000000006</v>
    <v>9.2899999999999991</v>
    <v>9.15</v>
    <v>9.39</v>
    <v>9.19</v>
    <v>9.14</v>
    <v>9.17</v>
    <v>9.74</v>
    <v>8.98</v>
    <v>11.01</v>
    <v>11.26</v>
    <v>11.76</v>
    <v>11.01</v>
    <v>11.19</v>
    <v>10.27</v>
    <v>9.9700000000000006</v>
    <v>9.4700000000000006</v>
    <v>9.5500000000000007</v>
    <v>9.58</v>
    <v>11.12</v>
    <v>10.97</v>
    <v>10.53</v>
    <v>10.11</v>
    <v>9.9700000000000006</v>
    <v>9.93</v>
    <v>10.16</v>
    <v>9.4700000000000006</v>
    <v>10.11</v>
    <v>10.02</v>
    <v>9.7899999999999991</v>
    <v>9.74</v>
    <v>9.4700000000000006</v>
    <v>9.1</v>
    <v>9.7200000000000006</v>
    <v>9.34</v>
    <v>9.42</v>
    <v>9.57</v>
    <v>9.49</v>
    <v>9.82</v>
    <v>9.57</v>
    <v>9.92</v>
    <v>9.83</v>
    <v>10.73</v>
    <v>10.48</v>
    <v>11.25</v>
    <v>11.09</v>
    <v>11.38</v>
    <v>12.71</v>
    <v>12.9</v>
    <v>12.29</v>
    <v>11.57</v>
    <v>11.45</v>
    <v>11.3</v>
    <v>11.78</v>
    <v>12.64</v>
    <v>12.81</v>
    <v>11.7</v>
    <v>11.34</v>
    <v>12.2</v>
    <v>11.96</v>
    <v>11.71</v>
    <v>11.24</v>
    <v>10.69</v>
    <v>10.39</v>
    <v>10.33</v>
    <v>10.11</v>
    <v>10.64</v>
    <v>11.17</v>
    <v>10.8</v>
    <v>10.72</v>
    <v>13.55</v>
    <v>15.9</v>
    <v>15.98</v>
    <v>16.5</v>
    <v>16.54</v>
    <v>15.59</v>
    <v>14.82</v>
    <v>13.3</v>
    <v>12.44</v>
    <v>12.23</v>
    <v>12.56</v>
    <v>12.11</v>
    <v>12.02</v>
    <v>11.91</v>
    <v>12.53</v>
    <v>13.02</v>
    <v>13.42</v>
    <v>12.74</v>
    <v>13.29</v>
    <v>14.26</v>
    <v>15.29</v>
    <v>14.85</v>
    <v>14.05</v>
    <v>14.58</v>
    <v>14.12</v>
    <v>14.19</v>
    <v>14.69</v>
    <v>15.12</v>
    <v>15.63</v>
    <v>16.25</v>
    <v>17.309999999999999</v>
    <v>18.05</v>
    <v>17.78</v>
    <v>16.350000000000001</v>
    <v>15.94</v>
    <v>15.68</v>
    <v>16.079999999999998</v>
    <v>16.149999999999999</v>
    <v>17.84</v>
    <v>17.850000000000001</v>
    <v>18.25</v>
    <v>18.2</v>
    <v>18.88</v>
    <v>18.579999999999998</v>
    <v>17.36</v>
    <v>19.14</v>
    <v>20.86</v>
    <v>21.4</v>
    <v>20.76</v>
    <v>19.02</v>
    <v>19.059999999999999</v>
    <v>18.23</v>
    <v>17.760000000000002</v>
    <v>18.239999999999998</v>
    <v>17.98</v>
    <v>18.329999999999998</v>
    <v>17.71</v>
    <v>18.149999999999999</v>
    <v>16.87</v>
    <v>17.62</v>
    <v>17.11</v>
    <v>15.13</v>
    <v>15.72</v>
    <v>14.23</v>
    <v>14.14</v>
    <v>14.41</v>
    <v>13.44</v>
    <v>13.24</v>
    <v>12.22</v>
    <v>12.17</v>
    <v>11.43</v>
    <v>11.53</v>
    <v>11.63</v>
    <v>11.29</v>
    <v>11.22</v>
    <v>11.95</v>
    <v>11.94</v>
    <v>11.82</v>
    <v>12.05</v>
    <v>11.52</v>
    <v>11.22</v>
    <v>11.78</v>
    <v>12.8</v>
    <v>12.76</v>
    <v>12.68</v>
    <v>12.31</v>
    <v>12.21</v>
    <v>12.03</v>
    <v>11.65</v>
    <v>10.79</v>
    <v>11.11</v>
    <v>10.99</v>
    <v>10.89</v>
    <v>11.02</v>
    <v>11.27</v>
    <v>11</v>
    <v>10.9</v>
    <v>10.7</v>
    <v>10.41</v>
    <v>10.039999999999999</v>
    <v>9.9700000000000006</v>
    <v>10.6</v>
    <v>11</v>
    <v>11.23</v>
    <v>11.06</v>
    <v>11.02</v>
    <v>11.75</v>
    <v>11.57</v>
    <v>11.08</v>
    <v>11.28</v>
    <v>10.92</v>
    <v>11.1</v>
    <v>10.45</v>
    <v>10.62</v>
    <v>10.9</v>
    <v>10.33</v>
    <v>9.84</v>
    <v>9.94</v>
    <v>9.69</v>
    <v>9.08</v>
    <v>8.4600000000000009</v>
    <v>8.42</v>
    <v>8.26</v>
    <v>8.07</v>
    <v>7.35</v>
    <v>8.56</v>
    <v>8.81</v>
    <v>8.25</v>
    <v>7.96</v>
    <v>7.46</v>
    <v>7.46</v>
    <v>7.32</v>
    <v>7.54</v>
    <v>7.83</v>
    <v>7.82</v>
    <v>7.83</v>
    <v>8.36</v>
    <v>8.52</v>
    <v>8.98</v>
    <v>8.6</v>
    <v>8.6199999999999992</v>
    <v>8.51</v>
    <v>8.16</v>
    <v>8.27</v>
    <v>8.07</v>
    <v>8.2200000000000006</v>
    <v>7.9</v>
    <v>7.79</v>
    <v>7.47</v>
    <v>7.3</v>
    <v>7.54</v>
    <v>7.82</v>
    <v>7.39</v>
    <v>6.875</v>
    <v>6.55</v>
    <v>6.89</v>
    <v>6.36</v>
    <v>6.48</v>
    <v>6.06</v>
    <v>5.9</v>
    <v>6.03</v>
    <v>6.87</v>
    <v>6.68</v>
    <v>6.78</v>
    <v>6.7</v>
    <v>6.7</v>
    <v>6.79</v>
    <v>6.55</v>
    <v>6.43</v>
    <v>6.84</v>
    <v>6.97</v>
    <v>7.85</v>
    <v>7.7</v>
    <v>8.08</v>
    <v>8.32</v>
    <v>7.85</v>
    <v>8.2200000000000006</v>
    <v>7.82</v>
    <v>8.19</v>
    <v>8.16</v>
    <v>8.06</v>
    <v>7.71</v>
    <v>7.96</v>
    <v>9.56</v>
    <v>9.4700000000000006</v>
    <v>9.14</v>
    <v>9.3699999999999992</v>
    <v>9.6300000000000008</v>
    <v>8.8800000000000008</v>
    <v>8.4499999999999993</v>
    <v>8.06</v>
    <v>8.42</v>
    <v>8.52</v>
    <v>8.41</v>
    <v>8.35</v>
    <v>8.4499999999999993</v>
    <v>8.4499999999999993</v>
    <v>8.32</v>
    <v>8.17</v>
    <v>8.1300000000000008</v>
    <v>8.08</v>
    <v>8.56</v>
    <v>9</v>
    <v>9.25</v>
    <v>8.82</v>
    <v>8.08</v>
    <v>8.01</v>
    <v>7.39</v>
    <v>7.49</v>
    <v>7.02</v>
    <v>6.75</v>
    <v>7</v>
    <v>6.9</v>
    <v>7.33</v>
    <v>7.03</v>
    <v>6.96</v>
    <v>7.12</v>
    <v>6.88</v>
    <v>6.44</v>
    <v>6.34</v>
    <v>6.21</v>
    <v>6.41</v>
    <v>6.4</v>
    <v>6.47</v>
    <v>6.68</v>
    <v>6.55</v>
    <v>6.96</v>
    <v>6.64</v>
    <v>6.8</v>
    <v>6.68</v>
    <v>6.64</v>
    <v>6.49</v>
    <v>6.69</v>
    <v>6.5</v>
    <v>6.31</v>
    <v>6.27</v>
    <v>6.31</v>
    <v>6.5549999999999997</v>
    <v>6.46</v>
    <v>6.22</v>
    <v>6.16</v>
    <v>6.41</v>
    <v>6.24</v>
    <v>5.7</v>
    <v>6.14</v>
    <v>6.13</v>
    <v>6.1</v>
    <v>6.51</v>
    <v>6.43</v>
    <v>7.08</v>
    <v>8.02</v>
    <v>7.46</v>
    <v>7.41</v>
    <v>7.4</v>
    <v>7.48</v>
    <v>7.43</v>
    <v>7.04</v>
    <v>6.99</v>
    <v>7.16</v>
    <v>6.97</v>
    <v>7.32</v>
    <v>7</v>
    <v>7.05</v>
    <v>7.01</v>
    <v>7.22</v>
    <v>7.11</v>
    <v>7.16</v>
    <v>6.85</v>
    <v>6.78</v>
    <v>6.74</v>
    <v>6.74</v>
    <v>6.57</v>
    <v>6.48</v>
    <v>6.28</v>
    <v>6.26</v>
    <v>6.47</v>
    <v>6.15</v>
    <v>5.93</v>
    <v>6</v>
    <v>5.93</v>
    <v>6.17</v>
    <v>6.12</v>
    <v>6.01</v>
    <v>6.1</v>
    <v>6.05</v>
    <v>5.83</v>
    <v>5.84</v>
    <v>6.02</v>
    <v>6.05</v>
    <v>5.84</v>
    <v>5.88</v>
    <v>5.72</v>
    <v>5.63</v>
    <v>5.52</v>
    <v>5.39</v>
    <v>4.97</v>
    <v>4.88</v>
    <v>4.53</v>
    <v>4.8899999999999997</v>
    <v>4.72</v>
    <v>4.6500000000000004</v>
    <v>4.7</v>
    <v>4.6100000000000003</v>
    <v>4.5</v>
    <v>4.43</v>
  </a>
  <a r="1" c="208">
    <v>16.861999999999998</v>
    <v>17.079999999999998</v>
    <v>17.393999999999998</v>
    <v>17.28</v>
    <v>17.288</v>
    <v>17.422000000000001</v>
    <v>17.552</v>
    <v>17.398</v>
    <v>17.28</v>
    <v>17.504000000000001</v>
    <v>17.324000000000002</v>
    <v>17.361999999999998</v>
    <v>17.123999999999999</v>
    <v>17.256</v>
    <v>17.187999999999999</v>
    <v>17.04</v>
    <v>16.917999999999999</v>
    <v>16.79</v>
    <v>16.806000000000001</v>
    <v>16.902000000000001</v>
    <v>16.876000000000001</v>
    <v>16.754000000000001</v>
    <v>16.827999999999999</v>
    <v>16.937999999999999</v>
    <v>16.872</v>
    <v>16.905999999999999</v>
    <v>17.047999999999998</v>
    <v>17.026</v>
    <v>16.974</v>
    <v>16.954000000000001</v>
    <v>16.893999999999998</v>
    <v>17.141999999999999</v>
    <v>17.024000000000001</v>
    <v>17.16</v>
    <v>17.161999999999999</v>
    <v>17.190000000000001</v>
    <v>17.294</v>
    <v>17.288</v>
    <v>17.408000000000001</v>
    <v>17.367999999999999</v>
    <v>17.303999999999998</v>
    <v>17.384</v>
    <v>16.994</v>
    <v>17.164000000000001</v>
    <v>17.172000000000001</v>
    <v>17.146000000000001</v>
    <v>17.16</v>
    <v>17.367999999999999</v>
    <v>17.568000000000001</v>
    <v>17.585999999999999</v>
    <v>17.588000000000001</v>
    <v>17.57</v>
    <v>17.475999999999999</v>
    <v>17.385999999999999</v>
    <v>17.138000000000002</v>
    <v>16.914000000000001</v>
    <v>16.632000000000001</v>
    <v>16.652000000000001</v>
    <v>16.981999999999999</v>
    <v>16.718</v>
    <v>16.739999999999998</v>
    <v>16.87</v>
    <v>16.777999999999999</v>
    <v>16.928000000000001</v>
    <v>16.914000000000001</v>
    <v>16.692</v>
    <v>17.245999999999999</v>
    <v>17.117999999999999</v>
    <v>17.344000000000001</v>
    <v>17.47</v>
    <v>17.594000000000001</v>
    <v>17.544</v>
    <v>17.654</v>
    <v>17.760000000000002</v>
    <v>17.815999999999999</v>
    <v>17.765999999999998</v>
    <v>17.974</v>
    <v>18.065999999999999</v>
    <v>17.925999999999998</v>
    <v>17.852</v>
    <v>17.768000000000001</v>
    <v>17.962</v>
    <v>18.143999999999998</v>
    <v>18.268000000000001</v>
    <v>18.236000000000001</v>
    <v>18.462</v>
    <v>18.34</v>
    <v>18.344000000000001</v>
    <v>18.738</v>
    <v>18.678000000000001</v>
    <v>19.05</v>
    <v>18.706</v>
    <v>18.47</v>
    <v>18.353999999999999</v>
    <v>18.3</v>
    <v>18.518000000000001</v>
    <v>18.306000000000001</v>
    <v>18.38</v>
    <v>18.68</v>
    <v>18.757999999999999</v>
    <v>18.745999999999999</v>
    <v>18.696000000000002</v>
    <v>18.655999999999999</v>
    <v>18.536000000000001</v>
    <v>18.878</v>
    <v>18.917999999999999</v>
    <v>18.814</v>
    <v>18.484000000000002</v>
    <v>18.170000000000002</v>
    <v>18.294</v>
    <v>18.274000000000001</v>
    <v>18.236000000000001</v>
    <v>18.488</v>
    <v>18.876000000000001</v>
    <v>18.803999999999998</v>
    <v>18.974</v>
    <v>19.222000000000001</v>
    <v>19.286000000000001</v>
    <v>19.82</v>
    <v>19.338000000000001</v>
    <v>19.306000000000001</v>
    <v>19.678000000000001</v>
    <v>19.212</v>
    <v>19.236000000000001</v>
    <v>19.628</v>
    <v>19.63</v>
    <v>18.821999999999999</v>
    <v>19.026</v>
    <v>19.007999999999999</v>
    <v>18.686</v>
    <v>18.498000000000001</v>
    <v>19.106000000000002</v>
    <v>18.84</v>
    <v>18.494</v>
    <v>18.850000000000001</v>
    <v>18.832000000000001</v>
    <v>18.423999999999999</v>
    <v>17.84</v>
    <v>18.181999999999999</v>
    <v>18.698</v>
    <v>18.675999999999998</v>
    <v>18.628</v>
    <v>18.478000000000002</v>
    <v>18.641999999999999</v>
    <v>18.167999999999999</v>
    <v>18.190000000000001</v>
    <v>18.052</v>
    <v>18.056000000000001</v>
    <v>17.954000000000001</v>
    <v>18.117999999999999</v>
    <v>18.314</v>
    <v>18.399999999999999</v>
    <v>18.568000000000001</v>
    <v>18.565999999999999</v>
    <v>18.39</v>
    <v>18.568000000000001</v>
    <v>18.446000000000002</v>
    <v>18.37</v>
    <v>18.643999999999998</v>
    <v>18.53</v>
    <v>18.053999999999998</v>
    <v>17.96</v>
    <v>18.097999999999999</v>
    <v>17.802</v>
    <v>17.867999999999999</v>
    <v>18</v>
    <v>18.212</v>
    <v>18.238</v>
    <v>18.23</v>
    <v>18.234000000000002</v>
    <v>18.062000000000001</v>
    <v>18.027999999999999</v>
    <v>18.103999999999999</v>
    <v>18.045999999999999</v>
    <v>18.053999999999998</v>
    <v>18.058</v>
    <v>17.911999999999999</v>
    <v>17.923999999999999</v>
    <v>17.87</v>
    <v>17.794</v>
    <v>17.91</v>
    <v>17.972000000000001</v>
    <v>18.122</v>
    <v>18.350000000000001</v>
    <v>18.398</v>
    <v>18.262</v>
    <v>18.03</v>
    <v>17.899999999999999</v>
    <v>17.603999999999999</v>
    <v>17.736000000000001</v>
    <v>17.739999999999998</v>
    <v>17.797999999999998</v>
    <v>17.768000000000001</v>
    <v>17.920000000000002</v>
    <v>17.88</v>
    <v>17.888000000000002</v>
    <v>17.757999999999999</v>
    <v>17.84</v>
    <v>17.797999999999998</v>
    <v>17.734000000000002</v>
    <v>17.54</v>
    <v>17.324000000000002</v>
    <v>17.181999999999999</v>
    <v>17.308</v>
    <v>17.23</v>
    <v>17.091999999999999</v>
    <v>16.841999999999999</v>
    <v>17.033999999999999</v>
  </a>
  <a r="1" c="254">
    <v>16.327999999999999</v>
    <v>16.478000000000002</v>
    <v>16.698</v>
    <v>16.64</v>
    <v>16.82</v>
    <v>16.803999999999998</v>
    <v>16.576000000000001</v>
    <v>16.59</v>
    <v>16.547999999999998</v>
    <v>16.641999999999999</v>
    <v>16.751999999999999</v>
    <v>16.603999999999999</v>
    <v>16.78</v>
    <v>16.635999999999999</v>
    <v>16.597999999999999</v>
    <v>16.68</v>
    <v>16.5</v>
    <v>16.399999999999999</v>
    <v>16.361999999999998</v>
    <v>16.398</v>
    <v>16.367999999999999</v>
    <v>16.032</v>
    <v>16.033999999999999</v>
    <v>16.186</v>
    <v>16.190000000000001</v>
    <v>16.184000000000001</v>
    <v>16.302</v>
    <v>16.448</v>
    <v>16.312000000000001</v>
    <v>16.202000000000002</v>
    <v>16.286000000000001</v>
    <v>16.466000000000001</v>
    <v>16.585999999999999</v>
    <v>16.507999999999999</v>
    <v>16.454000000000001</v>
    <v>16.27</v>
    <v>16.283999999999999</v>
    <v>16.260000000000002</v>
    <v>16.044</v>
    <v>16.335999999999999</v>
    <v>16.347999999999999</v>
    <v>16.43</v>
    <v>16.527999999999999</v>
    <v>16.538</v>
    <v>16.591999999999999</v>
    <v>16.739999999999998</v>
    <v>16.861999999999998</v>
    <v>17.079999999999998</v>
    <v>17.393999999999998</v>
    <v>17.28</v>
    <v>17.288</v>
    <v>17.422000000000001</v>
    <v>17.552</v>
    <v>17.398</v>
    <v>17.28</v>
    <v>17.504000000000001</v>
    <v>17.324000000000002</v>
    <v>17.361999999999998</v>
    <v>17.123999999999999</v>
    <v>17.256</v>
    <v>17.187999999999999</v>
    <v>17.04</v>
    <v>16.917999999999999</v>
    <v>16.79</v>
    <v>16.806000000000001</v>
    <v>16.902000000000001</v>
    <v>16.876000000000001</v>
    <v>16.754000000000001</v>
    <v>16.827999999999999</v>
    <v>16.937999999999999</v>
    <v>16.872</v>
    <v>16.905999999999999</v>
    <v>17.047999999999998</v>
    <v>17.026</v>
    <v>16.974</v>
    <v>16.954000000000001</v>
    <v>16.893999999999998</v>
    <v>17.141999999999999</v>
    <v>17.024000000000001</v>
    <v>17.16</v>
    <v>17.161999999999999</v>
    <v>17.190000000000001</v>
    <v>17.294</v>
    <v>17.288</v>
    <v>17.408000000000001</v>
    <v>17.367999999999999</v>
    <v>17.303999999999998</v>
    <v>17.384</v>
    <v>16.994</v>
    <v>17.164000000000001</v>
    <v>17.172000000000001</v>
    <v>17.146000000000001</v>
    <v>17.16</v>
    <v>17.367999999999999</v>
    <v>17.568000000000001</v>
    <v>17.585999999999999</v>
    <v>17.588000000000001</v>
    <v>17.57</v>
    <v>17.475999999999999</v>
    <v>17.385999999999999</v>
    <v>17.138000000000002</v>
    <v>16.914000000000001</v>
    <v>16.632000000000001</v>
    <v>16.652000000000001</v>
    <v>16.981999999999999</v>
    <v>16.718</v>
    <v>16.739999999999998</v>
    <v>16.87</v>
    <v>16.777999999999999</v>
    <v>16.928000000000001</v>
    <v>16.914000000000001</v>
    <v>16.692</v>
    <v>17.245999999999999</v>
    <v>17.117999999999999</v>
    <v>17.344000000000001</v>
    <v>17.47</v>
    <v>17.594000000000001</v>
    <v>17.544</v>
    <v>17.654</v>
    <v>17.760000000000002</v>
    <v>17.815999999999999</v>
    <v>17.765999999999998</v>
    <v>17.974</v>
    <v>18.065999999999999</v>
    <v>17.925999999999998</v>
    <v>17.852</v>
    <v>17.768000000000001</v>
    <v>17.962</v>
    <v>18.143999999999998</v>
    <v>18.268000000000001</v>
    <v>18.236000000000001</v>
    <v>18.462</v>
    <v>18.34</v>
    <v>18.344000000000001</v>
    <v>18.738</v>
    <v>18.678000000000001</v>
    <v>19.05</v>
    <v>18.706</v>
    <v>18.47</v>
    <v>18.353999999999999</v>
    <v>18.3</v>
    <v>18.518000000000001</v>
    <v>18.306000000000001</v>
    <v>18.38</v>
    <v>18.68</v>
    <v>18.757999999999999</v>
    <v>18.745999999999999</v>
    <v>18.696000000000002</v>
    <v>18.655999999999999</v>
    <v>18.536000000000001</v>
    <v>18.878</v>
    <v>18.917999999999999</v>
    <v>18.814</v>
    <v>18.484000000000002</v>
    <v>18.170000000000002</v>
    <v>18.294</v>
    <v>18.274000000000001</v>
    <v>18.236000000000001</v>
    <v>18.488</v>
    <v>18.876000000000001</v>
    <v>18.803999999999998</v>
    <v>18.974</v>
    <v>19.222000000000001</v>
    <v>19.286000000000001</v>
    <v>19.82</v>
    <v>19.338000000000001</v>
    <v>19.306000000000001</v>
    <v>19.678000000000001</v>
    <v>19.212</v>
    <v>19.236000000000001</v>
    <v>19.628</v>
    <v>19.63</v>
    <v>18.821999999999999</v>
    <v>19.026</v>
    <v>19.007999999999999</v>
    <v>18.686</v>
    <v>18.498000000000001</v>
    <v>19.106000000000002</v>
    <v>18.84</v>
    <v>18.494</v>
    <v>18.850000000000001</v>
    <v>18.832000000000001</v>
    <v>18.423999999999999</v>
    <v>17.84</v>
    <v>18.181999999999999</v>
    <v>18.698</v>
    <v>18.675999999999998</v>
    <v>18.628</v>
    <v>18.478000000000002</v>
    <v>18.641999999999999</v>
    <v>18.167999999999999</v>
    <v>18.190000000000001</v>
    <v>18.052</v>
    <v>18.056000000000001</v>
    <v>17.954000000000001</v>
    <v>18.117999999999999</v>
    <v>18.314</v>
    <v>18.399999999999999</v>
    <v>18.568000000000001</v>
    <v>18.565999999999999</v>
    <v>18.39</v>
    <v>18.568000000000001</v>
    <v>18.446000000000002</v>
    <v>18.37</v>
    <v>18.643999999999998</v>
    <v>18.53</v>
    <v>18.053999999999998</v>
    <v>17.96</v>
    <v>18.097999999999999</v>
    <v>17.802</v>
    <v>17.867999999999999</v>
    <v>18</v>
    <v>18.212</v>
    <v>18.238</v>
    <v>18.23</v>
    <v>18.234000000000002</v>
    <v>18.062000000000001</v>
    <v>18.027999999999999</v>
    <v>18.103999999999999</v>
    <v>18.045999999999999</v>
    <v>18.053999999999998</v>
    <v>18.058</v>
    <v>17.911999999999999</v>
    <v>17.923999999999999</v>
    <v>17.87</v>
    <v>17.794</v>
    <v>17.91</v>
    <v>17.972000000000001</v>
    <v>18.122</v>
    <v>18.350000000000001</v>
    <v>18.398</v>
    <v>18.262</v>
    <v>18.03</v>
    <v>17.899999999999999</v>
    <v>17.603999999999999</v>
    <v>17.736000000000001</v>
    <v>17.739999999999998</v>
    <v>17.797999999999998</v>
    <v>17.768000000000001</v>
    <v>17.920000000000002</v>
    <v>17.88</v>
    <v>17.888000000000002</v>
    <v>17.757999999999999</v>
    <v>17.84</v>
    <v>17.797999999999998</v>
    <v>17.734000000000002</v>
    <v>17.54</v>
    <v>17.324000000000002</v>
    <v>17.181999999999999</v>
    <v>17.308</v>
    <v>17.23</v>
    <v>17.091999999999999</v>
    <v>16.841999999999999</v>
    <v>17.033999999999999</v>
  </a>
  <a r="1" c="761">
    <v>12.002000000000001</v>
    <v>12.247999999999999</v>
    <v>12.154</v>
    <v>12.266</v>
    <v>12.266</v>
    <v>12.396000000000001</v>
    <v>12.384</v>
    <v>12.44</v>
    <v>12.346</v>
    <v>12.378</v>
    <v>12.468</v>
    <v>12.504</v>
    <v>12.448</v>
    <v>12.428000000000001</v>
    <v>12.37</v>
    <v>12.446</v>
    <v>12.404</v>
    <v>12.452</v>
    <v>12.148</v>
    <v>12.27</v>
    <v>12.33</v>
    <v>12.294</v>
    <v>12.22</v>
    <v>12.318</v>
    <v>12.178000000000001</v>
    <v>12.066000000000001</v>
    <v>12.06</v>
    <v>11.992000000000001</v>
    <v>12.066000000000001</v>
    <v>12.048</v>
    <v>11.986000000000001</v>
    <v>11.805999999999999</v>
    <v>11.795999999999999</v>
    <v>11.816000000000001</v>
    <v>11.79</v>
    <v>11.952</v>
    <v>11.853999999999999</v>
    <v>11.746</v>
    <v>11.646000000000001</v>
    <v>11.586</v>
    <v>11.476000000000001</v>
    <v>11.561999999999999</v>
    <v>11.336</v>
    <v>11.468</v>
    <v>11.456</v>
    <v>11.327999999999999</v>
    <v>11.715999999999999</v>
    <v>11.778</v>
    <v>11.65</v>
    <v>11.666</v>
    <v>11.486000000000001</v>
    <v>11.444000000000001</v>
    <v>11.268000000000001</v>
    <v>11.28</v>
    <v>11.214</v>
    <v>11.25</v>
    <v>11.254</v>
    <v>11.212</v>
    <v>11.304</v>
    <v>11.071999999999999</v>
    <v>11.242000000000001</v>
    <v>11.247999999999999</v>
    <v>11.086</v>
    <v>11.29</v>
    <v>11.545999999999999</v>
    <v>11.544</v>
    <v>11.56</v>
    <v>11.43</v>
    <v>11.2</v>
    <v>11.183999999999999</v>
    <v>11.134</v>
    <v>10.952</v>
    <v>11.128</v>
    <v>11.635999999999999</v>
    <v>11.648</v>
    <v>11.656000000000001</v>
    <v>11.576000000000001</v>
    <v>11.757999999999999</v>
    <v>11.802</v>
    <v>11.747999999999999</v>
    <v>11.768000000000001</v>
    <v>11.933999999999999</v>
    <v>11.872</v>
    <v>11.842000000000001</v>
    <v>12.042</v>
    <v>12.114000000000001</v>
    <v>12.134</v>
    <v>11.964</v>
    <v>12.134</v>
    <v>11.954000000000001</v>
    <v>12.18</v>
    <v>12.247999999999999</v>
    <v>12.226000000000001</v>
    <v>12.272</v>
    <v>12.252000000000001</v>
    <v>12.138</v>
    <v>12.138</v>
    <v>12.396000000000001</v>
    <v>12.385999999999999</v>
    <v>12.276</v>
    <v>12.247999999999999</v>
    <v>12.314</v>
    <v>12.41</v>
    <v>12.368</v>
    <v>12.391999999999999</v>
    <v>12.32</v>
    <v>12.202</v>
    <v>12.17</v>
    <v>12.188000000000001</v>
    <v>12.058</v>
    <v>12.166</v>
    <v>12.422000000000001</v>
    <v>12.327999999999999</v>
    <v>12.36</v>
    <v>12.284000000000001</v>
    <v>12.2</v>
    <v>12.12</v>
    <v>12.06</v>
    <v>12.14</v>
    <v>12.12</v>
    <v>12.433999999999999</v>
    <v>12.294</v>
    <v>12.492000000000001</v>
    <v>12.512</v>
    <v>12.428000000000001</v>
    <v>12.391999999999999</v>
    <v>12.257999999999999</v>
    <v>12.268000000000001</v>
    <v>12.3</v>
    <v>12.558</v>
    <v>12.718</v>
    <v>12.635999999999999</v>
    <v>12.842000000000001</v>
    <v>12.864000000000001</v>
    <v>12.821999999999999</v>
    <v>12.798</v>
    <v>12.694000000000001</v>
    <v>12.837999999999999</v>
    <v>12.808</v>
    <v>12.772</v>
    <v>12.692</v>
    <v>12.577999999999999</v>
    <v>12.598000000000001</v>
    <v>12.81</v>
    <v>12.731999999999999</v>
    <v>12.67</v>
    <v>12.667999999999999</v>
    <v>12.522</v>
    <v>12.396000000000001</v>
    <v>12.53</v>
    <v>12.368</v>
    <v>12.45</v>
    <v>12.474</v>
    <v>12.337999999999999</v>
    <v>12.327999999999999</v>
    <v>12.456</v>
    <v>12.426</v>
    <v>12.406000000000001</v>
    <v>12.391999999999999</v>
    <v>12.442</v>
    <v>12.342000000000001</v>
    <v>12.295999999999999</v>
    <v>12.268000000000001</v>
    <v>12.4</v>
    <v>12.384</v>
    <v>12.412000000000001</v>
    <v>12.321999999999999</v>
    <v>12.206</v>
    <v>12.214</v>
    <v>12.18</v>
    <v>12.077999999999999</v>
    <v>12.18</v>
    <v>12.102</v>
    <v>12.132</v>
    <v>12.146000000000001</v>
    <v>12.166</v>
    <v>12.09</v>
    <v>11.962</v>
    <v>11.882</v>
    <v>11.821999999999999</v>
    <v>11.948</v>
    <v>11.942</v>
    <v>12.118</v>
    <v>12.093999999999999</v>
    <v>12.032</v>
    <v>12.164</v>
    <v>12.172000000000001</v>
    <v>12.196</v>
    <v>12.28</v>
    <v>12.24</v>
    <v>12.082000000000001</v>
    <v>12.026</v>
    <v>12</v>
    <v>11.992000000000001</v>
    <v>11.93</v>
    <v>11.912000000000001</v>
    <v>12.214</v>
    <v>12.103999999999999</v>
    <v>12.03</v>
    <v>11.928000000000001</v>
    <v>11.824</v>
    <v>11.81</v>
    <v>11.906000000000001</v>
    <v>11.778</v>
    <v>11.75</v>
    <v>11.78</v>
    <v>11.634</v>
    <v>11.772</v>
    <v>11.834</v>
    <v>11.625999999999999</v>
    <v>11.593999999999999</v>
    <v>11.538</v>
    <v>11.624000000000001</v>
    <v>11.555999999999999</v>
    <v>11.516</v>
    <v>11.486000000000001</v>
    <v>11.54</v>
    <v>11.68</v>
    <v>11.452</v>
    <v>11.526</v>
    <v>11.464</v>
    <v>11.497999999999999</v>
    <v>11.356</v>
    <v>11.27</v>
    <v>11.252000000000001</v>
    <v>11.284000000000001</v>
    <v>11.188000000000001</v>
    <v>11.122</v>
    <v>11.151999999999999</v>
    <v>11.146000000000001</v>
    <v>11.138</v>
    <v>11.22</v>
    <v>11.295999999999999</v>
    <v>11.404</v>
    <v>12.24</v>
    <v>12.198</v>
    <v>13.084</v>
    <v>13.456</v>
    <v>14.13</v>
    <v>14.362</v>
    <v>15.45</v>
    <v>15.54</v>
    <v>16.085999999999999</v>
    <v>16.866</v>
    <v>15.36</v>
    <v>14.444000000000001</v>
    <v>14.474</v>
    <v>14.446</v>
    <v>14.368</v>
    <v>13.79</v>
    <v>13.904</v>
    <v>13.507999999999999</v>
    <v>14.308</v>
    <v>14.198</v>
    <v>14.49</v>
    <v>14.464</v>
    <v>14.266</v>
    <v>14.343999999999999</v>
    <v>14.407999999999999</v>
    <v>14.353999999999999</v>
    <v>14.084</v>
    <v>14.042</v>
    <v>14.151999999999999</v>
    <v>14.311999999999999</v>
    <v>14.672000000000001</v>
    <v>14.648</v>
    <v>15.242000000000001</v>
    <v>14.603999999999999</v>
    <v>14.974</v>
    <v>14.734</v>
    <v>14.938000000000001</v>
    <v>14.654</v>
    <v>14.516</v>
    <v>14.481999999999999</v>
    <v>14.407999999999999</v>
    <v>14.5</v>
    <v>14.62</v>
    <v>14.29</v>
    <v>14.1</v>
    <v>14.084</v>
    <v>14.321999999999999</v>
    <v>14.167999999999999</v>
    <v>14.448</v>
    <v>14.548</v>
    <v>14.49</v>
    <v>14.337999999999999</v>
    <v>14.321999999999999</v>
    <v>14.45</v>
    <v>15.47</v>
    <v>14.686</v>
    <v>14.69</v>
    <v>14.622</v>
    <v>14.374000000000001</v>
    <v>14.282</v>
    <v>14.433999999999999</v>
    <v>14.436</v>
    <v>14.54</v>
    <v>14.497999999999999</v>
    <v>14.496</v>
    <v>14.65</v>
    <v>14.74</v>
    <v>14.332000000000001</v>
    <v>14.05</v>
    <v>13.968</v>
    <v>14.061999999999999</v>
    <v>14.125999999999999</v>
    <v>14.04</v>
    <v>13.904</v>
    <v>13.978</v>
    <v>14.212</v>
    <v>14.186</v>
    <v>14.13</v>
    <v>14.33</v>
    <v>14.417999999999999</v>
    <v>14.272</v>
    <v>14.183999999999999</v>
    <v>14.22</v>
    <v>14.273999999999999</v>
    <v>14.26</v>
    <v>14.36</v>
    <v>14.504</v>
    <v>14.448</v>
    <v>14.474</v>
    <v>14.36</v>
    <v>14.494</v>
    <v>14.194000000000001</v>
    <v>14.298</v>
    <v>14.6</v>
    <v>14.676</v>
    <v>14.592000000000001</v>
    <v>14.68</v>
    <v>14.52</v>
    <v>14.698</v>
    <v>14.678000000000001</v>
    <v>14.596</v>
    <v>14.722</v>
    <v>14.73</v>
    <v>14.94</v>
    <v>14.65</v>
    <v>14.688000000000001</v>
    <v>14.752000000000001</v>
    <v>14.85</v>
    <v>14.576000000000001</v>
    <v>14.474</v>
    <v>14.254</v>
    <v>14.134</v>
    <v>14.284000000000001</v>
    <v>14.183999999999999</v>
    <v>14.054</v>
    <v>14.12</v>
    <v>14.018000000000001</v>
    <v>14.122</v>
    <v>14.506</v>
    <v>14.481999999999999</v>
    <v>14.382</v>
    <v>14.433999999999999</v>
    <v>14.278</v>
    <v>14.112</v>
    <v>14.252000000000001</v>
    <v>14.236000000000001</v>
    <v>14.162000000000001</v>
    <v>14.234</v>
    <v>14.048</v>
    <v>14.002000000000001</v>
    <v>14.007999999999999</v>
    <v>13.933999999999999</v>
    <v>13.538</v>
    <v>13.077999999999999</v>
    <v>12.502000000000001</v>
    <v>12.79</v>
    <v>12.704000000000001</v>
    <v>12.936</v>
    <v>12.864000000000001</v>
    <v>12.906000000000001</v>
    <v>12.923999999999999</v>
    <v>12.94</v>
    <v>12.885999999999999</v>
    <v>12.875999999999999</v>
    <v>13.125999999999999</v>
    <v>13.1</v>
    <v>13.026</v>
    <v>13.004</v>
    <v>12.988</v>
    <v>13.004</v>
    <v>13.284000000000001</v>
    <v>13.327999999999999</v>
    <v>13.311999999999999</v>
    <v>13.3</v>
    <v>13.426</v>
    <v>13.507999999999999</v>
    <v>13.94</v>
    <v>13.834</v>
    <v>13.95</v>
    <v>13.846</v>
    <v>13.773999999999999</v>
    <v>13.602</v>
    <v>13.698</v>
    <v>13.68</v>
    <v>13.75</v>
    <v>13.576000000000001</v>
    <v>13.506</v>
    <v>13.38</v>
    <v>13.464</v>
    <v>13.462</v>
    <v>13.353999999999999</v>
    <v>13.25</v>
    <v>13.442</v>
    <v>13.5</v>
    <v>13.481999999999999</v>
    <v>13.484</v>
    <v>13.596</v>
    <v>13.433999999999999</v>
    <v>13.448</v>
    <v>13.378</v>
    <v>13.32</v>
    <v>13.352</v>
    <v>13.36</v>
    <v>13.334</v>
    <v>13.286</v>
    <v>13.298</v>
    <v>13.334</v>
    <v>13.428000000000001</v>
    <v>13.614000000000001</v>
    <v>13.544</v>
    <v>13.368</v>
    <v>13.412000000000001</v>
    <v>13.4</v>
    <v>13.37</v>
    <v>13.56</v>
    <v>13.544</v>
    <v>13.536</v>
    <v>13.672000000000001</v>
    <v>13.664</v>
    <v>13.786</v>
    <v>13.752000000000001</v>
    <v>13.821999999999999</v>
    <v>13.853999999999999</v>
    <v>13.76</v>
    <v>14.012</v>
    <v>14.066000000000001</v>
    <v>14.09</v>
    <v>14.2</v>
    <v>14.234</v>
    <v>14.228</v>
    <v>14.196</v>
    <v>14.33</v>
    <v>14.507999999999999</v>
    <v>14.516</v>
    <v>14.3</v>
    <v>14.074</v>
    <v>14.16</v>
    <v>14.294</v>
    <v>14.246</v>
    <v>14.272</v>
    <v>14.254</v>
    <v>14.36</v>
    <v>14.391999999999999</v>
    <v>14.52</v>
    <v>14.456</v>
    <v>14.747999999999999</v>
    <v>14.651999999999999</v>
    <v>14.894</v>
    <v>15</v>
    <v>15.308</v>
    <v>15.544</v>
    <v>15.52</v>
    <v>15.292</v>
    <v>15.584</v>
    <v>15.688000000000001</v>
    <v>15.667999999999999</v>
    <v>15.644</v>
    <v>15.528</v>
    <v>15.236000000000001</v>
    <v>15.442</v>
    <v>15.496</v>
    <v>15.458</v>
    <v>15.42</v>
    <v>15.866</v>
    <v>15.754</v>
    <v>15.82</v>
    <v>15.625999999999999</v>
    <v>15.76</v>
    <v>15.622</v>
    <v>15.714</v>
    <v>15.724</v>
    <v>15.712</v>
    <v>15.832000000000001</v>
    <v>16.047999999999998</v>
    <v>15.848000000000001</v>
    <v>16.117999999999999</v>
    <v>16.181999999999999</v>
    <v>16.228000000000002</v>
    <v>16.39</v>
    <v>16.231999999999999</v>
    <v>16.244</v>
    <v>16.282</v>
    <v>16.315999999999999</v>
    <v>16.536000000000001</v>
    <v>15.778</v>
    <v>16.326000000000001</v>
    <v>16.074000000000002</v>
    <v>16.2</v>
    <v>16.27</v>
    <v>15.948</v>
    <v>15.994</v>
    <v>16.184000000000001</v>
    <v>16.161999999999999</v>
    <v>16.327999999999999</v>
    <v>16.478000000000002</v>
    <v>16.698</v>
    <v>16.64</v>
    <v>16.82</v>
    <v>16.803999999999998</v>
    <v>16.576000000000001</v>
    <v>16.59</v>
    <v>16.547999999999998</v>
    <v>16.641999999999999</v>
    <v>16.751999999999999</v>
    <v>16.603999999999999</v>
    <v>16.78</v>
    <v>16.635999999999999</v>
    <v>16.597999999999999</v>
    <v>16.68</v>
    <v>16.5</v>
    <v>16.399999999999999</v>
    <v>16.361999999999998</v>
    <v>16.398</v>
    <v>16.367999999999999</v>
    <v>16.032</v>
    <v>16.033999999999999</v>
    <v>16.186</v>
    <v>16.190000000000001</v>
    <v>16.184000000000001</v>
    <v>16.302</v>
    <v>16.448</v>
    <v>16.312000000000001</v>
    <v>16.202000000000002</v>
    <v>16.286000000000001</v>
    <v>16.466000000000001</v>
    <v>16.585999999999999</v>
    <v>16.507999999999999</v>
    <v>16.454000000000001</v>
    <v>16.27</v>
    <v>16.283999999999999</v>
    <v>16.260000000000002</v>
    <v>16.044</v>
    <v>16.335999999999999</v>
    <v>16.347999999999999</v>
    <v>16.43</v>
    <v>16.527999999999999</v>
    <v>16.538</v>
    <v>16.591999999999999</v>
    <v>16.739999999999998</v>
    <v>16.861999999999998</v>
    <v>17.079999999999998</v>
    <v>17.393999999999998</v>
    <v>17.28</v>
    <v>17.288</v>
    <v>17.422000000000001</v>
    <v>17.552</v>
    <v>17.398</v>
    <v>17.28</v>
    <v>17.504000000000001</v>
    <v>17.324000000000002</v>
    <v>17.361999999999998</v>
    <v>17.123999999999999</v>
    <v>17.256</v>
    <v>17.187999999999999</v>
    <v>17.04</v>
    <v>16.917999999999999</v>
    <v>16.79</v>
    <v>16.806000000000001</v>
    <v>16.902000000000001</v>
    <v>16.876000000000001</v>
    <v>16.754000000000001</v>
    <v>16.827999999999999</v>
    <v>16.937999999999999</v>
    <v>16.872</v>
    <v>16.905999999999999</v>
    <v>17.047999999999998</v>
    <v>17.026</v>
    <v>16.974</v>
    <v>16.954000000000001</v>
    <v>16.893999999999998</v>
    <v>17.141999999999999</v>
    <v>17.024000000000001</v>
    <v>17.16</v>
    <v>17.161999999999999</v>
    <v>17.190000000000001</v>
    <v>17.294</v>
    <v>17.288</v>
    <v>17.408000000000001</v>
    <v>17.367999999999999</v>
    <v>17.303999999999998</v>
    <v>17.384</v>
    <v>16.994</v>
    <v>17.164000000000001</v>
    <v>17.172000000000001</v>
    <v>17.146000000000001</v>
    <v>17.16</v>
    <v>17.367999999999999</v>
    <v>17.568000000000001</v>
    <v>17.585999999999999</v>
    <v>17.588000000000001</v>
    <v>17.57</v>
    <v>17.475999999999999</v>
    <v>17.385999999999999</v>
    <v>17.138000000000002</v>
    <v>16.914000000000001</v>
    <v>16.632000000000001</v>
    <v>16.652000000000001</v>
    <v>16.981999999999999</v>
    <v>16.718</v>
    <v>16.739999999999998</v>
    <v>16.87</v>
    <v>16.777999999999999</v>
    <v>16.928000000000001</v>
    <v>16.914000000000001</v>
    <v>16.692</v>
    <v>17.245999999999999</v>
    <v>17.117999999999999</v>
    <v>17.344000000000001</v>
    <v>17.47</v>
    <v>17.594000000000001</v>
    <v>17.544</v>
    <v>17.654</v>
    <v>17.760000000000002</v>
    <v>17.815999999999999</v>
    <v>17.765999999999998</v>
    <v>17.974</v>
    <v>18.065999999999999</v>
    <v>17.925999999999998</v>
    <v>17.852</v>
    <v>17.768000000000001</v>
    <v>17.962</v>
    <v>18.143999999999998</v>
    <v>18.268000000000001</v>
    <v>18.236000000000001</v>
    <v>18.462</v>
    <v>18.34</v>
    <v>18.344000000000001</v>
    <v>18.738</v>
    <v>18.678000000000001</v>
    <v>19.05</v>
    <v>18.706</v>
    <v>18.47</v>
    <v>18.353999999999999</v>
    <v>18.3</v>
    <v>18.518000000000001</v>
    <v>18.306000000000001</v>
    <v>18.38</v>
    <v>18.68</v>
    <v>18.757999999999999</v>
    <v>18.745999999999999</v>
    <v>18.696000000000002</v>
    <v>18.655999999999999</v>
    <v>18.536000000000001</v>
    <v>18.878</v>
    <v>18.917999999999999</v>
    <v>18.814</v>
    <v>18.484000000000002</v>
    <v>18.170000000000002</v>
    <v>18.294</v>
    <v>18.274000000000001</v>
    <v>18.236000000000001</v>
    <v>18.488</v>
    <v>18.876000000000001</v>
    <v>18.803999999999998</v>
    <v>18.974</v>
    <v>19.222000000000001</v>
    <v>19.286000000000001</v>
    <v>19.82</v>
    <v>19.338000000000001</v>
    <v>19.306000000000001</v>
    <v>19.678000000000001</v>
    <v>19.212</v>
    <v>19.236000000000001</v>
    <v>19.628</v>
    <v>19.63</v>
    <v>18.821999999999999</v>
    <v>19.026</v>
    <v>19.007999999999999</v>
    <v>18.686</v>
    <v>18.498000000000001</v>
    <v>19.106000000000002</v>
    <v>18.84</v>
    <v>18.494</v>
    <v>18.850000000000001</v>
    <v>18.832000000000001</v>
    <v>18.423999999999999</v>
    <v>17.84</v>
    <v>18.181999999999999</v>
    <v>18.698</v>
    <v>18.675999999999998</v>
    <v>18.628</v>
    <v>18.478000000000002</v>
    <v>18.641999999999999</v>
    <v>18.167999999999999</v>
    <v>18.190000000000001</v>
    <v>18.052</v>
    <v>18.056000000000001</v>
    <v>17.954000000000001</v>
    <v>18.117999999999999</v>
    <v>18.314</v>
    <v>18.399999999999999</v>
    <v>18.568000000000001</v>
    <v>18.565999999999999</v>
    <v>18.39</v>
    <v>18.568000000000001</v>
    <v>18.446000000000002</v>
    <v>18.37</v>
    <v>18.643999999999998</v>
    <v>18.53</v>
    <v>18.053999999999998</v>
    <v>17.96</v>
    <v>18.097999999999999</v>
    <v>17.802</v>
    <v>17.867999999999999</v>
    <v>18</v>
    <v>18.212</v>
    <v>18.238</v>
    <v>18.23</v>
    <v>18.234000000000002</v>
    <v>18.062000000000001</v>
    <v>18.027999999999999</v>
    <v>18.103999999999999</v>
    <v>18.045999999999999</v>
    <v>18.053999999999998</v>
    <v>18.058</v>
    <v>17.911999999999999</v>
    <v>17.923999999999999</v>
    <v>17.87</v>
    <v>17.794</v>
    <v>17.91</v>
    <v>17.972000000000001</v>
    <v>18.122</v>
    <v>18.350000000000001</v>
    <v>18.398</v>
    <v>18.262</v>
    <v>18.03</v>
    <v>17.899999999999999</v>
    <v>17.603999999999999</v>
    <v>17.736000000000001</v>
    <v>17.739999999999998</v>
    <v>17.797999999999998</v>
    <v>17.768000000000001</v>
    <v>17.920000000000002</v>
    <v>17.88</v>
    <v>17.888000000000002</v>
    <v>17.757999999999999</v>
    <v>17.84</v>
    <v>17.797999999999998</v>
    <v>17.734000000000002</v>
    <v>17.54</v>
    <v>17.324000000000002</v>
    <v>17.181999999999999</v>
    <v>17.308</v>
    <v>17.23</v>
    <v>17.091999999999999</v>
    <v>16.841999999999999</v>
    <v>17.033999999999999</v>
  </a>
  <a r="1" c="208">
    <v>154.63</v>
    <v>157.18</v>
    <v>157.66999999999999</v>
    <v>159.61000000000001</v>
    <v>157.87</v>
    <v>159.32</v>
    <v>159.29</v>
    <v>159.11000000000001</v>
    <v>156.38999999999999</v>
    <v>158.56</v>
    <v>157.32</v>
    <v>154.6</v>
    <v>153.69</v>
    <v>154.41</v>
    <v>156.19999999999999</v>
    <v>156</v>
    <v>155.44999999999999</v>
    <v>155.81</v>
    <v>157.76</v>
    <v>153.63999999999999</v>
    <v>156.06</v>
    <v>157.43</v>
    <v>154.77000000000001</v>
    <v>151.65</v>
    <v>149.80000000000001</v>
    <v>150.93</v>
    <v>152.66999999999999</v>
    <v>152.65</v>
    <v>151.35</v>
    <v>148.69</v>
    <v>149.5</v>
    <v>149.57</v>
    <v>148.91</v>
    <v>151.25</v>
    <v>150.96</v>
    <v>152.03</v>
    <v>148.87</v>
    <v>150.44</v>
    <v>152.53</v>
    <v>152.82</v>
    <v>151.68</v>
    <v>152.58000000000001</v>
    <v>149.80000000000001</v>
    <v>153.56</v>
    <v>153.22999999999999</v>
    <v>152.02000000000001</v>
    <v>150.76</v>
    <v>154.38999999999999</v>
    <v>154.16999999999999</v>
    <v>153.03</v>
    <v>153</v>
    <v>155.34</v>
    <v>156.01</v>
    <v>155.63</v>
    <v>153</v>
    <v>151</v>
    <v>151.21</v>
    <v>149.69999999999999</v>
    <v>150.41</v>
    <v>146.87</v>
    <v>143.69999999999999</v>
    <v>143.81</v>
    <v>142.6</v>
    <v>148.5</v>
    <v>147.82</v>
    <v>148.31</v>
    <v>153.88</v>
    <v>152.16</v>
    <v>152.19999999999999</v>
    <v>153.44999999999999</v>
    <v>156.54</v>
    <v>158.88999999999999</v>
    <v>162.44</v>
    <v>165.5</v>
    <v>163.77000000000001</v>
    <v>165.91</v>
    <v>168.32</v>
    <v>167.37</v>
    <v>168.34</v>
    <v>169.82</v>
    <v>167.24</v>
    <v>170.02</v>
    <v>169.38</v>
    <v>176.41</v>
    <v>180.3</v>
    <v>182.88</v>
    <v>185.07</v>
    <v>188.14</v>
    <v>191.81</v>
    <v>185.7</v>
    <v>191.43</v>
    <v>195.19</v>
    <v>191.27</v>
    <v>189.37</v>
    <v>188.69</v>
    <v>192.72</v>
    <v>194.02</v>
    <v>197.98</v>
    <v>200.3</v>
    <v>203.31</v>
    <v>202.37</v>
    <v>206.33</v>
    <v>210.99</v>
    <v>220.04</v>
    <v>220.06</v>
    <v>218.28</v>
    <v>213.25</v>
    <v>204.35</v>
    <v>205.49</v>
    <v>198.7</v>
    <v>198.43</v>
    <v>198.84</v>
    <v>205.38</v>
    <v>211.36</v>
    <v>208.33</v>
    <v>209.47</v>
    <v>215.44</v>
    <v>214.68</v>
    <v>216.79</v>
    <v>209.38</v>
    <v>210.1</v>
    <v>211.03</v>
    <v>209.1</v>
    <v>205.84</v>
    <v>211.58</v>
    <v>209.61</v>
    <v>202.45</v>
    <v>205.94</v>
    <v>207.89</v>
    <v>200.83</v>
    <v>199.73</v>
    <v>207.21</v>
    <v>206.41</v>
    <v>202.28</v>
    <v>203.64</v>
    <v>199.53</v>
    <v>196.23</v>
    <v>193.38</v>
    <v>196.54</v>
    <v>199.13</v>
    <v>197.87</v>
    <v>193.55</v>
    <v>193.9</v>
    <v>192.59</v>
    <v>191.26</v>
    <v>189.3</v>
    <v>190.36</v>
    <v>193.31</v>
    <v>198.22</v>
    <v>205.46</v>
    <v>205.77</v>
    <v>203.83</v>
    <v>204.7</v>
    <v>206.36</v>
    <v>206.21</v>
    <v>207.59</v>
    <v>210.06</v>
    <v>209.04</v>
    <v>209.33</v>
    <v>204.16</v>
    <v>202.9</v>
    <v>200.85</v>
    <v>201.9</v>
    <v>199.58</v>
    <v>200.58</v>
    <v>201.44</v>
    <v>205.5</v>
    <v>208.79</v>
    <v>206.25</v>
    <v>204.75</v>
    <v>203.31</v>
    <v>207.26</v>
    <v>207.69</v>
    <v>208.5</v>
    <v>208.68</v>
    <v>208.71</v>
    <v>206.7</v>
    <v>209.14</v>
    <v>209.09</v>
    <v>209.52</v>
    <v>210.97</v>
    <v>214.32</v>
    <v>212.82</v>
    <v>218.81</v>
    <v>220.43</v>
    <v>221.39</v>
    <v>219.93</v>
    <v>220.87</v>
    <v>216.98</v>
    <v>218.35</v>
    <v>220.31</v>
    <v>220.78</v>
    <v>223.78</v>
    <v>225.47</v>
    <v>226.43</v>
    <v>226.36</v>
    <v>225.01</v>
    <v>225.31</v>
    <v>224.62</v>
    <v>223.55</v>
    <v>221.02</v>
    <v>215.28</v>
    <v>211.31</v>
    <v>214.13</v>
    <v>212.43</v>
    <v>214.67</v>
    <v>210.96</v>
    <v>212.43</v>
  </a>
  <a r="1" c="254">
    <v>154.31</v>
    <v>156.47999999999999</v>
    <v>158.55000000000001</v>
    <v>159.26</v>
    <v>160.08000000000001</v>
    <v>160.37</v>
    <v>160.59</v>
    <v>162.5</v>
    <v>159.66</v>
    <v>159.29</v>
    <v>155.32</v>
    <v>152.29</v>
    <v>157.12</v>
    <v>157.16</v>
    <v>157</v>
    <v>154.1</v>
    <v>154.09</v>
    <v>153.16</v>
    <v>150.34</v>
    <v>150.46</v>
    <v>150.77000000000001</v>
    <v>146.66</v>
    <v>150.37</v>
    <v>150.35</v>
    <v>151.85</v>
    <v>151.72999999999999</v>
    <v>152.47999999999999</v>
    <v>151.91999999999999</v>
    <v>152.97</v>
    <v>152.81</v>
    <v>153.62</v>
    <v>155.55000000000001</v>
    <v>155.97</v>
    <v>156.24</v>
    <v>156.06</v>
    <v>153.38999999999999</v>
    <v>151.68</v>
    <v>151.22999999999999</v>
    <v>149.77000000000001</v>
    <v>149.16999999999999</v>
    <v>151.55000000000001</v>
    <v>152.82</v>
    <v>153.44999999999999</v>
    <v>153.62</v>
    <v>154.88</v>
    <v>155.87</v>
    <v>154.63</v>
    <v>157.18</v>
    <v>157.66999999999999</v>
    <v>159.61000000000001</v>
    <v>157.87</v>
    <v>159.32</v>
    <v>159.29</v>
    <v>159.11000000000001</v>
    <v>156.38999999999999</v>
    <v>158.56</v>
    <v>157.32</v>
    <v>154.6</v>
    <v>153.69</v>
    <v>154.41</v>
    <v>156.19999999999999</v>
    <v>156</v>
    <v>155.44999999999999</v>
    <v>155.81</v>
    <v>157.76</v>
    <v>153.63999999999999</v>
    <v>156.06</v>
    <v>157.43</v>
    <v>154.77000000000001</v>
    <v>151.65</v>
    <v>149.80000000000001</v>
    <v>150.93</v>
    <v>152.66999999999999</v>
    <v>152.65</v>
    <v>151.35</v>
    <v>148.69</v>
    <v>149.5</v>
    <v>149.57</v>
    <v>148.91</v>
    <v>151.25</v>
    <v>150.96</v>
    <v>152.03</v>
    <v>148.87</v>
    <v>150.44</v>
    <v>152.53</v>
    <v>152.82</v>
    <v>151.68</v>
    <v>152.58000000000001</v>
    <v>149.80000000000001</v>
    <v>153.56</v>
    <v>153.22999999999999</v>
    <v>152.02000000000001</v>
    <v>150.76</v>
    <v>154.38999999999999</v>
    <v>154.16999999999999</v>
    <v>153.03</v>
    <v>153</v>
    <v>155.34</v>
    <v>156.01</v>
    <v>155.63</v>
    <v>153</v>
    <v>151</v>
    <v>151.21</v>
    <v>149.69999999999999</v>
    <v>150.41</v>
    <v>146.87</v>
    <v>143.69999999999999</v>
    <v>143.81</v>
    <v>142.6</v>
    <v>148.5</v>
    <v>147.82</v>
    <v>148.31</v>
    <v>153.88</v>
    <v>152.16</v>
    <v>152.19999999999999</v>
    <v>153.44999999999999</v>
    <v>156.54</v>
    <v>158.88999999999999</v>
    <v>162.44</v>
    <v>165.5</v>
    <v>163.77000000000001</v>
    <v>165.91</v>
    <v>168.32</v>
    <v>167.37</v>
    <v>168.34</v>
    <v>169.82</v>
    <v>167.24</v>
    <v>170.02</v>
    <v>169.38</v>
    <v>176.41</v>
    <v>180.3</v>
    <v>182.88</v>
    <v>185.07</v>
    <v>188.14</v>
    <v>191.81</v>
    <v>185.7</v>
    <v>191.43</v>
    <v>195.19</v>
    <v>191.27</v>
    <v>189.37</v>
    <v>188.69</v>
    <v>192.72</v>
    <v>194.02</v>
    <v>197.98</v>
    <v>200.3</v>
    <v>203.31</v>
    <v>202.37</v>
    <v>206.33</v>
    <v>210.99</v>
    <v>220.04</v>
    <v>220.06</v>
    <v>218.28</v>
    <v>213.25</v>
    <v>204.35</v>
    <v>205.49</v>
    <v>198.7</v>
    <v>198.43</v>
    <v>198.84</v>
    <v>205.38</v>
    <v>211.36</v>
    <v>208.33</v>
    <v>209.47</v>
    <v>215.44</v>
    <v>214.68</v>
    <v>216.79</v>
    <v>209.38</v>
    <v>210.1</v>
    <v>211.03</v>
    <v>209.1</v>
    <v>205.84</v>
    <v>211.58</v>
    <v>209.61</v>
    <v>202.45</v>
    <v>205.94</v>
    <v>207.89</v>
    <v>200.83</v>
    <v>199.73</v>
    <v>207.21</v>
    <v>206.41</v>
    <v>202.28</v>
    <v>203.64</v>
    <v>199.53</v>
    <v>196.23</v>
    <v>193.38</v>
    <v>196.54</v>
    <v>199.13</v>
    <v>197.87</v>
    <v>193.55</v>
    <v>193.9</v>
    <v>192.59</v>
    <v>191.26</v>
    <v>189.3</v>
    <v>190.36</v>
    <v>193.31</v>
    <v>198.22</v>
    <v>205.46</v>
    <v>205.77</v>
    <v>203.83</v>
    <v>204.7</v>
    <v>206.36</v>
    <v>206.21</v>
    <v>207.59</v>
    <v>210.06</v>
    <v>209.04</v>
    <v>209.33</v>
    <v>204.16</v>
    <v>202.9</v>
    <v>200.85</v>
    <v>201.9</v>
    <v>199.58</v>
    <v>200.58</v>
    <v>201.44</v>
    <v>205.5</v>
    <v>208.79</v>
    <v>206.25</v>
    <v>204.75</v>
    <v>203.31</v>
    <v>207.26</v>
    <v>207.69</v>
    <v>208.5</v>
    <v>208.68</v>
    <v>208.71</v>
    <v>206.7</v>
    <v>209.14</v>
    <v>209.09</v>
    <v>209.52</v>
    <v>210.97</v>
    <v>214.32</v>
    <v>212.82</v>
    <v>218.81</v>
    <v>220.43</v>
    <v>221.39</v>
    <v>219.93</v>
    <v>220.87</v>
    <v>216.98</v>
    <v>218.35</v>
    <v>220.31</v>
    <v>220.78</v>
    <v>223.78</v>
    <v>225.47</v>
    <v>226.43</v>
    <v>226.36</v>
    <v>225.01</v>
    <v>225.31</v>
    <v>224.62</v>
    <v>223.55</v>
    <v>221.02</v>
    <v>215.28</v>
    <v>211.31</v>
    <v>214.13</v>
    <v>212.43</v>
    <v>214.67</v>
    <v>210.96</v>
    <v>212.43</v>
  </a>
  <a r="1" c="761">
    <v>87.33</v>
    <v>88.16</v>
    <v>87.1</v>
    <v>85.53</v>
    <v>86.03</v>
    <v>86.16</v>
    <v>87.15</v>
    <v>88.87</v>
    <v>90.13</v>
    <v>90.74</v>
    <v>90.84</v>
    <v>92.64</v>
    <v>92.19</v>
    <v>92.98</v>
    <v>93.34</v>
    <v>93.85</v>
    <v>94.45</v>
    <v>94.73</v>
    <v>93.95</v>
    <v>94.32</v>
    <v>94.85</v>
    <v>94.71</v>
    <v>95.9</v>
    <v>95.54</v>
    <v>94.97</v>
    <v>95.26</v>
    <v>94.92</v>
    <v>95.88</v>
    <v>96</v>
    <v>96.78</v>
    <v>95.86</v>
    <v>96.29</v>
    <v>96.85</v>
    <v>96.86</v>
    <v>98.12</v>
    <v>98.6</v>
    <v>98.92</v>
    <v>98.95</v>
    <v>97.8</v>
    <v>99.45</v>
    <v>99.53</v>
    <v>99.62</v>
    <v>99.99</v>
    <v>99.31</v>
    <v>99.79</v>
    <v>99.54</v>
    <v>100.2</v>
    <v>99.47</v>
    <v>98.9</v>
    <v>98.11</v>
    <v>97.96</v>
    <v>98.11</v>
    <v>99.15</v>
    <v>100.2</v>
    <v>100.61</v>
    <v>100.4</v>
    <v>101.58</v>
    <v>101.65</v>
    <v>102.58</v>
    <v>101.67</v>
    <v>103.21</v>
    <v>104.22</v>
    <v>106</v>
    <v>106.18</v>
    <v>107.4</v>
    <v>109.11</v>
    <v>108</v>
    <v>108.43</v>
    <v>108.92</v>
    <v>106.5</v>
    <v>106.51</v>
    <v>110</v>
    <v>109.88</v>
    <v>110.1</v>
    <v>110.73</v>
    <v>111.2</v>
    <v>112</v>
    <v>113.18</v>
    <v>111.02</v>
    <v>111.76</v>
    <v>111.68</v>
    <v>111.15</v>
    <v>110.75</v>
    <v>108.3</v>
    <v>107.05</v>
    <v>110.61</v>
    <v>110.93</v>
    <v>111.27</v>
    <v>111.02</v>
    <v>111.11</v>
    <v>111.75</v>
    <v>113.56</v>
    <v>114.38</v>
    <v>111.9</v>
    <v>113.01</v>
    <v>113.76</v>
    <v>113.8</v>
    <v>112.57</v>
    <v>114.39</v>
    <v>113.89</v>
    <v>113.67</v>
    <v>111.7</v>
    <v>112.82</v>
    <v>112.65</v>
    <v>113.17</v>
    <v>116.17</v>
    <v>115.66</v>
    <v>115.7</v>
    <v>116.27</v>
    <v>115.1</v>
    <v>115.79</v>
    <v>115.34</v>
    <v>116.03</v>
    <v>116.05</v>
    <v>114.94</v>
    <v>114.9</v>
    <v>113.6</v>
    <v>114.34</v>
    <v>115.34</v>
    <v>115.46</v>
    <v>114.7</v>
    <v>112.85</v>
    <v>112.04</v>
    <v>111.92</v>
    <v>109.69</v>
    <v>108.92</v>
    <v>111.05</v>
    <v>111.28</v>
    <v>108.51</v>
    <v>111.71</v>
    <v>111.06</v>
    <v>110.75</v>
    <v>109.57</v>
    <v>110.81</v>
    <v>112.26</v>
    <v>112.95</v>
    <v>112.65</v>
    <v>112.54</v>
    <v>112.38</v>
    <v>112.45</v>
    <v>112.4</v>
    <v>114.05</v>
    <v>115.1</v>
    <v>114.61</v>
    <v>115.26</v>
    <v>114.96</v>
    <v>115.51</v>
    <v>116.1</v>
    <v>115.31</v>
    <v>115.8</v>
    <v>115.74</v>
    <v>115.87</v>
    <v>112.7</v>
    <v>110.23</v>
    <v>112.04</v>
    <v>112.15</v>
    <v>114.29</v>
    <v>115.56</v>
    <v>116.36</v>
    <v>117.2</v>
    <v>116.97</v>
    <v>118.69</v>
    <v>119.1</v>
    <v>120.26</v>
    <v>120</v>
    <v>121.32</v>
    <v>122</v>
    <v>122.75</v>
    <v>121.62</v>
    <v>120.94</v>
    <v>121.64</v>
    <v>122.09</v>
    <v>122.9</v>
    <v>124.11</v>
    <v>123.05</v>
    <v>123.39</v>
    <v>124.04</v>
    <v>124</v>
    <v>125.1</v>
    <v>125.17</v>
    <v>125.5</v>
    <v>125.39</v>
    <v>123.89</v>
    <v>124.34</v>
    <v>124.51</v>
    <v>124.08</v>
    <v>120.88</v>
    <v>119.27</v>
    <v>119.02</v>
    <v>118.86</v>
    <v>120.84</v>
    <v>117.81</v>
    <v>117.22</v>
    <v>117.07</v>
    <v>117.04</v>
    <v>116.34</v>
    <v>119</v>
    <v>117.76</v>
    <v>111.04</v>
    <v>107.87</v>
    <v>108.75</v>
    <v>110.68</v>
    <v>110.5</v>
    <v>111.48</v>
    <v>111.89</v>
    <v>113.54</v>
    <v>113.74</v>
    <v>116.56</v>
    <v>116.84</v>
    <v>117.14</v>
    <v>116.81</v>
    <v>116.7</v>
    <v>115.87</v>
    <v>115.55</v>
    <v>115.5</v>
    <v>114.6</v>
    <v>116.73</v>
    <v>115.95</v>
    <v>117.2</v>
    <v>115.44</v>
    <v>113.69</v>
    <v>112.71</v>
    <v>110.86</v>
    <v>112.57</v>
    <v>113.67</v>
    <v>113.34</v>
    <v>116.43</v>
    <v>116.98</v>
    <v>116.84</v>
    <v>117.19</v>
    <v>116.1</v>
    <v>118.39</v>
    <v>117.9</v>
    <v>119.04</v>
    <v>118.96</v>
    <v>119.29</v>
    <v>119.97</v>
    <v>120.27</v>
    <v>119.87</v>
    <v>119.4</v>
    <v>120.39</v>
    <v>120.54</v>
    <v>121.93</v>
    <v>122.6</v>
    <v>123.15</v>
    <v>124.24</v>
    <v>124.68</v>
    <v>125.14</v>
    <v>126.15</v>
    <v>125.6</v>
    <v>125.33</v>
    <v>126.78</v>
    <v>126.58</v>
    <v>126.13</v>
    <v>126.3</v>
    <v>126.08</v>
    <v>125.52</v>
    <v>126.49</v>
    <v>126.2</v>
    <v>127.23</v>
    <v>126.57</v>
    <v>123.18</v>
    <v>124.7</v>
    <v>123.48</v>
    <v>124.17</v>
    <v>129.66999999999999</v>
    <v>131.16999999999999</v>
    <v>132.47999999999999</v>
    <v>133.94</v>
    <v>134.22</v>
    <v>135.57</v>
    <v>134.36000000000001</v>
    <v>132.52000000000001</v>
    <v>132.94999999999999</v>
    <v>132.44</v>
    <v>133.1</v>
    <v>136.08000000000001</v>
    <v>136.88</v>
    <v>137.08000000000001</v>
    <v>137.52000000000001</v>
    <v>134.35</v>
    <v>135.19999999999999</v>
    <v>135.79</v>
    <v>137.16</v>
    <v>136.74</v>
    <v>139.46</v>
    <v>139.58000000000001</v>
    <v>140.49</v>
    <v>139.09</v>
    <v>138.77000000000001</v>
    <v>140.22</v>
    <v>140.18</v>
    <v>138.80000000000001</v>
    <v>138.94999999999999</v>
    <v>139.04</v>
    <v>138.87</v>
    <v>136.69</v>
    <v>136.91</v>
    <v>136.6</v>
    <v>136.28</v>
    <v>135.5</v>
    <v>137.19</v>
    <v>137.35</v>
    <v>139.29</v>
    <v>138</v>
    <v>137.25</v>
    <v>137.32</v>
    <v>135.52000000000001</v>
    <v>134.41</v>
    <v>134.36000000000001</v>
    <v>137.12</v>
    <v>137.68</v>
    <v>138.69</v>
    <v>138.07</v>
    <v>138.18</v>
    <v>141.02000000000001</v>
    <v>141.1</v>
    <v>140.68</v>
    <v>136.30000000000001</v>
    <v>139.19</v>
    <v>139.24</v>
    <v>139.38</v>
    <v>141.71</v>
    <v>140.28</v>
    <v>141.99</v>
    <v>140.74</v>
    <v>142.65</v>
    <v>143.01</v>
    <v>144.65</v>
    <v>144.36000000000001</v>
    <v>142.77000000000001</v>
    <v>143.68</v>
    <v>143.41999999999999</v>
    <v>144.96</v>
    <v>145.28</v>
    <v>145.66999999999999</v>
    <v>142.49</v>
    <v>142.63</v>
    <v>138.88</v>
    <v>135.01</v>
    <v>138.24</v>
    <v>137.81</v>
    <v>134.71</v>
    <v>135.21</v>
    <v>129.06</v>
    <v>127.87</v>
    <v>128.30000000000001</v>
    <v>124.24</v>
    <v>122.51</v>
    <v>120.46</v>
    <v>122.92</v>
    <v>121.08</v>
    <v>123.42</v>
    <v>124.32</v>
    <v>123.25</v>
    <v>124.92</v>
    <v>125.43</v>
    <v>125.4</v>
    <v>128.4</v>
    <v>128.97999999999999</v>
    <v>127.51</v>
    <v>126.47</v>
    <v>122.2</v>
    <v>120.47</v>
    <v>122.88</v>
    <v>123.36</v>
    <v>115.09</v>
    <v>109.37</v>
    <v>106.96</v>
    <v>111.14</v>
    <v>105.41</v>
    <v>111.05</v>
    <v>109.31</v>
    <v>112.2</v>
    <v>113.78</v>
    <v>111.99</v>
    <v>109.84</v>
    <v>107.91</v>
    <v>113.53</v>
    <v>114.95</v>
    <v>116.25</v>
    <v>116.25</v>
    <v>117.51</v>
    <v>117.75</v>
    <v>122.39</v>
    <v>122.99</v>
    <v>121.83</v>
    <v>121.06</v>
    <v>123.92</v>
    <v>123.55</v>
    <v>128.52000000000001</v>
    <v>130.69</v>
    <v>131.19999999999999</v>
    <v>131.47</v>
    <v>132.12</v>
    <v>130.72999999999999</v>
    <v>130.69</v>
    <v>130.11000000000001</v>
    <v>129.37</v>
    <v>127.76</v>
    <v>129</v>
    <v>129.97999999999999</v>
    <v>130.51</v>
    <v>129.29</v>
    <v>129.27000000000001</v>
    <v>129.06</v>
    <v>131.53</v>
    <v>131.51</v>
    <v>132.82</v>
    <v>133.47</v>
    <v>134.22</v>
    <v>133.57</v>
    <v>133.97</v>
    <v>133.08000000000001</v>
    <v>132.41999999999999</v>
    <v>133.97999999999999</v>
    <v>134.13</v>
    <v>133.91</v>
    <v>132.75</v>
    <v>133.31</v>
    <v>133.19</v>
    <v>135.66</v>
    <v>136.03</v>
    <v>136</v>
    <v>136.61000000000001</v>
    <v>136.9</v>
    <v>135.12</v>
    <v>135.38</v>
    <v>137.85</v>
    <v>136.75</v>
    <v>137.57</v>
    <v>137.46</v>
    <v>138</v>
    <v>138.04</v>
    <v>137.01</v>
    <v>136.9</v>
    <v>139.03</v>
    <v>136.93</v>
    <v>140.13999999999999</v>
    <v>139.58000000000001</v>
    <v>140.08000000000001</v>
    <v>138.65</v>
    <v>138.93</v>
    <v>138.97999999999999</v>
    <v>139.51</v>
    <v>140.85</v>
    <v>141.9</v>
    <v>142.77000000000001</v>
    <v>143.68</v>
    <v>137.69999999999999</v>
    <v>139.02000000000001</v>
    <v>139.21</v>
    <v>139.83000000000001</v>
    <v>140.29</v>
    <v>140.34</v>
    <v>141.25</v>
    <v>140.49</v>
    <v>140.72</v>
    <v>140.59</v>
    <v>140.12</v>
    <v>139.38</v>
    <v>137.53</v>
    <v>138.01</v>
    <v>139.03</v>
    <v>139.26</v>
    <v>138.87</v>
    <v>140.38999999999999</v>
    <v>141.04</v>
    <v>139.51</v>
    <v>139.38</v>
    <v>137.69999999999999</v>
    <v>139.16</v>
    <v>140.03</v>
    <v>139.16999999999999</v>
    <v>141.06</v>
    <v>141.66999999999999</v>
    <v>145.38999999999999</v>
    <v>145.51</v>
    <v>144.83000000000001</v>
    <v>145.47</v>
    <v>144.79</v>
    <v>144.74</v>
    <v>148.59</v>
    <v>149.32</v>
    <v>150.07</v>
    <v>150</v>
    <v>148.97</v>
    <v>149.28</v>
    <v>148.46</v>
    <v>149.03</v>
    <v>148.41</v>
    <v>149.54</v>
    <v>150.63</v>
    <v>151.21</v>
    <v>151.58000000000001</v>
    <v>150.65</v>
    <v>153.22</v>
    <v>153.6</v>
    <v>150.43</v>
    <v>151.86000000000001</v>
    <v>150.69999999999999</v>
    <v>152.25</v>
    <v>153.07</v>
    <v>150.32</v>
    <v>153.86000000000001</v>
    <v>154.44999999999999</v>
    <v>152.35</v>
    <v>154.31</v>
    <v>156.47999999999999</v>
    <v>158.55000000000001</v>
    <v>159.26</v>
    <v>160.08000000000001</v>
    <v>160.37</v>
    <v>160.59</v>
    <v>162.5</v>
    <v>159.66</v>
    <v>159.29</v>
    <v>155.32</v>
    <v>152.29</v>
    <v>157.12</v>
    <v>157.16</v>
    <v>157</v>
    <v>154.1</v>
    <v>154.09</v>
    <v>153.16</v>
    <v>150.34</v>
    <v>150.46</v>
    <v>150.77000000000001</v>
    <v>146.66</v>
    <v>150.37</v>
    <v>150.35</v>
    <v>151.85</v>
    <v>151.72999999999999</v>
    <v>152.47999999999999</v>
    <v>151.91999999999999</v>
    <v>152.97</v>
    <v>152.81</v>
    <v>153.62</v>
    <v>155.55000000000001</v>
    <v>155.97</v>
    <v>156.24</v>
    <v>156.06</v>
    <v>153.38999999999999</v>
    <v>151.68</v>
    <v>151.22999999999999</v>
    <v>149.77000000000001</v>
    <v>149.16999999999999</v>
    <v>151.55000000000001</v>
    <v>152.82</v>
    <v>153.44999999999999</v>
    <v>153.62</v>
    <v>154.88</v>
    <v>155.87</v>
    <v>154.63</v>
    <v>157.18</v>
    <v>157.66999999999999</v>
    <v>159.61000000000001</v>
    <v>157.87</v>
    <v>159.32</v>
    <v>159.29</v>
    <v>159.11000000000001</v>
    <v>156.38999999999999</v>
    <v>158.56</v>
    <v>157.32</v>
    <v>154.6</v>
    <v>153.69</v>
    <v>154.41</v>
    <v>156.19999999999999</v>
    <v>156</v>
    <v>155.44999999999999</v>
    <v>155.81</v>
    <v>157.76</v>
    <v>153.63999999999999</v>
    <v>156.06</v>
    <v>157.43</v>
    <v>154.77000000000001</v>
    <v>151.65</v>
    <v>149.80000000000001</v>
    <v>150.93</v>
    <v>152.66999999999999</v>
    <v>152.65</v>
    <v>151.35</v>
    <v>148.69</v>
    <v>149.5</v>
    <v>149.57</v>
    <v>148.91</v>
    <v>151.25</v>
    <v>150.96</v>
    <v>152.03</v>
    <v>148.87</v>
    <v>150.44</v>
    <v>152.53</v>
    <v>152.82</v>
    <v>151.68</v>
    <v>152.58000000000001</v>
    <v>149.80000000000001</v>
    <v>153.56</v>
    <v>153.22999999999999</v>
    <v>152.02000000000001</v>
    <v>150.76</v>
    <v>154.38999999999999</v>
    <v>154.16999999999999</v>
    <v>153.03</v>
    <v>153</v>
    <v>155.34</v>
    <v>156.01</v>
    <v>155.63</v>
    <v>153</v>
    <v>151</v>
    <v>151.21</v>
    <v>149.69999999999999</v>
    <v>150.41</v>
    <v>146.87</v>
    <v>143.69999999999999</v>
    <v>143.81</v>
    <v>142.6</v>
    <v>148.5</v>
    <v>147.82</v>
    <v>148.31</v>
    <v>153.88</v>
    <v>152.16</v>
    <v>152.19999999999999</v>
    <v>153.44999999999999</v>
    <v>156.54</v>
    <v>158.88999999999999</v>
    <v>162.44</v>
    <v>165.5</v>
    <v>163.77000000000001</v>
    <v>165.91</v>
    <v>168.32</v>
    <v>167.37</v>
    <v>168.34</v>
    <v>169.82</v>
    <v>167.24</v>
    <v>170.02</v>
    <v>169.38</v>
    <v>176.41</v>
    <v>180.3</v>
    <v>182.88</v>
    <v>185.07</v>
    <v>188.14</v>
    <v>191.81</v>
    <v>185.7</v>
    <v>191.43</v>
    <v>195.19</v>
    <v>191.27</v>
    <v>189.37</v>
    <v>188.69</v>
    <v>192.72</v>
    <v>194.02</v>
    <v>197.98</v>
    <v>200.3</v>
    <v>203.31</v>
    <v>202.37</v>
    <v>206.33</v>
    <v>210.99</v>
    <v>220.04</v>
    <v>220.06</v>
    <v>218.28</v>
    <v>213.25</v>
    <v>204.35</v>
    <v>205.49</v>
    <v>198.7</v>
    <v>198.43</v>
    <v>198.84</v>
    <v>205.38</v>
    <v>211.36</v>
    <v>208.33</v>
    <v>209.47</v>
    <v>215.44</v>
    <v>214.68</v>
    <v>216.79</v>
    <v>209.38</v>
    <v>210.1</v>
    <v>211.03</v>
    <v>209.1</v>
    <v>205.84</v>
    <v>211.58</v>
    <v>209.61</v>
    <v>202.45</v>
    <v>205.94</v>
    <v>207.89</v>
    <v>200.83</v>
    <v>199.73</v>
    <v>207.21</v>
    <v>206.41</v>
    <v>202.28</v>
    <v>203.64</v>
    <v>199.53</v>
    <v>196.23</v>
    <v>193.38</v>
    <v>196.54</v>
    <v>199.13</v>
    <v>197.87</v>
    <v>193.55</v>
    <v>193.9</v>
    <v>192.59</v>
    <v>191.26</v>
    <v>189.3</v>
    <v>190.36</v>
    <v>193.31</v>
    <v>198.22</v>
    <v>205.46</v>
    <v>205.77</v>
    <v>203.83</v>
    <v>204.7</v>
    <v>206.36</v>
    <v>206.21</v>
    <v>207.59</v>
    <v>210.06</v>
    <v>209.04</v>
    <v>209.33</v>
    <v>204.16</v>
    <v>202.9</v>
    <v>200.85</v>
    <v>201.9</v>
    <v>199.58</v>
    <v>200.58</v>
    <v>201.44</v>
    <v>205.5</v>
    <v>208.79</v>
    <v>206.25</v>
    <v>204.75</v>
    <v>203.31</v>
    <v>207.26</v>
    <v>207.69</v>
    <v>208.5</v>
    <v>208.68</v>
    <v>208.71</v>
    <v>206.7</v>
    <v>209.14</v>
    <v>209.09</v>
    <v>209.52</v>
    <v>210.97</v>
    <v>214.32</v>
    <v>212.82</v>
    <v>218.81</v>
    <v>220.43</v>
    <v>221.39</v>
    <v>219.93</v>
    <v>220.87</v>
    <v>216.98</v>
    <v>218.35</v>
    <v>220.31</v>
    <v>220.78</v>
    <v>223.78</v>
    <v>225.47</v>
    <v>226.43</v>
    <v>226.36</v>
    <v>225.01</v>
    <v>225.31</v>
    <v>224.62</v>
    <v>223.55</v>
    <v>221.02</v>
    <v>215.28</v>
    <v>211.31</v>
    <v>214.13</v>
    <v>212.43</v>
    <v>214.67</v>
    <v>210.96</v>
    <v>212.43</v>
  </a>
  <a r="1" c="208">
    <v>102.85599999999999</v>
    <v>102.854</v>
    <v>102.86499999999999</v>
    <v>102.875</v>
    <v>102.884</v>
    <v>102.89</v>
    <v>102.904</v>
    <v>102.907</v>
    <v>102.911</v>
    <v>102.934</v>
    <v>102.935</v>
    <v>102.944</v>
    <v>102.949</v>
    <v>102.956</v>
    <v>102.958</v>
    <v>102.98</v>
    <v>102.989</v>
    <v>102.994</v>
    <v>103</v>
    <v>103.023</v>
    <v>103.024</v>
    <v>103.033</v>
    <v>103.039</v>
    <v>103.05200000000001</v>
    <v>103.063</v>
    <v>103.069</v>
    <v>103.078</v>
    <v>103.083</v>
    <v>103.074</v>
    <v>103.092</v>
    <v>103.145</v>
    <v>103.107</v>
    <v>103.113</v>
    <v>103.119</v>
    <v>103.137</v>
    <v>103.14400000000001</v>
    <v>103.152</v>
    <v>103.157</v>
    <v>103.164</v>
    <v>103.182</v>
    <v>103.188</v>
    <v>103.197</v>
    <v>103.202</v>
    <v>103.209</v>
    <v>103.224</v>
    <v>103.227</v>
    <v>103.242</v>
    <v>103.247</v>
    <v>103.254</v>
    <v>103.26600000000001</v>
    <v>103.27800000000001</v>
    <v>103.28700000000001</v>
    <v>103.292</v>
    <v>103.29900000000001</v>
    <v>103.31699999999999</v>
    <v>103.32299999999999</v>
    <v>103.33199999999999</v>
    <v>103.33799999999999</v>
    <v>103.34399999999999</v>
    <v>103.363</v>
    <v>103.367</v>
    <v>103.369</v>
    <v>103.38200000000001</v>
    <v>103.38800000000001</v>
    <v>103.408</v>
    <v>103.452</v>
    <v>103.434</v>
    <v>103.45099999999999</v>
    <v>103.458</v>
    <v>103.46599999999999</v>
    <v>103.47199999999999</v>
    <v>103.479</v>
    <v>103.496</v>
    <v>103.503</v>
    <v>103.512</v>
    <v>103.517</v>
    <v>103.521</v>
    <v>103.536</v>
    <v>103.539</v>
    <v>103.54900000000001</v>
    <v>103.562</v>
    <v>103.569</v>
    <v>103.584</v>
    <v>103.616</v>
    <v>103.608</v>
    <v>103.613</v>
    <v>103.631</v>
    <v>103.63800000000001</v>
    <v>103.646</v>
    <v>103.65</v>
    <v>103.658</v>
    <v>103.676</v>
    <v>103.682</v>
    <v>103.69199999999999</v>
    <v>103.697</v>
    <v>103.70399999999999</v>
    <v>103.72199999999999</v>
    <v>103.72799999999999</v>
    <v>103.73699999999999</v>
    <v>103.742</v>
    <v>103.749</v>
    <v>103.762</v>
    <v>103.773</v>
    <v>103.776</v>
    <v>103.78700000000001</v>
    <v>103.79300000000001</v>
    <v>103.81100000000001</v>
    <v>103.818</v>
    <v>103.82599999999999</v>
    <v>103.83199999999999</v>
    <v>103.839</v>
    <v>103.857</v>
    <v>103.863</v>
    <v>103.872</v>
    <v>103.877</v>
    <v>103.884</v>
    <v>103.902</v>
    <v>103.91200000000001</v>
    <v>103.922</v>
    <v>103.923</v>
    <v>103.935</v>
    <v>103.955</v>
    <v>103.96299999999999</v>
    <v>103.967</v>
    <v>103.973</v>
    <v>103.977</v>
    <v>104.006</v>
    <v>104.017</v>
    <v>104.02200000000001</v>
    <v>104.029</v>
    <v>104.041</v>
    <v>104.066</v>
    <v>104.065</v>
    <v>104.075</v>
    <v>104.08199999999999</v>
    <v>104.09</v>
    <v>104.105</v>
    <v>104.11799999999999</v>
    <v>104.128</v>
    <v>104.13500000000001</v>
    <v>104.143</v>
    <v>104.164</v>
    <v>104.17100000000001</v>
    <v>104.182</v>
    <v>104.19799999999999</v>
    <v>104.13800000000001</v>
    <v>104.217</v>
    <v>104.22499999999999</v>
    <v>104.235</v>
    <v>104.242</v>
    <v>104.249</v>
    <v>104.27</v>
    <v>104.27800000000001</v>
    <v>104.288</v>
    <v>104.295</v>
    <v>104.303</v>
    <v>104.324</v>
    <v>104.331</v>
    <v>104.342</v>
    <v>104.35299999999999</v>
    <v>104.36199999999999</v>
    <v>104.377</v>
    <v>104.38500000000001</v>
    <v>104.396</v>
    <v>104.40600000000001</v>
    <v>104.41</v>
    <v>104.431</v>
    <v>104.43899999999999</v>
    <v>104.449</v>
    <v>104.456</v>
    <v>104.465</v>
    <v>104.48399999999999</v>
    <v>104.492</v>
    <v>104.503</v>
    <v>104.514</v>
    <v>104.517</v>
    <v>104.538</v>
    <v>104.54600000000001</v>
    <v>104.556</v>
    <v>104.563</v>
    <v>104.571</v>
    <v>104.592</v>
    <v>104.60299999999999</v>
    <v>104.61499999999999</v>
    <v>104.622</v>
    <v>104.631</v>
    <v>104.654</v>
    <v>104.658</v>
    <v>104.67400000000001</v>
    <v>104.681</v>
    <v>104.69</v>
    <v>104.72</v>
    <v>104.721</v>
    <v>104.732</v>
    <v>104.74</v>
    <v>104.748</v>
    <v>104.771</v>
    <v>104.78</v>
    <v>104.791</v>
    <v>104.79900000000001</v>
    <v>104.807</v>
    <v>104.831</v>
    <v>104.839</v>
    <v>104.851</v>
    <v>104.858</v>
    <v>104.866</v>
    <v>104.89</v>
    <v>104.9</v>
  </a>
  <a r="1" c="452">
    <v t="i">450</v>
    <v t="i">451</v>
    <v t="i">452</v>
    <v t="i">455</v>
    <v t="i">456</v>
    <v t="i">457</v>
    <v t="i">458</v>
    <v t="i">459</v>
    <v t="i">462</v>
    <v t="i">463</v>
    <v t="i">464</v>
    <v t="i">465</v>
    <v t="i">466</v>
    <v t="i">469</v>
    <v t="i">470</v>
    <v t="i">471</v>
    <v t="i">472</v>
    <v t="i">473</v>
    <v t="i">476</v>
    <v t="i">477</v>
    <v t="i">478</v>
    <v t="i">479</v>
    <v t="i">480</v>
    <v t="i">483</v>
    <v t="i">484</v>
    <v t="i">485</v>
    <v t="i">486</v>
    <v t="i">487</v>
    <v t="i">490</v>
    <v t="i">491</v>
    <v t="i">492</v>
    <v t="i">493</v>
    <v t="i">494</v>
    <v t="i">497</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547</v>
    <v t="i">548</v>
    <v t="i">549</v>
    <v t="i">550</v>
    <v t="i">553</v>
    <v t="i">554</v>
    <v t="i">555</v>
    <v t="i">557</v>
    <v t="i">560</v>
    <v t="i">561</v>
    <v t="i">562</v>
    <v t="i">563</v>
    <v t="i">564</v>
    <v t="i">567</v>
    <v t="i">568</v>
    <v t="i">569</v>
    <v t="i">570</v>
    <v t="i">571</v>
    <v t="i">574</v>
    <v t="i">575</v>
    <v t="i">576</v>
    <v t="i">577</v>
    <v t="i">578</v>
    <v t="i">581</v>
    <v t="i">582</v>
    <v t="i">583</v>
    <v t="i">584</v>
    <v t="i">585</v>
    <v t="i">588</v>
    <v t="i">589</v>
    <v t="i">590</v>
    <v t="i">591</v>
    <v t="i">592</v>
    <v t="i">595</v>
    <v t="i">596</v>
    <v t="i">597</v>
    <v t="i">598</v>
    <v t="i">599</v>
    <v t="i">602</v>
    <v t="i">603</v>
    <v t="i">604</v>
    <v t="i">605</v>
    <v t="i">606</v>
    <v t="i">609</v>
    <v t="i">610</v>
    <v t="i">611</v>
    <v t="i">612</v>
    <v t="i">613</v>
    <v t="i">616</v>
    <v t="i">617</v>
    <v t="i">618</v>
    <v t="i">619</v>
    <v t="i">620</v>
    <v t="i">623</v>
    <v t="i">624</v>
    <v t="i">625</v>
    <v t="i">626</v>
    <v t="i">627</v>
    <v t="i">630</v>
    <v t="i">631</v>
    <v t="i">632</v>
    <v t="i">633</v>
    <v t="i">634</v>
    <v t="i">637</v>
    <v t="i">638</v>
    <v t="i">639</v>
    <v t="i">640</v>
    <v t="i">641</v>
    <v t="i">644</v>
    <v t="i">645</v>
    <v t="i">646</v>
    <v t="i">647</v>
    <v t="i">648</v>
    <v t="i">651</v>
    <v t="i">652</v>
    <v t="i">653</v>
    <v t="i">654</v>
    <v t="i">655</v>
    <v t="i">658</v>
    <v t="i">659</v>
    <v t="i">660</v>
    <v t="i">661</v>
    <v t="i">662</v>
    <v t="i">665</v>
    <v t="i">666</v>
    <v t="i">667</v>
    <v t="i">668</v>
    <v t="i">669</v>
    <v t="i">672</v>
    <v t="i">673</v>
    <v t="i">674</v>
    <v t="i">675</v>
    <v t="i">676</v>
    <v t="i">679</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750</v>
    <v t="i">751</v>
    <v t="i">752</v>
    <v t="i">753</v>
    <v t="i">756</v>
    <v t="i">757</v>
    <v t="i">758</v>
    <v t="i">759</v>
    <v t="i">760</v>
    <v t="i">763</v>
    <v t="i">764</v>
    <v t="i">765</v>
    <v t="i">766</v>
    <v t="i">767</v>
    <v t="i">770</v>
    <v t="i">771</v>
    <v t="i">772</v>
    <v t="i">773</v>
    <v t="i">774</v>
    <v t="i">777</v>
    <v t="i">778</v>
    <v t="i">779</v>
    <v t="i">780</v>
    <v t="i">781</v>
    <v t="i">784</v>
    <v t="i">785</v>
    <v t="i">786</v>
    <v t="i">787</v>
    <v t="i">788</v>
    <v t="i">791</v>
    <v t="i">792</v>
    <v t="i">798</v>
    <v t="i">799</v>
    <v t="i">802</v>
    <v t="i">805</v>
    <v t="i">806</v>
    <v t="i">807</v>
    <v t="i">808</v>
    <v t="i">809</v>
    <v t="i">812</v>
    <v t="i">813</v>
    <v t="i">814</v>
    <v t="i">815</v>
    <v t="i">816</v>
    <v t="i">819</v>
    <v t="i">820</v>
    <v t="i">821</v>
    <v t="i">822</v>
    <v t="i">823</v>
    <v t="i">826</v>
    <v t="i">827</v>
    <v t="i">828</v>
    <v t="i">829</v>
    <v t="i">830</v>
    <v t="i">833</v>
    <v t="i">834</v>
    <v t="i">835</v>
    <v t="i">836</v>
    <v t="i">837</v>
    <v t="i">840</v>
    <v t="i">841</v>
    <v t="i">842</v>
    <v t="i">843</v>
    <v t="i">844</v>
    <v t="i">847</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897</v>
    <v t="i">898</v>
    <v t="i">899</v>
    <v t="i">900</v>
    <v t="i">903</v>
    <v t="i">904</v>
    <v t="i">905</v>
    <v t="i">906</v>
    <v t="i">907</v>
    <v t="i">910</v>
    <v t="i">911</v>
    <v t="i">912</v>
    <v t="i">913</v>
    <v t="i">914</v>
    <v t="i">917</v>
    <v t="i">918</v>
    <v t="i">919</v>
    <v t="i">920</v>
    <v t="i">924</v>
    <v t="i">925</v>
    <v t="i">926</v>
    <v t="i">927</v>
    <v t="i">928</v>
    <v t="i">931</v>
    <v t="i">932</v>
    <v t="i">933</v>
    <v t="i">934</v>
    <v t="i">935</v>
    <v t="i">938</v>
    <v t="i">939</v>
    <v t="i">940</v>
    <v t="i">941</v>
    <v t="i">942</v>
    <v t="i">945</v>
    <v t="i">946</v>
    <v t="i">947</v>
    <v t="i">948</v>
    <v t="i">949</v>
    <v t="i">952</v>
    <v t="i">953</v>
    <v t="i">954</v>
    <v t="i">955</v>
    <v t="i">956</v>
    <v t="i">959</v>
    <v t="i">960</v>
    <v t="i">961</v>
    <v t="i">962</v>
    <v t="i">963</v>
    <v t="i">966</v>
    <v t="i">967</v>
    <v t="i">968</v>
    <v t="i">969</v>
    <v t="i">970</v>
    <v t="i">973</v>
    <v t="i">974</v>
    <v t="i">975</v>
    <v t="i">976</v>
    <v t="i">977</v>
    <v t="i">980</v>
    <v t="i">981</v>
    <v t="i">982</v>
    <v t="i">983</v>
    <v t="i">984</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1050</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452">
    <v>100.348</v>
    <v>100.35599999999999</v>
    <v>100.38500000000001</v>
    <v>100.40600000000001</v>
    <v>100.41500000000001</v>
    <v>100.423</v>
    <v>100.45099999999999</v>
    <v>100.474</v>
    <v>100.474</v>
    <v>100.483</v>
    <v>100.49299999999999</v>
    <v>100.518</v>
    <v>100.52800000000001</v>
    <v>100.541</v>
    <v>100.556</v>
    <v>100.56</v>
    <v>100.586</v>
    <v>100.592</v>
    <v>100.605</v>
    <v>100.611</v>
    <v>100.62</v>
    <v>100.645</v>
    <v>100.65300000000001</v>
    <v>100.666</v>
    <v>100.67400000000001</v>
    <v>100.682</v>
    <v>100.70699999999999</v>
    <v>100.71599999999999</v>
    <v>100.72799999999999</v>
    <v>100.736</v>
    <v>100.745</v>
    <v>100.76900000000001</v>
    <v>100.77800000000001</v>
    <v>100.79</v>
    <v>100.798</v>
    <v>100.807</v>
    <v>100.831</v>
    <v>100.84</v>
    <v>100.85899999999999</v>
    <v>100.866</v>
    <v>100.875</v>
    <v>100.899</v>
    <v>100.902</v>
    <v>100.90900000000001</v>
    <v>100.925</v>
    <v>100.923</v>
    <v>100.94499999999999</v>
    <v>100.953</v>
    <v>100.964</v>
    <v>100.971</v>
    <v>100.979</v>
    <v>101.001</v>
    <v>101.026</v>
    <v>101.03</v>
    <v>101.03700000000001</v>
    <v>101.045</v>
    <v>101.066</v>
    <v>101.03700000000001</v>
    <v>101.08499999999999</v>
    <v>101.09699999999999</v>
    <v>101.105</v>
    <v>101.122</v>
    <v>101.13</v>
    <v>101.14100000000001</v>
    <v>101.14700000000001</v>
    <v>101.155</v>
    <v>101.17700000000001</v>
    <v>101.22499999999999</v>
    <v>101.217</v>
    <v>101.239</v>
    <v>101.24299999999999</v>
    <v>101.253</v>
    <v>101.259</v>
    <v>101.26600000000001</v>
    <v>101.298</v>
    <v>101.301</v>
    <v>101.29</v>
    <v>101.297</v>
    <v>101.31699999999999</v>
    <v>101.324</v>
    <v>101.349</v>
    <v>101.34699999999999</v>
    <v>101.34399999999999</v>
    <v>101.364</v>
    <v>101.372</v>
    <v>101.38200000000001</v>
    <v>101.38800000000001</v>
    <v>101.395</v>
    <v>101.41500000000001</v>
    <v>101.422</v>
    <v>101.431</v>
    <v>101.438</v>
    <v>101.449</v>
    <v>101.464</v>
    <v>101.477</v>
    <v>101.48099999999999</v>
    <v>101.488</v>
    <v>101.495</v>
    <v>101.515</v>
    <v>101.52200000000001</v>
    <v>101.532</v>
    <v>101.539</v>
    <v>101.54600000000001</v>
    <v>101.56399999999999</v>
    <v>101.56699999999999</v>
    <v>101.57599999999999</v>
    <v>101.581</v>
    <v>101.587</v>
    <v>101.605</v>
    <v>101.611</v>
    <v>101.619</v>
    <v>101.63</v>
    <v>101.63</v>
    <v>101.648</v>
    <v>101.654</v>
    <v>101.66200000000001</v>
    <v>101.66500000000001</v>
    <v>101.676</v>
    <v>101.697</v>
    <v>101.697</v>
    <v>101.706</v>
    <v>101.711</v>
    <v>101.717</v>
    <v>101.735</v>
    <v>101.741</v>
    <v>101.748</v>
    <v>101.754</v>
    <v>101.76</v>
    <v>101.777</v>
    <v>101.783</v>
    <v>101.792</v>
    <v>101.797</v>
    <v>101.803</v>
    <v>101.821</v>
    <v>101.827</v>
    <v>101.83499999999999</v>
    <v>101.84099999999999</v>
    <v>101.84699999999999</v>
    <v>101.864</v>
    <v>101.872</v>
    <v>101.878</v>
    <v>101.884</v>
    <v>101.895</v>
    <v>101.913</v>
    <v>101.914</v>
    <v>101.92100000000001</v>
    <v>101.92700000000001</v>
    <v>101.93300000000001</v>
    <v>101.95</v>
    <v>101.956</v>
    <v>101.962</v>
    <v>101.96899999999999</v>
    <v>101.976</v>
    <v>101.98099999999999</v>
    <v>102</v>
    <v>102.008</v>
    <v>102.01300000000001</v>
    <v>102.01900000000001</v>
    <v>102.095</v>
    <v>102.04300000000001</v>
    <v>102.051</v>
    <v>102.056</v>
    <v>102.063</v>
    <v>102.08</v>
    <v>102.086</v>
    <v>102.09399999999999</v>
    <v>102.1</v>
    <v>102.10599999999999</v>
    <v>102.123</v>
    <v>102.13</v>
    <v>102.13800000000001</v>
    <v>102.143</v>
    <v>102.15</v>
    <v>102.167</v>
    <v>102.173</v>
    <v>102.181</v>
    <v>102.18600000000001</v>
    <v>102.19199999999999</v>
    <v>102.21</v>
    <v>102.21599999999999</v>
    <v>102.224</v>
    <v>102.23</v>
    <v>102.236</v>
    <v>102.267</v>
    <v>102.267</v>
    <v>102.271</v>
    <v>102.277</v>
    <v>102.279</v>
    <v>102.297</v>
    <v>102.303</v>
    <v>102.32</v>
    <v>102.301</v>
    <v>102.32299999999999</v>
    <v>102.34099999999999</v>
    <v>102.34699999999999</v>
    <v>102.355</v>
    <v>102.361</v>
    <v>102.367</v>
    <v>102.384</v>
    <v>102.39100000000001</v>
    <v>102.399</v>
    <v>102.404</v>
    <v>102.411</v>
    <v>102.429</v>
    <v>102.444</v>
    <v>102.44199999999999</v>
    <v>102.44799999999999</v>
    <v>102.45399999999999</v>
    <v>102.47199999999999</v>
    <v>102.47799999999999</v>
    <v>102.486</v>
    <v>102.496</v>
    <v>102.498</v>
    <v>102.506</v>
    <v>102.53100000000001</v>
    <v>102.53</v>
    <v>102.536</v>
    <v>102.54900000000001</v>
    <v>102.55</v>
    <v>102.566</v>
    <v>102.574</v>
    <v>102.58</v>
    <v>102.586</v>
    <v>102.604</v>
    <v>102.61</v>
    <v>102.624</v>
    <v>102.62</v>
    <v>102.63</v>
    <v>102.648</v>
    <v>102.654</v>
    <v>102.661</v>
    <v>102.667</v>
    <v>102.676</v>
    <v>102.691</v>
    <v>102.697</v>
    <v>102.705</v>
    <v>102.711</v>
    <v>102.717</v>
    <v>102.735</v>
    <v>102.749</v>
    <v>102.77500000000001</v>
    <v>102.76</v>
    <v>102.83199999999999</v>
    <v>102.815</v>
    <v>102.85599999999999</v>
    <v>102.854</v>
    <v>102.86499999999999</v>
    <v>102.875</v>
    <v>102.884</v>
    <v>102.89</v>
    <v>102.904</v>
    <v>102.907</v>
    <v>102.911</v>
    <v>102.934</v>
    <v>102.935</v>
    <v>102.944</v>
    <v>102.949</v>
    <v>102.956</v>
    <v>102.958</v>
    <v>102.98</v>
    <v>102.989</v>
    <v>102.994</v>
    <v>103</v>
    <v>103.023</v>
    <v>103.024</v>
    <v>103.033</v>
    <v>103.039</v>
    <v>103.05200000000001</v>
    <v>103.063</v>
    <v>103.069</v>
    <v>103.078</v>
    <v>103.083</v>
    <v>103.074</v>
    <v>103.092</v>
    <v>103.145</v>
    <v>103.107</v>
    <v>103.113</v>
    <v>103.119</v>
    <v>103.137</v>
    <v>103.14400000000001</v>
    <v>103.152</v>
    <v>103.157</v>
    <v>103.164</v>
    <v>103.182</v>
    <v>103.188</v>
    <v>103.197</v>
    <v>103.202</v>
    <v>103.209</v>
    <v>103.224</v>
    <v>103.227</v>
    <v>103.242</v>
    <v>103.247</v>
    <v>103.254</v>
    <v>103.26600000000001</v>
    <v>103.27800000000001</v>
    <v>103.28700000000001</v>
    <v>103.292</v>
    <v>103.29900000000001</v>
    <v>103.31699999999999</v>
    <v>103.32299999999999</v>
    <v>103.33199999999999</v>
    <v>103.33799999999999</v>
    <v>103.34399999999999</v>
    <v>103.363</v>
    <v>103.367</v>
    <v>103.369</v>
    <v>103.38200000000001</v>
    <v>103.38800000000001</v>
    <v>103.408</v>
    <v>103.452</v>
    <v>103.434</v>
    <v>103.45099999999999</v>
    <v>103.458</v>
    <v>103.46599999999999</v>
    <v>103.47199999999999</v>
    <v>103.479</v>
    <v>103.496</v>
    <v>103.503</v>
    <v>103.512</v>
    <v>103.517</v>
    <v>103.521</v>
    <v>103.536</v>
    <v>103.539</v>
    <v>103.54900000000001</v>
    <v>103.562</v>
    <v>103.569</v>
    <v>103.584</v>
    <v>103.616</v>
    <v>103.608</v>
    <v>103.613</v>
    <v>103.631</v>
    <v>103.63800000000001</v>
    <v>103.646</v>
    <v>103.65</v>
    <v>103.658</v>
    <v>103.676</v>
    <v>103.682</v>
    <v>103.69199999999999</v>
    <v>103.697</v>
    <v>103.70399999999999</v>
    <v>103.72199999999999</v>
    <v>103.72799999999999</v>
    <v>103.73699999999999</v>
    <v>103.742</v>
    <v>103.749</v>
    <v>103.762</v>
    <v>103.773</v>
    <v>103.776</v>
    <v>103.78700000000001</v>
    <v>103.79300000000001</v>
    <v>103.81100000000001</v>
    <v>103.818</v>
    <v>103.82599999999999</v>
    <v>103.83199999999999</v>
    <v>103.839</v>
    <v>103.857</v>
    <v>103.863</v>
    <v>103.872</v>
    <v>103.877</v>
    <v>103.884</v>
    <v>103.902</v>
    <v>103.91200000000001</v>
    <v>103.922</v>
    <v>103.923</v>
    <v>103.935</v>
    <v>103.955</v>
    <v>103.96299999999999</v>
    <v>103.967</v>
    <v>103.973</v>
    <v>103.977</v>
    <v>104.006</v>
    <v>104.017</v>
    <v>104.02200000000001</v>
    <v>104.029</v>
    <v>104.041</v>
    <v>104.066</v>
    <v>104.065</v>
    <v>104.075</v>
    <v>104.08199999999999</v>
    <v>104.09</v>
    <v>104.105</v>
    <v>104.11799999999999</v>
    <v>104.128</v>
    <v>104.13500000000001</v>
    <v>104.143</v>
    <v>104.164</v>
    <v>104.17100000000001</v>
    <v>104.182</v>
    <v>104.19799999999999</v>
    <v>104.13800000000001</v>
    <v>104.217</v>
    <v>104.22499999999999</v>
    <v>104.235</v>
    <v>104.242</v>
    <v>104.249</v>
    <v>104.27</v>
    <v>104.27800000000001</v>
    <v>104.288</v>
    <v>104.295</v>
    <v>104.303</v>
    <v>104.324</v>
    <v>104.331</v>
    <v>104.342</v>
    <v>104.35299999999999</v>
    <v>104.36199999999999</v>
    <v>104.377</v>
    <v>104.38500000000001</v>
    <v>104.396</v>
    <v>104.40600000000001</v>
    <v>104.41</v>
    <v>104.431</v>
    <v>104.43899999999999</v>
    <v>104.449</v>
    <v>104.456</v>
    <v>104.465</v>
    <v>104.48399999999999</v>
    <v>104.492</v>
    <v>104.503</v>
    <v>104.514</v>
    <v>104.517</v>
    <v>104.538</v>
    <v>104.54600000000001</v>
    <v>104.556</v>
    <v>104.563</v>
    <v>104.571</v>
    <v>104.592</v>
    <v>104.60299999999999</v>
    <v>104.61499999999999</v>
    <v>104.622</v>
    <v>104.631</v>
    <v>104.654</v>
    <v>104.658</v>
    <v>104.67400000000001</v>
    <v>104.681</v>
    <v>104.69</v>
    <v>104.72</v>
    <v>104.721</v>
    <v>104.732</v>
    <v>104.74</v>
    <v>104.748</v>
    <v>104.771</v>
    <v>104.78</v>
    <v>104.791</v>
    <v>104.79900000000001</v>
    <v>104.807</v>
    <v>104.831</v>
    <v>104.839</v>
    <v>104.851</v>
    <v>104.858</v>
    <v>104.866</v>
    <v>104.89</v>
    <v>104.9</v>
  </a>
  <a r="1" c="254">
    <v>102.384</v>
    <v>102.39100000000001</v>
    <v>102.399</v>
    <v>102.404</v>
    <v>102.411</v>
    <v>102.429</v>
    <v>102.444</v>
    <v>102.44199999999999</v>
    <v>102.44799999999999</v>
    <v>102.45399999999999</v>
    <v>102.47199999999999</v>
    <v>102.47799999999999</v>
    <v>102.486</v>
    <v>102.496</v>
    <v>102.498</v>
    <v>102.506</v>
    <v>102.53100000000001</v>
    <v>102.53</v>
    <v>102.536</v>
    <v>102.54900000000001</v>
    <v>102.55</v>
    <v>102.566</v>
    <v>102.574</v>
    <v>102.58</v>
    <v>102.586</v>
    <v>102.604</v>
    <v>102.61</v>
    <v>102.624</v>
    <v>102.62</v>
    <v>102.63</v>
    <v>102.648</v>
    <v>102.654</v>
    <v>102.661</v>
    <v>102.667</v>
    <v>102.676</v>
    <v>102.691</v>
    <v>102.697</v>
    <v>102.705</v>
    <v>102.711</v>
    <v>102.717</v>
    <v>102.735</v>
    <v>102.749</v>
    <v>102.77500000000001</v>
    <v>102.76</v>
    <v>102.83199999999999</v>
    <v>102.815</v>
    <v>102.85599999999999</v>
    <v>102.854</v>
    <v>102.86499999999999</v>
    <v>102.875</v>
    <v>102.884</v>
    <v>102.89</v>
    <v>102.904</v>
    <v>102.907</v>
    <v>102.911</v>
    <v>102.934</v>
    <v>102.935</v>
    <v>102.944</v>
    <v>102.949</v>
    <v>102.956</v>
    <v>102.958</v>
    <v>102.98</v>
    <v>102.989</v>
    <v>102.994</v>
    <v>103</v>
    <v>103.023</v>
    <v>103.024</v>
    <v>103.033</v>
    <v>103.039</v>
    <v>103.05200000000001</v>
    <v>103.063</v>
    <v>103.069</v>
    <v>103.078</v>
    <v>103.083</v>
    <v>103.074</v>
    <v>103.092</v>
    <v>103.145</v>
    <v>103.107</v>
    <v>103.113</v>
    <v>103.119</v>
    <v>103.137</v>
    <v>103.14400000000001</v>
    <v>103.152</v>
    <v>103.157</v>
    <v>103.164</v>
    <v>103.182</v>
    <v>103.188</v>
    <v>103.197</v>
    <v>103.202</v>
    <v>103.209</v>
    <v>103.224</v>
    <v>103.227</v>
    <v>103.242</v>
    <v>103.247</v>
    <v>103.254</v>
    <v>103.26600000000001</v>
    <v>103.27800000000001</v>
    <v>103.28700000000001</v>
    <v>103.292</v>
    <v>103.29900000000001</v>
    <v>103.31699999999999</v>
    <v>103.32299999999999</v>
    <v>103.33199999999999</v>
    <v>103.33799999999999</v>
    <v>103.34399999999999</v>
    <v>103.363</v>
    <v>103.367</v>
    <v>103.369</v>
    <v>103.38200000000001</v>
    <v>103.38800000000001</v>
    <v>103.408</v>
    <v>103.452</v>
    <v>103.434</v>
    <v>103.45099999999999</v>
    <v>103.458</v>
    <v>103.46599999999999</v>
    <v>103.47199999999999</v>
    <v>103.479</v>
    <v>103.496</v>
    <v>103.503</v>
    <v>103.512</v>
    <v>103.517</v>
    <v>103.521</v>
    <v>103.536</v>
    <v>103.539</v>
    <v>103.54900000000001</v>
    <v>103.562</v>
    <v>103.569</v>
    <v>103.584</v>
    <v>103.616</v>
    <v>103.608</v>
    <v>103.613</v>
    <v>103.631</v>
    <v>103.63800000000001</v>
    <v>103.646</v>
    <v>103.65</v>
    <v>103.658</v>
    <v>103.676</v>
    <v>103.682</v>
    <v>103.69199999999999</v>
    <v>103.697</v>
    <v>103.70399999999999</v>
    <v>103.72199999999999</v>
    <v>103.72799999999999</v>
    <v>103.73699999999999</v>
    <v>103.742</v>
    <v>103.749</v>
    <v>103.762</v>
    <v>103.773</v>
    <v>103.776</v>
    <v>103.78700000000001</v>
    <v>103.79300000000001</v>
    <v>103.81100000000001</v>
    <v>103.818</v>
    <v>103.82599999999999</v>
    <v>103.83199999999999</v>
    <v>103.839</v>
    <v>103.857</v>
    <v>103.863</v>
    <v>103.872</v>
    <v>103.877</v>
    <v>103.884</v>
    <v>103.902</v>
    <v>103.91200000000001</v>
    <v>103.922</v>
    <v>103.923</v>
    <v>103.935</v>
    <v>103.955</v>
    <v>103.96299999999999</v>
    <v>103.967</v>
    <v>103.973</v>
    <v>103.977</v>
    <v>104.006</v>
    <v>104.017</v>
    <v>104.02200000000001</v>
    <v>104.029</v>
    <v>104.041</v>
    <v>104.066</v>
    <v>104.065</v>
    <v>104.075</v>
    <v>104.08199999999999</v>
    <v>104.09</v>
    <v>104.105</v>
    <v>104.11799999999999</v>
    <v>104.128</v>
    <v>104.13500000000001</v>
    <v>104.143</v>
    <v>104.164</v>
    <v>104.17100000000001</v>
    <v>104.182</v>
    <v>104.19799999999999</v>
    <v>104.13800000000001</v>
    <v>104.217</v>
    <v>104.22499999999999</v>
    <v>104.235</v>
    <v>104.242</v>
    <v>104.249</v>
    <v>104.27</v>
    <v>104.27800000000001</v>
    <v>104.288</v>
    <v>104.295</v>
    <v>104.303</v>
    <v>104.324</v>
    <v>104.331</v>
    <v>104.342</v>
    <v>104.35299999999999</v>
    <v>104.36199999999999</v>
    <v>104.377</v>
    <v>104.38500000000001</v>
    <v>104.396</v>
    <v>104.40600000000001</v>
    <v>104.41</v>
    <v>104.431</v>
    <v>104.43899999999999</v>
    <v>104.449</v>
    <v>104.456</v>
    <v>104.465</v>
    <v>104.48399999999999</v>
    <v>104.492</v>
    <v>104.503</v>
    <v>104.514</v>
    <v>104.517</v>
    <v>104.538</v>
    <v>104.54600000000001</v>
    <v>104.556</v>
    <v>104.563</v>
    <v>104.571</v>
    <v>104.592</v>
    <v>104.60299999999999</v>
    <v>104.61499999999999</v>
    <v>104.622</v>
    <v>104.631</v>
    <v>104.654</v>
    <v>104.658</v>
    <v>104.67400000000001</v>
    <v>104.681</v>
    <v>104.69</v>
    <v>104.72</v>
    <v>104.721</v>
    <v>104.732</v>
    <v>104.74</v>
    <v>104.748</v>
    <v>104.771</v>
    <v>104.78</v>
    <v>104.791</v>
    <v>104.79900000000001</v>
    <v>104.807</v>
    <v>104.831</v>
    <v>104.839</v>
    <v>104.851</v>
    <v>104.858</v>
    <v>104.866</v>
    <v>104.89</v>
    <v>104.9</v>
  </a>
  <a r="1" c="205">
    <v>91.49</v>
    <v>98.56</v>
    <v>100.17</v>
    <v>102.09</v>
    <v>103.94</v>
    <v>105.76</v>
    <v>107.56</v>
    <v>109.79</v>
    <v>108.92</v>
    <v>110.79</v>
    <v>112.84</v>
    <v>116.44</v>
    <v>115.8</v>
    <v>122.33</v>
    <v>121.87</v>
    <v>124.04</v>
    <v>121.26</v>
    <v>125.97</v>
    <v>134.09</v>
    <v>133.66999999999999</v>
    <v>123.39</v>
    <v>120.21</v>
    <v>126.15</v>
    <v>114.82</v>
    <v>109.28</v>
    <v>113.63</v>
    <v>120.68</v>
    <v>118.09</v>
    <v>119.18</v>
    <v>116.39</v>
    <v>112.9</v>
    <v>112.94</v>
    <v>116.5</v>
    <v>119.03</v>
    <v>121.35</v>
    <v>118.75</v>
    <v>121.08</v>
    <v>119.72</v>
    <v>118.18</v>
    <v>118.4</v>
    <v>125.74</v>
    <v>117.79</v>
    <v>120.24</v>
    <v>114.24</v>
    <v>109.68</v>
    <v>116.14</v>
    <v>120.08</v>
    <v>115.39</v>
    <v>115.3</v>
    <v>107.92</v>
    <v>110.31</v>
    <v>111.52</v>
    <v>109.4</v>
    <v>106.6</v>
    <v>101.55</v>
    <v>105.57</v>
    <v>108.04</v>
    <v>109.02</v>
    <v>104.67</v>
    <v>103.92</v>
    <v>102.84</v>
    <v>108.61</v>
    <v>111.13</v>
    <v>112.57</v>
    <v>110.48</v>
    <v>110.23</v>
    <v>115.9</v>
    <v>115.54</v>
    <v>116.04</v>
    <v>116.7</v>
    <v>116.06</v>
    <v>119.11</v>
    <v>120.27</v>
    <v>120.66</v>
    <v>123.62</v>
    <v>116.61</v>
    <v>126.47</v>
    <v>123.85</v>
    <v>122.15</v>
    <v>123.11</v>
    <v>116.31</v>
    <v>114.29</v>
    <v>123.04</v>
    <v>120.6</v>
    <v>118.26</v>
    <v>114.46</v>
    <v>123.76</v>
    <v>118.71</v>
    <v>116.75</v>
    <v>120.14</v>
    <v>116.93</v>
    <v>115.39</v>
    <v>112.51</v>
    <v>107.51</v>
    <v>105.14</v>
    <v>103.52</v>
    <v>104.02</v>
    <v>105.33</v>
    <v>104.75</v>
    <v>108.17</v>
    <v>107.44</v>
    <v>110.63</v>
    <v>112.7</v>
    <v>112.59</v>
    <v>120.51</v>
    <v>114.56</v>
    <v>114.02</v>
    <v>103.44</v>
    <v>105.44</v>
    <v>102.27</v>
    <v>95.03</v>
    <v>98.97</v>
    <v>100.96</v>
    <v>107.02</v>
    <v>107.88</v>
    <v>105.67</v>
    <v>106.49</v>
    <v>107.07</v>
    <v>108.89</v>
    <v>106.64</v>
    <v>103.58</v>
    <v>104.49</v>
    <v>103.47</v>
    <v>101.86</v>
    <v>97.39</v>
    <v>96.54</v>
    <v>97.5</v>
    <v>94.67</v>
    <v>94.73</v>
    <v>95.74</v>
    <v>95.99</v>
    <v>90.2</v>
    <v>91.57</v>
    <v>90.98</v>
    <v>87.36</v>
    <v>85.62</v>
    <v>84.85</v>
    <v>88.68</v>
    <v>90.37</v>
    <v>89.33</v>
    <v>87.86</v>
    <v>89.35</v>
    <v>86.96</v>
    <v>84.57</v>
    <v>88.23</v>
    <v>86.38</v>
    <v>89.72</v>
    <v>93.09</v>
    <v>94.27</v>
    <v>93.62</v>
    <v>97.39</v>
    <v>97.31</v>
    <v>98.73</v>
    <v>99.03</v>
    <v>97.75</v>
    <v>97.74</v>
    <v>98.58</v>
    <v>96.03</v>
    <v>97.98</v>
    <v>95.59</v>
    <v>102.51</v>
    <v>102.27</v>
    <v>106.96</v>
    <v>107.36</v>
    <v>106.33</v>
    <v>100.01</v>
    <v>98.76</v>
    <v>96.26</v>
    <v>96.38</v>
    <v>100.62</v>
    <v>100.74</v>
    <v>101.97</v>
    <v>100.41</v>
    <v>97.42</v>
    <v>96.68</v>
    <v>93.26</v>
    <v>91.21</v>
    <v>90.9</v>
    <v>92.8</v>
    <v>91.62</v>
    <v>93.23</v>
    <v>94.59</v>
    <v>90.8</v>
    <v>88.12</v>
    <v>88.07</v>
    <v>87.04</v>
    <v>86.88</v>
    <v>86.67</v>
    <v>85.69</v>
    <v>85.18</v>
    <v>87.47</v>
    <v>93.02</v>
    <v>89.07</v>
    <v>87.12</v>
    <v>88.06</v>
    <v>86.12</v>
    <v>86.15</v>
    <v>81.47</v>
    <v>83.23</v>
    <v>81.52</v>
    <v>80.7</v>
    <v>80.510000000000005</v>
    <v>82.02</v>
    <v>78.930000000000007</v>
    <v>78.599999999999994</v>
  </a>
  <a r="1" c="754">
    <v>38.270000000000003</v>
    <v>38.81</v>
    <v>39.25</v>
    <v>38.35</v>
    <v>37.93</v>
    <v>37.86</v>
    <v>40.909999999999997</v>
    <v>41.05</v>
    <v>42.84</v>
    <v>41.95</v>
    <v>40.81</v>
    <v>41.16</v>
    <v>40.450000000000003</v>
    <v>42.22</v>
    <v>42.5</v>
    <v>43.73</v>
    <v>44.07</v>
    <v>43.17</v>
    <v>43.94</v>
    <v>44.6</v>
    <v>45.35</v>
    <v>44.77</v>
    <v>45</v>
    <v>45.13</v>
    <v>45.43</v>
    <v>45.23</v>
    <v>44.19</v>
    <v>45.92</v>
    <v>45.4</v>
    <v>45.96</v>
    <v>45.72</v>
    <v>44.89</v>
    <v>44.22</v>
    <v>45.09</v>
    <v>45.06</v>
    <v>45.92</v>
    <v>45.65</v>
    <v>46.21</v>
    <v>44.96</v>
    <v>46.34</v>
    <v>43.77</v>
    <v>42.67</v>
    <v>43.64</v>
    <v>43.62</v>
    <v>43.89</v>
    <v>43.62</v>
    <v>42.9</v>
    <v>43.1</v>
    <v>42.04</v>
    <v>41.51</v>
    <v>42.64</v>
    <v>42.25</v>
    <v>42.71</v>
    <v>44.73</v>
    <v>45.15</v>
    <v>46.66</v>
    <v>49.92</v>
    <v>48.96</v>
    <v>47.92</v>
    <v>47.81</v>
    <v>46.99</v>
    <v>46.18</v>
    <v>47.32</v>
    <v>47.44</v>
    <v>45.98</v>
    <v>46.36</v>
    <v>47.09</v>
    <v>47.9</v>
    <v>47.75</v>
    <v>50.56</v>
    <v>49.01</v>
    <v>48.31</v>
    <v>47.62</v>
    <v>48.05</v>
    <v>44.72</v>
    <v>44.06</v>
    <v>43.64</v>
    <v>41.86</v>
    <v>42.25</v>
    <v>42.32</v>
    <v>42.18</v>
    <v>41.47</v>
    <v>41.73</v>
    <v>41.05</v>
    <v>40.19</v>
    <v>40.869999999999997</v>
    <v>41.63</v>
    <v>40.76</v>
    <v>40.53</v>
    <v>41.97</v>
    <v>41.3</v>
    <v>40.86</v>
    <v>41.63</v>
    <v>44.07</v>
    <v>41.23</v>
    <v>40.770000000000003</v>
    <v>41.96</v>
    <v>39.57</v>
    <v>39.950000000000003</v>
    <v>41.11</v>
    <v>41.95</v>
    <v>41.16</v>
    <v>41.98</v>
    <v>42.64</v>
    <v>43.19</v>
    <v>41.97</v>
    <v>42.1</v>
    <v>42.71</v>
    <v>43.32</v>
    <v>46.75</v>
    <v>47.68</v>
    <v>49.86</v>
    <v>48.36</v>
    <v>49.21</v>
    <v>48.75</v>
    <v>47.9</v>
    <v>49.16</v>
    <v>50.47</v>
    <v>49.59</v>
    <v>48.32</v>
    <v>48.19</v>
    <v>48.41</v>
    <v>48.17</v>
    <v>48.1</v>
    <v>47.29</v>
    <v>48.68</v>
    <v>48.76</v>
    <v>49.16</v>
    <v>49.35</v>
    <v>49.42</v>
    <v>45.63</v>
    <v>46.92</v>
    <v>48.42</v>
    <v>48.41</v>
    <v>50.73</v>
    <v>51.75</v>
    <v>50.56</v>
    <v>52.23</v>
    <v>50.91</v>
    <v>48.98</v>
    <v>49.98</v>
    <v>49.97</v>
    <v>49.83</v>
    <v>53.05</v>
    <v>54</v>
    <v>53.73</v>
    <v>52.14</v>
    <v>51.69</v>
    <v>52.99</v>
    <v>54.13</v>
    <v>54.34</v>
    <v>54.77</v>
    <v>55.51</v>
    <v>54.1</v>
    <v>53.62</v>
    <v>54.28</v>
    <v>55.47</v>
    <v>53.4</v>
    <v>53.6</v>
    <v>50.81</v>
    <v>52.44</v>
    <v>52.92</v>
    <v>51.9</v>
    <v>51.29</v>
    <v>52.4</v>
    <v>52.22</v>
    <v>51.57</v>
    <v>50.44</v>
    <v>50.04</v>
    <v>50.49</v>
    <v>51.76</v>
    <v>49.2</v>
    <v>50.22</v>
    <v>49.73</v>
    <v>50.56</v>
    <v>49.93</v>
    <v>48.73</v>
    <v>48.99</v>
    <v>53.72</v>
    <v>53.72</v>
    <v>52.87</v>
    <v>52.22</v>
    <v>51.37</v>
    <v>47.47</v>
    <v>46.45</v>
    <v>46.63</v>
    <v>47.61</v>
    <v>47.36</v>
    <v>46.49</v>
    <v>44.58</v>
    <v>45.19</v>
    <v>44.64</v>
    <v>44.28</v>
    <v>45.49</v>
    <v>41.02</v>
    <v>38.03</v>
    <v>36.9</v>
    <v>38.18</v>
    <v>38.11</v>
    <v>39.15</v>
    <v>39.549999999999997</v>
    <v>39.090000000000003</v>
    <v>39.22</v>
    <v>39.85</v>
    <v>40.78</v>
    <v>40.26</v>
    <v>41.22</v>
    <v>41.38</v>
    <v>41.41</v>
    <v>40.36</v>
    <v>42.61</v>
    <v>42.33</v>
    <v>41.9</v>
    <v>40.71</v>
    <v>40.25</v>
    <v>40.840000000000003</v>
    <v>37.950000000000003</v>
    <v>39</v>
    <v>38.1</v>
    <v>36.96</v>
    <v>37.04</v>
    <v>37.700000000000003</v>
    <v>39.979999999999997</v>
    <v>40.74</v>
    <v>40.33</v>
    <v>40.590000000000003</v>
    <v>40.299999999999997</v>
    <v>40.11</v>
    <v>41.08</v>
    <v>44.4</v>
    <v>46.02</v>
    <v>46.77</v>
    <v>47.59</v>
    <v>48.06</v>
    <v>47.98</v>
    <v>47.76</v>
    <v>48.64</v>
    <v>49.44</v>
    <v>49.96</v>
    <v>51.84</v>
    <v>51.42</v>
    <v>51.58</v>
    <v>50.58</v>
    <v>50.49</v>
    <v>51.35</v>
    <v>51.88</v>
    <v>51.71</v>
    <v>55.78</v>
    <v>56.67</v>
    <v>58.02</v>
    <v>57.92</v>
    <v>56.68</v>
    <v>54.08</v>
    <v>53.85</v>
    <v>53.79</v>
    <v>55.17</v>
    <v>54.77</v>
    <v>53.98</v>
    <v>52.22</v>
    <v>52.5</v>
    <v>51.15</v>
    <v>51.26</v>
    <v>51.21</v>
    <v>53.58</v>
    <v>52.54</v>
    <v>52.08</v>
    <v>54.41</v>
    <v>52.98</v>
    <v>53.11</v>
    <v>53.59</v>
    <v>55.9</v>
    <v>57.46</v>
    <v>57.61</v>
    <v>60.93</v>
    <v>60.11</v>
    <v>58.11</v>
    <v>58.62</v>
    <v>57.81</v>
    <v>59.45</v>
    <v>58.83</v>
    <v>59.39</v>
    <v>59.61</v>
    <v>61.14</v>
    <v>61.06</v>
    <v>57.52</v>
    <v>56.42</v>
    <v>57.81</v>
    <v>56</v>
    <v>54.29</v>
    <v>54.19</v>
    <v>53.42</v>
    <v>51.93</v>
    <v>52.91</v>
    <v>52.44</v>
    <v>53.14</v>
    <v>52.62</v>
    <v>52.56</v>
    <v>52.49</v>
    <v>51.33</v>
    <v>51.39</v>
    <v>52.16</v>
    <v>53.12</v>
    <v>54.81</v>
    <v>51.58</v>
    <v>51.38</v>
    <v>49.24</v>
    <v>48.8</v>
    <v>49.06</v>
    <v>49.67</v>
    <v>49.51</v>
    <v>51.63</v>
    <v>53.56</v>
    <v>56.32</v>
    <v>56.86</v>
    <v>56</v>
    <v>47.51</v>
    <v>48.6</v>
    <v>50.07</v>
    <v>50.3</v>
    <v>49.44</v>
    <v>47.45</v>
    <v>50.32</v>
    <v>50.35</v>
    <v>48.7</v>
    <v>49.93</v>
    <v>50.36</v>
    <v>49.85</v>
    <v>49.63</v>
    <v>49.08</v>
    <v>47.19</v>
    <v>47.92</v>
    <v>46.55</v>
    <v>46.54</v>
    <v>43.48</v>
    <v>43.28</v>
    <v>43.59</v>
    <v>44.72</v>
    <v>43.48</v>
    <v>44.04</v>
    <v>41.11</v>
    <v>41.89</v>
    <v>42.99</v>
    <v>42.13</v>
    <v>41.83</v>
    <v>40.64</v>
    <v>41.73</v>
    <v>42.6</v>
    <v>41.81</v>
    <v>42.47</v>
    <v>43.33</v>
    <v>43.09</v>
    <v>44.19</v>
    <v>44.85</v>
    <v>44.53</v>
    <v>45.74</v>
    <v>44.48</v>
    <v>43.25</v>
    <v>42.63</v>
    <v>41.83</v>
    <v>41.16</v>
    <v>41.8</v>
    <v>42.47</v>
    <v>40.909999999999997</v>
    <v>37.83</v>
    <v>37.159999999999997</v>
    <v>36.68</v>
    <v>40.049999999999997</v>
    <v>38.68</v>
    <v>40.840000000000003</v>
    <v>41.31</v>
    <v>40.81</v>
    <v>41.28</v>
    <v>41.18</v>
    <v>39.61</v>
    <v>40.18</v>
    <v>41.97</v>
    <v>43.89</v>
    <v>43.99</v>
    <v>45.32</v>
    <v>45.42</v>
    <v>45.15</v>
    <v>45.51</v>
    <v>47.01</v>
    <v>46.41</v>
    <v>48.15</v>
    <v>49.74</v>
    <v>49.24</v>
    <v>50.73</v>
    <v>51.16</v>
    <v>51.96</v>
    <v>53.3</v>
    <v>51.59</v>
    <v>51.27</v>
    <v>51.18</v>
    <v>52.4</v>
    <v>52.17</v>
    <v>52.81</v>
    <v>58.69</v>
    <v>60.47</v>
    <v>60.41</v>
    <v>59.15</v>
    <v>58.53</v>
    <v>58.18</v>
    <v>59.68</v>
    <v>59.95</v>
    <v>60.03</v>
    <v>60.42</v>
    <v>66.91</v>
    <v>63.83</v>
    <v>66.33</v>
    <v>66.14</v>
    <v>66.66</v>
    <v>69.36</v>
    <v>69.25</v>
    <v>69.67</v>
    <v>68.27</v>
    <v>69.72</v>
    <v>72.34</v>
    <v>71.430000000000007</v>
    <v>74.459999999999994</v>
    <v>73.27</v>
    <v>74.23</v>
    <v>71.67</v>
    <v>71.66</v>
    <v>73.45</v>
    <v>75.19</v>
    <v>71.94</v>
    <v>71.55</v>
    <v>70.819999999999993</v>
    <v>72.7</v>
    <v>75.14</v>
    <v>75.8</v>
    <v>76.19</v>
    <v>77.91</v>
    <v>78.97</v>
    <v>77.08</v>
    <v>77.900000000000006</v>
    <v>79.150000000000006</v>
    <v>79.92</v>
    <v>79.599999999999994</v>
    <v>79.14</v>
    <v>78.69</v>
    <v>77.75</v>
    <v>74.930000000000007</v>
    <v>72.930000000000007</v>
    <v>75.260000000000005</v>
    <v>74.59</v>
    <v>76.55</v>
    <v>76.37</v>
    <v>76.92</v>
    <v>77.67</v>
    <v>78.430000000000007</v>
    <v>75.599999999999994</v>
    <v>75.55</v>
    <v>75.599999999999994</v>
    <v>76.819999999999993</v>
    <v>73.819999999999993</v>
    <v>70.47</v>
    <v>71.430000000000007</v>
    <v>74.91</v>
    <v>74.97</v>
    <v>76.510000000000005</v>
    <v>75.28</v>
    <v>78.63</v>
    <v>77.39</v>
    <v>75.42</v>
    <v>77.17</v>
    <v>76.31</v>
    <v>75.849999999999994</v>
    <v>77.239999999999995</v>
    <v>77.39</v>
    <v>79.47</v>
    <v>79.89</v>
    <v>78.11</v>
    <v>86.32</v>
    <v>80.23</v>
    <v>81.81</v>
    <v>82.61</v>
    <v>86.18</v>
    <v>86.31</v>
    <v>86.89</v>
    <v>83.09</v>
    <v>85.66</v>
    <v>85.58</v>
    <v>84.46</v>
    <v>83.86</v>
    <v>83.49</v>
    <v>84.2</v>
    <v>84.17</v>
    <v>85.31</v>
    <v>86.45</v>
    <v>86.21</v>
    <v>86.73</v>
    <v>86.65</v>
    <v>92.15</v>
    <v>93.19</v>
    <v>93.46</v>
    <v>91.13</v>
    <v>86.59</v>
    <v>85.9</v>
    <v>82.77</v>
    <v>83.54</v>
    <v>86.3</v>
    <v>88.13</v>
    <v>86.62</v>
    <v>106.91</v>
    <v>106.67</v>
    <v>104.72</v>
    <v>102.21</v>
    <v>100.85</v>
    <v>96.95</v>
    <v>95.24</v>
    <v>90.24</v>
    <v>92.26</v>
    <v>94.24</v>
    <v>92.52</v>
    <v>92.57</v>
    <v>85.98</v>
    <v>84.76</v>
    <v>83.03</v>
    <v>83.3</v>
    <v>86.24</v>
    <v>81.98</v>
    <v>79.44</v>
    <v>83.34</v>
    <v>87.35</v>
    <v>88.81</v>
    <v>88.51</v>
    <v>87.53</v>
    <v>88.23</v>
    <v>89.45</v>
    <v>94.09</v>
    <v>91.27</v>
    <v>90.9</v>
    <v>93.36</v>
    <v>93.76</v>
    <v>95.74</v>
    <v>91.49</v>
    <v>89.78</v>
    <v>87.05</v>
    <v>84.85</v>
    <v>87.58</v>
    <v>89.99</v>
    <v>91.71</v>
    <v>93.41</v>
    <v>93.34</v>
    <v>92.84</v>
    <v>92.84</v>
    <v>91.37</v>
    <v>91.49</v>
    <v>98.56</v>
    <v>100.17</v>
    <v>102.09</v>
    <v>103.94</v>
    <v>105.76</v>
    <v>107.56</v>
    <v>109.79</v>
    <v>108.92</v>
    <v>110.79</v>
    <v>112.84</v>
    <v>116.44</v>
    <v>115.8</v>
    <v>122.33</v>
    <v>121.87</v>
    <v>124.04</v>
    <v>121.26</v>
    <v>125.97</v>
    <v>134.09</v>
    <v>133.66999999999999</v>
    <v>123.39</v>
    <v>120.21</v>
    <v>126.15</v>
    <v>114.82</v>
    <v>109.28</v>
    <v>113.63</v>
    <v>120.68</v>
    <v>118.09</v>
    <v>119.18</v>
    <v>116.39</v>
    <v>112.9</v>
    <v>112.94</v>
    <v>116.5</v>
    <v>119.03</v>
    <v>121.35</v>
    <v>118.75</v>
    <v>121.08</v>
    <v>119.72</v>
    <v>118.18</v>
    <v>118.4</v>
    <v>125.74</v>
    <v>117.79</v>
    <v>120.24</v>
    <v>114.24</v>
    <v>109.68</v>
    <v>116.14</v>
    <v>120.08</v>
    <v>115.39</v>
    <v>115.3</v>
    <v>107.92</v>
    <v>110.31</v>
    <v>111.52</v>
    <v>109.4</v>
    <v>106.6</v>
    <v>101.55</v>
    <v>105.57</v>
    <v>108.04</v>
    <v>109.02</v>
    <v>104.67</v>
    <v>103.92</v>
    <v>102.84</v>
    <v>108.61</v>
    <v>111.13</v>
    <v>112.57</v>
    <v>110.48</v>
    <v>110.23</v>
    <v>115.9</v>
    <v>115.54</v>
    <v>116.04</v>
    <v>116.7</v>
    <v>116.06</v>
    <v>119.11</v>
    <v>120.27</v>
    <v>120.66</v>
    <v>123.62</v>
    <v>116.61</v>
    <v>126.47</v>
    <v>123.85</v>
    <v>122.15</v>
    <v>123.11</v>
    <v>116.31</v>
    <v>114.29</v>
    <v>123.04</v>
    <v>120.6</v>
    <v>118.26</v>
    <v>114.46</v>
    <v>123.76</v>
    <v>118.71</v>
    <v>116.75</v>
    <v>120.14</v>
    <v>116.93</v>
    <v>115.39</v>
    <v>112.51</v>
    <v>107.51</v>
    <v>105.14</v>
    <v>103.52</v>
    <v>104.02</v>
    <v>105.33</v>
    <v>104.75</v>
    <v>108.17</v>
    <v>107.44</v>
    <v>110.63</v>
    <v>112.7</v>
    <v>112.59</v>
    <v>120.51</v>
    <v>114.56</v>
    <v>114.02</v>
    <v>103.44</v>
    <v>105.44</v>
    <v>102.27</v>
    <v>95.03</v>
    <v>98.97</v>
    <v>100.96</v>
    <v>107.02</v>
    <v>107.88</v>
    <v>105.67</v>
    <v>106.49</v>
    <v>107.07</v>
    <v>108.89</v>
    <v>106.64</v>
    <v>103.58</v>
    <v>104.49</v>
    <v>103.47</v>
    <v>101.86</v>
    <v>97.39</v>
    <v>96.54</v>
    <v>97.5</v>
    <v>94.67</v>
    <v>94.73</v>
    <v>95.74</v>
    <v>95.99</v>
    <v>90.2</v>
    <v>91.57</v>
    <v>90.98</v>
    <v>87.36</v>
    <v>85.62</v>
    <v>84.85</v>
    <v>88.68</v>
    <v>90.37</v>
    <v>89.33</v>
    <v>87.86</v>
    <v>89.35</v>
    <v>86.96</v>
    <v>84.57</v>
    <v>88.23</v>
    <v>86.38</v>
    <v>89.72</v>
    <v>93.09</v>
    <v>94.27</v>
    <v>93.62</v>
    <v>97.39</v>
    <v>97.31</v>
    <v>98.73</v>
    <v>99.03</v>
    <v>97.75</v>
    <v>97.74</v>
    <v>98.58</v>
    <v>96.03</v>
    <v>97.98</v>
    <v>95.59</v>
    <v>102.51</v>
    <v>102.27</v>
    <v>106.96</v>
    <v>107.36</v>
    <v>106.33</v>
    <v>100.01</v>
    <v>98.76</v>
    <v>96.26</v>
    <v>96.38</v>
    <v>100.62</v>
    <v>100.74</v>
    <v>101.97</v>
    <v>100.41</v>
    <v>97.42</v>
    <v>96.68</v>
    <v>93.26</v>
    <v>91.21</v>
    <v>90.9</v>
    <v>92.8</v>
    <v>91.62</v>
    <v>93.23</v>
    <v>94.59</v>
    <v>90.8</v>
    <v>88.12</v>
    <v>88.07</v>
    <v>87.04</v>
    <v>86.88</v>
    <v>86.67</v>
    <v>85.69</v>
    <v>85.18</v>
    <v>87.47</v>
    <v>93.02</v>
    <v>89.07</v>
    <v>87.12</v>
    <v>88.06</v>
    <v>86.12</v>
    <v>86.15</v>
    <v>81.47</v>
    <v>83.23</v>
    <v>81.52</v>
    <v>80.7</v>
    <v>80.510000000000005</v>
    <v>82.02</v>
    <v>78.930000000000007</v>
    <v>78.599999999999994</v>
  </a>
  <a r="1" c="252">
    <v>86.3</v>
    <v>88.13</v>
    <v>86.62</v>
    <v>106.91</v>
    <v>106.67</v>
    <v>104.72</v>
    <v>102.21</v>
    <v>100.85</v>
    <v>96.95</v>
    <v>95.24</v>
    <v>90.24</v>
    <v>92.26</v>
    <v>94.24</v>
    <v>92.52</v>
    <v>92.57</v>
    <v>85.98</v>
    <v>84.76</v>
    <v>83.03</v>
    <v>83.3</v>
    <v>86.24</v>
    <v>81.98</v>
    <v>79.44</v>
    <v>83.34</v>
    <v>87.35</v>
    <v>88.81</v>
    <v>88.51</v>
    <v>87.53</v>
    <v>88.23</v>
    <v>89.45</v>
    <v>94.09</v>
    <v>91.27</v>
    <v>90.9</v>
    <v>93.36</v>
    <v>93.76</v>
    <v>95.74</v>
    <v>91.49</v>
    <v>89.78</v>
    <v>87.05</v>
    <v>84.85</v>
    <v>87.58</v>
    <v>89.99</v>
    <v>91.71</v>
    <v>93.41</v>
    <v>93.34</v>
    <v>92.84</v>
    <v>92.84</v>
    <v>91.37</v>
    <v>91.49</v>
    <v>98.56</v>
    <v>100.17</v>
    <v>102.09</v>
    <v>103.94</v>
    <v>105.76</v>
    <v>107.56</v>
    <v>109.79</v>
    <v>108.92</v>
    <v>110.79</v>
    <v>112.84</v>
    <v>116.44</v>
    <v>115.8</v>
    <v>122.33</v>
    <v>121.87</v>
    <v>124.04</v>
    <v>121.26</v>
    <v>125.97</v>
    <v>134.09</v>
    <v>133.66999999999999</v>
    <v>123.39</v>
    <v>120.21</v>
    <v>126.15</v>
    <v>114.82</v>
    <v>109.28</v>
    <v>113.63</v>
    <v>120.68</v>
    <v>118.09</v>
    <v>119.18</v>
    <v>116.39</v>
    <v>112.9</v>
    <v>112.94</v>
    <v>116.5</v>
    <v>119.03</v>
    <v>121.35</v>
    <v>118.75</v>
    <v>121.08</v>
    <v>119.72</v>
    <v>118.18</v>
    <v>118.4</v>
    <v>125.74</v>
    <v>117.79</v>
    <v>120.24</v>
    <v>114.24</v>
    <v>109.68</v>
    <v>116.14</v>
    <v>120.08</v>
    <v>115.39</v>
    <v>115.3</v>
    <v>107.92</v>
    <v>110.31</v>
    <v>111.52</v>
    <v>109.4</v>
    <v>106.6</v>
    <v>101.55</v>
    <v>105.57</v>
    <v>108.04</v>
    <v>109.02</v>
    <v>104.67</v>
    <v>103.92</v>
    <v>102.84</v>
    <v>108.61</v>
    <v>111.13</v>
    <v>112.57</v>
    <v>110.48</v>
    <v>110.23</v>
    <v>115.9</v>
    <v>115.54</v>
    <v>116.04</v>
    <v>116.7</v>
    <v>116.06</v>
    <v>119.11</v>
    <v>120.27</v>
    <v>120.66</v>
    <v>123.62</v>
    <v>116.61</v>
    <v>126.47</v>
    <v>123.85</v>
    <v>122.15</v>
    <v>123.11</v>
    <v>116.31</v>
    <v>114.29</v>
    <v>123.04</v>
    <v>120.6</v>
    <v>118.26</v>
    <v>114.46</v>
    <v>123.76</v>
    <v>118.71</v>
    <v>116.75</v>
    <v>120.14</v>
    <v>116.93</v>
    <v>115.39</v>
    <v>112.51</v>
    <v>107.51</v>
    <v>105.14</v>
    <v>103.52</v>
    <v>104.02</v>
    <v>105.33</v>
    <v>104.75</v>
    <v>108.17</v>
    <v>107.44</v>
    <v>110.63</v>
    <v>112.7</v>
    <v>112.59</v>
    <v>120.51</v>
    <v>114.56</v>
    <v>114.02</v>
    <v>103.44</v>
    <v>105.44</v>
    <v>102.27</v>
    <v>95.03</v>
    <v>98.97</v>
    <v>100.96</v>
    <v>107.02</v>
    <v>107.88</v>
    <v>105.67</v>
    <v>106.49</v>
    <v>107.07</v>
    <v>108.89</v>
    <v>106.64</v>
    <v>103.58</v>
    <v>104.49</v>
    <v>103.47</v>
    <v>101.86</v>
    <v>97.39</v>
    <v>96.54</v>
    <v>97.5</v>
    <v>94.67</v>
    <v>94.73</v>
    <v>95.74</v>
    <v>95.99</v>
    <v>90.2</v>
    <v>91.57</v>
    <v>90.98</v>
    <v>87.36</v>
    <v>85.62</v>
    <v>84.85</v>
    <v>88.68</v>
    <v>90.37</v>
    <v>89.33</v>
    <v>87.86</v>
    <v>89.35</v>
    <v>86.96</v>
    <v>84.57</v>
    <v>88.23</v>
    <v>86.38</v>
    <v>89.72</v>
    <v>93.09</v>
    <v>94.27</v>
    <v>93.62</v>
    <v>97.39</v>
    <v>97.31</v>
    <v>98.73</v>
    <v>99.03</v>
    <v>97.75</v>
    <v>97.74</v>
    <v>98.58</v>
    <v>96.03</v>
    <v>97.98</v>
    <v>95.59</v>
    <v>102.51</v>
    <v>102.27</v>
    <v>106.96</v>
    <v>107.36</v>
    <v>106.33</v>
    <v>100.01</v>
    <v>98.76</v>
    <v>96.26</v>
    <v>96.38</v>
    <v>100.62</v>
    <v>100.74</v>
    <v>101.97</v>
    <v>100.41</v>
    <v>97.42</v>
    <v>96.68</v>
    <v>93.26</v>
    <v>91.21</v>
    <v>90.9</v>
    <v>92.8</v>
    <v>91.62</v>
    <v>93.23</v>
    <v>94.59</v>
    <v>90.8</v>
    <v>88.12</v>
    <v>88.07</v>
    <v>87.04</v>
    <v>86.88</v>
    <v>86.67</v>
    <v>85.69</v>
    <v>85.18</v>
    <v>87.47</v>
    <v>93.02</v>
    <v>89.07</v>
    <v>87.12</v>
    <v>88.06</v>
    <v>86.12</v>
    <v>86.15</v>
    <v>81.47</v>
    <v>83.23</v>
    <v>81.52</v>
    <v>80.7</v>
    <v>80.510000000000005</v>
    <v>82.02</v>
    <v>78.930000000000007</v>
    <v>78.599999999999994</v>
  </a>
  <a r="1" c="208">
    <v>247.8</v>
    <v>255.33</v>
    <v>257.45999999999998</v>
    <v>256.25</v>
    <v>255.69</v>
    <v>258.60000000000002</v>
    <v>265.20999999999998</v>
    <v>263.94</v>
    <v>265.17</v>
    <v>264.66000000000003</v>
    <v>263.47000000000003</v>
    <v>268.02999999999997</v>
    <v>271.97000000000003</v>
    <v>277.86</v>
    <v>279.58999999999997</v>
    <v>285.56</v>
    <v>291.08999999999997</v>
    <v>291.87</v>
    <v>302.23</v>
    <v>302.33999999999997</v>
    <v>284.97000000000003</v>
    <v>266.10000000000002</v>
    <v>284.25</v>
    <v>281.3</v>
    <v>277.12</v>
    <v>282.12</v>
    <v>289.77</v>
    <v>286.47000000000003</v>
    <v>289.94</v>
    <v>281.66000000000003</v>
    <v>287.05</v>
    <v>284.83999999999997</v>
    <v>278.60000000000002</v>
    <v>285.3</v>
    <v>285.3</v>
    <v>289.10000000000002</v>
    <v>297.22000000000003</v>
    <v>293.14</v>
    <v>296.85000000000002</v>
    <v>295.5</v>
    <v>298.32</v>
    <v>302.33</v>
    <v>291.52999999999997</v>
    <v>293.20999999999998</v>
    <v>288.52</v>
    <v>292.95</v>
    <v>290.8</v>
    <v>298.04000000000002</v>
    <v>294.3</v>
    <v>292</v>
    <v>286.98</v>
    <v>283.20999999999998</v>
    <v>284.87</v>
    <v>277.89</v>
    <v>261.44</v>
    <v>260.87</v>
    <v>247.89</v>
    <v>251.58</v>
    <v>259.22000000000003</v>
    <v>249.77</v>
    <v>257.60000000000002</v>
    <v>257.8</v>
    <v>262.7</v>
    <v>271.58999999999997</v>
    <v>265.51</v>
    <v>263.93</v>
    <v>270.36</v>
    <v>272.17</v>
    <v>271.24</v>
    <v>267.37</v>
    <v>272.98</v>
    <v>272.33999999999997</v>
    <v>272.58</v>
    <v>276.18</v>
    <v>272.85000000000002</v>
    <v>268.97000000000003</v>
    <v>268.63</v>
    <v>268.49</v>
    <v>267.79000000000002</v>
    <v>265.49</v>
    <v>259.54000000000002</v>
    <v>257.83999999999997</v>
    <v>262.08999999999997</v>
    <v>257.14</v>
    <v>259.42</v>
    <v>266.01</v>
    <v>268.85000000000002</v>
    <v>266.97000000000003</v>
    <v>268.07</v>
    <v>264.08999999999997</v>
    <v>265.95999999999998</v>
    <v>265.33</v>
    <v>257.38</v>
    <v>256.7</v>
    <v>254.62</v>
    <v>256.31</v>
    <v>254.76</v>
    <v>255.6</v>
    <v>258.74</v>
    <v>254.81</v>
    <v>251</v>
    <v>253.21</v>
    <v>258.94</v>
    <v>253.09</v>
    <v>254.7</v>
    <v>251.08</v>
    <v>252.7</v>
    <v>245.93</v>
    <v>244.66</v>
    <v>241.74</v>
    <v>233.12</v>
    <v>230.5</v>
    <v>238.24</v>
    <v>245.87</v>
    <v>244.16</v>
    <v>245.93</v>
    <v>238.84</v>
    <v>234.23</v>
    <v>236.41</v>
    <v>232.8</v>
    <v>226.14</v>
    <v>227.05</v>
    <v>230.33</v>
    <v>226.65</v>
    <v>227.23</v>
    <v>229.79</v>
    <v>232.82</v>
    <v>234.83</v>
    <v>233.9</v>
    <v>233.47</v>
    <v>226.89</v>
    <v>232.58</v>
    <v>231.06</v>
    <v>226.23</v>
    <v>229.71</v>
    <v>227.9</v>
    <v>225.89</v>
    <v>225.94</v>
    <v>226.13</v>
    <v>229.68</v>
    <v>234.06</v>
    <v>227.78</v>
    <v>229.35</v>
    <v>229.31</v>
    <v>227.09</v>
    <v>225.69</v>
    <v>230.51</v>
    <v>227.26</v>
    <v>226.88</v>
    <v>229.34</v>
    <v>239.31</v>
    <v>239.21</v>
    <v>244.52</v>
    <v>244.43</v>
    <v>246.57</v>
    <v>248.5</v>
    <v>245.31</v>
    <v>246.37</v>
    <v>248.64</v>
    <v>244.68</v>
    <v>251.86</v>
    <v>254.17</v>
    <v>258.7</v>
    <v>262.35000000000002</v>
    <v>260.60000000000002</v>
    <v>258.04000000000002</v>
    <v>257.88</v>
    <v>256.37</v>
    <v>248.84</v>
    <v>244.94</v>
    <v>245.41</v>
    <v>252.86</v>
    <v>249.14</v>
    <v>247.61</v>
    <v>246.78</v>
    <v>247.01</v>
    <v>244.85</v>
    <v>245.1</v>
    <v>240.74</v>
    <v>240.16</v>
    <v>243.56</v>
    <v>244.27</v>
    <v>244.22</v>
    <v>243.85</v>
    <v>242.81</v>
    <v>240.06</v>
    <v>238.09</v>
    <v>239.79</v>
    <v>230.97</v>
    <v>232.6</v>
    <v>233.05</v>
    <v>233.33</v>
    <v>231.93</v>
    <v>231.78</v>
    <v>233.09</v>
    <v>230.09</v>
    <v>230.37</v>
    <v>234.42</v>
    <v>233.19</v>
    <v>232.85</v>
    <v>229</v>
    <v>232.35</v>
    <v>233.52</v>
    <v>232</v>
    <v>231.22</v>
    <v>231.45</v>
    <v>226.5</v>
    <v>223.4</v>
  </a>
  <a r="1" c="761">
    <v>120.62</v>
    <v>119.62</v>
    <v>120.47</v>
    <v>120.57</v>
    <v>120.72</v>
    <v>121.94</v>
    <v>121.38</v>
    <v>120.56</v>
    <v>120.73</v>
    <v>121.3</v>
    <v>120.81</v>
    <v>119.76</v>
    <v>119.18</v>
    <v>119.55</v>
    <v>118.05</v>
    <v>118.37</v>
    <v>119.68</v>
    <v>119.51</v>
    <v>120.74</v>
    <v>120.63</v>
    <v>120.23</v>
    <v>121.69</v>
    <v>121.27</v>
    <v>121.19</v>
    <v>121.71</v>
    <v>122.22</v>
    <v>123.92</v>
    <v>124.17</v>
    <v>124.03</v>
    <v>125.16</v>
    <v>123.29</v>
    <v>122.59</v>
    <v>123.17</v>
    <v>123.33</v>
    <v>121.93</v>
    <v>120.44</v>
    <v>120.37</v>
    <v>120.47</v>
    <v>123.88</v>
    <v>123.65</v>
    <v>122.9</v>
    <v>124.25</v>
    <v>123.58</v>
    <v>124.11</v>
    <v>125.11</v>
    <v>126.16</v>
    <v>125.89</v>
    <v>125.28</v>
    <v>125.29</v>
    <v>123.41</v>
    <v>124.05</v>
    <v>124.34</v>
    <v>123.34</v>
    <v>123.05</v>
    <v>122.86</v>
    <v>122.37</v>
    <v>124.59</v>
    <v>124.52</v>
    <v>123.47</v>
    <v>121.8</v>
    <v>122.24</v>
    <v>122.72</v>
    <v>122.59</v>
    <v>122.64</v>
    <v>122.05</v>
    <v>122.14</v>
    <v>122.22</v>
    <v>122.74</v>
    <v>123.13</v>
    <v>124.19</v>
    <v>124.7</v>
    <v>123.2</v>
    <v>122.31</v>
    <v>123.28</v>
    <v>123.46</v>
    <v>122.83</v>
    <v>122.36</v>
    <v>121.94</v>
    <v>120.68</v>
    <v>120.48</v>
    <v>120.99</v>
    <v>121.48</v>
    <v>121.93</v>
    <v>122.68</v>
    <v>122.42</v>
    <v>122.28</v>
    <v>123.2</v>
    <v>122.57</v>
    <v>122.96</v>
    <v>122.93</v>
    <v>123.61</v>
    <v>125.37</v>
    <v>127.8</v>
    <v>128.49</v>
    <v>129.69999999999999</v>
    <v>130.34</v>
    <v>131.35</v>
    <v>131.77000000000001</v>
    <v>130.62</v>
    <v>131.25</v>
    <v>130.38</v>
    <v>130.6</v>
    <v>130.37</v>
    <v>130.15</v>
    <v>130.25</v>
    <v>131.43</v>
    <v>130.71</v>
    <v>131.41999999999999</v>
    <v>131.34</v>
    <v>132.16999999999999</v>
    <v>133.85</v>
    <v>136.07</v>
    <v>137.91999999999999</v>
    <v>138.33000000000001</v>
    <v>140.21</v>
    <v>140.54</v>
    <v>141.47</v>
    <v>140.93</v>
    <v>140.91999999999999</v>
    <v>144.46</v>
    <v>141.74</v>
    <v>143.47</v>
    <v>143.76</v>
    <v>143.65</v>
    <v>144.22</v>
    <v>140.65</v>
    <v>139.96</v>
    <v>140.44999999999999</v>
    <v>140.54</v>
    <v>140.57</v>
    <v>140.87</v>
    <v>138.44</v>
    <v>138.71</v>
    <v>137.94999999999999</v>
    <v>139.86000000000001</v>
    <v>139.19999999999999</v>
    <v>139.44999999999999</v>
    <v>140.44</v>
    <v>142.25</v>
    <v>140.44</v>
    <v>141.46</v>
    <v>143.46</v>
    <v>143.21</v>
    <v>144.79</v>
    <v>145.84</v>
    <v>146.1</v>
    <v>143.75</v>
    <v>140.79</v>
    <v>140.36000000000001</v>
    <v>141.63999999999999</v>
    <v>141.84</v>
    <v>140.66</v>
    <v>140.81</v>
    <v>140.1</v>
    <v>140.80000000000001</v>
    <v>139.91999999999999</v>
    <v>141.32</v>
    <v>142.66999999999999</v>
    <v>138.71</v>
    <v>138.4</v>
    <v>138.88999999999999</v>
    <v>139.96</v>
    <v>138.49</v>
    <v>139.77000000000001</v>
    <v>139.02000000000001</v>
    <v>139.61000000000001</v>
    <v>139.62</v>
    <v>141.16</v>
    <v>139.63999999999999</v>
    <v>139.88999999999999</v>
    <v>139.31</v>
    <v>138.13999999999999</v>
    <v>139.6</v>
    <v>139.75</v>
    <v>139.59</v>
    <v>139.63999999999999</v>
    <v>141.71</v>
    <v>141.49</v>
    <v>143.01</v>
    <v>142.07</v>
    <v>141.05000000000001</v>
    <v>142.62</v>
    <v>145.06</v>
    <v>144.49</v>
    <v>146.01</v>
    <v>147.41</v>
    <v>147.69</v>
    <v>147.69999999999999</v>
    <v>143.97</v>
    <v>142.88999999999999</v>
    <v>144.06</v>
    <v>145.37</v>
    <v>141.6</v>
    <v>142.75</v>
    <v>142.16999999999999</v>
    <v>142.84</v>
    <v>145.1</v>
    <v>146.41999999999999</v>
    <v>145.13999999999999</v>
    <v>143.96</v>
    <v>142.78</v>
    <v>143.49</v>
    <v>144.47999999999999</v>
    <v>145.33000000000001</v>
    <v>146.99</v>
    <v>147.63</v>
    <v>146.52000000000001</v>
    <v>148.72999999999999</v>
    <v>149.74</v>
    <v>149.97999999999999</v>
    <v>149.88999999999999</v>
    <v>148.05000000000001</v>
    <v>150.41</v>
    <v>150.13</v>
    <v>150.35</v>
    <v>149.83000000000001</v>
    <v>150.47999999999999</v>
    <v>149.62</v>
    <v>149.49</v>
    <v>148.22999999999999</v>
    <v>149.02000000000001</v>
    <v>149.65</v>
    <v>150.16999999999999</v>
    <v>148.93</v>
    <v>150.03</v>
    <v>150.01</v>
    <v>152.53</v>
    <v>153.80000000000001</v>
    <v>153.97</v>
    <v>153.18</v>
    <v>153.46</v>
    <v>154.16999999999999</v>
    <v>155.79</v>
    <v>156.96</v>
    <v>157.69999999999999</v>
    <v>158.46</v>
    <v>159.35</v>
    <v>158.18</v>
    <v>156.96</v>
    <v>158.87</v>
    <v>157.81</v>
    <v>158.01</v>
    <v>158.41999999999999</v>
    <v>157.68</v>
    <v>155.5</v>
    <v>155.69999999999999</v>
    <v>156.31</v>
    <v>158.37</v>
    <v>157.6</v>
    <v>158.63</v>
    <v>159.41</v>
    <v>160.63999999999999</v>
    <v>161.94999999999999</v>
    <v>162.08000000000001</v>
    <v>163.13</v>
    <v>161.63999999999999</v>
    <v>162.49</v>
    <v>162.91999999999999</v>
    <v>163.33000000000001</v>
    <v>164.65</v>
    <v>165.67</v>
    <v>163.21</v>
    <v>163.38999999999999</v>
    <v>162.9</v>
    <v>162.9</v>
    <v>158.68</v>
    <v>160.28</v>
    <v>159.72</v>
    <v>155.41</v>
    <v>154.41</v>
    <v>153.88</v>
    <v>152.97999999999999</v>
    <v>152.4</v>
    <v>154.96</v>
    <v>155.71</v>
    <v>157.44999999999999</v>
    <v>158.4</v>
    <v>160.49</v>
    <v>156.28</v>
    <v>156.01</v>
    <v>156.77000000000001</v>
    <v>156.79</v>
    <v>157.96</v>
    <v>156.87</v>
    <v>156.9</v>
    <v>157.52000000000001</v>
    <v>156.52000000000001</v>
    <v>156.6</v>
    <v>158.34</v>
    <v>159.46</v>
    <v>161.05000000000001</v>
    <v>159.1</v>
    <v>157.79</v>
    <v>157.16</v>
    <v>156.47</v>
    <v>156.31</v>
    <v>153.69999999999999</v>
    <v>155.5</v>
    <v>154.84</v>
    <v>155.19999999999999</v>
    <v>153.87</v>
    <v>157.38999999999999</v>
    <v>156.47</v>
    <v>156.29</v>
    <v>157.16</v>
    <v>157.84</v>
    <v>158.07</v>
    <v>159.22999999999999</v>
    <v>157.96</v>
    <v>158.19999999999999</v>
    <v>158.86000000000001</v>
    <v>160.91</v>
    <v>160.68</v>
    <v>160.19</v>
    <v>162.25</v>
    <v>163.24</v>
    <v>162.80000000000001</v>
    <v>164.43</v>
    <v>162.22999999999999</v>
    <v>163.13</v>
    <v>162.86000000000001</v>
    <v>165.1</v>
    <v>166</v>
    <v>166.84</v>
    <v>168.07</v>
    <v>169.69</v>
    <v>168.58</v>
    <v>169.64</v>
    <v>171.8</v>
    <v>171.84</v>
    <v>171.05</v>
    <v>172.4</v>
    <v>171.05</v>
    <v>171.22</v>
    <v>173.16</v>
    <v>172.91</v>
    <v>173.83</v>
    <v>173.6</v>
    <v>173.71</v>
    <v>170.97</v>
    <v>171.99</v>
    <v>169.6</v>
    <v>168.14</v>
    <v>170.51</v>
    <v>171.62</v>
    <v>172.74</v>
    <v>172.1</v>
    <v>172.1</v>
    <v>171.25</v>
    <v>172.04</v>
    <v>173.27</v>
    <v>175.68</v>
    <v>176.12</v>
    <v>176.68</v>
    <v>178.96</v>
    <v>179</v>
    <v>179</v>
    <v>177.7</v>
    <v>177.48</v>
    <v>178.12</v>
    <v>177.91</v>
    <v>179.85</v>
    <v>181.53</v>
    <v>183.84</v>
    <v>184.15</v>
    <v>184.06</v>
    <v>182.93</v>
    <v>177.93</v>
    <v>175.75</v>
    <v>177.03</v>
    <v>181.79</v>
    <v>186.53</v>
    <v>190.5</v>
    <v>188.65</v>
    <v>189.39</v>
    <v>194.74</v>
    <v>193.76</v>
    <v>200.79</v>
    <v>192.03</v>
    <v>195.01</v>
    <v>191.94</v>
    <v>195.23</v>
    <v>194.08</v>
    <v>193.96</v>
    <v>190.13</v>
    <v>194.39</v>
    <v>199.35</v>
    <v>198.39</v>
    <v>195.88</v>
    <v>195.66</v>
    <v>189.73</v>
    <v>190.29</v>
    <v>186.53</v>
    <v>188.28</v>
    <v>186.06</v>
    <v>189.34</v>
    <v>191.84</v>
    <v>193.8</v>
    <v>192.75</v>
    <v>196.4</v>
    <v>195.31</v>
    <v>192.8</v>
    <v>192.73</v>
    <v>193.92</v>
    <v>192.25</v>
    <v>197.2</v>
    <v>195.81</v>
    <v>197.19</v>
    <v>196.44</v>
    <v>194.72</v>
    <v>194.51</v>
    <v>194.28</v>
    <v>194.95</v>
    <v>197.75</v>
    <v>199.88</v>
    <v>198.74</v>
    <v>197.49</v>
    <v>197.7</v>
    <v>196.44</v>
    <v>196.5</v>
    <v>197.6</v>
    <v>193.22</v>
    <v>193.81</v>
    <v>193.72</v>
    <v>190.81</v>
    <v>191.65</v>
    <v>194.85</v>
    <v>194.77</v>
    <v>194</v>
    <v>194.16</v>
    <v>193.34</v>
    <v>192.04</v>
    <v>192.73</v>
    <v>193.37</v>
    <v>195.96</v>
    <v>194.92</v>
    <v>194.14</v>
    <v>196.34</v>
    <v>194.22</v>
    <v>195.04</v>
    <v>197.85</v>
    <v>199.34</v>
    <v>198.55</v>
    <v>196.26</v>
    <v>193.7</v>
    <v>192.68</v>
    <v>193.38</v>
    <v>191.26</v>
    <v>191.55</v>
    <v>194.63</v>
    <v>195.99</v>
    <v>196.6</v>
    <v>196.13</v>
    <v>196.65</v>
    <v>197.07</v>
    <v>194.53</v>
    <v>194.78</v>
    <v>194.85</v>
    <v>193.82</v>
    <v>193.52</v>
    <v>192.9</v>
    <v>193.89</v>
    <v>193.92</v>
    <v>195.88</v>
    <v>195.64</v>
    <v>196.13</v>
    <v>196.48</v>
    <v>197.48</v>
    <v>199.75</v>
    <v>201.41</v>
    <v>203.64</v>
    <v>206.56</v>
    <v>205.31</v>
    <v>207.91</v>
    <v>210.61</v>
    <v>210.81</v>
    <v>211.02</v>
    <v>210.52</v>
    <v>211.11</v>
    <v>212.26</v>
    <v>213.09</v>
    <v>213.35</v>
    <v>210.63</v>
    <v>212.3</v>
    <v>215.85</v>
    <v>218.62</v>
    <v>216.94</v>
    <v>215.68</v>
    <v>218.48</v>
    <v>221.21</v>
    <v>221.64</v>
    <v>223.2</v>
    <v>221.31</v>
    <v>224.6</v>
    <v>228.34</v>
    <v>230.23</v>
    <v>233.54</v>
    <v>231.65</v>
    <v>231.92</v>
    <v>236.46</v>
    <v>238.88</v>
    <v>242.5</v>
    <v>246.48</v>
    <v>245.06</v>
    <v>250.7</v>
    <v>237.88</v>
    <v>232.4</v>
    <v>238.98</v>
    <v>237.79</v>
    <v>230.03</v>
    <v>228.23</v>
    <v>230.51</v>
    <v>230.45</v>
    <v>229.73</v>
    <v>230.42</v>
    <v>228.92</v>
    <v>229.39</v>
    <v>229.48</v>
    <v>230.84</v>
    <v>235.9</v>
    <v>236.66</v>
    <v>241.12</v>
    <v>242.31</v>
    <v>236.13</v>
    <v>234.21</v>
    <v>233.64</v>
    <v>234.5</v>
    <v>233.91</v>
    <v>234.21</v>
    <v>235.48</v>
    <v>238.2</v>
    <v>239.4</v>
    <v>239</v>
    <v>242.07</v>
    <v>243.74</v>
    <v>240.54</v>
    <v>242.55</v>
    <v>242.16</v>
    <v>242.32</v>
    <v>241.06</v>
    <v>242.21</v>
    <v>241.37</v>
    <v>244.5</v>
    <v>245.83</v>
    <v>246.51</v>
    <v>247.4</v>
    <v>248.48</v>
    <v>250.75</v>
    <v>249.55</v>
    <v>254.77</v>
    <v>256.06</v>
    <v>248.72</v>
    <v>250.49</v>
    <v>247.8</v>
    <v>255.33</v>
    <v>257.45999999999998</v>
    <v>256.25</v>
    <v>255.69</v>
    <v>258.60000000000002</v>
    <v>265.20999999999998</v>
    <v>263.94</v>
    <v>265.17</v>
    <v>264.66000000000003</v>
    <v>263.47000000000003</v>
    <v>268.02999999999997</v>
    <v>271.97000000000003</v>
    <v>277.86</v>
    <v>279.58999999999997</v>
    <v>285.56</v>
    <v>291.08999999999997</v>
    <v>291.87</v>
    <v>302.23</v>
    <v>302.33999999999997</v>
    <v>284.97000000000003</v>
    <v>266.10000000000002</v>
    <v>284.25</v>
    <v>281.3</v>
    <v>277.12</v>
    <v>282.12</v>
    <v>289.77</v>
    <v>286.47000000000003</v>
    <v>289.94</v>
    <v>281.66000000000003</v>
    <v>287.05</v>
    <v>284.83999999999997</v>
    <v>278.60000000000002</v>
    <v>285.3</v>
    <v>285.3</v>
    <v>289.10000000000002</v>
    <v>297.22000000000003</v>
    <v>293.14</v>
    <v>296.85000000000002</v>
    <v>295.5</v>
    <v>298.32</v>
    <v>302.33</v>
    <v>291.52999999999997</v>
    <v>293.20999999999998</v>
    <v>288.52</v>
    <v>292.95</v>
    <v>290.8</v>
    <v>298.04000000000002</v>
    <v>294.3</v>
    <v>292</v>
    <v>286.98</v>
    <v>283.20999999999998</v>
    <v>284.87</v>
    <v>277.89</v>
    <v>261.44</v>
    <v>260.87</v>
    <v>247.89</v>
    <v>251.58</v>
    <v>259.22000000000003</v>
    <v>249.77</v>
    <v>257.60000000000002</v>
    <v>257.8</v>
    <v>262.7</v>
    <v>271.58999999999997</v>
    <v>265.51</v>
    <v>263.93</v>
    <v>270.36</v>
    <v>272.17</v>
    <v>271.24</v>
    <v>267.37</v>
    <v>272.98</v>
    <v>272.33999999999997</v>
    <v>272.58</v>
    <v>276.18</v>
    <v>272.85000000000002</v>
    <v>268.97000000000003</v>
    <v>268.63</v>
    <v>268.49</v>
    <v>267.79000000000002</v>
    <v>265.49</v>
    <v>259.54000000000002</v>
    <v>257.83999999999997</v>
    <v>262.08999999999997</v>
    <v>257.14</v>
    <v>259.42</v>
    <v>266.01</v>
    <v>268.85000000000002</v>
    <v>266.97000000000003</v>
    <v>268.07</v>
    <v>264.08999999999997</v>
    <v>265.95999999999998</v>
    <v>265.33</v>
    <v>257.38</v>
    <v>256.7</v>
    <v>254.62</v>
    <v>256.31</v>
    <v>254.76</v>
    <v>255.6</v>
    <v>258.74</v>
    <v>254.81</v>
    <v>251</v>
    <v>253.21</v>
    <v>258.94</v>
    <v>253.09</v>
    <v>254.7</v>
    <v>251.08</v>
    <v>252.7</v>
    <v>245.93</v>
    <v>244.66</v>
    <v>241.74</v>
    <v>233.12</v>
    <v>230.5</v>
    <v>238.24</v>
    <v>245.87</v>
    <v>244.16</v>
    <v>245.93</v>
    <v>238.84</v>
    <v>234.23</v>
    <v>236.41</v>
    <v>232.8</v>
    <v>226.14</v>
    <v>227.05</v>
    <v>230.33</v>
    <v>226.65</v>
    <v>227.23</v>
    <v>229.79</v>
    <v>232.82</v>
    <v>234.83</v>
    <v>233.9</v>
    <v>233.47</v>
    <v>226.89</v>
    <v>232.58</v>
    <v>231.06</v>
    <v>226.23</v>
    <v>229.71</v>
    <v>227.9</v>
    <v>225.89</v>
    <v>225.94</v>
    <v>226.13</v>
    <v>229.68</v>
    <v>234.06</v>
    <v>227.78</v>
    <v>229.35</v>
    <v>229.31</v>
    <v>227.09</v>
    <v>225.69</v>
    <v>230.51</v>
    <v>227.26</v>
    <v>226.88</v>
    <v>229.34</v>
    <v>239.31</v>
    <v>239.21</v>
    <v>244.52</v>
    <v>244.43</v>
    <v>246.57</v>
    <v>248.5</v>
    <v>245.31</v>
    <v>246.37</v>
    <v>248.64</v>
    <v>244.68</v>
    <v>251.86</v>
    <v>254.17</v>
    <v>258.7</v>
    <v>262.35000000000002</v>
    <v>260.60000000000002</v>
    <v>258.04000000000002</v>
    <v>257.88</v>
    <v>256.37</v>
    <v>248.84</v>
    <v>244.94</v>
    <v>245.41</v>
    <v>252.86</v>
    <v>249.14</v>
    <v>247.61</v>
    <v>246.78</v>
    <v>247.01</v>
    <v>244.85</v>
    <v>245.1</v>
    <v>240.74</v>
    <v>240.16</v>
    <v>243.56</v>
    <v>244.27</v>
    <v>244.22</v>
    <v>243.85</v>
    <v>242.81</v>
    <v>240.06</v>
    <v>238.09</v>
    <v>239.79</v>
    <v>230.97</v>
    <v>232.6</v>
    <v>233.05</v>
    <v>233.33</v>
    <v>231.93</v>
    <v>231.78</v>
    <v>233.09</v>
    <v>230.09</v>
    <v>230.37</v>
    <v>234.42</v>
    <v>233.19</v>
    <v>232.85</v>
    <v>229</v>
    <v>232.35</v>
    <v>233.52</v>
    <v>232</v>
    <v>231.22</v>
    <v>231.45</v>
    <v>226.5</v>
    <v>223.4</v>
  </a>
  <a r="1" c="254">
    <v>238.98</v>
    <v>237.79</v>
    <v>230.03</v>
    <v>228.23</v>
    <v>230.51</v>
    <v>230.45</v>
    <v>229.73</v>
    <v>230.42</v>
    <v>228.92</v>
    <v>229.39</v>
    <v>229.48</v>
    <v>230.84</v>
    <v>235.9</v>
    <v>236.66</v>
    <v>241.12</v>
    <v>242.31</v>
    <v>236.13</v>
    <v>234.21</v>
    <v>233.64</v>
    <v>234.5</v>
    <v>233.91</v>
    <v>234.21</v>
    <v>235.48</v>
    <v>238.2</v>
    <v>239.4</v>
    <v>239</v>
    <v>242.07</v>
    <v>243.74</v>
    <v>240.54</v>
    <v>242.55</v>
    <v>242.16</v>
    <v>242.32</v>
    <v>241.06</v>
    <v>242.21</v>
    <v>241.37</v>
    <v>244.5</v>
    <v>245.83</v>
    <v>246.51</v>
    <v>247.4</v>
    <v>248.48</v>
    <v>250.75</v>
    <v>249.55</v>
    <v>254.77</v>
    <v>256.06</v>
    <v>248.72</v>
    <v>250.49</v>
    <v>247.8</v>
    <v>255.33</v>
    <v>257.45999999999998</v>
    <v>256.25</v>
    <v>255.69</v>
    <v>258.60000000000002</v>
    <v>265.20999999999998</v>
    <v>263.94</v>
    <v>265.17</v>
    <v>264.66000000000003</v>
    <v>263.47000000000003</v>
    <v>268.02999999999997</v>
    <v>271.97000000000003</v>
    <v>277.86</v>
    <v>279.58999999999997</v>
    <v>285.56</v>
    <v>291.08999999999997</v>
    <v>291.87</v>
    <v>302.23</v>
    <v>302.33999999999997</v>
    <v>284.97000000000003</v>
    <v>266.10000000000002</v>
    <v>284.25</v>
    <v>281.3</v>
    <v>277.12</v>
    <v>282.12</v>
    <v>289.77</v>
    <v>286.47000000000003</v>
    <v>289.94</v>
    <v>281.66000000000003</v>
    <v>287.05</v>
    <v>284.83999999999997</v>
    <v>278.60000000000002</v>
    <v>285.3</v>
    <v>285.3</v>
    <v>289.10000000000002</v>
    <v>297.22000000000003</v>
    <v>293.14</v>
    <v>296.85000000000002</v>
    <v>295.5</v>
    <v>298.32</v>
    <v>302.33</v>
    <v>291.52999999999997</v>
    <v>293.20999999999998</v>
    <v>288.52</v>
    <v>292.95</v>
    <v>290.8</v>
    <v>298.04000000000002</v>
    <v>294.3</v>
    <v>292</v>
    <v>286.98</v>
    <v>283.20999999999998</v>
    <v>284.87</v>
    <v>277.89</v>
    <v>261.44</v>
    <v>260.87</v>
    <v>247.89</v>
    <v>251.58</v>
    <v>259.22000000000003</v>
    <v>249.77</v>
    <v>257.60000000000002</v>
    <v>257.8</v>
    <v>262.7</v>
    <v>271.58999999999997</v>
    <v>265.51</v>
    <v>263.93</v>
    <v>270.36</v>
    <v>272.17</v>
    <v>271.24</v>
    <v>267.37</v>
    <v>272.98</v>
    <v>272.33999999999997</v>
    <v>272.58</v>
    <v>276.18</v>
    <v>272.85000000000002</v>
    <v>268.97000000000003</v>
    <v>268.63</v>
    <v>268.49</v>
    <v>267.79000000000002</v>
    <v>265.49</v>
    <v>259.54000000000002</v>
    <v>257.83999999999997</v>
    <v>262.08999999999997</v>
    <v>257.14</v>
    <v>259.42</v>
    <v>266.01</v>
    <v>268.85000000000002</v>
    <v>266.97000000000003</v>
    <v>268.07</v>
    <v>264.08999999999997</v>
    <v>265.95999999999998</v>
    <v>265.33</v>
    <v>257.38</v>
    <v>256.7</v>
    <v>254.62</v>
    <v>256.31</v>
    <v>254.76</v>
    <v>255.6</v>
    <v>258.74</v>
    <v>254.81</v>
    <v>251</v>
    <v>253.21</v>
    <v>258.94</v>
    <v>253.09</v>
    <v>254.7</v>
    <v>251.08</v>
    <v>252.7</v>
    <v>245.93</v>
    <v>244.66</v>
    <v>241.74</v>
    <v>233.12</v>
    <v>230.5</v>
    <v>238.24</v>
    <v>245.87</v>
    <v>244.16</v>
    <v>245.93</v>
    <v>238.84</v>
    <v>234.23</v>
    <v>236.41</v>
    <v>232.8</v>
    <v>226.14</v>
    <v>227.05</v>
    <v>230.33</v>
    <v>226.65</v>
    <v>227.23</v>
    <v>229.79</v>
    <v>232.82</v>
    <v>234.83</v>
    <v>233.9</v>
    <v>233.47</v>
    <v>226.89</v>
    <v>232.58</v>
    <v>231.06</v>
    <v>226.23</v>
    <v>229.71</v>
    <v>227.9</v>
    <v>225.89</v>
    <v>225.94</v>
    <v>226.13</v>
    <v>229.68</v>
    <v>234.06</v>
    <v>227.78</v>
    <v>229.35</v>
    <v>229.31</v>
    <v>227.09</v>
    <v>225.69</v>
    <v>230.51</v>
    <v>227.26</v>
    <v>226.88</v>
    <v>229.34</v>
    <v>239.31</v>
    <v>239.21</v>
    <v>244.52</v>
    <v>244.43</v>
    <v>246.57</v>
    <v>248.5</v>
    <v>245.31</v>
    <v>246.37</v>
    <v>248.64</v>
    <v>244.68</v>
    <v>251.86</v>
    <v>254.17</v>
    <v>258.7</v>
    <v>262.35000000000002</v>
    <v>260.60000000000002</v>
    <v>258.04000000000002</v>
    <v>257.88</v>
    <v>256.37</v>
    <v>248.84</v>
    <v>244.94</v>
    <v>245.41</v>
    <v>252.86</v>
    <v>249.14</v>
    <v>247.61</v>
    <v>246.78</v>
    <v>247.01</v>
    <v>244.85</v>
    <v>245.1</v>
    <v>240.74</v>
    <v>240.16</v>
    <v>243.56</v>
    <v>244.27</v>
    <v>244.22</v>
    <v>243.85</v>
    <v>242.81</v>
    <v>240.06</v>
    <v>238.09</v>
    <v>239.79</v>
    <v>230.97</v>
    <v>232.6</v>
    <v>233.05</v>
    <v>233.33</v>
    <v>231.93</v>
    <v>231.78</v>
    <v>233.09</v>
    <v>230.09</v>
    <v>230.37</v>
    <v>234.42</v>
    <v>233.19</v>
    <v>232.85</v>
    <v>229</v>
    <v>232.35</v>
    <v>233.52</v>
    <v>232</v>
    <v>231.22</v>
    <v>231.45</v>
    <v>226.5</v>
    <v>223.4</v>
  </a>
  <a r="1" c="205">
    <v>368.59</v>
    <v>386.11</v>
    <v>357.05</v>
    <v>397.42</v>
    <v>392.88</v>
    <v>348.26</v>
    <v>351.42</v>
    <v>339.87</v>
    <v>361.33</v>
    <v>331.62</v>
    <v>343.27</v>
    <v>324.25</v>
    <v>356.83</v>
    <v>362.44</v>
    <v>354.49</v>
    <v>339.19</v>
    <v>332.45</v>
    <v>370.66</v>
    <v>385</v>
    <v>381.44</v>
    <v>391.84</v>
    <v>423.42</v>
    <v>435.1</v>
    <v>465.54</v>
    <v>504.42</v>
    <v>551.99</v>
    <v>577.15</v>
    <v>561.13</v>
    <v>574.11</v>
    <v>583.46</v>
    <v>562.74</v>
    <v>600.41999999999996</v>
    <v>594.26</v>
    <v>635.64</v>
    <v>667.77</v>
    <v>674.73</v>
    <v>688.27</v>
    <v>723.39</v>
    <v>677</v>
    <v>700.91</v>
    <v>783.25</v>
    <v>694.43</v>
    <v>680.8</v>
    <v>650.82000000000005</v>
    <v>558.44000000000005</v>
    <v>640.69000000000005</v>
    <v>672</v>
    <v>672</v>
    <v>616.09</v>
    <v>622.5</v>
    <v>624.84</v>
    <v>649.55999999999995</v>
    <v>700.81</v>
    <v>772.13</v>
    <v>706.35</v>
    <v>728.95</v>
    <v>801.99</v>
    <v>777.17</v>
    <v>688.8</v>
    <v>702.73</v>
    <v>654.79</v>
    <v>702.76</v>
    <v>764.65</v>
    <v>826.88</v>
    <v>772.28</v>
    <v>815.75</v>
    <v>896.02</v>
    <v>894.13</v>
    <v>897.3</v>
    <v>871.18</v>
    <v>852.79</v>
    <v>824.01</v>
    <v>891.22</v>
    <v>894.07</v>
    <v>895.11</v>
    <v>836.92</v>
    <v>873.6</v>
    <v>846.89</v>
    <v>881.64</v>
    <v>859.68</v>
    <v>791.37</v>
    <v>858.32</v>
    <v>902.32</v>
    <v>949.93</v>
    <v>976.18</v>
    <v>994.56</v>
    <v>944.28</v>
    <v>892.58</v>
    <v>903.8</v>
    <v>1053.0899999999999</v>
    <v>992.37</v>
    <v>1030.3699999999999</v>
    <v>1001.81</v>
    <v>970.7</v>
    <v>884.98</v>
    <v>890.09</v>
    <v>868.07</v>
    <v>964.5</v>
    <v>946.9</v>
    <v>910.81</v>
    <v>902.31</v>
    <v>860.62</v>
    <v>854.96</v>
    <v>905</v>
    <v>1029.1500000000001</v>
    <v>938</v>
    <v>945.08</v>
    <v>863.66</v>
    <v>895.4</v>
    <v>821.76</v>
    <v>853.26</v>
    <v>889.59</v>
    <v>921.56</v>
    <v>957.24</v>
    <v>875.36</v>
    <v>869.98</v>
    <v>850</v>
    <v>893.93</v>
    <v>827.92</v>
    <v>842.53</v>
    <v>861.97</v>
    <v>816.98</v>
    <v>851.4</v>
    <v>858.06</v>
    <v>801.16</v>
    <v>728.32</v>
    <v>731.25</v>
    <v>698.91</v>
    <v>707.1</v>
    <v>785.77</v>
    <v>802.01</v>
    <v>768.15</v>
    <v>814.8</v>
    <v>752</v>
    <v>706.23</v>
    <v>732.82</v>
    <v>765.55</v>
    <v>837.56</v>
    <v>829.7</v>
    <v>833.64</v>
    <v>762.99</v>
    <v>711.96</v>
    <v>651.92999999999995</v>
    <v>602.35</v>
    <v>693.24</v>
    <v>713.94</v>
    <v>779.89</v>
    <v>849.47</v>
    <v>826.26</v>
    <v>838.06</v>
    <v>890.17</v>
    <v>813.51</v>
    <v>820.59</v>
    <v>932.47</v>
    <v>880.41</v>
    <v>926.14</v>
    <v>968.9</v>
    <v>873.31</v>
    <v>827.6</v>
    <v>879.28</v>
    <v>866.71</v>
    <v>830.17</v>
    <v>885.56500000000005</v>
    <v>939.03</v>
    <v>956.14</v>
    <v>895</v>
    <v>914.76</v>
    <v>868.95</v>
    <v>870.58</v>
    <v>847.37</v>
    <v>881.255</v>
    <v>978.53499999999997</v>
    <v>988.98</v>
    <v>935.7</v>
    <v>927.03</v>
    <v>835.03</v>
    <v>838.96</v>
    <v>919.4</v>
    <v>893.61</v>
    <v>930.91</v>
    <v>954.49</v>
    <v>945.67</v>
    <v>937</v>
    <v>929.04</v>
    <v>941.65</v>
    <v>921.32</v>
    <v>973.49</v>
    <v>971.26</v>
    <v>1045.78</v>
    <v>1085.42</v>
    <v>1091.67</v>
    <v>1133.4000000000001</v>
    <v>1111.07</v>
    <v>1048.5999999999999</v>
    <v>1103.355</v>
    <v>995.41</v>
    <v>987.99</v>
    <v>896.33</v>
    <v>869.54</v>
    <v>824.13</v>
    <v>834.51</v>
    <v>822.51</v>
    <v>850.7</v>
    <v>752.54</v>
    <v>756.17</v>
  </a>
  <a r="1" c="754">
    <v>37.630000000000003</v>
    <v>38.56</v>
    <v>36.93</v>
    <v>36.119999999999997</v>
    <v>36.07</v>
    <v>39.79</v>
    <v>39.21</v>
    <v>38.72</v>
    <v>40.450000000000003</v>
    <v>42.76</v>
    <v>42.34</v>
    <v>42.02</v>
    <v>42.87</v>
    <v>39.520000000000003</v>
    <v>40.54</v>
    <v>40.92</v>
    <v>43.56</v>
    <v>45.14</v>
    <v>43.77</v>
    <v>44.17</v>
    <v>44.32</v>
    <v>42.94</v>
    <v>43.56</v>
    <v>43.79</v>
    <v>43.01</v>
    <v>42.3</v>
    <v>43.1</v>
    <v>42.8</v>
    <v>44.25</v>
    <v>44.08</v>
    <v>41.95</v>
    <v>41.32</v>
    <v>43.55</v>
    <v>44.03</v>
    <v>45.06</v>
    <v>44.86</v>
    <v>46.46</v>
    <v>49.86</v>
    <v>49.52</v>
    <v>49.65</v>
    <v>50.48</v>
    <v>50.06</v>
    <v>51.5</v>
    <v>53</v>
    <v>53.51</v>
    <v>53.38</v>
    <v>53.26</v>
    <v>52.42</v>
    <v>52.04</v>
    <v>49.95</v>
    <v>50.2</v>
    <v>50.47</v>
    <v>51.17</v>
    <v>51.78</v>
    <v>52</v>
    <v>51.44</v>
    <v>50.7</v>
    <v>52.65</v>
    <v>51.58</v>
    <v>52.83</v>
    <v>53.8</v>
    <v>54.18</v>
    <v>54.3</v>
    <v>54.61</v>
    <v>55.92</v>
    <v>55.27</v>
    <v>56.93</v>
    <v>55.74</v>
    <v>54.94</v>
    <v>56.15</v>
    <v>56.48</v>
    <v>55.6</v>
    <v>58.84</v>
    <v>58.77</v>
    <v>45.585000000000001</v>
    <v>50.204999999999998</v>
    <v>50.34</v>
    <v>47.59</v>
    <v>49.59</v>
    <v>49.19</v>
    <v>49.77</v>
    <v>49.33</v>
    <v>48.01</v>
    <v>50.12</v>
    <v>49.08</v>
    <v>49.42</v>
    <v>48.39</v>
    <v>47.17</v>
    <v>48.47</v>
    <v>50.49</v>
    <v>50.76</v>
    <v>50.79</v>
    <v>50.33</v>
    <v>48.86</v>
    <v>47.68</v>
    <v>46.87</v>
    <v>46.88</v>
    <v>47.06</v>
    <v>46.25</v>
    <v>45.55</v>
    <v>46.79</v>
    <v>46.52</v>
    <v>48.81</v>
    <v>50.56</v>
    <v>50.88</v>
    <v>51.08</v>
    <v>48.41</v>
    <v>48.45</v>
    <v>47.35</v>
    <v>48.15</v>
    <v>47.5</v>
    <v>47.85</v>
    <v>46.5</v>
    <v>45.9</v>
    <v>45.89</v>
    <v>47.25</v>
    <v>45.34</v>
    <v>45.18</v>
    <v>43.45</v>
    <v>41.81</v>
    <v>43.31</v>
    <v>41.98</v>
    <v>42.44</v>
    <v>41.74</v>
    <v>41.34</v>
    <v>42.01</v>
    <v>42.06</v>
    <v>42.01</v>
    <v>43.42</v>
    <v>43.52</v>
    <v>43.76</v>
    <v>43.52</v>
    <v>44.29</v>
    <v>44.74</v>
    <v>44.11</v>
    <v>41.4</v>
    <v>42.59</v>
    <v>43.61</v>
    <v>43.79</v>
    <v>44</v>
    <v>44.61</v>
    <v>45.72</v>
    <v>46.8</v>
    <v>46.05</v>
    <v>47.19</v>
    <v>46.01</v>
    <v>45.49</v>
    <v>45.92</v>
    <v>46.28</v>
    <v>44.88</v>
    <v>43.43</v>
    <v>43.36</v>
    <v>43.5</v>
    <v>44.21</v>
    <v>43.02</v>
    <v>45.4</v>
    <v>45.59</v>
    <v>45.79</v>
    <v>46.97</v>
    <v>45.47</v>
    <v>46.91</v>
    <v>47.55</v>
    <v>47.28</v>
    <v>50</v>
    <v>49.58</v>
    <v>47.91</v>
    <v>48.66</v>
    <v>47.58</v>
    <v>49.19</v>
    <v>49.13</v>
    <v>49.04</v>
    <v>50.92</v>
    <v>51.43</v>
    <v>53.94</v>
    <v>54.24</v>
    <v>55.35</v>
    <v>56.19</v>
    <v>55.84</v>
    <v>56.26</v>
    <v>57.33</v>
    <v>59.24</v>
    <v>57.97</v>
    <v>59.09</v>
    <v>57.41</v>
    <v>55.5</v>
    <v>54.77</v>
    <v>55.42</v>
    <v>54.8</v>
    <v>52.71</v>
    <v>50.83</v>
    <v>51.83</v>
    <v>51.8</v>
    <v>49.05</v>
    <v>51.78</v>
    <v>48.01</v>
    <v>44.33</v>
    <v>41.47</v>
    <v>41.59</v>
    <v>40.28</v>
    <v>43.34</v>
    <v>43.25</v>
    <v>44.94</v>
    <v>46.24</v>
    <v>45.53</v>
    <v>52.26</v>
    <v>51.98</v>
    <v>52.82</v>
    <v>56.09</v>
    <v>56.39</v>
    <v>55.59</v>
    <v>59.17</v>
    <v>56.41</v>
    <v>57.48</v>
    <v>56.57</v>
    <v>56.53</v>
    <v>57.61</v>
    <v>53.01</v>
    <v>55.43</v>
    <v>55.08</v>
    <v>52.11</v>
    <v>51.2</v>
    <v>51.1</v>
    <v>53.95</v>
    <v>54.25</v>
    <v>55.78</v>
    <v>56.59</v>
    <v>58.37</v>
    <v>58.28</v>
    <v>61.14</v>
    <v>61.35</v>
    <v>61.23</v>
    <v>60.79</v>
    <v>60.95</v>
    <v>64.739999999999995</v>
    <v>64.53</v>
    <v>63.38</v>
    <v>61.49</v>
    <v>65</v>
    <v>66.16</v>
    <v>68.8</v>
    <v>67.27</v>
    <v>67.75</v>
    <v>67.680000000000007</v>
    <v>67.099999999999994</v>
    <v>68.239999999999995</v>
    <v>69.23</v>
    <v>66.58</v>
    <v>68.78</v>
    <v>69.62</v>
    <v>66.23</v>
    <v>65.56</v>
    <v>66.540000000000006</v>
    <v>65.66</v>
    <v>64.64</v>
    <v>64.37</v>
    <v>64.959999999999994</v>
    <v>65.760000000000005</v>
    <v>65.349999999999994</v>
    <v>63.87</v>
    <v>65.349999999999994</v>
    <v>64.17</v>
    <v>66.180000000000007</v>
    <v>71.97</v>
    <v>73.64</v>
    <v>83.85</v>
    <v>86.72</v>
    <v>86.65</v>
    <v>88.06</v>
    <v>85.13</v>
    <v>81.45</v>
    <v>80.540000000000006</v>
    <v>82.48</v>
    <v>82.47</v>
    <v>85.61</v>
    <v>89.09</v>
    <v>87.2</v>
    <v>86.98</v>
    <v>83.77</v>
    <v>86.97</v>
    <v>86.37</v>
    <v>88.7</v>
    <v>94.9</v>
    <v>92.64</v>
    <v>92.84</v>
    <v>89.8</v>
    <v>86.97</v>
    <v>88.2</v>
    <v>90.75</v>
    <v>92.92</v>
    <v>93.18</v>
    <v>88.92</v>
    <v>82.9</v>
    <v>83.56</v>
    <v>85.08</v>
    <v>83.22</v>
    <v>84.34</v>
    <v>85.69</v>
    <v>84.36</v>
    <v>83.84</v>
    <v>83.95</v>
    <v>85.6</v>
    <v>89.35</v>
    <v>90.44</v>
    <v>86.59</v>
    <v>85.19</v>
    <v>84.38</v>
    <v>83.74</v>
    <v>85.08</v>
    <v>88.4</v>
    <v>89.36</v>
    <v>94.41</v>
    <v>97.45</v>
    <v>100.38</v>
    <v>99.33</v>
    <v>95.65</v>
    <v>74.17</v>
    <v>77.8</v>
    <v>77.91</v>
    <v>83.98</v>
    <v>85.06</v>
    <v>84.31</v>
    <v>86.33</v>
    <v>89.19</v>
    <v>92.67</v>
    <v>85.9</v>
    <v>81.93</v>
    <v>79.599999999999994</v>
    <v>79.22</v>
    <v>78.13</v>
    <v>77.680000000000007</v>
    <v>80.22</v>
    <v>77.290000000000006</v>
    <v>76.34</v>
    <v>73.349999999999994</v>
    <v>72.47</v>
    <v>70.39</v>
    <v>72.5</v>
    <v>69.62</v>
    <v>70.33</v>
    <v>65.69</v>
    <v>65.09</v>
    <v>67.34</v>
    <v>61.09</v>
    <v>62.11</v>
    <v>57.41</v>
    <v>62.05</v>
    <v>64.02</v>
    <v>60.29</v>
    <v>63.61</v>
    <v>68.31</v>
    <v>65.88</v>
    <v>67.17</v>
    <v>68.83</v>
    <v>66.61</v>
    <v>73.63</v>
    <v>71.069999999999993</v>
    <v>66.11</v>
    <v>63.98</v>
    <v>62.58</v>
    <v>62.34</v>
    <v>63.59</v>
    <v>66.819999999999993</v>
    <v>53.45</v>
    <v>49.56</v>
    <v>52.26</v>
    <v>50.02</v>
    <v>59.81</v>
    <v>54.47</v>
    <v>51.27</v>
    <v>52.36</v>
    <v>52.69</v>
    <v>52.21</v>
    <v>52</v>
    <v>50.07</v>
    <v>51.64</v>
    <v>55.17</v>
    <v>58.77</v>
    <v>60</v>
    <v>60.08</v>
    <v>59.96</v>
    <v>59.04</v>
    <v>61.52</v>
    <v>62.86</v>
    <v>63.17</v>
    <v>64.42</v>
    <v>66.239999999999995</v>
    <v>65.66</v>
    <v>64.87</v>
    <v>71.73</v>
    <v>74.510000000000005</v>
    <v>78.290000000000006</v>
    <v>77.760000000000005</v>
    <v>77.95</v>
    <v>77.87</v>
    <v>77.11</v>
    <v>75.95</v>
    <v>75.88</v>
    <v>75.77</v>
    <v>78.37</v>
    <v>77.900000000000006</v>
    <v>75.41</v>
    <v>72.28</v>
    <v>75.86</v>
    <v>77.650000000000006</v>
    <v>80.28</v>
    <v>81.64</v>
    <v>81.459999999999994</v>
    <v>82.11</v>
    <v>81.96</v>
    <v>82.36</v>
    <v>85.5</v>
    <v>82.465000000000003</v>
    <v>85.78</v>
    <v>86.344999999999999</v>
    <v>88.46</v>
    <v>89.66</v>
    <v>89.16</v>
    <v>91.81</v>
    <v>91.77</v>
    <v>94.71</v>
    <v>94.75</v>
    <v>95.06</v>
    <v>91.49</v>
    <v>91.24</v>
    <v>92.75</v>
    <v>91.08</v>
    <v>91.31</v>
    <v>90.44</v>
    <v>92.62</v>
    <v>92.99</v>
    <v>92.24</v>
    <v>98.14</v>
    <v>99.63</v>
    <v>102.64</v>
    <v>102.22</v>
    <v>103.84</v>
    <v>99.63</v>
    <v>102.13</v>
    <v>102.85</v>
    <v>104.52</v>
    <v>107.17</v>
    <v>109.48</v>
    <v>109.85</v>
    <v>110.08</v>
    <v>106.68</v>
    <v>111.13</v>
    <v>108.15</v>
    <v>110.01</v>
    <v>111.13</v>
    <v>116.27</v>
    <v>115.03</v>
    <v>119.66</v>
    <v>120.23</v>
    <v>114.62</v>
    <v>115.86</v>
    <v>118.98</v>
    <v>117.96</v>
    <v>115.89</v>
    <v>117.43</v>
    <v>119.34</v>
    <v>123.42</v>
    <v>124.62</v>
    <v>125.84</v>
    <v>135.55000000000001</v>
    <v>132.81</v>
    <v>132.55500000000001</v>
    <v>134.12</v>
    <v>141.91</v>
    <v>149.46</v>
    <v>149.4</v>
    <v>151.72999999999999</v>
    <v>164.88</v>
    <v>164.88</v>
    <v>163.02000000000001</v>
    <v>168.77</v>
    <v>170.9</v>
    <v>163.34</v>
    <v>171.5</v>
    <v>168.73</v>
    <v>164.71</v>
    <v>163.99</v>
    <v>152.75</v>
    <v>159.11000000000001</v>
    <v>160.75</v>
    <v>162.58000000000001</v>
    <v>162.71</v>
    <v>171.4</v>
    <v>169.75</v>
    <v>163.81</v>
    <v>160.6</v>
    <v>157.15</v>
    <v>163.09</v>
    <v>159.76</v>
    <v>149.61000000000001</v>
    <v>160.56</v>
    <v>156.78</v>
    <v>156.57</v>
    <v>163.22999999999999</v>
    <v>164.77</v>
    <v>161</v>
    <v>162.94999999999999</v>
    <v>158.06</v>
    <v>168.5</v>
    <v>179.3</v>
    <v>193.8</v>
    <v>198.39</v>
    <v>214.28</v>
    <v>200.13</v>
    <v>201.56</v>
    <v>199.58</v>
    <v>188.36</v>
    <v>232.75</v>
    <v>239.68</v>
    <v>240.11</v>
    <v>259.89</v>
    <v>252.47</v>
    <v>253.81</v>
    <v>226.86</v>
    <v>232.15</v>
    <v>242.07</v>
    <v>247.43</v>
    <v>268.92</v>
    <v>233.24</v>
    <v>255.59</v>
    <v>299.36</v>
    <v>291.27</v>
    <v>308.27999999999997</v>
    <v>325.16000000000003</v>
    <v>317.93</v>
    <v>302.81</v>
    <v>302.98</v>
    <v>327.85</v>
    <v>331.41</v>
    <v>342.56</v>
    <v>360.33</v>
    <v>366</v>
    <v>372.09</v>
    <v>324.35000000000002</v>
    <v>334.69</v>
    <v>316.14999999999998</v>
    <v>320.25</v>
    <v>337.13</v>
    <v>371.43</v>
    <v>389.88</v>
    <v>387.41</v>
    <v>395.92</v>
    <v>390.77</v>
    <v>372.61</v>
    <v>371.18</v>
    <v>368.59</v>
    <v>386.11</v>
    <v>357.05</v>
    <v>397.42</v>
    <v>392.88</v>
    <v>348.26</v>
    <v>351.42</v>
    <v>339.87</v>
    <v>361.33</v>
    <v>331.62</v>
    <v>343.27</v>
    <v>324.25</v>
    <v>356.83</v>
    <v>362.44</v>
    <v>354.49</v>
    <v>339.19</v>
    <v>332.45</v>
    <v>370.66</v>
    <v>385</v>
    <v>381.44</v>
    <v>391.84</v>
    <v>423.42</v>
    <v>435.1</v>
    <v>465.54</v>
    <v>504.42</v>
    <v>551.99</v>
    <v>577.15</v>
    <v>561.13</v>
    <v>574.11</v>
    <v>583.46</v>
    <v>562.74</v>
    <v>600.41999999999996</v>
    <v>594.26</v>
    <v>635.64</v>
    <v>667.77</v>
    <v>674.73</v>
    <v>688.27</v>
    <v>723.39</v>
    <v>677</v>
    <v>700.91</v>
    <v>783.25</v>
    <v>694.43</v>
    <v>680.8</v>
    <v>650.82000000000005</v>
    <v>558.44000000000005</v>
    <v>640.69000000000005</v>
    <v>672</v>
    <v>672</v>
    <v>616.09</v>
    <v>622.5</v>
    <v>624.84</v>
    <v>649.55999999999995</v>
    <v>700.81</v>
    <v>772.13</v>
    <v>706.35</v>
    <v>728.95</v>
    <v>801.99</v>
    <v>777.17</v>
    <v>688.8</v>
    <v>702.73</v>
    <v>654.79</v>
    <v>702.76</v>
    <v>764.65</v>
    <v>826.88</v>
    <v>772.28</v>
    <v>815.75</v>
    <v>896.02</v>
    <v>894.13</v>
    <v>897.3</v>
    <v>871.18</v>
    <v>852.79</v>
    <v>824.01</v>
    <v>891.22</v>
    <v>894.07</v>
    <v>895.11</v>
    <v>836.92</v>
    <v>873.6</v>
    <v>846.89</v>
    <v>881.64</v>
    <v>859.68</v>
    <v>791.37</v>
    <v>858.32</v>
    <v>902.32</v>
    <v>949.93</v>
    <v>976.18</v>
    <v>994.56</v>
    <v>944.28</v>
    <v>892.58</v>
    <v>903.8</v>
    <v>1053.0899999999999</v>
    <v>992.37</v>
    <v>1030.3699999999999</v>
    <v>1001.81</v>
    <v>970.7</v>
    <v>884.98</v>
    <v>890.09</v>
    <v>868.07</v>
    <v>964.5</v>
    <v>946.9</v>
    <v>910.81</v>
    <v>902.31</v>
    <v>860.62</v>
    <v>854.96</v>
    <v>905</v>
    <v>1029.1500000000001</v>
    <v>938</v>
    <v>945.08</v>
    <v>863.66</v>
    <v>895.4</v>
    <v>821.76</v>
    <v>853.26</v>
    <v>889.59</v>
    <v>921.56</v>
    <v>957.24</v>
    <v>875.36</v>
    <v>869.98</v>
    <v>850</v>
    <v>893.93</v>
    <v>827.92</v>
    <v>842.53</v>
    <v>861.97</v>
    <v>816.98</v>
    <v>851.4</v>
    <v>858.06</v>
    <v>801.16</v>
    <v>728.32</v>
    <v>731.25</v>
    <v>698.91</v>
    <v>707.1</v>
    <v>785.77</v>
    <v>802.01</v>
    <v>768.15</v>
    <v>814.8</v>
    <v>752</v>
    <v>706.23</v>
    <v>732.82</v>
    <v>765.55</v>
    <v>837.56</v>
    <v>829.7</v>
    <v>833.64</v>
    <v>762.99</v>
    <v>711.96</v>
    <v>651.92999999999995</v>
    <v>602.35</v>
    <v>693.24</v>
    <v>713.94</v>
    <v>779.89</v>
    <v>849.47</v>
    <v>826.26</v>
    <v>838.06</v>
    <v>890.17</v>
    <v>813.51</v>
    <v>820.59</v>
    <v>932.47</v>
    <v>880.41</v>
    <v>926.14</v>
    <v>968.9</v>
    <v>873.31</v>
    <v>827.6</v>
    <v>879.28</v>
    <v>866.71</v>
    <v>830.17</v>
    <v>885.56500000000005</v>
    <v>939.03</v>
    <v>956.14</v>
    <v>895</v>
    <v>914.76</v>
    <v>868.95</v>
    <v>870.58</v>
    <v>847.37</v>
    <v>881.255</v>
    <v>978.53499999999997</v>
    <v>988.98</v>
    <v>935.7</v>
    <v>927.03</v>
    <v>835.03</v>
    <v>838.96</v>
    <v>919.4</v>
    <v>893.61</v>
    <v>930.91</v>
    <v>954.49</v>
    <v>945.67</v>
    <v>937</v>
    <v>929.04</v>
    <v>941.65</v>
    <v>921.32</v>
    <v>973.49</v>
    <v>971.26</v>
    <v>1045.78</v>
    <v>1085.42</v>
    <v>1091.67</v>
    <v>1133.4000000000001</v>
    <v>1111.07</v>
    <v>1048.5999999999999</v>
    <v>1103.355</v>
    <v>995.41</v>
    <v>987.99</v>
    <v>896.33</v>
    <v>869.54</v>
    <v>824.13</v>
    <v>834.51</v>
    <v>822.51</v>
    <v>850.7</v>
    <v>752.54</v>
    <v>756.17</v>
  </a>
  <a r="1" c="252">
    <v>168.5</v>
    <v>179.3</v>
    <v>193.8</v>
    <v>198.39</v>
    <v>214.28</v>
    <v>200.13</v>
    <v>201.56</v>
    <v>199.58</v>
    <v>188.36</v>
    <v>232.75</v>
    <v>239.68</v>
    <v>240.11</v>
    <v>259.89</v>
    <v>252.47</v>
    <v>253.81</v>
    <v>226.86</v>
    <v>232.15</v>
    <v>242.07</v>
    <v>247.43</v>
    <v>268.92</v>
    <v>233.24</v>
    <v>255.59</v>
    <v>299.36</v>
    <v>291.27</v>
    <v>308.27999999999997</v>
    <v>325.16000000000003</v>
    <v>317.93</v>
    <v>302.81</v>
    <v>302.98</v>
    <v>327.85</v>
    <v>331.41</v>
    <v>342.56</v>
    <v>360.33</v>
    <v>366</v>
    <v>372.09</v>
    <v>324.35000000000002</v>
    <v>334.69</v>
    <v>316.14999999999998</v>
    <v>320.25</v>
    <v>337.13</v>
    <v>371.43</v>
    <v>389.88</v>
    <v>387.41</v>
    <v>395.92</v>
    <v>390.77</v>
    <v>372.61</v>
    <v>371.18</v>
    <v>368.59</v>
    <v>386.11</v>
    <v>357.05</v>
    <v>397.42</v>
    <v>392.88</v>
    <v>348.26</v>
    <v>351.42</v>
    <v>339.87</v>
    <v>361.33</v>
    <v>331.62</v>
    <v>343.27</v>
    <v>324.25</v>
    <v>356.83</v>
    <v>362.44</v>
    <v>354.49</v>
    <v>339.19</v>
    <v>332.45</v>
    <v>370.66</v>
    <v>385</v>
    <v>381.44</v>
    <v>391.84</v>
    <v>423.42</v>
    <v>435.1</v>
    <v>465.54</v>
    <v>504.42</v>
    <v>551.99</v>
    <v>577.15</v>
    <v>561.13</v>
    <v>574.11</v>
    <v>583.46</v>
    <v>562.74</v>
    <v>600.41999999999996</v>
    <v>594.26</v>
    <v>635.64</v>
    <v>667.77</v>
    <v>674.73</v>
    <v>688.27</v>
    <v>723.39</v>
    <v>677</v>
    <v>700.91</v>
    <v>783.25</v>
    <v>694.43</v>
    <v>680.8</v>
    <v>650.82000000000005</v>
    <v>558.44000000000005</v>
    <v>640.69000000000005</v>
    <v>672</v>
    <v>672</v>
    <v>616.09</v>
    <v>622.5</v>
    <v>624.84</v>
    <v>649.55999999999995</v>
    <v>700.81</v>
    <v>772.13</v>
    <v>706.35</v>
    <v>728.95</v>
    <v>801.99</v>
    <v>777.17</v>
    <v>688.8</v>
    <v>702.73</v>
    <v>654.79</v>
    <v>702.76</v>
    <v>764.65</v>
    <v>826.88</v>
    <v>772.28</v>
    <v>815.75</v>
    <v>896.02</v>
    <v>894.13</v>
    <v>897.3</v>
    <v>871.18</v>
    <v>852.79</v>
    <v>824.01</v>
    <v>891.22</v>
    <v>894.07</v>
    <v>895.11</v>
    <v>836.92</v>
    <v>873.6</v>
    <v>846.89</v>
    <v>881.64</v>
    <v>859.68</v>
    <v>791.37</v>
    <v>858.32</v>
    <v>902.32</v>
    <v>949.93</v>
    <v>976.18</v>
    <v>994.56</v>
    <v>944.28</v>
    <v>892.58</v>
    <v>903.8</v>
    <v>1053.0899999999999</v>
    <v>992.37</v>
    <v>1030.3699999999999</v>
    <v>1001.81</v>
    <v>970.7</v>
    <v>884.98</v>
    <v>890.09</v>
    <v>868.07</v>
    <v>964.5</v>
    <v>946.9</v>
    <v>910.81</v>
    <v>902.31</v>
    <v>860.62</v>
    <v>854.96</v>
    <v>905</v>
    <v>1029.1500000000001</v>
    <v>938</v>
    <v>945.08</v>
    <v>863.66</v>
    <v>895.4</v>
    <v>821.76</v>
    <v>853.26</v>
    <v>889.59</v>
    <v>921.56</v>
    <v>957.24</v>
    <v>875.36</v>
    <v>869.98</v>
    <v>850</v>
    <v>893.93</v>
    <v>827.92</v>
    <v>842.53</v>
    <v>861.97</v>
    <v>816.98</v>
    <v>851.4</v>
    <v>858.06</v>
    <v>801.16</v>
    <v>728.32</v>
    <v>731.25</v>
    <v>698.91</v>
    <v>707.1</v>
    <v>785.77</v>
    <v>802.01</v>
    <v>768.15</v>
    <v>814.8</v>
    <v>752</v>
    <v>706.23</v>
    <v>732.82</v>
    <v>765.55</v>
    <v>837.56</v>
    <v>829.7</v>
    <v>833.64</v>
    <v>762.99</v>
    <v>711.96</v>
    <v>651.92999999999995</v>
    <v>602.35</v>
    <v>693.24</v>
    <v>713.94</v>
    <v>779.89</v>
    <v>849.47</v>
    <v>826.26</v>
    <v>838.06</v>
    <v>890.17</v>
    <v>813.51</v>
    <v>820.59</v>
    <v>932.47</v>
    <v>880.41</v>
    <v>926.14</v>
    <v>968.9</v>
    <v>873.31</v>
    <v>827.6</v>
    <v>879.28</v>
    <v>866.71</v>
    <v>830.17</v>
    <v>885.56500000000005</v>
    <v>939.03</v>
    <v>956.14</v>
    <v>895</v>
    <v>914.76</v>
    <v>868.95</v>
    <v>870.58</v>
    <v>847.37</v>
    <v>881.255</v>
    <v>978.53499999999997</v>
    <v>988.98</v>
    <v>935.7</v>
    <v>927.03</v>
    <v>835.03</v>
    <v>838.96</v>
    <v>919.4</v>
    <v>893.61</v>
    <v>930.91</v>
    <v>954.49</v>
    <v>945.67</v>
    <v>937</v>
    <v>929.04</v>
    <v>941.65</v>
    <v>921.32</v>
    <v>973.49</v>
    <v>971.26</v>
    <v>1045.78</v>
    <v>1085.42</v>
    <v>1091.67</v>
    <v>1133.4000000000001</v>
    <v>1111.07</v>
    <v>1048.5999999999999</v>
    <v>1103.355</v>
    <v>995.41</v>
    <v>987.99</v>
    <v>896.33</v>
    <v>869.54</v>
    <v>824.13</v>
    <v>834.51</v>
    <v>822.51</v>
    <v>850.7</v>
    <v>752.54</v>
    <v>756.17</v>
  </a>
  <a r="1" c="205">
    <v>172.84</v>
    <v>181.85</v>
    <v>189.02</v>
    <v>195.3</v>
    <v>192.24</v>
    <v>193.2</v>
    <v>201.46</v>
    <v>206.62</v>
    <v>210.54</v>
    <v>204.08</v>
    <v>213.25</v>
    <v>217.89</v>
    <v>206.07</v>
    <v>209.52</v>
    <v>206.33</v>
    <v>207.75</v>
    <v>206.04</v>
    <v>212.4</v>
    <v>216.3</v>
    <v>210.18</v>
    <v>205.43</v>
    <v>206.04</v>
    <v>210.88</v>
    <v>190.1</v>
    <v>187.42</v>
    <v>197.19</v>
    <v>203</v>
    <v>199.83</v>
    <v>198.5</v>
    <v>196.9</v>
    <v>200.4</v>
    <v>201.09</v>
    <v>202.25</v>
    <v>209.07</v>
    <v>206.44</v>
    <v>198.38</v>
    <v>204.23</v>
    <v>208.27</v>
    <v>207.24</v>
    <v>205.98</v>
    <v>216.47</v>
    <v>205.83</v>
    <v>205.57</v>
    <v>195.5</v>
    <v>195.23</v>
    <v>200.39</v>
    <v>195.91</v>
    <v>195.98</v>
    <v>197.82</v>
    <v>194.13</v>
    <v>204.67</v>
    <v>207.48</v>
    <v>208.98</v>
    <v>210.12</v>
    <v>199.75</v>
    <v>204.85</v>
    <v>204.76</v>
    <v>222.13</v>
    <v>205.09</v>
    <v>202.59</v>
    <v>191.59</v>
    <v>204.49</v>
    <v>212.81</v>
    <v>214.98</v>
    <v>215.98</v>
    <v>214.44</v>
    <v>231.78</v>
    <v>230.29</v>
    <v>229.57</v>
    <v>232.83</v>
    <v>238.27</v>
    <v>238.42</v>
    <v>230.8</v>
    <v>235.78</v>
    <v>228.24</v>
    <v>216.66</v>
    <v>219.1</v>
    <v>225.51</v>
    <v>223.15</v>
    <v>222.07</v>
    <v>216.18</v>
    <v>208.08</v>
    <v>216.39</v>
    <v>216.31</v>
    <v>216.68</v>
    <v>206.15</v>
    <v>215.2</v>
    <v>209.89</v>
    <v>205.33</v>
    <v>210.8</v>
    <v>206.83</v>
    <v>206.83</v>
    <v>210.94</v>
    <v>204.72</v>
    <v>201.94</v>
    <v>197.33</v>
    <v>202.66</v>
    <v>202.52</v>
    <v>202.91</v>
    <v>204.38</v>
    <v>198.95</v>
    <v>199.27</v>
    <v>195.88</v>
    <v>188.39</v>
    <v>187.26</v>
    <v>184.72</v>
    <v>190.76</v>
    <v>185.95</v>
    <v>187.46</v>
    <v>188.96</v>
    <v>183</v>
    <v>194.68</v>
    <v>193.45</v>
    <v>193.94</v>
    <v>196.93</v>
    <v>203.07</v>
    <v>205.4</v>
    <v>210</v>
    <v>209.89</v>
    <v>205.65</v>
    <v>204.77</v>
    <v>197.91</v>
    <v>189.25</v>
    <v>194.65</v>
    <v>191.25</v>
    <v>191.06</v>
    <v>196.89</v>
    <v>186.08</v>
    <v>184.11</v>
    <v>186.99</v>
    <v>186</v>
    <v>177.14</v>
    <v>179.83</v>
    <v>176.91</v>
    <v>173.74</v>
    <v>171.18</v>
    <v>169.56</v>
    <v>173.09</v>
    <v>175.17</v>
    <v>176.67</v>
    <v>174.52</v>
    <v>176.53</v>
    <v>169.67</v>
    <v>157.44</v>
    <v>165.59</v>
    <v>168.7</v>
    <v>173.79</v>
    <v>172.4</v>
    <v>168.28</v>
    <v>166.7</v>
    <v>169.9</v>
    <v>168.88</v>
    <v>169.71</v>
    <v>172.56</v>
    <v>170.35</v>
    <v>173.22</v>
    <v>171.54</v>
    <v>165.01</v>
    <v>162.26</v>
    <v>156.44</v>
    <v>156.78</v>
    <v>149.52000000000001</v>
    <v>149.72999999999999</v>
    <v>153.16</v>
    <v>155.85</v>
    <v>152.85</v>
    <v>152.29</v>
    <v>161.54</v>
    <v>155.66999999999999</v>
    <v>160.25</v>
    <v>157.59</v>
    <v>160.41</v>
    <v>156.71</v>
    <v>152.49</v>
    <v>150.12</v>
    <v>148.53</v>
    <v>146.69999999999999</v>
    <v>145.66</v>
    <v>146.35</v>
    <v>147.52000000000001</v>
    <v>147.47</v>
    <v>144.51</v>
    <v>141.81</v>
    <v>138.68</v>
    <v>138.47</v>
    <v>134.35</v>
    <v>138.01</v>
    <v>137</v>
    <v>136.79</v>
    <v>134.86000000000001</v>
    <v>135.35</v>
    <v>145.69999999999999</v>
    <v>141.54</v>
    <v>142.22</v>
    <v>143.83000000000001</v>
    <v>139.91999999999999</v>
    <v>138.86000000000001</v>
    <v>134.44</v>
    <v>137.19999999999999</v>
    <v>137.01</v>
    <v>135.83000000000001</v>
    <v>134.24</v>
    <v>135.11000000000001</v>
    <v>127.3</v>
    <v>127.19</v>
  </a>
  <a r="1" c="754">
    <v>75</v>
    <v>75.290000000000006</v>
    <v>75.53</v>
    <v>75.680000000000007</v>
    <v>74.010000000000005</v>
    <v>73.150000000000006</v>
    <v>74.28</v>
    <v>74.58</v>
    <v>76.900000000000006</v>
    <v>76.13</v>
    <v>76.2</v>
    <v>76.06</v>
    <v>76.02</v>
    <v>75.27</v>
    <v>76.599999999999994</v>
    <v>76.849999999999994</v>
    <v>78.459999999999994</v>
    <v>76.39</v>
    <v>77.010000000000005</v>
    <v>77.34</v>
    <v>78.239999999999995</v>
    <v>77.86</v>
    <v>78.36</v>
    <v>78.819999999999993</v>
    <v>78.099999999999994</v>
    <v>77.19</v>
    <v>76.709999999999994</v>
    <v>78.03</v>
    <v>78.83</v>
    <v>81.45</v>
    <v>79.95</v>
    <v>80.599999999999994</v>
    <v>79.69</v>
    <v>79.239999999999995</v>
    <v>79.64</v>
    <v>80.010000000000005</v>
    <v>79.89</v>
    <v>77.319999999999993</v>
    <v>76.58</v>
    <v>77.56</v>
    <v>77.290000000000006</v>
    <v>76.16</v>
    <v>76.7</v>
    <v>77.05</v>
    <v>77.010000000000005</v>
    <v>76.64</v>
    <v>76.59</v>
    <v>76.73</v>
    <v>76.34</v>
    <v>75.83</v>
    <v>75.900000000000006</v>
    <v>75.06</v>
    <v>76.8</v>
    <v>76.45</v>
    <v>78.11</v>
    <v>78.03</v>
    <v>79.959999999999994</v>
    <v>79.5</v>
    <v>79.23</v>
    <v>79.38</v>
    <v>79.52</v>
    <v>80.290000000000006</v>
    <v>81.09</v>
    <v>80.78</v>
    <v>81.430000000000007</v>
    <v>81.92</v>
    <v>82.48</v>
    <v>82.88</v>
    <v>81.48</v>
    <v>83.51</v>
    <v>83.21</v>
    <v>82.82</v>
    <v>83.01</v>
    <v>83.95</v>
    <v>83.84</v>
    <v>85.19</v>
    <v>84.96</v>
    <v>84.24</v>
    <v>86.78</v>
    <v>87.19</v>
    <v>87.71</v>
    <v>87.7</v>
    <v>88.47</v>
    <v>90.09</v>
    <v>89.83</v>
    <v>89.89</v>
    <v>89.28</v>
    <v>100.77</v>
    <v>100.83</v>
    <v>102.38</v>
    <v>104.38</v>
    <v>104.84</v>
    <v>105.6</v>
    <v>105.55</v>
    <v>103.19</v>
    <v>101.86</v>
    <v>101.29</v>
    <v>101.24</v>
    <v>99.35</v>
    <v>99.45</v>
    <v>99.81</v>
    <v>101.09</v>
    <v>100.59</v>
    <v>101.75</v>
    <v>102.54</v>
    <v>101.47</v>
    <v>100.26</v>
    <v>101.93</v>
    <v>102.62</v>
    <v>101.9</v>
    <v>101.56</v>
    <v>100.68</v>
    <v>101.14</v>
    <v>100.47</v>
    <v>99.71</v>
    <v>97.03</v>
    <v>96.5</v>
    <v>95.97</v>
    <v>94.56</v>
    <v>93.85</v>
    <v>93.63</v>
    <v>92.91</v>
    <v>93.48</v>
    <v>91.6</v>
    <v>92.31</v>
    <v>93.7</v>
    <v>94.15</v>
    <v>94.69</v>
    <v>95.99</v>
    <v>96.99</v>
    <v>95.77</v>
    <v>95.73</v>
    <v>95.54</v>
    <v>97.34</v>
    <v>98.88</v>
    <v>87.04</v>
    <v>88.07</v>
    <v>88.94</v>
    <v>89.9</v>
    <v>88.69</v>
    <v>89.21</v>
    <v>90.53</v>
    <v>88.64</v>
    <v>88.41</v>
    <v>88.49</v>
    <v>88.46</v>
    <v>88.68</v>
    <v>87.68</v>
    <v>89.01</v>
    <v>87.93</v>
    <v>88</v>
    <v>89.26</v>
    <v>92.13</v>
    <v>90.08</v>
    <v>89.21</v>
    <v>90.69</v>
    <v>89.69</v>
    <v>89.45</v>
    <v>89.07</v>
    <v>88.49</v>
    <v>89.51</v>
    <v>89.02</v>
    <v>89.42</v>
    <v>91.21</v>
    <v>92.55</v>
    <v>92.49</v>
    <v>93.01</v>
    <v>94.02</v>
    <v>94.25</v>
    <v>95.49</v>
    <v>94.98</v>
    <v>95</v>
    <v>94.03</v>
    <v>94.27</v>
    <v>95.47</v>
    <v>95.11</v>
    <v>95.53</v>
    <v>94.3</v>
    <v>95.66</v>
    <v>97.25</v>
    <v>98.43</v>
    <v>99.08</v>
    <v>103.98</v>
    <v>103.17</v>
    <v>103.13</v>
    <v>102</v>
    <v>104.22</v>
    <v>105.74</v>
    <v>100.02</v>
    <v>98.73</v>
    <v>99.14</v>
    <v>98.28</v>
    <v>97.79</v>
    <v>99.49</v>
    <v>98.58</v>
    <v>94.39</v>
    <v>92.38</v>
    <v>93.24</v>
    <v>94.3</v>
    <v>97.57</v>
    <v>97.84</v>
    <v>97.24</v>
    <v>97.34</v>
    <v>97.07</v>
    <v>98.2</v>
    <v>98.22</v>
    <v>99.45</v>
    <v>99.19</v>
    <v>100.62</v>
    <v>100.69</v>
    <v>102.08</v>
    <v>101.39</v>
    <v>101.39</v>
    <v>101.65</v>
    <v>102.5</v>
    <v>103</v>
    <v>98.92</v>
    <v>98.7</v>
    <v>97.56</v>
    <v>95.74</v>
    <v>96.37</v>
    <v>95.76</v>
    <v>96.55</v>
    <v>98.46</v>
    <v>98.42</v>
    <v>98.35</v>
    <v>97.77</v>
    <v>97.09</v>
    <v>98.02</v>
    <v>102.84</v>
    <v>105.62</v>
    <v>106.71</v>
    <v>106.29</v>
    <v>107.31</v>
    <v>108.59</v>
    <v>108.7</v>
    <v>111.65</v>
    <v>113.28</v>
    <v>117.15</v>
    <v>117.71</v>
    <v>116.24</v>
    <v>116.82</v>
    <v>118.3</v>
    <v>115.83</v>
    <v>117.42</v>
    <v>119.32</v>
    <v>118.92</v>
    <v>124.7</v>
    <v>125.1</v>
    <v>126.21</v>
    <v>126.75</v>
    <v>123.63</v>
    <v>122.91</v>
    <v>122.37</v>
    <v>123.03</v>
    <v>123.76</v>
    <v>125.53</v>
    <v>124.85</v>
    <v>121.75</v>
    <v>122.58</v>
    <v>119.68</v>
    <v>116.95</v>
    <v>118.33</v>
    <v>121.05</v>
    <v>124.57</v>
    <v>126.51</v>
    <v>126.93</v>
    <v>132.11000000000001</v>
    <v>128.22999999999999</v>
    <v>126.25</v>
    <v>126.19</v>
    <v>130.33000000000001</v>
    <v>129.76</v>
    <v>133.28</v>
    <v>132.88999999999999</v>
    <v>130.38999999999999</v>
    <v>132.36000000000001</v>
    <v>130.44999999999999</v>
    <v>130.85</v>
    <v>129.13</v>
    <v>129.19999999999999</v>
    <v>130.5</v>
    <v>127.97</v>
    <v>126.01</v>
    <v>122.2</v>
    <v>122.1</v>
    <v>122.84</v>
    <v>122.65</v>
    <v>120.91</v>
    <v>121.86</v>
    <v>118.07</v>
    <v>113.72</v>
    <v>112.96</v>
    <v>113.28</v>
    <v>111.88</v>
    <v>112.87</v>
    <v>113</v>
    <v>112.52</v>
    <v>112.16</v>
    <v>111.39</v>
    <v>111.48</v>
    <v>113.5</v>
    <v>114.78</v>
    <v>115.13</v>
    <v>114.53</v>
    <v>114.69</v>
    <v>114.54</v>
    <v>117.11</v>
    <v>118.51</v>
    <v>121.13</v>
    <v>122.43</v>
    <v>126.68</v>
    <v>128.33000000000001</v>
    <v>128.46</v>
    <v>127.65</v>
    <v>111.46</v>
    <v>112.06</v>
    <v>112.14</v>
    <v>115.24</v>
    <v>112.93</v>
    <v>112.31</v>
    <v>111.35</v>
    <v>113.21</v>
    <v>112.8</v>
    <v>114.43</v>
    <v>114.07</v>
    <v>111.89</v>
    <v>109.39</v>
    <v>109.12</v>
    <v>106.83</v>
    <v>106.74</v>
    <v>107.69</v>
    <v>104.82</v>
    <v>101.38</v>
    <v>99.9</v>
    <v>104.07</v>
    <v>106.64</v>
    <v>102.13</v>
    <v>103.97</v>
    <v>101.5</v>
    <v>101.25</v>
    <v>103.94</v>
    <v>100.24</v>
    <v>99.56</v>
    <v>96.59</v>
    <v>96.9</v>
    <v>98.07</v>
    <v>97.07</v>
    <v>98.27</v>
    <v>100</v>
    <v>98.96</v>
    <v>102.54</v>
    <v>100.39</v>
    <v>99.38</v>
    <v>104.08</v>
    <v>104.74</v>
    <v>102.34</v>
    <v>101.44</v>
    <v>99.21</v>
    <v>98.65</v>
    <v>100.49</v>
    <v>101.9</v>
    <v>95.42</v>
    <v>89.24</v>
    <v>90.02</v>
    <v>93.17</v>
    <v>104.08</v>
    <v>101.02</v>
    <v>103.25</v>
    <v>103.87</v>
    <v>104.08</v>
    <v>103.86</v>
    <v>103.71</v>
    <v>100.46</v>
    <v>102.31</v>
    <v>104.64</v>
    <v>107.93</v>
    <v>108.97</v>
    <v>108.51</v>
    <v>109.24</v>
    <v>109.12</v>
    <v>111.12</v>
    <v>112.61</v>
    <v>112.01</v>
    <v>108.13</v>
    <v>107.76</v>
    <v>107.95</v>
    <v>108.37</v>
    <v>107.09</v>
    <v>107.19</v>
    <v>107.14</v>
    <v>108.83</v>
    <v>109.69</v>
    <v>109.99</v>
    <v>110.21</v>
    <v>107.39</v>
    <v>107.62</v>
    <v>119.49</v>
    <v>122.36</v>
    <v>126.59</v>
    <v>125.25</v>
    <v>125.6</v>
    <v>126.1</v>
    <v>128.35</v>
    <v>128.87</v>
    <v>128.94</v>
    <v>129.72</v>
    <v>132.62</v>
    <v>131.71</v>
    <v>135.80000000000001</v>
    <v>137.78</v>
    <v>138.07</v>
    <v>139.66999999999999</v>
    <v>141.12</v>
    <v>140.53</v>
    <v>142.32</v>
    <v>142.06</v>
    <v>142.31</v>
    <v>140.86000000000001</v>
    <v>141.87</v>
    <v>143.19</v>
    <v>144.06</v>
    <v>140.37</v>
    <v>140.77000000000001</v>
    <v>142.91</v>
    <v>143.79</v>
    <v>137.37</v>
    <v>137.56</v>
    <v>136.44999999999999</v>
    <v>137.06</v>
    <v>138.65</v>
    <v>137.44999999999999</v>
    <v>139.85</v>
    <v>142.34</v>
    <v>142.94999999999999</v>
    <v>140.36000000000001</v>
    <v>140.04</v>
    <v>143.37</v>
    <v>143.84</v>
    <v>147.96</v>
    <v>149.83000000000001</v>
    <v>150.28</v>
    <v>152.38</v>
    <v>151.93</v>
    <v>149.5</v>
    <v>154.51</v>
    <v>182</v>
    <v>179.74</v>
    <v>179.53</v>
    <v>179.19</v>
    <v>177.89</v>
    <v>179.51</v>
    <v>176.76</v>
    <v>174.7</v>
    <v>173.5</v>
    <v>170.94</v>
    <v>165.76</v>
    <v>163.56</v>
    <v>165.34</v>
    <v>163.09</v>
    <v>162.84</v>
    <v>166.52</v>
    <v>165.6</v>
    <v>165.83</v>
    <v>162.04</v>
    <v>160.03</v>
    <v>160.94999999999999</v>
    <v>163.79</v>
    <v>163.63999999999999</v>
    <v>163.75</v>
    <v>162.22999999999999</v>
    <v>166.13</v>
    <v>170.1</v>
    <v>168.33</v>
    <v>174.3</v>
    <v>176.65</v>
    <v>168.38</v>
    <v>174.03</v>
    <v>174.5</v>
    <v>178.19</v>
    <v>178.02</v>
    <v>175.02</v>
    <v>176.21</v>
    <v>180.62</v>
    <v>181.96</v>
    <v>184.37</v>
    <v>187.18</v>
    <v>185.7</v>
    <v>186.64</v>
    <v>191.38</v>
    <v>191.39</v>
    <v>197.01</v>
    <v>195.6</v>
    <v>190.08</v>
    <v>197.37</v>
    <v>202.46</v>
    <v>203.82</v>
    <v>209.01</v>
    <v>203.12</v>
    <v>207.72</v>
    <v>205.24</v>
    <v>191.17</v>
    <v>199.92</v>
    <v>203.28</v>
    <v>204.03</v>
    <v>207.62</v>
    <v>213.69</v>
    <v>213.8</v>
    <v>213.61</v>
    <v>215.86</v>
    <v>200.39</v>
    <v>198.12</v>
    <v>193.93</v>
    <v>193.55</v>
    <v>198.79</v>
    <v>195.65</v>
    <v>196.77</v>
    <v>177.88</v>
    <v>178.31</v>
    <v>176.18</v>
    <v>175.91</v>
    <v>179.81</v>
    <v>175.28</v>
    <v>169.81</v>
    <v>174.62</v>
    <v>175.26</v>
    <v>178.18</v>
    <v>178.88</v>
    <v>174.93</v>
    <v>176.2</v>
    <v>174.71</v>
    <v>178.33</v>
    <v>177.87</v>
    <v>178.75</v>
    <v>177.16</v>
    <v>179.65</v>
    <v>183.38</v>
    <v>175.03</v>
    <v>174.37</v>
    <v>173.2</v>
    <v>168.12</v>
    <v>170.75</v>
    <v>176.43</v>
    <v>178.41</v>
    <v>177.62</v>
    <v>177.18</v>
    <v>175.88</v>
    <v>175.49</v>
    <v>174.36</v>
    <v>172.84</v>
    <v>181.85</v>
    <v>189.02</v>
    <v>195.3</v>
    <v>192.24</v>
    <v>193.2</v>
    <v>201.46</v>
    <v>206.62</v>
    <v>210.54</v>
    <v>204.08</v>
    <v>213.25</v>
    <v>217.89</v>
    <v>206.07</v>
    <v>209.52</v>
    <v>206.33</v>
    <v>207.75</v>
    <v>206.04</v>
    <v>212.4</v>
    <v>216.3</v>
    <v>210.18</v>
    <v>205.43</v>
    <v>206.04</v>
    <v>210.88</v>
    <v>190.1</v>
    <v>187.42</v>
    <v>197.19</v>
    <v>203</v>
    <v>199.83</v>
    <v>198.5</v>
    <v>196.9</v>
    <v>200.4</v>
    <v>201.09</v>
    <v>202.25</v>
    <v>209.07</v>
    <v>206.44</v>
    <v>198.38</v>
    <v>204.23</v>
    <v>208.27</v>
    <v>207.24</v>
    <v>205.98</v>
    <v>216.47</v>
    <v>205.83</v>
    <v>205.57</v>
    <v>195.5</v>
    <v>195.23</v>
    <v>200.39</v>
    <v>195.91</v>
    <v>195.98</v>
    <v>197.82</v>
    <v>194.13</v>
    <v>204.67</v>
    <v>207.48</v>
    <v>208.98</v>
    <v>210.12</v>
    <v>199.75</v>
    <v>204.85</v>
    <v>204.76</v>
    <v>222.13</v>
    <v>205.09</v>
    <v>202.59</v>
    <v>191.59</v>
    <v>204.49</v>
    <v>212.81</v>
    <v>214.98</v>
    <v>215.98</v>
    <v>214.44</v>
    <v>231.78</v>
    <v>230.29</v>
    <v>229.57</v>
    <v>232.83</v>
    <v>238.27</v>
    <v>238.42</v>
    <v>230.8</v>
    <v>235.78</v>
    <v>228.24</v>
    <v>216.66</v>
    <v>219.1</v>
    <v>225.51</v>
    <v>223.15</v>
    <v>222.07</v>
    <v>216.18</v>
    <v>208.08</v>
    <v>216.39</v>
    <v>216.31</v>
    <v>216.68</v>
    <v>206.15</v>
    <v>215.2</v>
    <v>209.89</v>
    <v>205.33</v>
    <v>210.8</v>
    <v>206.83</v>
    <v>206.83</v>
    <v>210.94</v>
    <v>204.72</v>
    <v>201.94</v>
    <v>197.33</v>
    <v>202.66</v>
    <v>202.52</v>
    <v>202.91</v>
    <v>204.38</v>
    <v>198.95</v>
    <v>199.27</v>
    <v>195.88</v>
    <v>188.39</v>
    <v>187.26</v>
    <v>184.72</v>
    <v>190.76</v>
    <v>185.95</v>
    <v>187.46</v>
    <v>188.96</v>
    <v>183</v>
    <v>194.68</v>
    <v>193.45</v>
    <v>193.94</v>
    <v>196.93</v>
    <v>203.07</v>
    <v>205.4</v>
    <v>210</v>
    <v>209.89</v>
    <v>205.65</v>
    <v>204.77</v>
    <v>197.91</v>
    <v>189.25</v>
    <v>194.65</v>
    <v>191.25</v>
    <v>191.06</v>
    <v>196.89</v>
    <v>186.08</v>
    <v>184.11</v>
    <v>186.99</v>
    <v>186</v>
    <v>177.14</v>
    <v>179.83</v>
    <v>176.91</v>
    <v>173.74</v>
    <v>171.18</v>
    <v>169.56</v>
    <v>173.09</v>
    <v>175.17</v>
    <v>176.67</v>
    <v>174.52</v>
    <v>176.53</v>
    <v>169.67</v>
    <v>157.44</v>
    <v>165.59</v>
    <v>168.7</v>
    <v>173.79</v>
    <v>172.4</v>
    <v>168.28</v>
    <v>166.7</v>
    <v>169.9</v>
    <v>168.88</v>
    <v>169.71</v>
    <v>172.56</v>
    <v>170.35</v>
    <v>173.22</v>
    <v>171.54</v>
    <v>165.01</v>
    <v>162.26</v>
    <v>156.44</v>
    <v>156.78</v>
    <v>149.52000000000001</v>
    <v>149.72999999999999</v>
    <v>153.16</v>
    <v>155.85</v>
    <v>152.85</v>
    <v>152.29</v>
    <v>161.54</v>
    <v>155.66999999999999</v>
    <v>160.25</v>
    <v>157.59</v>
    <v>160.41</v>
    <v>156.71</v>
    <v>152.49</v>
    <v>150.12</v>
    <v>148.53</v>
    <v>146.69999999999999</v>
    <v>145.66</v>
    <v>146.35</v>
    <v>147.52000000000001</v>
    <v>147.47</v>
    <v>144.51</v>
    <v>141.81</v>
    <v>138.68</v>
    <v>138.47</v>
    <v>134.35</v>
    <v>138.01</v>
    <v>137</v>
    <v>136.79</v>
    <v>134.86000000000001</v>
    <v>135.35</v>
    <v>145.69999999999999</v>
    <v>141.54</v>
    <v>142.22</v>
    <v>143.83000000000001</v>
    <v>139.91999999999999</v>
    <v>138.86000000000001</v>
    <v>134.44</v>
    <v>137.19999999999999</v>
    <v>137.01</v>
    <v>135.83000000000001</v>
    <v>134.24</v>
    <v>135.11000000000001</v>
    <v>127.3</v>
    <v>127.19</v>
  </a>
  <a r="1" c="252">
    <v>199.92</v>
    <v>203.28</v>
    <v>204.03</v>
    <v>207.62</v>
    <v>213.69</v>
    <v>213.8</v>
    <v>213.61</v>
    <v>215.86</v>
    <v>200.39</v>
    <v>198.12</v>
    <v>193.93</v>
    <v>193.55</v>
    <v>198.79</v>
    <v>195.65</v>
    <v>196.77</v>
    <v>177.88</v>
    <v>178.31</v>
    <v>176.18</v>
    <v>175.91</v>
    <v>179.81</v>
    <v>175.28</v>
    <v>169.81</v>
    <v>174.62</v>
    <v>175.26</v>
    <v>178.18</v>
    <v>178.88</v>
    <v>174.93</v>
    <v>176.2</v>
    <v>174.71</v>
    <v>178.33</v>
    <v>177.87</v>
    <v>178.75</v>
    <v>177.16</v>
    <v>179.65</v>
    <v>183.38</v>
    <v>175.03</v>
    <v>174.37</v>
    <v>173.2</v>
    <v>168.12</v>
    <v>170.75</v>
    <v>176.43</v>
    <v>178.41</v>
    <v>177.62</v>
    <v>177.18</v>
    <v>175.88</v>
    <v>175.49</v>
    <v>174.36</v>
    <v>172.84</v>
    <v>181.85</v>
    <v>189.02</v>
    <v>195.3</v>
    <v>192.24</v>
    <v>193.2</v>
    <v>201.46</v>
    <v>206.62</v>
    <v>210.54</v>
    <v>204.08</v>
    <v>213.25</v>
    <v>217.89</v>
    <v>206.07</v>
    <v>209.52</v>
    <v>206.33</v>
    <v>207.75</v>
    <v>206.04</v>
    <v>212.4</v>
    <v>216.3</v>
    <v>210.18</v>
    <v>205.43</v>
    <v>206.04</v>
    <v>210.88</v>
    <v>190.1</v>
    <v>187.42</v>
    <v>197.19</v>
    <v>203</v>
    <v>199.83</v>
    <v>198.5</v>
    <v>196.9</v>
    <v>200.4</v>
    <v>201.09</v>
    <v>202.25</v>
    <v>209.07</v>
    <v>206.44</v>
    <v>198.38</v>
    <v>204.23</v>
    <v>208.27</v>
    <v>207.24</v>
    <v>205.98</v>
    <v>216.47</v>
    <v>205.83</v>
    <v>205.57</v>
    <v>195.5</v>
    <v>195.23</v>
    <v>200.39</v>
    <v>195.91</v>
    <v>195.98</v>
    <v>197.82</v>
    <v>194.13</v>
    <v>204.67</v>
    <v>207.48</v>
    <v>208.98</v>
    <v>210.12</v>
    <v>199.75</v>
    <v>204.85</v>
    <v>204.76</v>
    <v>222.13</v>
    <v>205.09</v>
    <v>202.59</v>
    <v>191.59</v>
    <v>204.49</v>
    <v>212.81</v>
    <v>214.98</v>
    <v>215.98</v>
    <v>214.44</v>
    <v>231.78</v>
    <v>230.29</v>
    <v>229.57</v>
    <v>232.83</v>
    <v>238.27</v>
    <v>238.42</v>
    <v>230.8</v>
    <v>235.78</v>
    <v>228.24</v>
    <v>216.66</v>
    <v>219.1</v>
    <v>225.51</v>
    <v>223.15</v>
    <v>222.07</v>
    <v>216.18</v>
    <v>208.08</v>
    <v>216.39</v>
    <v>216.31</v>
    <v>216.68</v>
    <v>206.15</v>
    <v>215.2</v>
    <v>209.89</v>
    <v>205.33</v>
    <v>210.8</v>
    <v>206.83</v>
    <v>206.83</v>
    <v>210.94</v>
    <v>204.72</v>
    <v>201.94</v>
    <v>197.33</v>
    <v>202.66</v>
    <v>202.52</v>
    <v>202.91</v>
    <v>204.38</v>
    <v>198.95</v>
    <v>199.27</v>
    <v>195.88</v>
    <v>188.39</v>
    <v>187.26</v>
    <v>184.72</v>
    <v>190.76</v>
    <v>185.95</v>
    <v>187.46</v>
    <v>188.96</v>
    <v>183</v>
    <v>194.68</v>
    <v>193.45</v>
    <v>193.94</v>
    <v>196.93</v>
    <v>203.07</v>
    <v>205.4</v>
    <v>210</v>
    <v>209.89</v>
    <v>205.65</v>
    <v>204.77</v>
    <v>197.91</v>
    <v>189.25</v>
    <v>194.65</v>
    <v>191.25</v>
    <v>191.06</v>
    <v>196.89</v>
    <v>186.08</v>
    <v>184.11</v>
    <v>186.99</v>
    <v>186</v>
    <v>177.14</v>
    <v>179.83</v>
    <v>176.91</v>
    <v>173.74</v>
    <v>171.18</v>
    <v>169.56</v>
    <v>173.09</v>
    <v>175.17</v>
    <v>176.67</v>
    <v>174.52</v>
    <v>176.53</v>
    <v>169.67</v>
    <v>157.44</v>
    <v>165.59</v>
    <v>168.7</v>
    <v>173.79</v>
    <v>172.4</v>
    <v>168.28</v>
    <v>166.7</v>
    <v>169.9</v>
    <v>168.88</v>
    <v>169.71</v>
    <v>172.56</v>
    <v>170.35</v>
    <v>173.22</v>
    <v>171.54</v>
    <v>165.01</v>
    <v>162.26</v>
    <v>156.44</v>
    <v>156.78</v>
    <v>149.52000000000001</v>
    <v>149.72999999999999</v>
    <v>153.16</v>
    <v>155.85</v>
    <v>152.85</v>
    <v>152.29</v>
    <v>161.54</v>
    <v>155.66999999999999</v>
    <v>160.25</v>
    <v>157.59</v>
    <v>160.41</v>
    <v>156.71</v>
    <v>152.49</v>
    <v>150.12</v>
    <v>148.53</v>
    <v>146.69999999999999</v>
    <v>145.66</v>
    <v>146.35</v>
    <v>147.52000000000001</v>
    <v>147.47</v>
    <v>144.51</v>
    <v>141.81</v>
    <v>138.68</v>
    <v>138.47</v>
    <v>134.35</v>
    <v>138.01</v>
    <v>137</v>
    <v>136.79</v>
    <v>134.86000000000001</v>
    <v>135.35</v>
    <v>145.69999999999999</v>
    <v>141.54</v>
    <v>142.22</v>
    <v>143.83000000000001</v>
    <v>139.91999999999999</v>
    <v>138.86000000000001</v>
    <v>134.44</v>
    <v>137.19999999999999</v>
    <v>137.01</v>
    <v>135.83000000000001</v>
    <v>134.24</v>
    <v>135.11000000000001</v>
    <v>127.3</v>
    <v>127.19</v>
  </a>
  <a r="1" c="254">
    <v>44.64</v>
    <v>44.505000000000003</v>
    <v>44.344999999999999</v>
    <v>44.104999999999997</v>
    <v>43.424999999999997</v>
    <v>43.53</v>
    <v>43.33</v>
    <v>43.255000000000003</v>
    <v>43.515000000000001</v>
    <v>43.62</v>
    <v>43.384999999999998</v>
    <v>43.68</v>
    <v>43.524999999999999</v>
    <v>43.994999999999997</v>
    <v>44.21</v>
    <v>43.914999999999999</v>
    <v>43.674999999999997</v>
    <v>43.765000000000001</v>
    <v>43.604999999999997</v>
    <v>43.47</v>
    <v>43.914999999999999</v>
    <v>44.44</v>
    <v>44.064999999999998</v>
    <v>44.21</v>
    <v>44.59</v>
    <v>44.534999999999997</v>
    <v>44.744999999999997</v>
    <v>44.82</v>
    <v>44.354999999999997</v>
    <v>44.365000000000002</v>
    <v>44.04</v>
    <v>44.31</v>
    <v>43.795000000000002</v>
    <v>43.79</v>
    <v>43.905000000000001</v>
    <v>43.865000000000002</v>
    <v>43.854999999999997</v>
    <v>44.18</v>
    <v>44.085000000000001</v>
    <v>44.335000000000001</v>
    <v>44.384999999999998</v>
    <v>44.155000000000001</v>
    <v>43.75</v>
    <v>43.594999999999999</v>
    <v>43.905000000000001</v>
    <v>43.905000000000001</v>
    <v>43.734999999999999</v>
    <v>43.505000000000003</v>
    <v>43.625</v>
    <v>43.335000000000001</v>
    <v>43.924999999999997</v>
    <v>44.325000000000003</v>
    <v>44.76</v>
    <v>45.04</v>
    <v>45.585000000000001</v>
    <v>45.865000000000002</v>
    <v>45.585000000000001</v>
    <v>45.594999999999999</v>
    <v>45.15</v>
    <v>45.14</v>
    <v>45.35</v>
    <v>45.27</v>
    <v>45.16</v>
    <v>44.77</v>
    <v>44.954999999999998</v>
    <v>45.03</v>
    <v>45.26</v>
    <v>46.22</v>
    <v>47.2</v>
    <v>47.935000000000002</v>
    <v>48.024999999999999</v>
    <v>48.38</v>
    <v>47.844999999999999</v>
    <v>47.79</v>
    <v>48.43</v>
    <v>49.325000000000003</v>
    <v>49.3</v>
    <v>49.295000000000002</v>
    <v>48.66</v>
    <v>48.62</v>
    <v>48.774999999999999</v>
    <v>48.57</v>
    <v>49.064999999999998</v>
    <v>49.54</v>
    <v>49.22</v>
    <v>49.085000000000001</v>
    <v>49.53</v>
    <v>49.39</v>
    <v>48.594999999999999</v>
    <v>48.505000000000003</v>
    <v>47.805</v>
    <v>47.534999999999997</v>
    <v>47.604999999999997</v>
    <v>47.78</v>
    <v>47.4</v>
    <v>47.58</v>
    <v>48.17</v>
    <v>48.115000000000002</v>
    <v>48.14</v>
    <v>47.02</v>
    <v>46.195</v>
    <v>45.75</v>
    <v>45.615000000000002</v>
    <v>46.005000000000003</v>
    <v>46.01</v>
    <v>46.14</v>
    <v>46.255000000000003</v>
    <v>46.93</v>
    <v>46.225000000000001</v>
    <v>46.12</v>
    <v>46.465000000000003</v>
    <v>46.215000000000003</v>
    <v>46.5</v>
    <v>46.68</v>
    <v>46.295000000000002</v>
    <v>45.784999999999997</v>
    <v>45.49</v>
    <v>45.25</v>
    <v>45.47</v>
    <v>45.74</v>
    <v>46.01</v>
    <v>45.674999999999997</v>
    <v>45.924999999999997</v>
    <v>46.54</v>
    <v>46.704999999999998</v>
    <v>46.244999999999997</v>
    <v>46.725000000000001</v>
    <v>46.244999999999997</v>
    <v>46.875</v>
    <v>46.87</v>
    <v>46.72</v>
    <v>46.88</v>
    <v>46.57</v>
    <v>46.79</v>
    <v>46.14</v>
    <v>47</v>
    <v>47.064999999999998</v>
    <v>47.564999999999998</v>
    <v>47.62</v>
    <v>47.844999999999999</v>
    <v>48.615000000000002</v>
    <v>48.325000000000003</v>
    <v>47.515000000000001</v>
    <v>47.58</v>
    <v>47.725000000000001</v>
    <v>47.034999999999997</v>
    <v>47.515000000000001</v>
    <v>47.015000000000001</v>
    <v>46.07</v>
    <v>45.625</v>
    <v>45.524999999999999</v>
    <v>45.97</v>
    <v>45.86</v>
    <v>46.71</v>
    <v>46.65</v>
    <v>47.02</v>
    <v>47.755000000000003</v>
    <v>47.924999999999997</v>
    <v>47.715000000000003</v>
    <v>47.564999999999998</v>
    <v>47.84</v>
    <v>47.325000000000003</v>
    <v>47.225000000000001</v>
    <v>47.034999999999997</v>
    <v>47.29</v>
    <v>47.945</v>
    <v>48.66</v>
    <v>48.42</v>
    <v>48.664999999999999</v>
    <v>48.39</v>
    <v>47.765000000000001</v>
    <v>47.57</v>
    <v>48.49</v>
    <v>48.46</v>
    <v>47.88</v>
    <v>48.86</v>
    <v>48.75</v>
    <v>47.875</v>
    <v>47.994999999999997</v>
    <v>48.215000000000003</v>
    <v>47.91</v>
    <v>47.965000000000003</v>
    <v>48.64</v>
    <v>49.164999999999999</v>
    <v>48.68</v>
    <v>48.234999999999999</v>
    <v>48.33</v>
    <v>47.65</v>
    <v>48.145000000000003</v>
    <v>48.744999999999997</v>
    <v>50.11</v>
    <v>50.03</v>
    <v>48.674999999999997</v>
    <v>48.54</v>
    <v>48.41</v>
    <v>48.055</v>
    <v>48.174999999999997</v>
    <v>48.424999999999997</v>
    <v>48.33</v>
    <v>48.2</v>
    <v>47.914999999999999</v>
    <v>47.965000000000003</v>
    <v>48.34</v>
    <v>48.305</v>
    <v>47.57</v>
    <v>47.984999999999999</v>
    <v>48.005000000000003</v>
    <v>47.42</v>
    <v>47.45</v>
    <v>48.24</v>
    <v>47.91</v>
    <v>47.96</v>
    <v>47.44</v>
    <v>47.555</v>
    <v>47.48</v>
    <v>47.84</v>
    <v>47.73</v>
    <v>47.65</v>
    <v>47.44</v>
    <v>47.04</v>
    <v>47.045000000000002</v>
    <v>46.465000000000003</v>
    <v>46.57</v>
    <v>46.695</v>
    <v>47.655000000000001</v>
    <v>47.395000000000003</v>
    <v>47.354999999999997</v>
    <v>47.155000000000001</v>
    <v>47.034999999999997</v>
    <v>46.924999999999997</v>
    <v>47.395000000000003</v>
    <v>47.395000000000003</v>
    <v>47.524999999999999</v>
    <v>47.104999999999997</v>
    <v>47.48</v>
    <v>47.104999999999997</v>
    <v>47.055</v>
    <v>46.905000000000001</v>
    <v>46.79</v>
    <v>47.085000000000001</v>
    <v>47.43</v>
    <v>47.95</v>
    <v>48.43</v>
    <v>48.73</v>
    <v>49.145000000000003</v>
    <v>49.38</v>
    <v>50.21</v>
    <v>51.19</v>
    <v>51.27</v>
    <v>51.24</v>
    <v>51.41</v>
    <v>51.22</v>
    <v>52.34</v>
    <v>51.99</v>
  </a>
  <a r="1" c="761">
    <v>39.07</v>
    <v>39.380000000000003</v>
    <v>39.6</v>
    <v>39.625</v>
    <v>38.92</v>
    <v>39.085000000000001</v>
    <v>39.409999999999997</v>
    <v>39.65</v>
    <v>39.89</v>
    <v>39.83</v>
    <v>39.76</v>
    <v>39.94</v>
    <v>39.770000000000003</v>
    <v>39.770000000000003</v>
    <v>39.590000000000003</v>
    <v>39.774999999999999</v>
    <v>39.81</v>
    <v>39.82</v>
    <v>39.450000000000003</v>
    <v>39.299999999999997</v>
    <v>39.104999999999997</v>
    <v>39.414999999999999</v>
    <v>39.744999999999997</v>
    <v>39.695</v>
    <v>39.75</v>
    <v>39.78</v>
    <v>39.630000000000003</v>
    <v>39.445</v>
    <v>39.664999999999999</v>
    <v>40.04</v>
    <v>40.35</v>
    <v>40.335000000000001</v>
    <v>40.104999999999997</v>
    <v>40.204999999999998</v>
    <v>40.234999999999999</v>
    <v>40.424999999999997</v>
    <v>40.32</v>
    <v>40.445</v>
    <v>40.14</v>
    <v>40.159999999999997</v>
    <v>40.395000000000003</v>
    <v>40.21</v>
    <v>40.094999999999999</v>
    <v>39.869999999999997</v>
    <v>40.125</v>
    <v>40.064999999999998</v>
    <v>40.265000000000001</v>
    <v>40.36</v>
    <v>40.83</v>
    <v>41.02</v>
    <v>40.89</v>
    <v>40.729999999999997</v>
    <v>40.744999999999997</v>
    <v>40.96</v>
    <v>40.909999999999997</v>
    <v>40.72</v>
    <v>40.950000000000003</v>
    <v>40.984999999999999</v>
    <v>41.08</v>
    <v>41.005000000000003</v>
    <v>40.72</v>
    <v>40.64</v>
    <v>40.585000000000001</v>
    <v>40.840000000000003</v>
    <v>40.685000000000002</v>
    <v>40.67</v>
    <v>41.13</v>
    <v>41.41</v>
    <v>41.42</v>
    <v>41.564999999999998</v>
    <v>41.645000000000003</v>
    <v>41.93</v>
    <v>42.17</v>
    <v>42.155000000000001</v>
    <v>42.13</v>
    <v>42.04</v>
    <v>41.53</v>
    <v>41.7</v>
    <v>41.594999999999999</v>
    <v>41.484999999999999</v>
    <v>41.645000000000003</v>
    <v>41.72</v>
    <v>41.81</v>
    <v>42.015000000000001</v>
    <v>42.015000000000001</v>
    <v>41.835000000000001</v>
    <v>42.21</v>
    <v>41.99</v>
    <v>41.875</v>
    <v>41.71</v>
    <v>41.77</v>
    <v>41.575000000000003</v>
    <v>41.505000000000003</v>
    <v>41.63</v>
    <v>41.7</v>
    <v>41.835000000000001</v>
    <v>41.73</v>
    <v>41.835000000000001</v>
    <v>42.12</v>
    <v>42.195</v>
    <v>42.125</v>
    <v>41.9</v>
    <v>42.134999999999998</v>
    <v>42.155000000000001</v>
    <v>42.15</v>
    <v>42.32</v>
    <v>42.35</v>
    <v>42.12</v>
    <v>42.295000000000002</v>
    <v>42.505000000000003</v>
    <v>42.755000000000003</v>
    <v>42.31</v>
    <v>41.765000000000001</v>
    <v>41.704999999999998</v>
    <v>41.53</v>
    <v>41.445</v>
    <v>41.4</v>
    <v>41.615000000000002</v>
    <v>41.67</v>
    <v>41.74</v>
    <v>41.75</v>
    <v>41.42</v>
    <v>41.35</v>
    <v>41.645000000000003</v>
    <v>41.88</v>
    <v>42.445</v>
    <v>42.505000000000003</v>
    <v>42.57</v>
    <v>42.524999999999999</v>
    <v>42.72</v>
    <v>42.594999999999999</v>
    <v>42.695</v>
    <v>42.65</v>
    <v>42.505000000000003</v>
    <v>42.51</v>
    <v>42.954999999999998</v>
    <v>43.22</v>
    <v>43.3</v>
    <v>43.6</v>
    <v>43.674999999999997</v>
    <v>43.405000000000001</v>
    <v>43.454999999999998</v>
    <v>43.895000000000003</v>
    <v>43.774999999999999</v>
    <v>43.78</v>
    <v>43.615000000000002</v>
    <v>43.67</v>
    <v>43.524999999999999</v>
    <v>43.314999999999998</v>
    <v>43.225000000000001</v>
    <v>42.725000000000001</v>
    <v>42.65</v>
    <v>42.774999999999999</v>
    <v>42.87</v>
    <v>43.2</v>
    <v>43.494999999999997</v>
    <v>43.575000000000003</v>
    <v>43.825000000000003</v>
    <v>43.954999999999998</v>
    <v>43.674999999999997</v>
    <v>43.68</v>
    <v>43.295000000000002</v>
    <v>43.335000000000001</v>
    <v>43.53</v>
    <v>43.66</v>
    <v>43.725000000000001</v>
    <v>43.645000000000003</v>
    <v>43.755000000000003</v>
    <v>43.8</v>
    <v>44.06</v>
    <v>43.9</v>
    <v>43.89</v>
    <v>43.515000000000001</v>
    <v>43.234999999999999</v>
    <v>43.134999999999998</v>
    <v>42.99</v>
    <v>42.94</v>
    <v>43.045000000000002</v>
    <v>43.045000000000002</v>
    <v>43.14</v>
    <v>43.17</v>
    <v>43.234999999999999</v>
    <v>43.215000000000003</v>
    <v>43.46</v>
    <v>43.12</v>
    <v>43.104999999999997</v>
    <v>43.53</v>
    <v>44</v>
    <v>43.7</v>
    <v>43.71</v>
    <v>43.79</v>
    <v>43.55</v>
    <v>43.784999999999997</v>
    <v>43.9</v>
    <v>43.875</v>
    <v>43.75</v>
    <v>43.924999999999997</v>
    <v>43.954999999999998</v>
    <v>43.484999999999999</v>
    <v>43.055</v>
    <v>43.494999999999997</v>
    <v>43.85</v>
    <v>43.835000000000001</v>
    <v>43.725000000000001</v>
    <v>43.54</v>
    <v>43.54</v>
    <v>43.645000000000003</v>
    <v>44.15</v>
    <v>44.265000000000001</v>
    <v>44.08</v>
    <v>44.335000000000001</v>
    <v>44.445</v>
    <v>44.314999999999998</v>
    <v>44.645000000000003</v>
    <v>44.86</v>
    <v>45.02</v>
    <v>45.02</v>
    <v>45.08</v>
    <v>45.25</v>
    <v>45.564999999999998</v>
    <v>45.56</v>
    <v>45.344999999999999</v>
    <v>45.22</v>
    <v>45.844999999999999</v>
    <v>45.9</v>
    <v>45.344999999999999</v>
    <v>45.47</v>
    <v>45.655000000000001</v>
    <v>45.594999999999999</v>
    <v>45.625</v>
    <v>45.234999999999999</v>
    <v>44.914999999999999</v>
    <v>44.715000000000003</v>
    <v>45.27</v>
    <v>45.15</v>
    <v>45.07</v>
    <v>45.185000000000002</v>
    <v>45.494999999999997</v>
    <v>45.255000000000003</v>
    <v>45.56</v>
    <v>45.204999999999998</v>
    <v>44.884999999999998</v>
    <v>45.045000000000002</v>
    <v>44.825000000000003</v>
    <v>44.844999999999999</v>
    <v>45.195</v>
    <v>45.22</v>
    <v>45.18</v>
    <v>45.36</v>
    <v>45.765000000000001</v>
    <v>45.54</v>
    <v>45.825000000000003</v>
    <v>45.75</v>
    <v>45.51</v>
    <v>45.645000000000003</v>
    <v>45.664999999999999</v>
    <v>45.64</v>
    <v>45.454999999999998</v>
    <v>45.43</v>
    <v>45.19</v>
    <v>44.725000000000001</v>
    <v>44.46</v>
    <v>44.62</v>
    <v>44.344999999999999</v>
    <v>44.45</v>
    <v>44.49</v>
    <v>44.56</v>
    <v>44.99</v>
    <v>45.23</v>
    <v>45.11</v>
    <v>45.23</v>
    <v>45.43</v>
    <v>45.115000000000002</v>
    <v>45.24</v>
    <v>45.284999999999997</v>
    <v>45.225000000000001</v>
    <v>45.86</v>
    <v>46.655000000000001</v>
    <v>46.395000000000003</v>
    <v>46.555</v>
    <v>46.695</v>
    <v>46.664999999999999</v>
    <v>46.7</v>
    <v>47.045000000000002</v>
    <v>46.82</v>
    <v>46.62</v>
    <v>46.66</v>
    <v>46.73</v>
    <v>46.445</v>
    <v>46.7</v>
    <v>46.975000000000001</v>
    <v>46.835000000000001</v>
    <v>46.774999999999999</v>
    <v>46.655000000000001</v>
    <v>46.365000000000002</v>
    <v>46.24</v>
    <v>46.03</v>
    <v>45.854999999999997</v>
    <v>45.29</v>
    <v>45.66</v>
    <v>45.37</v>
    <v>46.03</v>
    <v>45.76</v>
    <v>45.244999999999997</v>
    <v>45.07</v>
    <v>45.195</v>
    <v>45.41</v>
    <v>44.975000000000001</v>
    <v>44.93</v>
    <v>44.564999999999998</v>
    <v>44.67</v>
    <v>44.685000000000002</v>
    <v>45.24</v>
    <v>45.05</v>
    <v>45.185000000000002</v>
    <v>45.05</v>
    <v>45.01</v>
    <v>44.984999999999999</v>
    <v>45.83</v>
    <v>46.25</v>
    <v>46.174999999999997</v>
    <v>46.44</v>
    <v>46.43</v>
    <v>46.76</v>
    <v>46.344999999999999</v>
    <v>46.344999999999999</v>
    <v>46.914999999999999</v>
    <v>47</v>
    <v>47.195</v>
    <v>47.295000000000002</v>
    <v>47.435000000000002</v>
    <v>47.6</v>
    <v>47.28</v>
    <v>47.37</v>
    <v>47.115000000000002</v>
    <v>47.545000000000002</v>
    <v>47.134999999999998</v>
    <v>47.46</v>
    <v>47.85</v>
    <v>48.38</v>
    <v>47.99</v>
    <v>48.19</v>
    <v>48.2</v>
    <v>48.545000000000002</v>
    <v>48.395000000000003</v>
    <v>46.96</v>
    <v>46.87</v>
    <v>46.84</v>
    <v>47.015000000000001</v>
    <v>45.774999999999999</v>
    <v>45.27</v>
    <v>45.08</v>
    <v>45.03</v>
    <v>45.465000000000003</v>
    <v>45.22</v>
    <v>45.16</v>
    <v>45.35</v>
    <v>45.36</v>
    <v>45.475000000000001</v>
    <v>45.18</v>
    <v>45.475000000000001</v>
    <v>45.94</v>
    <v>45.89</v>
    <v>46.22</v>
    <v>46.55</v>
    <v>46.365000000000002</v>
    <v>46.195</v>
    <v>45.22</v>
    <v>43.38</v>
    <v>44.594999999999999</v>
    <v>43.085000000000001</v>
    <v>44.11</v>
    <v>43.825000000000003</v>
    <v>44.814999999999998</v>
    <v>45.11</v>
    <v>44.924999999999997</v>
    <v>45.12</v>
    <v>45.36</v>
    <v>45.445</v>
    <v>45.204999999999998</v>
    <v>44.755000000000003</v>
    <v>45.024999999999999</v>
    <v>45.09</v>
    <v>45.54</v>
    <v>45.695</v>
    <v>45.805</v>
    <v>45.814999999999998</v>
    <v>45.85</v>
    <v>45.88</v>
    <v>45.8</v>
    <v>45.905000000000001</v>
    <v>45.38</v>
    <v>44.99</v>
    <v>45.71</v>
    <v>46.255000000000003</v>
    <v>46.2</v>
    <v>46.48</v>
    <v>46.16</v>
    <v>45.854999999999997</v>
    <v>45.795000000000002</v>
    <v>46.02</v>
    <v>46.174999999999997</v>
    <v>46.204999999999998</v>
    <v>45.795000000000002</v>
    <v>46.39</v>
    <v>46.034999999999997</v>
    <v>46.174999999999997</v>
    <v>46.255000000000003</v>
    <v>45.72</v>
    <v>45.835000000000001</v>
    <v>45.715000000000003</v>
    <v>45.695</v>
    <v>45.344999999999999</v>
    <v>45.08</v>
    <v>45.08</v>
    <v>44.825000000000003</v>
    <v>44.76</v>
    <v>44.71</v>
    <v>44.6</v>
    <v>44.604999999999997</v>
    <v>44.695</v>
    <v>44.704999999999998</v>
    <v>44.225000000000001</v>
    <v>43.76</v>
    <v>43.95</v>
    <v>43.91</v>
    <v>44.44</v>
    <v>44.17</v>
    <v>44.36</v>
    <v>44.354999999999997</v>
    <v>44.395000000000003</v>
    <v>44.28</v>
    <v>43.924999999999997</v>
    <v>44.255000000000003</v>
    <v>43.844999999999999</v>
    <v>44.01</v>
    <v>43.92</v>
    <v>43.66</v>
    <v>44.164999999999999</v>
    <v>44.19</v>
    <v>44.055</v>
    <v>43.9</v>
    <v>44.09</v>
    <v>43.92</v>
    <v>43.77</v>
    <v>43.895000000000003</v>
    <v>44.255000000000003</v>
    <v>44.36</v>
    <v>44.125</v>
    <v>43.895000000000003</v>
    <v>43.96</v>
    <v>44.03</v>
    <v>44.22</v>
    <v>44.375</v>
    <v>44.66</v>
    <v>44.774999999999999</v>
    <v>44.66</v>
    <v>44.55</v>
    <v>44.604999999999997</v>
    <v>44.585000000000001</v>
    <v>44.895000000000003</v>
    <v>45.51</v>
    <v>45.375</v>
    <v>44.924999999999997</v>
    <v>44.47</v>
    <v>44.23</v>
    <v>44.305</v>
    <v>44.07</v>
    <v>44.064999999999998</v>
    <v>44.27</v>
    <v>44.244999999999997</v>
    <v>44.174999999999997</v>
    <v>44.555</v>
    <v>44.375</v>
    <v>44.075000000000003</v>
    <v>44.174999999999997</v>
    <v>43.88</v>
    <v>44.23</v>
    <v>44.09</v>
    <v>43.774999999999999</v>
    <v>43.32</v>
    <v>43.695</v>
    <v>43.58</v>
    <v>43.39</v>
    <v>43.015000000000001</v>
    <v>42.795000000000002</v>
    <v>43.15</v>
    <v>43.18</v>
    <v>42.99</v>
    <v>42.935000000000002</v>
    <v>43.15</v>
    <v>43.04</v>
    <v>43.06</v>
    <v>42.965000000000003</v>
    <v>42.82</v>
    <v>43.134999999999998</v>
    <v>43.354999999999997</v>
    <v>43.475000000000001</v>
    <v>43.645000000000003</v>
    <v>43.494999999999997</v>
    <v>43.74</v>
    <v>44.085000000000001</v>
    <v>44.384999999999998</v>
    <v>44.695</v>
    <v>44.66</v>
    <v>44.63</v>
    <v>44.94</v>
    <v>44.64</v>
    <v>44.505000000000003</v>
    <v>44.344999999999999</v>
    <v>44.104999999999997</v>
    <v>43.424999999999997</v>
    <v>43.53</v>
    <v>43.33</v>
    <v>43.255000000000003</v>
    <v>43.515000000000001</v>
    <v>43.62</v>
    <v>43.384999999999998</v>
    <v>43.68</v>
    <v>43.524999999999999</v>
    <v>43.994999999999997</v>
    <v>44.21</v>
    <v>43.914999999999999</v>
    <v>43.674999999999997</v>
    <v>43.765000000000001</v>
    <v>43.604999999999997</v>
    <v>43.47</v>
    <v>43.914999999999999</v>
    <v>44.44</v>
    <v>44.064999999999998</v>
    <v>44.21</v>
    <v>44.59</v>
    <v>44.534999999999997</v>
    <v>44.744999999999997</v>
    <v>44.82</v>
    <v>44.354999999999997</v>
    <v>44.365000000000002</v>
    <v>44.04</v>
    <v>44.31</v>
    <v>43.795000000000002</v>
    <v>43.79</v>
    <v>43.905000000000001</v>
    <v>43.865000000000002</v>
    <v>43.854999999999997</v>
    <v>44.18</v>
    <v>44.085000000000001</v>
    <v>44.335000000000001</v>
    <v>44.384999999999998</v>
    <v>44.155000000000001</v>
    <v>43.75</v>
    <v>43.594999999999999</v>
    <v>43.905000000000001</v>
    <v>43.905000000000001</v>
    <v>43.734999999999999</v>
    <v>43.505000000000003</v>
    <v>43.625</v>
    <v>43.335000000000001</v>
    <v>43.924999999999997</v>
    <v>44.325000000000003</v>
    <v>44.76</v>
    <v>45.04</v>
    <v>45.585000000000001</v>
    <v>45.865000000000002</v>
    <v>45.585000000000001</v>
    <v>45.594999999999999</v>
    <v>45.15</v>
    <v>45.14</v>
    <v>45.35</v>
    <v>45.27</v>
    <v>45.16</v>
    <v>44.77</v>
    <v>44.954999999999998</v>
    <v>45.03</v>
    <v>45.26</v>
    <v>46.22</v>
    <v>47.2</v>
    <v>47.935000000000002</v>
    <v>48.024999999999999</v>
    <v>48.38</v>
    <v>47.844999999999999</v>
    <v>47.79</v>
    <v>48.43</v>
    <v>49.325000000000003</v>
    <v>49.3</v>
    <v>49.295000000000002</v>
    <v>48.66</v>
    <v>48.62</v>
    <v>48.774999999999999</v>
    <v>48.57</v>
    <v>49.064999999999998</v>
    <v>49.54</v>
    <v>49.22</v>
    <v>49.085000000000001</v>
    <v>49.53</v>
    <v>49.39</v>
    <v>48.594999999999999</v>
    <v>48.505000000000003</v>
    <v>47.805</v>
    <v>47.534999999999997</v>
    <v>47.604999999999997</v>
    <v>47.78</v>
    <v>47.4</v>
    <v>47.58</v>
    <v>48.17</v>
    <v>48.115000000000002</v>
    <v>48.14</v>
    <v>47.02</v>
    <v>46.195</v>
    <v>45.75</v>
    <v>45.615000000000002</v>
    <v>46.005000000000003</v>
    <v>46.01</v>
    <v>46.14</v>
    <v>46.255000000000003</v>
    <v>46.93</v>
    <v>46.225000000000001</v>
    <v>46.12</v>
    <v>46.465000000000003</v>
    <v>46.215000000000003</v>
    <v>46.5</v>
    <v>46.68</v>
    <v>46.295000000000002</v>
    <v>45.784999999999997</v>
    <v>45.49</v>
    <v>45.25</v>
    <v>45.47</v>
    <v>45.74</v>
    <v>46.01</v>
    <v>45.674999999999997</v>
    <v>45.924999999999997</v>
    <v>46.54</v>
    <v>46.704999999999998</v>
    <v>46.244999999999997</v>
    <v>46.725000000000001</v>
    <v>46.244999999999997</v>
    <v>46.875</v>
    <v>46.87</v>
    <v>46.72</v>
    <v>46.88</v>
    <v>46.57</v>
    <v>46.79</v>
    <v>46.14</v>
    <v>47</v>
    <v>47.064999999999998</v>
    <v>47.564999999999998</v>
    <v>47.62</v>
    <v>47.844999999999999</v>
    <v>48.615000000000002</v>
    <v>48.325000000000003</v>
    <v>47.515000000000001</v>
    <v>47.58</v>
    <v>47.725000000000001</v>
    <v>47.034999999999997</v>
    <v>47.515000000000001</v>
    <v>47.015000000000001</v>
    <v>46.07</v>
    <v>45.625</v>
    <v>45.524999999999999</v>
    <v>45.97</v>
    <v>45.86</v>
    <v>46.71</v>
    <v>46.65</v>
    <v>47.02</v>
    <v>47.755000000000003</v>
    <v>47.924999999999997</v>
    <v>47.715000000000003</v>
    <v>47.564999999999998</v>
    <v>47.84</v>
    <v>47.325000000000003</v>
    <v>47.225000000000001</v>
    <v>47.034999999999997</v>
    <v>47.29</v>
    <v>47.945</v>
    <v>48.66</v>
    <v>48.42</v>
    <v>48.664999999999999</v>
    <v>48.39</v>
    <v>47.765000000000001</v>
    <v>47.57</v>
    <v>48.49</v>
    <v>48.46</v>
    <v>47.88</v>
    <v>48.86</v>
    <v>48.75</v>
    <v>47.875</v>
    <v>47.994999999999997</v>
    <v>48.215000000000003</v>
    <v>47.91</v>
    <v>47.965000000000003</v>
    <v>48.64</v>
    <v>49.164999999999999</v>
    <v>48.68</v>
    <v>48.234999999999999</v>
    <v>48.33</v>
    <v>47.65</v>
    <v>48.145000000000003</v>
    <v>48.744999999999997</v>
    <v>50.11</v>
    <v>50.03</v>
    <v>48.674999999999997</v>
    <v>48.54</v>
    <v>48.41</v>
    <v>48.055</v>
    <v>48.174999999999997</v>
    <v>48.424999999999997</v>
    <v>48.33</v>
    <v>48.2</v>
    <v>47.914999999999999</v>
    <v>47.965000000000003</v>
    <v>48.34</v>
    <v>48.305</v>
    <v>47.57</v>
    <v>47.984999999999999</v>
    <v>48.005000000000003</v>
    <v>47.42</v>
    <v>47.45</v>
    <v>48.24</v>
    <v>47.91</v>
    <v>47.96</v>
    <v>47.44</v>
    <v>47.555</v>
    <v>47.48</v>
    <v>47.84</v>
    <v>47.73</v>
    <v>47.65</v>
    <v>47.44</v>
    <v>47.04</v>
    <v>47.045000000000002</v>
    <v>46.465000000000003</v>
    <v>46.57</v>
    <v>46.695</v>
    <v>47.655000000000001</v>
    <v>47.395000000000003</v>
    <v>47.354999999999997</v>
    <v>47.155000000000001</v>
    <v>47.034999999999997</v>
    <v>46.924999999999997</v>
    <v>47.395000000000003</v>
    <v>47.395000000000003</v>
    <v>47.524999999999999</v>
    <v>47.104999999999997</v>
    <v>47.48</v>
    <v>47.104999999999997</v>
    <v>47.055</v>
    <v>46.905000000000001</v>
    <v>46.79</v>
    <v>47.085000000000001</v>
    <v>47.43</v>
    <v>47.95</v>
    <v>48.43</v>
    <v>48.73</v>
    <v>49.145000000000003</v>
    <v>49.38</v>
    <v>50.21</v>
    <v>51.19</v>
    <v>51.27</v>
    <v>51.24</v>
    <v>51.41</v>
    <v>51.22</v>
    <v>52.34</v>
    <v>51.99</v>
  </a>
  <a r="1" c="208">
    <v>43.734999999999999</v>
    <v>43.505000000000003</v>
    <v>43.625</v>
    <v>43.335000000000001</v>
    <v>43.924999999999997</v>
    <v>44.325000000000003</v>
    <v>44.76</v>
    <v>45.04</v>
    <v>45.585000000000001</v>
    <v>45.865000000000002</v>
    <v>45.585000000000001</v>
    <v>45.594999999999999</v>
    <v>45.15</v>
    <v>45.14</v>
    <v>45.35</v>
    <v>45.27</v>
    <v>45.16</v>
    <v>44.77</v>
    <v>44.954999999999998</v>
    <v>45.03</v>
    <v>45.26</v>
    <v>46.22</v>
    <v>47.2</v>
    <v>47.935000000000002</v>
    <v>48.024999999999999</v>
    <v>48.38</v>
    <v>47.844999999999999</v>
    <v>47.79</v>
    <v>48.43</v>
    <v>49.325000000000003</v>
    <v>49.3</v>
    <v>49.295000000000002</v>
    <v>48.66</v>
    <v>48.62</v>
    <v>48.774999999999999</v>
    <v>48.57</v>
    <v>49.064999999999998</v>
    <v>49.54</v>
    <v>49.22</v>
    <v>49.085000000000001</v>
    <v>49.53</v>
    <v>49.39</v>
    <v>48.594999999999999</v>
    <v>48.505000000000003</v>
    <v>47.805</v>
    <v>47.534999999999997</v>
    <v>47.604999999999997</v>
    <v>47.78</v>
    <v>47.4</v>
    <v>47.58</v>
    <v>48.17</v>
    <v>48.115000000000002</v>
    <v>48.14</v>
    <v>47.02</v>
    <v>46.195</v>
    <v>45.75</v>
    <v>45.615000000000002</v>
    <v>46.005000000000003</v>
    <v>46.01</v>
    <v>46.14</v>
    <v>46.255000000000003</v>
    <v>46.93</v>
    <v>46.225000000000001</v>
    <v>46.12</v>
    <v>46.465000000000003</v>
    <v>46.215000000000003</v>
    <v>46.5</v>
    <v>46.68</v>
    <v>46.295000000000002</v>
    <v>45.784999999999997</v>
    <v>45.49</v>
    <v>45.25</v>
    <v>45.47</v>
    <v>45.74</v>
    <v>46.01</v>
    <v>45.674999999999997</v>
    <v>45.924999999999997</v>
    <v>46.54</v>
    <v>46.704999999999998</v>
    <v>46.244999999999997</v>
    <v>46.725000000000001</v>
    <v>46.244999999999997</v>
    <v>46.875</v>
    <v>46.87</v>
    <v>46.72</v>
    <v>46.88</v>
    <v>46.57</v>
    <v>46.79</v>
    <v>46.14</v>
    <v>47</v>
    <v>47.064999999999998</v>
    <v>47.564999999999998</v>
    <v>47.62</v>
    <v>47.844999999999999</v>
    <v>48.615000000000002</v>
    <v>48.325000000000003</v>
    <v>47.515000000000001</v>
    <v>47.58</v>
    <v>47.725000000000001</v>
    <v>47.034999999999997</v>
    <v>47.515000000000001</v>
    <v>47.015000000000001</v>
    <v>46.07</v>
    <v>45.625</v>
    <v>45.524999999999999</v>
    <v>45.97</v>
    <v>45.86</v>
    <v>46.71</v>
    <v>46.65</v>
    <v>47.02</v>
    <v>47.755000000000003</v>
    <v>47.924999999999997</v>
    <v>47.715000000000003</v>
    <v>47.564999999999998</v>
    <v>47.84</v>
    <v>47.325000000000003</v>
    <v>47.225000000000001</v>
    <v>47.034999999999997</v>
    <v>47.29</v>
    <v>47.945</v>
    <v>48.66</v>
    <v>48.42</v>
    <v>48.664999999999999</v>
    <v>48.39</v>
    <v>47.765000000000001</v>
    <v>47.57</v>
    <v>48.49</v>
    <v>48.46</v>
    <v>47.88</v>
    <v>48.86</v>
    <v>48.75</v>
    <v>47.875</v>
    <v>47.994999999999997</v>
    <v>48.215000000000003</v>
    <v>47.91</v>
    <v>47.965000000000003</v>
    <v>48.64</v>
    <v>49.164999999999999</v>
    <v>48.68</v>
    <v>48.234999999999999</v>
    <v>48.33</v>
    <v>47.65</v>
    <v>48.145000000000003</v>
    <v>48.744999999999997</v>
    <v>50.11</v>
    <v>50.03</v>
    <v>48.674999999999997</v>
    <v>48.54</v>
    <v>48.41</v>
    <v>48.055</v>
    <v>48.174999999999997</v>
    <v>48.424999999999997</v>
    <v>48.33</v>
    <v>48.2</v>
    <v>47.914999999999999</v>
    <v>47.965000000000003</v>
    <v>48.34</v>
    <v>48.305</v>
    <v>47.57</v>
    <v>47.984999999999999</v>
    <v>48.005000000000003</v>
    <v>47.42</v>
    <v>47.45</v>
    <v>48.24</v>
    <v>47.91</v>
    <v>47.96</v>
    <v>47.44</v>
    <v>47.555</v>
    <v>47.48</v>
    <v>47.84</v>
    <v>47.73</v>
    <v>47.65</v>
    <v>47.44</v>
    <v>47.04</v>
    <v>47.045000000000002</v>
    <v>46.465000000000003</v>
    <v>46.57</v>
    <v>46.695</v>
    <v>47.655000000000001</v>
    <v>47.395000000000003</v>
    <v>47.354999999999997</v>
    <v>47.155000000000001</v>
    <v>47.034999999999997</v>
    <v>46.924999999999997</v>
    <v>47.395000000000003</v>
    <v>47.395000000000003</v>
    <v>47.524999999999999</v>
    <v>47.104999999999997</v>
    <v>47.48</v>
    <v>47.104999999999997</v>
    <v>47.055</v>
    <v>46.905000000000001</v>
    <v>46.79</v>
    <v>47.085000000000001</v>
    <v>47.43</v>
    <v>47.95</v>
    <v>48.43</v>
    <v>48.73</v>
    <v>49.145000000000003</v>
    <v>49.38</v>
    <v>50.21</v>
    <v>51.19</v>
    <v>51.27</v>
    <v>51.24</v>
    <v>51.41</v>
    <v>51.22</v>
    <v>52.34</v>
    <v>51.99</v>
  </a>
  <a r="1" c="208">
    <v>8.36</v>
    <v>8.3330000000000002</v>
    <v>8.4030000000000005</v>
    <v>8.3840000000000003</v>
    <v>8.4920000000000009</v>
    <v>8.5329999999999995</v>
    <v>8.6150000000000002</v>
    <v>8.7240000000000002</v>
    <v>8.65</v>
    <v>8.7550000000000008</v>
    <v>8.7840000000000007</v>
    <v>8.7409999999999997</v>
    <v>8.5860000000000003</v>
    <v>8.6829999999999998</v>
    <v>8.8879999999999999</v>
    <v>8.9489999999999998</v>
    <v>8.8439999999999994</v>
    <v>8.9290000000000003</v>
    <v>9.1</v>
    <v>8.86</v>
    <v>8.8620000000000001</v>
    <v>8.8290000000000006</v>
    <v>9.1359999999999992</v>
    <v>9.1129999999999995</v>
    <v>8.952</v>
    <v>9.02</v>
    <v>9.2050000000000001</v>
    <v>9.2070000000000007</v>
    <v>9.1370000000000005</v>
    <v>8.9610000000000003</v>
    <v>8.9540000000000006</v>
    <v>8.9819999999999993</v>
    <v>9.0220000000000002</v>
    <v>9.298</v>
    <v>9.2560000000000002</v>
    <v>9.2539999999999996</v>
    <v>9.1690000000000005</v>
    <v>9.407</v>
    <v>9.3740000000000006</v>
    <v>9.1210000000000004</v>
    <v>8.9139999999999997</v>
    <v>8.923</v>
    <v>8.7210000000000001</v>
    <v>8.8819999999999997</v>
    <v>8.81</v>
    <v>8.6929999999999996</v>
    <v>8.7940000000000005</v>
    <v>9.0749999999999993</v>
    <v>9.1940000000000008</v>
    <v>9.2759999999999998</v>
    <v>9.2360000000000007</v>
    <v>9.234</v>
    <v>9.3190000000000008</v>
    <v>9.2569999999999997</v>
    <v>9.17</v>
    <v>9.15</v>
    <v>8.952</v>
    <v>9.0670000000000002</v>
    <v>9.3469999999999995</v>
    <v>9.0939999999999994</v>
    <v>8.9719999999999995</v>
    <v>8.8729999999999993</v>
    <v>8.9019999999999992</v>
    <v>9.1120000000000001</v>
    <v>9.0489999999999995</v>
    <v>8.7780000000000005</v>
    <v>9.1140000000000008</v>
    <v>9.2050000000000001</v>
    <v>9.3010000000000002</v>
    <v>9.2579999999999991</v>
    <v>9.58</v>
    <v>9.6159999999999997</v>
    <v>9.4589999999999996</v>
    <v>9.4570000000000007</v>
    <v>9.5419999999999998</v>
    <v>9.6210000000000004</v>
    <v>9.7260000000000009</v>
    <v>9.91</v>
    <v>9.8369999999999997</v>
    <v>9.7959999999999994</v>
    <v>9.7129999999999992</v>
    <v>9.9260000000000002</v>
    <v>10.054</v>
    <v>10.11</v>
    <v>10.433999999999999</v>
    <v>10.342000000000001</v>
    <v>10.292</v>
    <v>10.244</v>
    <v>10.715999999999999</v>
    <v>10.382</v>
    <v>10.81</v>
    <v>10.804</v>
    <v>10.74</v>
    <v>10.52</v>
    <v>10.304</v>
    <v>10.582000000000001</v>
    <v>10.83</v>
    <v>11.1</v>
    <v>11.222</v>
    <v>11.28</v>
    <v>11.406000000000001</v>
    <v>11.496</v>
    <v>11.55</v>
    <v>11.342000000000001</v>
    <v>11.61</v>
    <v>11.494</v>
    <v>11.252000000000001</v>
    <v>10.82</v>
    <v>10.584</v>
    <v>10.182</v>
    <v>9.9149999999999991</v>
    <v>10.082000000000001</v>
    <v>10.4</v>
    <v>10.384</v>
    <v>10.465999999999999</v>
    <v>10.342000000000001</v>
    <v>10.512</v>
    <v>10.683999999999999</v>
    <v>10.872</v>
    <v>10.53</v>
    <v>10.528</v>
    <v>10.19</v>
    <v>9.98</v>
    <v>9.8629999999999995</v>
    <v>10.282</v>
    <v>10.444000000000001</v>
    <v>10.01</v>
    <v>10.054</v>
    <v>10.236000000000001</v>
    <v>9.673</v>
    <v>9.4830000000000005</v>
    <v>9.76</v>
    <v>9.6579999999999995</v>
    <v>9.5380000000000003</v>
    <v>9.6170000000000009</v>
    <v>9.58</v>
    <v>9.3740000000000006</v>
    <v>9.1850000000000005</v>
    <v>9.1999999999999993</v>
    <v>9.34</v>
    <v>9.423</v>
    <v>9.2910000000000004</v>
    <v>9.1229999999999993</v>
    <v>8.8889999999999993</v>
    <v>8.7189999999999994</v>
    <v>8.593</v>
    <v>8.8030000000000008</v>
    <v>8.8089999999999993</v>
    <v>9.0229999999999997</v>
    <v>9.2149999999999999</v>
    <v>9.0709999999999997</v>
    <v>9.1319999999999997</v>
    <v>9.0939999999999994</v>
    <v>8.9949999999999992</v>
    <v>9.0790000000000006</v>
    <v>9.2170000000000005</v>
    <v>9.1509999999999998</v>
    <v>9.0719999999999992</v>
    <v>9.016</v>
    <v>8.8010000000000002</v>
    <v>8.7439999999999998</v>
    <v>8.68</v>
    <v>8.7070000000000007</v>
    <v>8.6129999999999995</v>
    <v>8.6890000000000001</v>
    <v>8.68</v>
    <v>8.827</v>
    <v>8.7449999999999992</v>
    <v>8.59</v>
    <v>8.58</v>
    <v>8.5410000000000004</v>
    <v>8.6980000000000004</v>
    <v>8.7650000000000006</v>
    <v>8.8800000000000008</v>
    <v>9.0730000000000004</v>
    <v>8.8940000000000001</v>
    <v>8.8209999999999997</v>
    <v>8.9589999999999996</v>
    <v>8.7530000000000001</v>
    <v>8.7029999999999994</v>
    <v>8.6999999999999993</v>
    <v>8.8930000000000007</v>
    <v>8.734</v>
    <v>8.8870000000000005</v>
    <v>8.9369999999999994</v>
    <v>8.8569999999999993</v>
    <v>8.5239999999999991</v>
    <v>8.6449999999999996</v>
    <v>8.4860000000000007</v>
    <v>8.5839999999999996</v>
    <v>8.6359999999999992</v>
    <v>8.5630000000000006</v>
    <v>8.7579999999999991</v>
    <v>8.8710000000000004</v>
    <v>8.9320000000000004</v>
    <v>8.8260000000000005</v>
    <v>8.7639999999999993</v>
    <v>8.84</v>
    <v>8.8420000000000005</v>
    <v>8.7550000000000008</v>
    <v>8.6579999999999995</v>
    <v>8.4740000000000002</v>
    <v>8.48</v>
    <v>8.359</v>
    <v>8.3680000000000003</v>
    <v>8.4320000000000004</v>
    <v>8.2759999999999998</v>
    <v>8.1920000000000002</v>
  </a>
  <a r="1" c="761">
    <v>7.218</v>
    <v>7.3079999999999998</v>
    <v>7.1520000000000001</v>
    <v>7.2519999999999998</v>
    <v>7.08</v>
    <v>6.9020000000000001</v>
    <v>7</v>
    <v>6.9539999999999997</v>
    <v>7.1379999999999999</v>
    <v>7.2880000000000003</v>
    <v>7.2149999999999999</v>
    <v>7.2009999999999996</v>
    <v>7.08</v>
    <v>7.1289999999999996</v>
    <v>6.94</v>
    <v>7.0030000000000001</v>
    <v>7.3049999999999997</v>
    <v>7.5039999999999996</v>
    <v>7.306</v>
    <v>7.2789999999999999</v>
    <v>7.4260000000000002</v>
    <v>7.3029999999999999</v>
    <v>7.3440000000000003</v>
    <v>7.3159999999999998</v>
    <v>7.2329999999999997</v>
    <v>7.2190000000000003</v>
    <v>7.2350000000000003</v>
    <v>7.3289999999999997</v>
    <v>7.4409999999999998</v>
    <v>7.5279999999999996</v>
    <v>7.65</v>
    <v>7.6440000000000001</v>
    <v>7.617</v>
    <v>7.5270000000000001</v>
    <v>7.5259999999999998</v>
    <v>7.4610000000000003</v>
    <v>7.28</v>
    <v>7.2839999999999998</v>
    <v>7.88</v>
    <v>8.0009999999999994</v>
    <v>7.835</v>
    <v>7.9640000000000004</v>
    <v>7.9749999999999996</v>
    <v>8.0020000000000007</v>
    <v>8.0410000000000004</v>
    <v>8.0960000000000001</v>
    <v>8.1519999999999992</v>
    <v>8.1120000000000001</v>
    <v>8.1760000000000002</v>
    <v>7.8869999999999996</v>
    <v>7.8630000000000004</v>
    <v>7.8339999999999996</v>
    <v>7.8129999999999997</v>
    <v>7.8170000000000002</v>
    <v>7.7640000000000002</v>
    <v>7.673</v>
    <v>7.673</v>
    <v>7.6280000000000001</v>
    <v>7.5170000000000003</v>
    <v>7.2619999999999996</v>
    <v>7.2930000000000001</v>
    <v>7.15</v>
    <v>7.3170000000000002</v>
    <v>7.3890000000000002</v>
    <v>7.4470000000000001</v>
    <v>7.3710000000000004</v>
    <v>7.3940000000000001</v>
    <v>7.3890000000000002</v>
    <v>7.3470000000000004</v>
    <v>7.4770000000000003</v>
    <v>7.4710000000000001</v>
    <v>7.4340000000000002</v>
    <v>7.2830000000000004</v>
    <v>7.3869999999999996</v>
    <v>7.6050000000000004</v>
    <v>7.5650000000000004</v>
    <v>7.5640000000000001</v>
    <v>7.8449999999999998</v>
    <v>7.6020000000000003</v>
    <v>7.7220000000000004</v>
    <v>7.8120000000000003</v>
    <v>7.7629999999999999</v>
    <v>7.7229999999999999</v>
    <v>7.6</v>
    <v>7.4850000000000003</v>
    <v>7.4459999999999997</v>
    <v>7.2910000000000004</v>
    <v>7.2560000000000002</v>
    <v>7.3209999999999997</v>
    <v>7.2969999999999997</v>
    <v>7.3520000000000003</v>
    <v>7.5049999999999999</v>
    <v>7.35</v>
    <v>7.3680000000000003</v>
    <v>7.4260000000000002</v>
    <v>7.4749999999999996</v>
    <v>7.5289999999999999</v>
    <v>7.5640000000000001</v>
    <v>7.36</v>
    <v>7.25</v>
    <v>7.1589999999999998</v>
    <v>7.0990000000000002</v>
    <v>7.1470000000000002</v>
    <v>7.1050000000000004</v>
    <v>7.117</v>
    <v>7.2729999999999997</v>
    <v>7.2679999999999998</v>
    <v>7.2469999999999999</v>
    <v>7.1829999999999998</v>
    <v>7.3760000000000003</v>
    <v>7.4630000000000001</v>
    <v>7.3289999999999997</v>
    <v>7.3019999999999996</v>
    <v>7.484</v>
    <v>7.2690000000000001</v>
    <v>7.3410000000000002</v>
    <v>7.3840000000000003</v>
    <v>7.3570000000000002</v>
    <v>7.37</v>
    <v>7.3929999999999998</v>
    <v>7.2489999999999997</v>
    <v>7.0640000000000001</v>
    <v>7.0709999999999997</v>
    <v>7.117</v>
    <v>7.0490000000000004</v>
    <v>7.056</v>
    <v>7.1479999999999997</v>
    <v>7.09</v>
    <v>6.9509999999999996</v>
    <v>7.0979999999999999</v>
    <v>7.1959999999999997</v>
    <v>7.13</v>
    <v>7.17</v>
    <v>7.3780000000000001</v>
    <v>7.3849999999999998</v>
    <v>7.4580000000000002</v>
    <v>7.3929999999999998</v>
    <v>7.3719999999999999</v>
    <v>7.44</v>
    <v>7.4109999999999996</v>
    <v>7.5</v>
    <v>7.5640000000000001</v>
    <v>7.54</v>
    <v>7.5149999999999997</v>
    <v>7.4210000000000003</v>
    <v>7.5</v>
    <v>7.8010000000000002</v>
    <v>7.7370000000000001</v>
    <v>7.8680000000000003</v>
    <v>7.9459999999999997</v>
    <v>7.9859999999999998</v>
    <v>7.89</v>
    <v>7.9219999999999997</v>
    <v>7.85</v>
    <v>7.9859999999999998</v>
    <v>7.8330000000000002</v>
    <v>7.9290000000000003</v>
    <v>7.8579999999999997</v>
    <v>7.7830000000000004</v>
    <v>7.8049999999999997</v>
    <v>7.8490000000000002</v>
    <v>7.9790000000000001</v>
    <v>7.8559999999999999</v>
    <v>7.798</v>
    <v>7.5540000000000003</v>
    <v>7.6059999999999999</v>
    <v>7.4850000000000003</v>
    <v>7.5259999999999998</v>
    <v>7.5119999999999996</v>
    <v>7.53</v>
    <v>7.4569999999999999</v>
    <v>7.375</v>
    <v>7.3380000000000001</v>
    <v>7.2560000000000002</v>
    <v>7.1970000000000001</v>
    <v>7.1020000000000003</v>
    <v>7.2060000000000004</v>
    <v>7.2729999999999997</v>
    <v>7.266</v>
    <v>7.2450000000000001</v>
    <v>7.2619999999999996</v>
    <v>7.3310000000000004</v>
    <v>7.5039999999999996</v>
    <v>7.6029999999999998</v>
    <v>7.3209999999999997</v>
    <v>7.3630000000000004</v>
    <v>7.2960000000000003</v>
    <v>7.33</v>
    <v>7.2750000000000004</v>
    <v>7.2919999999999998</v>
    <v>7.3209999999999997</v>
    <v>7.407</v>
    <v>7.4320000000000004</v>
    <v>7.48</v>
    <v>7.4379999999999997</v>
    <v>7.4130000000000003</v>
    <v>7.5039999999999996</v>
    <v>7.4690000000000003</v>
    <v>7.3179999999999996</v>
    <v>7.1040000000000001</v>
    <v>7.1420000000000003</v>
    <v>7.3230000000000004</v>
    <v>7.3460000000000001</v>
    <v>7.2560000000000002</v>
    <v>7.2779999999999996</v>
    <v>7.38</v>
    <v>7.3970000000000002</v>
    <v>7.4</v>
    <v>7.4720000000000004</v>
    <v>7.3609999999999998</v>
    <v>7.3520000000000003</v>
    <v>7.2880000000000003</v>
    <v>7.4109999999999996</v>
    <v>7.4870000000000001</v>
    <v>7.3630000000000004</v>
    <v>7.3940000000000001</v>
    <v>7.4249999999999998</v>
    <v>7.407</v>
    <v>7.44</v>
    <v>7.319</v>
    <v>7.3339999999999996</v>
    <v>7.3710000000000004</v>
    <v>7.24</v>
    <v>7.2519999999999998</v>
    <v>7.21</v>
    <v>7.4329999999999998</v>
    <v>7.4340000000000002</v>
    <v>7.5049999999999999</v>
    <v>7.5119999999999996</v>
    <v>7.59</v>
    <v>7.556</v>
    <v>7.5389999999999997</v>
    <v>7.3979999999999997</v>
    <v>7.4480000000000004</v>
    <v>7.532</v>
    <v>7.4630000000000001</v>
    <v>7.5</v>
    <v>7.6310000000000002</v>
    <v>7.5910000000000002</v>
    <v>7.6059999999999999</v>
    <v>7.5069999999999997</v>
    <v>7.444</v>
    <v>7.4240000000000004</v>
    <v>7.423</v>
    <v>7.3490000000000002</v>
    <v>7.3179999999999996</v>
    <v>7.1989999999999998</v>
    <v>7.2160000000000002</v>
    <v>7.2149999999999999</v>
    <v>7.1369999999999996</v>
    <v>7.1689999999999996</v>
    <v>7.16</v>
    <v>7.1369999999999996</v>
    <v>7.0910000000000002</v>
    <v>7.09</v>
    <v>7.0110000000000001</v>
    <v>6.97</v>
    <v>7.0289999999999999</v>
    <v>7.0940000000000003</v>
    <v>6.984</v>
    <v>6.9450000000000003</v>
    <v>6.9539999999999997</v>
    <v>6.9870000000000001</v>
    <v>7.1139999999999999</v>
    <v>7.0030000000000001</v>
    <v>6.6310000000000002</v>
    <v>6.7279999999999998</v>
    <v>6.6029999999999998</v>
    <v>6.6459999999999999</v>
    <v>6.532</v>
    <v>6.5330000000000004</v>
    <v>6.5039999999999996</v>
    <v>6.5709999999999997</v>
    <v>6.5359999999999996</v>
    <v>6.53</v>
    <v>6.5190000000000001</v>
    <v>6.5490000000000004</v>
    <v>6.6159999999999997</v>
    <v>6.7169999999999996</v>
    <v>6.6550000000000002</v>
    <v>6.6989999999999998</v>
    <v>6.6959999999999997</v>
    <v>6.7149999999999999</v>
    <v>6.77</v>
    <v>6.7009999999999996</v>
    <v>6.6050000000000004</v>
    <v>6.5910000000000002</v>
    <v>6.5620000000000003</v>
    <v>6.7030000000000003</v>
    <v>6.6210000000000004</v>
    <v>6.5709999999999997</v>
    <v>6.5540000000000003</v>
    <v>6.5069999999999997</v>
    <v>6.4640000000000004</v>
    <v>6.4359999999999999</v>
    <v>6.4790000000000001</v>
    <v>6.3550000000000004</v>
    <v>6.35</v>
    <v>6.4180000000000001</v>
    <v>6.3650000000000002</v>
    <v>6.3159999999999998</v>
    <v>6.516</v>
    <v>6.5110000000000001</v>
    <v>6.5730000000000004</v>
    <v>6.577</v>
    <v>6.4489999999999998</v>
    <v>6.4210000000000003</v>
    <v>6.2750000000000004</v>
    <v>6.2519999999999998</v>
    <v>6.2919999999999998</v>
    <v>6.3840000000000003</v>
    <v>6.3760000000000003</v>
    <v>6.4320000000000004</v>
    <v>6.4139999999999997</v>
    <v>6.26</v>
    <v>6.165</v>
    <v>6.1239999999999997</v>
    <v>6.1379999999999999</v>
    <v>6.0789999999999997</v>
    <v>6.085</v>
    <v>6.2069999999999999</v>
    <v>6.3019999999999996</v>
    <v>6.35</v>
    <v>6.3179999999999996</v>
    <v>6.3470000000000004</v>
    <v>6.3620000000000001</v>
    <v>6.3490000000000002</v>
    <v>6.29</v>
    <v>6.2670000000000003</v>
    <v>6.2320000000000002</v>
    <v>6.1539999999999999</v>
    <v>6.1859999999999999</v>
    <v>6.18</v>
    <v>6.2140000000000004</v>
    <v>6.2430000000000003</v>
    <v>6.34</v>
    <v>6.266</v>
    <v>6.27</v>
    <v>6.282</v>
    <v>6.306</v>
    <v>6.4039999999999999</v>
    <v>6.2789999999999999</v>
    <v>6.1669999999999998</v>
    <v>6.0750000000000002</v>
    <v>5.9829999999999997</v>
    <v>5.9729999999999999</v>
    <v>5.984</v>
    <v>6.0670000000000002</v>
    <v>6.13</v>
    <v>6.0609999999999999</v>
    <v>6.0570000000000004</v>
    <v>6.0880000000000001</v>
    <v>6.1260000000000003</v>
    <v>6.2039999999999997</v>
    <v>6.1890000000000001</v>
    <v>6.2480000000000002</v>
    <v>6.2439999999999998</v>
    <v>6.2160000000000002</v>
    <v>6.1980000000000004</v>
    <v>6.2190000000000003</v>
    <v>6.157</v>
    <v>6.157</v>
    <v>6.13</v>
    <v>6.0309999999999997</v>
    <v>6.0979999999999999</v>
    <v>6.12</v>
    <v>6.0890000000000004</v>
    <v>5.8140000000000001</v>
    <v>5.6669999999999998</v>
    <v>5.7119999999999997</v>
    <v>5.47</v>
    <v>5.5750000000000002</v>
    <v>5.5570000000000004</v>
    <v>5.7510000000000003</v>
    <v>5.8129999999999997</v>
    <v>5.8040000000000003</v>
    <v>5.8</v>
    <v>5.8659999999999997</v>
    <v>5.8440000000000003</v>
    <v>5.9029999999999996</v>
    <v>5.9489999999999998</v>
    <v>5.9960000000000004</v>
    <v>5.9989999999999997</v>
    <v>5.9619999999999997</v>
    <v>5.9880000000000004</v>
    <v>5.9829999999999997</v>
    <v>6.0490000000000004</v>
    <v>5.9969999999999999</v>
    <v>6.0650000000000004</v>
    <v>6.1680000000000001</v>
    <v>6.3730000000000002</v>
    <v>6.61</v>
    <v>6.6159999999999997</v>
    <v>6.6079999999999997</v>
    <v>6.6280000000000001</v>
    <v>6.524</v>
    <v>6.6189999999999998</v>
    <v>6.4870000000000001</v>
    <v>6.2910000000000004</v>
    <v>6.3179999999999996</v>
    <v>6.3529999999999998</v>
    <v>6.3620000000000001</v>
    <v>6.3639999999999999</v>
    <v>6.3710000000000004</v>
    <v>6.4130000000000003</v>
    <v>6.3049999999999997</v>
    <v>6.4080000000000004</v>
    <v>6.4370000000000003</v>
    <v>6.4169999999999998</v>
    <v>6.4820000000000002</v>
    <v>6.5090000000000003</v>
    <v>6.585</v>
    <v>6.6150000000000002</v>
    <v>6.5339999999999998</v>
    <v>6.53</v>
    <v>6.6379999999999999</v>
    <v>6.41</v>
    <v>6.3979999999999997</v>
    <v>6.3520000000000003</v>
    <v>6.3620000000000001</v>
    <v>6.3440000000000003</v>
    <v>6.4009999999999998</v>
    <v>6.3959999999999999</v>
    <v>6.4640000000000004</v>
    <v>6.44</v>
    <v>6.4210000000000003</v>
    <v>6.4429999999999996</v>
    <v>6.5750000000000002</v>
    <v>6.7759999999999998</v>
    <v>6.7460000000000004</v>
    <v>6.6980000000000004</v>
    <v>6.6319999999999997</v>
    <v>6.6689999999999996</v>
    <v>6.6749999999999998</v>
    <v>6.6059999999999999</v>
    <v>6.61</v>
    <v>6.7089999999999996</v>
    <v>6.6180000000000003</v>
    <v>6.7069999999999999</v>
    <v>6.7510000000000003</v>
    <v>6.8079999999999998</v>
    <v>6.8579999999999997</v>
    <v>6.8150000000000004</v>
    <v>6.8330000000000002</v>
    <v>6.8529999999999998</v>
    <v>6.8410000000000002</v>
    <v>6.8540000000000001</v>
    <v>6.8339999999999996</v>
    <v>6.7809999999999997</v>
    <v>6.7539999999999996</v>
    <v>6.7619999999999996</v>
    <v>6.7590000000000003</v>
    <v>6.7469999999999999</v>
    <v>6.7610000000000001</v>
    <v>6.7910000000000004</v>
    <v>6.7249999999999996</v>
    <v>6.7850000000000001</v>
    <v>6.798</v>
    <v>6.726</v>
    <v>7.1420000000000003</v>
    <v>7.1239999999999997</v>
    <v>7.1109999999999998</v>
    <v>7.0460000000000003</v>
    <v>7.1790000000000003</v>
    <v>7.141</v>
    <v>7.149</v>
    <v>7.1349999999999998</v>
    <v>7.194</v>
    <v>7.1020000000000003</v>
    <v>7.0819999999999999</v>
    <v>6.9960000000000004</v>
    <v>7.0410000000000004</v>
    <v>7.0670000000000002</v>
    <v>7.1619999999999999</v>
    <v>7.1710000000000003</v>
    <v>7.0960000000000001</v>
    <v>7.2050000000000001</v>
    <v>7.2549999999999999</v>
    <v>7.1950000000000003</v>
    <v>7.258</v>
    <v>7.2610000000000001</v>
    <v>7.3440000000000003</v>
    <v>7.359</v>
    <v>7.4390000000000001</v>
    <v>7.444</v>
    <v>7.4880000000000004</v>
    <v>7.4889999999999999</v>
    <v>7.452</v>
    <v>7.4589999999999996</v>
    <v>7.5739999999999998</v>
    <v>7.5179999999999998</v>
    <v>7.7590000000000003</v>
    <v>7.8140000000000001</v>
    <v>7.8940000000000001</v>
    <v>7.9390000000000001</v>
    <v>7.8840000000000003</v>
    <v>7.9210000000000003</v>
    <v>8.0589999999999993</v>
    <v>7.9</v>
    <v>8.1630000000000003</v>
    <v>8.0939999999999994</v>
    <v>8.3079999999999998</v>
    <v>8.3889999999999993</v>
    <v>8.1669999999999998</v>
    <v>8.2639999999999993</v>
    <v>8.14</v>
    <v>7.9359999999999999</v>
    <v>8.0719999999999992</v>
    <v>8.2829999999999995</v>
    <v>8.23</v>
    <v>8.3859999999999992</v>
    <v>8.6489999999999991</v>
    <v>8.5389999999999997</v>
    <v>8.5380000000000003</v>
    <v>8.8089999999999993</v>
    <v>8.7279999999999998</v>
    <v>9.0090000000000003</v>
    <v>8.8800000000000008</v>
    <v>8.6180000000000003</v>
    <v>8.8710000000000004</v>
    <v>8.8130000000000006</v>
    <v>8.7420000000000009</v>
    <v>8.34</v>
    <v>8.4529999999999994</v>
    <v>8.3580000000000005</v>
    <v>8.2520000000000007</v>
    <v>8.2379999999999995</v>
    <v>8.1920000000000002</v>
    <v>7.9169999999999998</v>
    <v>8.0609999999999999</v>
    <v>8.0809999999999995</v>
    <v>8.2100000000000009</v>
    <v>8.2460000000000004</v>
    <v>8.3140000000000001</v>
    <v>8.1760000000000002</v>
    <v>8.1999999999999993</v>
    <v>8.1229999999999993</v>
    <v>8.2449999999999992</v>
    <v>8.2929999999999993</v>
    <v>8.1989999999999998</v>
    <v>8.2270000000000003</v>
    <v>8.1489999999999991</v>
    <v>8.1890000000000001</v>
    <v>8.0500000000000007</v>
    <v>8.1050000000000004</v>
    <v>7.9509999999999996</v>
    <v>7.851</v>
    <v>7.9779999999999998</v>
    <v>8.1050000000000004</v>
    <v>8.1370000000000005</v>
    <v>8.048</v>
    <v>8.1280000000000001</v>
    <v>8.1170000000000009</v>
    <v>8.36</v>
    <v>8.3330000000000002</v>
    <v>8.4030000000000005</v>
    <v>8.3840000000000003</v>
    <v>8.4920000000000009</v>
    <v>8.5329999999999995</v>
    <v>8.6150000000000002</v>
    <v>8.7240000000000002</v>
    <v>8.65</v>
    <v>8.7550000000000008</v>
    <v>8.7840000000000007</v>
    <v>8.7409999999999997</v>
    <v>8.5860000000000003</v>
    <v>8.6829999999999998</v>
    <v>8.8879999999999999</v>
    <v>8.9489999999999998</v>
    <v>8.8439999999999994</v>
    <v>8.9290000000000003</v>
    <v>9.1</v>
    <v>8.86</v>
    <v>8.8620000000000001</v>
    <v>8.8290000000000006</v>
    <v>9.1359999999999992</v>
    <v>9.1129999999999995</v>
    <v>8.952</v>
    <v>9.02</v>
    <v>9.2050000000000001</v>
    <v>9.2070000000000007</v>
    <v>9.1370000000000005</v>
    <v>8.9610000000000003</v>
    <v>8.9540000000000006</v>
    <v>8.9819999999999993</v>
    <v>9.0220000000000002</v>
    <v>9.298</v>
    <v>9.2560000000000002</v>
    <v>9.2539999999999996</v>
    <v>9.1690000000000005</v>
    <v>9.407</v>
    <v>9.3740000000000006</v>
    <v>9.1210000000000004</v>
    <v>8.9139999999999997</v>
    <v>8.923</v>
    <v>8.7210000000000001</v>
    <v>8.8819999999999997</v>
    <v>8.81</v>
    <v>8.6929999999999996</v>
    <v>8.7940000000000005</v>
    <v>9.0749999999999993</v>
    <v>9.1940000000000008</v>
    <v>9.2759999999999998</v>
    <v>9.2360000000000007</v>
    <v>9.234</v>
    <v>9.3190000000000008</v>
    <v>9.2569999999999997</v>
    <v>9.17</v>
    <v>9.15</v>
    <v>8.952</v>
    <v>9.0670000000000002</v>
    <v>9.3469999999999995</v>
    <v>9.0939999999999994</v>
    <v>8.9719999999999995</v>
    <v>8.8729999999999993</v>
    <v>8.9019999999999992</v>
    <v>9.1120000000000001</v>
    <v>9.0489999999999995</v>
    <v>8.7780000000000005</v>
    <v>9.1140000000000008</v>
    <v>9.2050000000000001</v>
    <v>9.3010000000000002</v>
    <v>9.2579999999999991</v>
    <v>9.58</v>
    <v>9.6159999999999997</v>
    <v>9.4589999999999996</v>
    <v>9.4570000000000007</v>
    <v>9.5419999999999998</v>
    <v>9.6210000000000004</v>
    <v>9.7260000000000009</v>
    <v>9.91</v>
    <v>9.8369999999999997</v>
    <v>9.7959999999999994</v>
    <v>9.7129999999999992</v>
    <v>9.9260000000000002</v>
    <v>10.054</v>
    <v>10.11</v>
    <v>10.433999999999999</v>
    <v>10.342000000000001</v>
    <v>10.292</v>
    <v>10.244</v>
    <v>10.715999999999999</v>
    <v>10.382</v>
    <v>10.81</v>
    <v>10.804</v>
    <v>10.74</v>
    <v>10.52</v>
    <v>10.304</v>
    <v>10.582000000000001</v>
    <v>10.83</v>
    <v>11.1</v>
    <v>11.222</v>
    <v>11.28</v>
    <v>11.406000000000001</v>
    <v>11.496</v>
    <v>11.55</v>
    <v>11.342000000000001</v>
    <v>11.61</v>
    <v>11.494</v>
    <v>11.252000000000001</v>
    <v>10.82</v>
    <v>10.584</v>
    <v>10.182</v>
    <v>9.9149999999999991</v>
    <v>10.082000000000001</v>
    <v>10.4</v>
    <v>10.384</v>
    <v>10.465999999999999</v>
    <v>10.342000000000001</v>
    <v>10.512</v>
    <v>10.683999999999999</v>
    <v>10.872</v>
    <v>10.53</v>
    <v>10.528</v>
    <v>10.19</v>
    <v>9.98</v>
    <v>9.8629999999999995</v>
    <v>10.282</v>
    <v>10.444000000000001</v>
    <v>10.01</v>
    <v>10.054</v>
    <v>10.236000000000001</v>
    <v>9.673</v>
    <v>9.4830000000000005</v>
    <v>9.76</v>
    <v>9.6579999999999995</v>
    <v>9.5380000000000003</v>
    <v>9.6170000000000009</v>
    <v>9.58</v>
    <v>9.3740000000000006</v>
    <v>9.1850000000000005</v>
    <v>9.1999999999999993</v>
    <v>9.34</v>
    <v>9.423</v>
    <v>9.2910000000000004</v>
    <v>9.1229999999999993</v>
    <v>8.8889999999999993</v>
    <v>8.7189999999999994</v>
    <v>8.593</v>
    <v>8.8030000000000008</v>
    <v>8.8089999999999993</v>
    <v>9.0229999999999997</v>
    <v>9.2149999999999999</v>
    <v>9.0709999999999997</v>
    <v>9.1319999999999997</v>
    <v>9.0939999999999994</v>
    <v>8.9949999999999992</v>
    <v>9.0790000000000006</v>
    <v>9.2170000000000005</v>
    <v>9.1509999999999998</v>
    <v>9.0719999999999992</v>
    <v>9.016</v>
    <v>8.8010000000000002</v>
    <v>8.7439999999999998</v>
    <v>8.68</v>
    <v>8.7070000000000007</v>
    <v>8.6129999999999995</v>
    <v>8.6890000000000001</v>
    <v>8.68</v>
    <v>8.827</v>
    <v>8.7449999999999992</v>
    <v>8.59</v>
    <v>8.58</v>
    <v>8.5410000000000004</v>
    <v>8.6980000000000004</v>
    <v>8.7650000000000006</v>
    <v>8.8800000000000008</v>
    <v>9.0730000000000004</v>
    <v>8.8940000000000001</v>
    <v>8.8209999999999997</v>
    <v>8.9589999999999996</v>
    <v>8.7530000000000001</v>
    <v>8.7029999999999994</v>
    <v>8.6999999999999993</v>
    <v>8.8930000000000007</v>
    <v>8.734</v>
    <v>8.8870000000000005</v>
    <v>8.9369999999999994</v>
    <v>8.8569999999999993</v>
    <v>8.5239999999999991</v>
    <v>8.6449999999999996</v>
    <v>8.4860000000000007</v>
    <v>8.5839999999999996</v>
    <v>8.6359999999999992</v>
    <v>8.5630000000000006</v>
    <v>8.7579999999999991</v>
    <v>8.8710000000000004</v>
    <v>8.9320000000000004</v>
    <v>8.8260000000000005</v>
    <v>8.7639999999999993</v>
    <v>8.84</v>
    <v>8.8420000000000005</v>
    <v>8.7550000000000008</v>
    <v>8.6579999999999995</v>
    <v>8.4740000000000002</v>
    <v>8.48</v>
    <v>8.359</v>
    <v>8.3680000000000003</v>
    <v>8.4320000000000004</v>
    <v>8.2759999999999998</v>
    <v>8.1920000000000002</v>
  </a>
  <a r="1" c="254">
    <v>8.0719999999999992</v>
    <v>8.2829999999999995</v>
    <v>8.23</v>
    <v>8.3859999999999992</v>
    <v>8.6489999999999991</v>
    <v>8.5389999999999997</v>
    <v>8.5380000000000003</v>
    <v>8.8089999999999993</v>
    <v>8.7279999999999998</v>
    <v>9.0090000000000003</v>
    <v>8.8800000000000008</v>
    <v>8.6180000000000003</v>
    <v>8.8710000000000004</v>
    <v>8.8130000000000006</v>
    <v>8.7420000000000009</v>
    <v>8.34</v>
    <v>8.4529999999999994</v>
    <v>8.3580000000000005</v>
    <v>8.2520000000000007</v>
    <v>8.2379999999999995</v>
    <v>8.1920000000000002</v>
    <v>7.9169999999999998</v>
    <v>8.0609999999999999</v>
    <v>8.0809999999999995</v>
    <v>8.2100000000000009</v>
    <v>8.2460000000000004</v>
    <v>8.3140000000000001</v>
    <v>8.1760000000000002</v>
    <v>8.1999999999999993</v>
    <v>8.1229999999999993</v>
    <v>8.2449999999999992</v>
    <v>8.2929999999999993</v>
    <v>8.1989999999999998</v>
    <v>8.2270000000000003</v>
    <v>8.1489999999999991</v>
    <v>8.1890000000000001</v>
    <v>8.0500000000000007</v>
    <v>8.1050000000000004</v>
    <v>7.9509999999999996</v>
    <v>7.851</v>
    <v>7.9779999999999998</v>
    <v>8.1050000000000004</v>
    <v>8.1370000000000005</v>
    <v>8.048</v>
    <v>8.1280000000000001</v>
    <v>8.1170000000000009</v>
    <v>8.36</v>
    <v>8.3330000000000002</v>
    <v>8.4030000000000005</v>
    <v>8.3840000000000003</v>
    <v>8.4920000000000009</v>
    <v>8.5329999999999995</v>
    <v>8.6150000000000002</v>
    <v>8.7240000000000002</v>
    <v>8.65</v>
    <v>8.7550000000000008</v>
    <v>8.7840000000000007</v>
    <v>8.7409999999999997</v>
    <v>8.5860000000000003</v>
    <v>8.6829999999999998</v>
    <v>8.8879999999999999</v>
    <v>8.9489999999999998</v>
    <v>8.8439999999999994</v>
    <v>8.9290000000000003</v>
    <v>9.1</v>
    <v>8.86</v>
    <v>8.8620000000000001</v>
    <v>8.8290000000000006</v>
    <v>9.1359999999999992</v>
    <v>9.1129999999999995</v>
    <v>8.952</v>
    <v>9.02</v>
    <v>9.2050000000000001</v>
    <v>9.2070000000000007</v>
    <v>9.1370000000000005</v>
    <v>8.9610000000000003</v>
    <v>8.9540000000000006</v>
    <v>8.9819999999999993</v>
    <v>9.0220000000000002</v>
    <v>9.298</v>
    <v>9.2560000000000002</v>
    <v>9.2539999999999996</v>
    <v>9.1690000000000005</v>
    <v>9.407</v>
    <v>9.3740000000000006</v>
    <v>9.1210000000000004</v>
    <v>8.9139999999999997</v>
    <v>8.923</v>
    <v>8.7210000000000001</v>
    <v>8.8819999999999997</v>
    <v>8.81</v>
    <v>8.6929999999999996</v>
    <v>8.7940000000000005</v>
    <v>9.0749999999999993</v>
    <v>9.1940000000000008</v>
    <v>9.2759999999999998</v>
    <v>9.2360000000000007</v>
    <v>9.234</v>
    <v>9.3190000000000008</v>
    <v>9.2569999999999997</v>
    <v>9.17</v>
    <v>9.15</v>
    <v>8.952</v>
    <v>9.0670000000000002</v>
    <v>9.3469999999999995</v>
    <v>9.0939999999999994</v>
    <v>8.9719999999999995</v>
    <v>8.8729999999999993</v>
    <v>8.9019999999999992</v>
    <v>9.1120000000000001</v>
    <v>9.0489999999999995</v>
    <v>8.7780000000000005</v>
    <v>9.1140000000000008</v>
    <v>9.2050000000000001</v>
    <v>9.3010000000000002</v>
    <v>9.2579999999999991</v>
    <v>9.58</v>
    <v>9.6159999999999997</v>
    <v>9.4589999999999996</v>
    <v>9.4570000000000007</v>
    <v>9.5419999999999998</v>
    <v>9.6210000000000004</v>
    <v>9.7260000000000009</v>
    <v>9.91</v>
    <v>9.8369999999999997</v>
    <v>9.7959999999999994</v>
    <v>9.7129999999999992</v>
    <v>9.9260000000000002</v>
    <v>10.054</v>
    <v>10.11</v>
    <v>10.433999999999999</v>
    <v>10.342000000000001</v>
    <v>10.292</v>
    <v>10.244</v>
    <v>10.715999999999999</v>
    <v>10.382</v>
    <v>10.81</v>
    <v>10.804</v>
    <v>10.74</v>
    <v>10.52</v>
    <v>10.304</v>
    <v>10.582000000000001</v>
    <v>10.83</v>
    <v>11.1</v>
    <v>11.222</v>
    <v>11.28</v>
    <v>11.406000000000001</v>
    <v>11.496</v>
    <v>11.55</v>
    <v>11.342000000000001</v>
    <v>11.61</v>
    <v>11.494</v>
    <v>11.252000000000001</v>
    <v>10.82</v>
    <v>10.584</v>
    <v>10.182</v>
    <v>9.9149999999999991</v>
    <v>10.082000000000001</v>
    <v>10.4</v>
    <v>10.384</v>
    <v>10.465999999999999</v>
    <v>10.342000000000001</v>
    <v>10.512</v>
    <v>10.683999999999999</v>
    <v>10.872</v>
    <v>10.53</v>
    <v>10.528</v>
    <v>10.19</v>
    <v>9.98</v>
    <v>9.8629999999999995</v>
    <v>10.282</v>
    <v>10.444000000000001</v>
    <v>10.01</v>
    <v>10.054</v>
    <v>10.236000000000001</v>
    <v>9.673</v>
    <v>9.4830000000000005</v>
    <v>9.76</v>
    <v>9.6579999999999995</v>
    <v>9.5380000000000003</v>
    <v>9.6170000000000009</v>
    <v>9.58</v>
    <v>9.3740000000000006</v>
    <v>9.1850000000000005</v>
    <v>9.1999999999999993</v>
    <v>9.34</v>
    <v>9.423</v>
    <v>9.2910000000000004</v>
    <v>9.1229999999999993</v>
    <v>8.8889999999999993</v>
    <v>8.7189999999999994</v>
    <v>8.593</v>
    <v>8.8030000000000008</v>
    <v>8.8089999999999993</v>
    <v>9.0229999999999997</v>
    <v>9.2149999999999999</v>
    <v>9.0709999999999997</v>
    <v>9.1319999999999997</v>
    <v>9.0939999999999994</v>
    <v>8.9949999999999992</v>
    <v>9.0790000000000006</v>
    <v>9.2170000000000005</v>
    <v>9.1509999999999998</v>
    <v>9.0719999999999992</v>
    <v>9.016</v>
    <v>8.8010000000000002</v>
    <v>8.7439999999999998</v>
    <v>8.68</v>
    <v>8.7070000000000007</v>
    <v>8.6129999999999995</v>
    <v>8.6890000000000001</v>
    <v>8.68</v>
    <v>8.827</v>
    <v>8.7449999999999992</v>
    <v>8.59</v>
    <v>8.58</v>
    <v>8.5410000000000004</v>
    <v>8.6980000000000004</v>
    <v>8.7650000000000006</v>
    <v>8.8800000000000008</v>
    <v>9.0730000000000004</v>
    <v>8.8940000000000001</v>
    <v>8.8209999999999997</v>
    <v>8.9589999999999996</v>
    <v>8.7530000000000001</v>
    <v>8.7029999999999994</v>
    <v>8.6999999999999993</v>
    <v>8.8930000000000007</v>
    <v>8.734</v>
    <v>8.8870000000000005</v>
    <v>8.9369999999999994</v>
    <v>8.8569999999999993</v>
    <v>8.5239999999999991</v>
    <v>8.6449999999999996</v>
    <v>8.4860000000000007</v>
    <v>8.5839999999999996</v>
    <v>8.6359999999999992</v>
    <v>8.5630000000000006</v>
    <v>8.7579999999999991</v>
    <v>8.8710000000000004</v>
    <v>8.9320000000000004</v>
    <v>8.8260000000000005</v>
    <v>8.7639999999999993</v>
    <v>8.84</v>
    <v>8.8420000000000005</v>
    <v>8.7550000000000008</v>
    <v>8.6579999999999995</v>
    <v>8.4740000000000002</v>
    <v>8.48</v>
    <v>8.359</v>
    <v>8.3680000000000003</v>
    <v>8.4320000000000004</v>
    <v>8.2759999999999998</v>
    <v>8.1920000000000002</v>
  </a>
  <a r="1" c="254">
    <v>42.27</v>
    <v>42.215000000000003</v>
    <v>42.234999999999999</v>
    <v>42.12</v>
    <v>41.575000000000003</v>
    <v>41.905000000000001</v>
    <v>41.72</v>
    <v>41.53</v>
    <v>41.594999999999999</v>
    <v>41.82</v>
    <v>41.54</v>
    <v>41.56</v>
    <v>41.69</v>
    <v>42.055</v>
    <v>42.34</v>
    <v>42.32</v>
    <v>42.265000000000001</v>
    <v>42.24</v>
    <v>42.005000000000003</v>
    <v>41.905000000000001</v>
    <v>42.064999999999998</v>
    <v>42.32</v>
    <v>42.36</v>
    <v>42.4</v>
    <v>42.54</v>
    <v>42.5</v>
    <v>42.575000000000003</v>
    <v>42.424999999999997</v>
    <v>42.094999999999999</v>
    <v>41.935000000000002</v>
    <v>41.98</v>
    <v>42.03</v>
    <v>41.865000000000002</v>
    <v>41.695</v>
    <v>41.59</v>
    <v>41.58</v>
    <v>41.634999999999998</v>
    <v>41.695</v>
    <v>41.505000000000003</v>
    <v>41.634999999999998</v>
    <v>41.81</v>
    <v>41.875</v>
    <v>41.704999999999998</v>
    <v>41.784999999999997</v>
    <v>41.98</v>
    <v>41.954999999999998</v>
    <v>41.645000000000003</v>
    <v>41.765000000000001</v>
    <v>41.86</v>
    <v>41.95</v>
    <v>42.195</v>
    <v>42.295000000000002</v>
    <v>42.26</v>
    <v>42.145000000000003</v>
    <v>42.274999999999999</v>
    <v>42.5</v>
    <v>42.365000000000002</v>
    <v>42.115000000000002</v>
    <v>41.78</v>
    <v>41.77</v>
    <v>41.895000000000003</v>
    <v>41.82</v>
    <v>41.774999999999999</v>
    <v>41.475000000000001</v>
    <v>41.575000000000003</v>
    <v>41.325000000000003</v>
    <v>41.524999999999999</v>
    <v>42.15</v>
    <v>42.085000000000001</v>
    <v>42.454999999999998</v>
    <v>42.585000000000001</v>
    <v>42.585000000000001</v>
    <v>42.46</v>
    <v>42.6</v>
    <v>42.7</v>
    <v>42.875</v>
    <v>42.91</v>
    <v>43.03</v>
    <v>42.93</v>
    <v>42.87</v>
    <v>43.07</v>
    <v>43.024999999999999</v>
    <v>43.14</v>
    <v>43.174999999999997</v>
    <v>43.17</v>
    <v>43.33</v>
    <v>43.59</v>
    <v>43.85</v>
    <v>43.59</v>
    <v>43.82</v>
    <v>43.73</v>
    <v>43.54</v>
    <v>43.56</v>
    <v>43.545000000000002</v>
    <v>43.28</v>
    <v>43.5</v>
    <v>43.715000000000003</v>
    <v>43.66</v>
    <v>43.725000000000001</v>
    <v>43.255000000000003</v>
    <v>42.725000000000001</v>
    <v>42.38</v>
    <v>42.344999999999999</v>
    <v>42.4</v>
    <v>42.42</v>
    <v>42.48</v>
    <v>42.25</v>
    <v>42.765000000000001</v>
    <v>42.465000000000003</v>
    <v>42.645000000000003</v>
    <v>42.91</v>
    <v>42.68</v>
    <v>42.725000000000001</v>
    <v>42.664999999999999</v>
    <v>42.18</v>
    <v>42.1</v>
    <v>42.11</v>
    <v>42.08</v>
    <v>42.33</v>
    <v>42.405000000000001</v>
    <v>42.58</v>
    <v>42.265000000000001</v>
    <v>42.195</v>
    <v>42.26</v>
    <v>41.965000000000003</v>
    <v>41.98</v>
    <v>42.055</v>
    <v>41.924999999999997</v>
    <v>42.09</v>
    <v>42.2</v>
    <v>42.08</v>
    <v>41.975000000000001</v>
    <v>41.83</v>
    <v>41.755000000000003</v>
    <v>41.604999999999997</v>
    <v>41.865000000000002</v>
    <v>41.795000000000002</v>
    <v>42.41</v>
    <v>42.46</v>
    <v>42.62</v>
    <v>43.23</v>
    <v>42.994999999999997</v>
    <v>43</v>
    <v>43.155000000000001</v>
    <v>43.244999999999997</v>
    <v>42.935000000000002</v>
    <v>42.805</v>
    <v>42.65</v>
    <v>42.59</v>
    <v>42.76</v>
    <v>42.6</v>
    <v>42.734999999999999</v>
    <v>42.704999999999998</v>
    <v>43.05</v>
    <v>42.9</v>
    <v>42.655000000000001</v>
    <v>42.99</v>
    <v>43.08</v>
    <v>43.094999999999999</v>
    <v>42.975000000000001</v>
    <v>42.91</v>
    <v>42.8</v>
    <v>42.58</v>
    <v>42.56</v>
    <v>42.65</v>
    <v>42.965000000000003</v>
    <v>43.38</v>
    <v>43.274999999999999</v>
    <v>43.43</v>
    <v>43.405000000000001</v>
    <v>43.42</v>
    <v>43.69</v>
    <v>43.945</v>
    <v>44.1</v>
    <v>44.02</v>
    <v>44.46</v>
    <v>44.195</v>
    <v>43.994999999999997</v>
    <v>44.005000000000003</v>
    <v>44.31</v>
    <v>44.02</v>
    <v>43.75</v>
    <v>43.965000000000003</v>
    <v>44.225000000000001</v>
    <v>44.085000000000001</v>
    <v>43.93</v>
    <v>44</v>
    <v>43.965000000000003</v>
    <v>44.38</v>
    <v>44.8</v>
    <v>45.37</v>
    <v>45.505000000000003</v>
    <v>44.375</v>
    <v>44.405000000000001</v>
    <v>44.59</v>
    <v>44.664999999999999</v>
    <v>44.73</v>
    <v>44.975000000000001</v>
    <v>45.23</v>
    <v>45.37</v>
    <v>45.305</v>
    <v>45.28</v>
    <v>45.314999999999998</v>
    <v>45.28</v>
    <v>45.064999999999998</v>
    <v>45.15</v>
    <v>45.13</v>
    <v>44.994999999999997</v>
    <v>45.06</v>
    <v>45.16</v>
    <v>45.174999999999997</v>
    <v>45.244999999999997</v>
    <v>45.215000000000003</v>
    <v>45.46</v>
    <v>45.27</v>
    <v>45.335000000000001</v>
    <v>45.31</v>
    <v>45.524999999999999</v>
    <v>45.255000000000003</v>
    <v>44.984999999999999</v>
    <v>44.755000000000003</v>
    <v>44.47</v>
    <v>44.454999999999998</v>
    <v>44.674999999999997</v>
    <v>45.18</v>
    <v>45.015000000000001</v>
    <v>44.99</v>
    <v>45.024999999999999</v>
    <v>44.78</v>
    <v>44.91</v>
    <v>44.935000000000002</v>
    <v>45</v>
    <v>44.905000000000001</v>
    <v>44.805</v>
    <v>44.74</v>
    <v>44.685000000000002</v>
    <v>44.78</v>
    <v>45.005000000000003</v>
    <v>45.06</v>
    <v>45.424999999999997</v>
    <v>45.6</v>
    <v>45.8</v>
    <v>45.65</v>
    <v>45.98</v>
    <v>46.244999999999997</v>
    <v>46.2</v>
    <v>46.52</v>
    <v>46.875</v>
    <v>46.814999999999998</v>
    <v>46.85</v>
    <v>47.15</v>
    <v>47.29</v>
    <v>47.784999999999997</v>
    <v>47.805</v>
  </a>
  <a r="1" c="208">
    <v>41.645000000000003</v>
    <v>41.765000000000001</v>
    <v>41.86</v>
    <v>41.95</v>
    <v>42.195</v>
    <v>42.295000000000002</v>
    <v>42.26</v>
    <v>42.145000000000003</v>
    <v>42.274999999999999</v>
    <v>42.5</v>
    <v>42.365000000000002</v>
    <v>42.115000000000002</v>
    <v>41.78</v>
    <v>41.77</v>
    <v>41.895000000000003</v>
    <v>41.82</v>
    <v>41.774999999999999</v>
    <v>41.475000000000001</v>
    <v>41.575000000000003</v>
    <v>41.325000000000003</v>
    <v>41.524999999999999</v>
    <v>42.15</v>
    <v>42.085000000000001</v>
    <v>42.454999999999998</v>
    <v>42.585000000000001</v>
    <v>42.585000000000001</v>
    <v>42.46</v>
    <v>42.6</v>
    <v>42.7</v>
    <v>42.875</v>
    <v>42.91</v>
    <v>43.03</v>
    <v>42.93</v>
    <v>42.87</v>
    <v>43.07</v>
    <v>43.024999999999999</v>
    <v>43.14</v>
    <v>43.174999999999997</v>
    <v>43.17</v>
    <v>43.33</v>
    <v>43.59</v>
    <v>43.85</v>
    <v>43.59</v>
    <v>43.82</v>
    <v>43.73</v>
    <v>43.54</v>
    <v>43.56</v>
    <v>43.545000000000002</v>
    <v>43.28</v>
    <v>43.5</v>
    <v>43.715000000000003</v>
    <v>43.66</v>
    <v>43.725000000000001</v>
    <v>43.255000000000003</v>
    <v>42.725000000000001</v>
    <v>42.38</v>
    <v>42.344999999999999</v>
    <v>42.4</v>
    <v>42.42</v>
    <v>42.48</v>
    <v>42.25</v>
    <v>42.765000000000001</v>
    <v>42.465000000000003</v>
    <v>42.645000000000003</v>
    <v>42.91</v>
    <v>42.68</v>
    <v>42.725000000000001</v>
    <v>42.664999999999999</v>
    <v>42.18</v>
    <v>42.1</v>
    <v>42.11</v>
    <v>42.08</v>
    <v>42.33</v>
    <v>42.405000000000001</v>
    <v>42.58</v>
    <v>42.265000000000001</v>
    <v>42.195</v>
    <v>42.26</v>
    <v>41.965000000000003</v>
    <v>41.98</v>
    <v>42.055</v>
    <v>41.924999999999997</v>
    <v>42.09</v>
    <v>42.2</v>
    <v>42.08</v>
    <v>41.975000000000001</v>
    <v>41.83</v>
    <v>41.755000000000003</v>
    <v>41.604999999999997</v>
    <v>41.865000000000002</v>
    <v>41.795000000000002</v>
    <v>42.41</v>
    <v>42.46</v>
    <v>42.62</v>
    <v>43.23</v>
    <v>42.994999999999997</v>
    <v>43</v>
    <v>43.155000000000001</v>
    <v>43.244999999999997</v>
    <v>42.935000000000002</v>
    <v>42.805</v>
    <v>42.65</v>
    <v>42.59</v>
    <v>42.76</v>
    <v>42.6</v>
    <v>42.734999999999999</v>
    <v>42.704999999999998</v>
    <v>43.05</v>
    <v>42.9</v>
    <v>42.655000000000001</v>
    <v>42.99</v>
    <v>43.08</v>
    <v>43.094999999999999</v>
    <v>42.975000000000001</v>
    <v>42.91</v>
    <v>42.8</v>
    <v>42.58</v>
    <v>42.56</v>
    <v>42.65</v>
    <v>42.965000000000003</v>
    <v>43.38</v>
    <v>43.274999999999999</v>
    <v>43.43</v>
    <v>43.405000000000001</v>
    <v>43.42</v>
    <v>43.69</v>
    <v>43.945</v>
    <v>44.1</v>
    <v>44.02</v>
    <v>44.46</v>
    <v>44.195</v>
    <v>43.994999999999997</v>
    <v>44.005000000000003</v>
    <v>44.31</v>
    <v>44.02</v>
    <v>43.75</v>
    <v>43.965000000000003</v>
    <v>44.225000000000001</v>
    <v>44.085000000000001</v>
    <v>43.93</v>
    <v>44</v>
    <v>43.965000000000003</v>
    <v>44.38</v>
    <v>44.8</v>
    <v>45.37</v>
    <v>45.505000000000003</v>
    <v>44.375</v>
    <v>44.405000000000001</v>
    <v>44.59</v>
    <v>44.664999999999999</v>
    <v>44.73</v>
    <v>44.975000000000001</v>
    <v>45.23</v>
    <v>45.37</v>
    <v>45.305</v>
    <v>45.28</v>
    <v>45.314999999999998</v>
    <v>45.28</v>
    <v>45.064999999999998</v>
    <v>45.15</v>
    <v>45.13</v>
    <v>44.994999999999997</v>
    <v>45.06</v>
    <v>45.16</v>
    <v>45.174999999999997</v>
    <v>45.244999999999997</v>
    <v>45.215000000000003</v>
    <v>45.46</v>
    <v>45.27</v>
    <v>45.335000000000001</v>
    <v>45.31</v>
    <v>45.524999999999999</v>
    <v>45.255000000000003</v>
    <v>44.984999999999999</v>
    <v>44.755000000000003</v>
    <v>44.47</v>
    <v>44.454999999999998</v>
    <v>44.674999999999997</v>
    <v>45.18</v>
    <v>45.015000000000001</v>
    <v>44.99</v>
    <v>45.024999999999999</v>
    <v>44.78</v>
    <v>44.91</v>
    <v>44.935000000000002</v>
    <v>45</v>
    <v>44.905000000000001</v>
    <v>44.805</v>
    <v>44.74</v>
    <v>44.685000000000002</v>
    <v>44.78</v>
    <v>45.005000000000003</v>
    <v>45.06</v>
    <v>45.424999999999997</v>
    <v>45.6</v>
    <v>45.8</v>
    <v>45.65</v>
    <v>45.98</v>
    <v>46.244999999999997</v>
    <v>46.2</v>
    <v>46.52</v>
    <v>46.875</v>
    <v>46.814999999999998</v>
    <v>46.85</v>
    <v>47.15</v>
    <v>47.29</v>
    <v>47.784999999999997</v>
    <v>47.805</v>
  </a>
  <a r="1" c="761">
    <v>34.68</v>
    <v>34.9</v>
    <v>35.045000000000002</v>
    <v>35.024999999999999</v>
    <v>34.564999999999998</v>
    <v>34.549999999999997</v>
    <v>34.825000000000003</v>
    <v>35.119999999999997</v>
    <v>35.36</v>
    <v>35.409999999999997</v>
    <v>35.32</v>
    <v>35.405000000000001</v>
    <v>35.204999999999998</v>
    <v>35.255000000000003</v>
    <v>35.215000000000003</v>
    <v>35.35</v>
    <v>35.335000000000001</v>
    <v>35.21</v>
    <v>35.11</v>
    <v>35.145000000000003</v>
    <v>35.034999999999997</v>
    <v>35.130000000000003</v>
    <v>35.454999999999998</v>
    <v>35.505000000000003</v>
    <v>35.454999999999998</v>
    <v>35.435000000000002</v>
    <v>35.305</v>
    <v>35.265000000000001</v>
    <v>35.619999999999997</v>
    <v>35.965000000000003</v>
    <v>36.145000000000003</v>
    <v>36.229999999999997</v>
    <v>36.174999999999997</v>
    <v>36.284999999999997</v>
    <v>36.33</v>
    <v>36.6</v>
    <v>36.65</v>
    <v>36.72</v>
    <v>36.119999999999997</v>
    <v>36.034999999999997</v>
    <v>36.11</v>
    <v>35.975000000000001</v>
    <v>35.950000000000003</v>
    <v>35.770000000000003</v>
    <v>36.01</v>
    <v>35.744999999999997</v>
    <v>36.01</v>
    <v>36.094999999999999</v>
    <v>36.555</v>
    <v>36.725000000000001</v>
    <v>36.75</v>
    <v>36.58</v>
    <v>36.520000000000003</v>
    <v>36.755000000000003</v>
    <v>36.729999999999997</v>
    <v>36.664999999999999</v>
    <v>36.914999999999999</v>
    <v>37.08</v>
    <v>37.204999999999998</v>
    <v>37.185000000000002</v>
    <v>37.03</v>
    <v>37.174999999999997</v>
    <v>37.305</v>
    <v>37.424999999999997</v>
    <v>37.409999999999997</v>
    <v>37.465000000000003</v>
    <v>37.564999999999998</v>
    <v>37.725000000000001</v>
    <v>37.729999999999997</v>
    <v>37.825000000000003</v>
    <v>37.734999999999999</v>
    <v>37.909999999999997</v>
    <v>37.869999999999997</v>
    <v>37.884999999999998</v>
    <v>37.895000000000003</v>
    <v>37.61</v>
    <v>37.57</v>
    <v>37.659999999999997</v>
    <v>37.65</v>
    <v>37.664999999999999</v>
    <v>37.814999999999998</v>
    <v>37.945</v>
    <v>37.954999999999998</v>
    <v>37.909999999999997</v>
    <v>37.869999999999997</v>
    <v>38.049999999999997</v>
    <v>38.340000000000003</v>
    <v>38.174999999999997</v>
    <v>38.07</v>
    <v>38.094999999999999</v>
    <v>38.145000000000003</v>
    <v>38.08</v>
    <v>38.049999999999997</v>
    <v>37.994999999999997</v>
    <v>38.11</v>
    <v>38.15</v>
    <v>38.19</v>
    <v>38.17</v>
    <v>38.354999999999997</v>
    <v>38.314999999999998</v>
    <v>38.299999999999997</v>
    <v>38.265000000000001</v>
    <v>38.494999999999997</v>
    <v>38.575000000000003</v>
    <v>38.630000000000003</v>
    <v>38.770000000000003</v>
    <v>38.83</v>
    <v>38.64</v>
    <v>38.74</v>
    <v>38.869999999999997</v>
    <v>39.145000000000003</v>
    <v>38.865000000000002</v>
    <v>38.64</v>
    <v>38.54</v>
    <v>38.344999999999999</v>
    <v>38.299999999999997</v>
    <v>38.15</v>
    <v>38.305</v>
    <v>38.225000000000001</v>
    <v>38.39</v>
    <v>38.414999999999999</v>
    <v>38.04</v>
    <v>37.86</v>
    <v>37.99</v>
    <v>38.17</v>
    <v>38.484999999999999</v>
    <v>38.555</v>
    <v>38.409999999999997</v>
    <v>38.159999999999997</v>
    <v>38.340000000000003</v>
    <v>38.25</v>
    <v>38.164999999999999</v>
    <v>38.159999999999997</v>
    <v>38.07</v>
    <v>38.22</v>
    <v>38.424999999999997</v>
    <v>38.594999999999999</v>
    <v>38.58</v>
    <v>38.78</v>
    <v>38.774999999999999</v>
    <v>38.555</v>
    <v>38.625</v>
    <v>38.72</v>
    <v>38.715000000000003</v>
    <v>38.869999999999997</v>
    <v>38.770000000000003</v>
    <v>38.795000000000002</v>
    <v>38.6</v>
    <v>38.42</v>
    <v>38.4</v>
    <v>38.11</v>
    <v>37.869999999999997</v>
    <v>37.94</v>
    <v>38.115000000000002</v>
    <v>38.32</v>
    <v>38.354999999999997</v>
    <v>38.53</v>
    <v>38.61</v>
    <v>38.83</v>
    <v>38.825000000000003</v>
    <v>38.744999999999997</v>
    <v>38.454999999999998</v>
    <v>38.424999999999997</v>
    <v>38.655000000000001</v>
    <v>38.655000000000001</v>
    <v>38.840000000000003</v>
    <v>38.79</v>
    <v>39.034999999999997</v>
    <v>39.115000000000002</v>
    <v>39.42</v>
    <v>39.36</v>
    <v>39.159999999999997</v>
    <v>39.130000000000003</v>
    <v>39.200000000000003</v>
    <v>39.034999999999997</v>
    <v>38.945</v>
    <v>38.805</v>
    <v>38.884999999999998</v>
    <v>38.715000000000003</v>
    <v>38.85</v>
    <v>38.880000000000003</v>
    <v>39.024999999999999</v>
    <v>39.229999999999997</v>
    <v>39.4</v>
    <v>39.340000000000003</v>
    <v>39.615000000000002</v>
    <v>39.725000000000001</v>
    <v>39.950000000000003</v>
    <v>39.585000000000001</v>
    <v>39.700000000000003</v>
    <v>39.765000000000001</v>
    <v>39.58</v>
    <v>39.854999999999997</v>
    <v>40.045000000000002</v>
    <v>40.200000000000003</v>
    <v>40.335000000000001</v>
    <v>40.58</v>
    <v>40.414999999999999</v>
    <v>39.604999999999997</v>
    <v>39.130000000000003</v>
    <v>39.395000000000003</v>
    <v>39.869999999999997</v>
    <v>39.865000000000002</v>
    <v>39.865000000000002</v>
    <v>39.884999999999998</v>
    <v>40.005000000000003</v>
    <v>40.055</v>
    <v>40.51</v>
    <v>40.6</v>
    <v>40.56</v>
    <v>40.65</v>
    <v>40.805</v>
    <v>40.704999999999998</v>
    <v>40.869999999999997</v>
    <v>40.935000000000002</v>
    <v>41.23</v>
    <v>41.48</v>
    <v>41.465000000000003</v>
    <v>41.655000000000001</v>
    <v>41.78</v>
    <v>41.55</v>
    <v>41.28</v>
    <v>40.950000000000003</v>
    <v>41.37</v>
    <v>41.5</v>
    <v>41.045000000000002</v>
    <v>41.33</v>
    <v>41.53</v>
    <v>41.61</v>
    <v>41.57</v>
    <v>41.295000000000002</v>
    <v>41.2</v>
    <v>41.134999999999998</v>
    <v>41.445</v>
    <v>41.31</v>
    <v>41.185000000000002</v>
    <v>41.23</v>
    <v>41.38</v>
    <v>41.23</v>
    <v>41.695</v>
    <v>41.494999999999997</v>
    <v>41.505000000000003</v>
    <v>41.545000000000002</v>
    <v>41.44</v>
    <v>41.545000000000002</v>
    <v>41.784999999999997</v>
    <v>41.905000000000001</v>
    <v>41.984999999999999</v>
    <v>42.375</v>
    <v>42.524999999999999</v>
    <v>42.53</v>
    <v>42.774999999999999</v>
    <v>42.65</v>
    <v>42.55</v>
    <v>42.39</v>
    <v>42.335000000000001</v>
    <v>42.344999999999999</v>
    <v>42.08</v>
    <v>42.174999999999997</v>
    <v>42.185000000000002</v>
    <v>41.79</v>
    <v>41.564999999999998</v>
    <v>41.734999999999999</v>
    <v>41.445</v>
    <v>41.52</v>
    <v>42.534999999999997</v>
    <v>42.59</v>
    <v>43.08</v>
    <v>43.475000000000001</v>
    <v>43.25</v>
    <v>43.35</v>
    <v>43.375</v>
    <v>42.98</v>
    <v>42.884999999999998</v>
    <v>42.755000000000003</v>
    <v>42.954999999999998</v>
    <v>43.61</v>
    <v>44.225000000000001</v>
    <v>43.97</v>
    <v>44.13</v>
    <v>44.195</v>
    <v>44.174999999999997</v>
    <v>44.244999999999997</v>
    <v>44.435000000000002</v>
    <v>44.314999999999998</v>
    <v>44.21</v>
    <v>44.06</v>
    <v>43.965000000000003</v>
    <v>43.73</v>
    <v>43.585000000000001</v>
    <v>43.6</v>
    <v>43.575000000000003</v>
    <v>43.395000000000003</v>
    <v>43.25</v>
    <v>42.975000000000001</v>
    <v>42.96</v>
    <v>42.65</v>
    <v>42.72</v>
    <v>42.54</v>
    <v>42.875</v>
    <v>42.604999999999997</v>
    <v>43.13</v>
    <v>43.11</v>
    <v>42.715000000000003</v>
    <v>42.805</v>
    <v>42.914999999999999</v>
    <v>42.994999999999997</v>
    <v>42.704999999999998</v>
    <v>42.875</v>
    <v>42.72</v>
    <v>43.05</v>
    <v>43.17</v>
    <v>43.424999999999997</v>
    <v>43.04</v>
    <v>43.23</v>
    <v>43.174999999999997</v>
    <v>43.23</v>
    <v>42.965000000000003</v>
    <v>43.37</v>
    <v>43.875</v>
    <v>44.03</v>
    <v>44.255000000000003</v>
    <v>44.435000000000002</v>
    <v>44.66</v>
    <v>44.494999999999997</v>
    <v>44.524999999999999</v>
    <v>44.89</v>
    <v>44.825000000000003</v>
    <v>45.055</v>
    <v>44.954999999999998</v>
    <v>44.875</v>
    <v>44.85</v>
    <v>44.645000000000003</v>
    <v>44.68</v>
    <v>44.664999999999999</v>
    <v>44.905000000000001</v>
    <v>44.755000000000003</v>
    <v>44.9</v>
    <v>45.015000000000001</v>
    <v>45.134999999999998</v>
    <v>45.12</v>
    <v>45.465000000000003</v>
    <v>45.354999999999997</v>
    <v>45.73</v>
    <v>45.17</v>
    <v>43.994999999999997</v>
    <v>43.945</v>
    <v>43.875</v>
    <v>44.305</v>
    <v>43.125</v>
    <v>42.86</v>
    <v>43.055</v>
    <v>43.185000000000002</v>
    <v>43.594999999999999</v>
    <v>43.505000000000003</v>
    <v>43.674999999999997</v>
    <v>43.765000000000001</v>
    <v>43.78</v>
    <v>44.01</v>
    <v>43.954999999999998</v>
    <v>44.1</v>
    <v>44.314999999999998</v>
    <v>44.08</v>
    <v>44.225000000000001</v>
    <v>44.55</v>
    <v>44.17</v>
    <v>43.4</v>
    <v>42.295000000000002</v>
    <v>40.409999999999997</v>
    <v>41.484999999999999</v>
    <v>39.92</v>
    <v>40.99</v>
    <v>40.54</v>
    <v>41.51</v>
    <v>42.164999999999999</v>
    <v>41.914999999999999</v>
    <v>41.594999999999999</v>
    <v>41.19</v>
    <v>42.005000000000003</v>
    <v>41.81</v>
    <v>41.524999999999999</v>
    <v>41.865000000000002</v>
    <v>41.994999999999997</v>
    <v>42.354999999999997</v>
    <v>42.695</v>
    <v>42.84</v>
    <v>42.89</v>
    <v>42.78</v>
    <v>42.98</v>
    <v>42.784999999999997</v>
    <v>43.06</v>
    <v>42.805</v>
    <v>42.305</v>
    <v>42.9</v>
    <v>43.494999999999997</v>
    <v>43.375</v>
    <v>43.53</v>
    <v>43.134999999999998</v>
    <v>42.89</v>
    <v>42.685000000000002</v>
    <v>43.005000000000003</v>
    <v>43.045000000000002</v>
    <v>43</v>
    <v>42.71</v>
    <v>42.965000000000003</v>
    <v>42.74</v>
    <v>42.844999999999999</v>
    <v>42.805</v>
    <v>42.62</v>
    <v>42.844999999999999</v>
    <v>42.564999999999998</v>
    <v>42.48</v>
    <v>42.305</v>
    <v>42.055</v>
    <v>42.125</v>
    <v>42.04</v>
    <v>41.93</v>
    <v>41.79</v>
    <v>41.77</v>
    <v>41.8</v>
    <v>41.79</v>
    <v>41.71</v>
    <v>41.604999999999997</v>
    <v>41.33</v>
    <v>41.594999999999999</v>
    <v>41.534999999999997</v>
    <v>41.865000000000002</v>
    <v>41.4</v>
    <v>41.664999999999999</v>
    <v>41.494999999999997</v>
    <v>41.634999999999998</v>
    <v>41.66</v>
    <v>41.575000000000003</v>
    <v>41.73</v>
    <v>41.31</v>
    <v>41.49</v>
    <v>41.454999999999998</v>
    <v>41.225000000000001</v>
    <v>41.68</v>
    <v>41.57</v>
    <v>41.45</v>
    <v>41.46</v>
    <v>41.655000000000001</v>
    <v>41.72</v>
    <v>41.66</v>
    <v>41.78</v>
    <v>42.08</v>
    <v>42.185000000000002</v>
    <v>42.104999999999997</v>
    <v>41.634999999999998</v>
    <v>41.895000000000003</v>
    <v>41.8</v>
    <v>41.76</v>
    <v>41.54</v>
    <v>41.71</v>
    <v>41.93</v>
    <v>41.61</v>
    <v>41.79</v>
    <v>41.924999999999997</v>
    <v>42.125</v>
    <v>42.21</v>
    <v>42.505000000000003</v>
    <v>42.6</v>
    <v>42.38</v>
    <v>42.185000000000002</v>
    <v>41.954999999999998</v>
    <v>42.204999999999998</v>
    <v>41.97</v>
    <v>41.94</v>
    <v>42.19</v>
    <v>42.04</v>
    <v>41.93</v>
    <v>42.23</v>
    <v>41.88</v>
    <v>41.84</v>
    <v>41.92</v>
    <v>41.805</v>
    <v>42.15</v>
    <v>42.094999999999999</v>
    <v>41.784999999999997</v>
    <v>41.335000000000001</v>
    <v>41.45</v>
    <v>41.61</v>
    <v>41.585000000000001</v>
    <v>41.44</v>
    <v>41.424999999999997</v>
    <v>41.664999999999999</v>
    <v>41.58</v>
    <v>41.75</v>
    <v>41.75</v>
    <v>41.85</v>
    <v>42.13</v>
    <v>41.96</v>
    <v>42.104999999999997</v>
    <v>42.05</v>
    <v>42.24</v>
    <v>42.545000000000002</v>
    <v>42.564999999999998</v>
    <v>42.115000000000002</v>
    <v>42.155000000000001</v>
    <v>42.17</v>
    <v>42.18</v>
    <v>41.945</v>
    <v>41.935000000000002</v>
    <v>42.174999999999997</v>
    <v>42.41</v>
    <v>42.57</v>
    <v>42.27</v>
    <v>42.215000000000003</v>
    <v>42.234999999999999</v>
    <v>42.12</v>
    <v>41.575000000000003</v>
    <v>41.905000000000001</v>
    <v>41.72</v>
    <v>41.53</v>
    <v>41.594999999999999</v>
    <v>41.82</v>
    <v>41.54</v>
    <v>41.56</v>
    <v>41.69</v>
    <v>42.055</v>
    <v>42.34</v>
    <v>42.32</v>
    <v>42.265000000000001</v>
    <v>42.24</v>
    <v>42.005000000000003</v>
    <v>41.905000000000001</v>
    <v>42.064999999999998</v>
    <v>42.32</v>
    <v>42.36</v>
    <v>42.4</v>
    <v>42.54</v>
    <v>42.5</v>
    <v>42.575000000000003</v>
    <v>42.424999999999997</v>
    <v>42.094999999999999</v>
    <v>41.935000000000002</v>
    <v>41.98</v>
    <v>42.03</v>
    <v>41.865000000000002</v>
    <v>41.695</v>
    <v>41.59</v>
    <v>41.58</v>
    <v>41.634999999999998</v>
    <v>41.695</v>
    <v>41.505000000000003</v>
    <v>41.634999999999998</v>
    <v>41.81</v>
    <v>41.875</v>
    <v>41.704999999999998</v>
    <v>41.784999999999997</v>
    <v>41.98</v>
    <v>41.954999999999998</v>
    <v>41.645000000000003</v>
    <v>41.765000000000001</v>
    <v>41.86</v>
    <v>41.95</v>
    <v>42.195</v>
    <v>42.295000000000002</v>
    <v>42.26</v>
    <v>42.145000000000003</v>
    <v>42.274999999999999</v>
    <v>42.5</v>
    <v>42.365000000000002</v>
    <v>42.115000000000002</v>
    <v>41.78</v>
    <v>41.77</v>
    <v>41.895000000000003</v>
    <v>41.82</v>
    <v>41.774999999999999</v>
    <v>41.475000000000001</v>
    <v>41.575000000000003</v>
    <v>41.325000000000003</v>
    <v>41.524999999999999</v>
    <v>42.15</v>
    <v>42.085000000000001</v>
    <v>42.454999999999998</v>
    <v>42.585000000000001</v>
    <v>42.585000000000001</v>
    <v>42.46</v>
    <v>42.6</v>
    <v>42.7</v>
    <v>42.875</v>
    <v>42.91</v>
    <v>43.03</v>
    <v>42.93</v>
    <v>42.87</v>
    <v>43.07</v>
    <v>43.024999999999999</v>
    <v>43.14</v>
    <v>43.174999999999997</v>
    <v>43.17</v>
    <v>43.33</v>
    <v>43.59</v>
    <v>43.85</v>
    <v>43.59</v>
    <v>43.82</v>
    <v>43.73</v>
    <v>43.54</v>
    <v>43.56</v>
    <v>43.545000000000002</v>
    <v>43.28</v>
    <v>43.5</v>
    <v>43.715000000000003</v>
    <v>43.66</v>
    <v>43.725000000000001</v>
    <v>43.255000000000003</v>
    <v>42.725000000000001</v>
    <v>42.38</v>
    <v>42.344999999999999</v>
    <v>42.4</v>
    <v>42.42</v>
    <v>42.48</v>
    <v>42.25</v>
    <v>42.765000000000001</v>
    <v>42.465000000000003</v>
    <v>42.645000000000003</v>
    <v>42.91</v>
    <v>42.68</v>
    <v>42.725000000000001</v>
    <v>42.664999999999999</v>
    <v>42.18</v>
    <v>42.1</v>
    <v>42.11</v>
    <v>42.08</v>
    <v>42.33</v>
    <v>42.405000000000001</v>
    <v>42.58</v>
    <v>42.265000000000001</v>
    <v>42.195</v>
    <v>42.26</v>
    <v>41.965000000000003</v>
    <v>41.98</v>
    <v>42.055</v>
    <v>41.924999999999997</v>
    <v>42.09</v>
    <v>42.2</v>
    <v>42.08</v>
    <v>41.975000000000001</v>
    <v>41.83</v>
    <v>41.755000000000003</v>
    <v>41.604999999999997</v>
    <v>41.865000000000002</v>
    <v>41.795000000000002</v>
    <v>42.41</v>
    <v>42.46</v>
    <v>42.62</v>
    <v>43.23</v>
    <v>42.994999999999997</v>
    <v>43</v>
    <v>43.155000000000001</v>
    <v>43.244999999999997</v>
    <v>42.935000000000002</v>
    <v>42.805</v>
    <v>42.65</v>
    <v>42.59</v>
    <v>42.76</v>
    <v>42.6</v>
    <v>42.734999999999999</v>
    <v>42.704999999999998</v>
    <v>43.05</v>
    <v>42.9</v>
    <v>42.655000000000001</v>
    <v>42.99</v>
    <v>43.08</v>
    <v>43.094999999999999</v>
    <v>42.975000000000001</v>
    <v>42.91</v>
    <v>42.8</v>
    <v>42.58</v>
    <v>42.56</v>
    <v>42.65</v>
    <v>42.965000000000003</v>
    <v>43.38</v>
    <v>43.274999999999999</v>
    <v>43.43</v>
    <v>43.405000000000001</v>
    <v>43.42</v>
    <v>43.69</v>
    <v>43.945</v>
    <v>44.1</v>
    <v>44.02</v>
    <v>44.46</v>
    <v>44.195</v>
    <v>43.994999999999997</v>
    <v>44.005000000000003</v>
    <v>44.31</v>
    <v>44.02</v>
    <v>43.75</v>
    <v>43.965000000000003</v>
    <v>44.225000000000001</v>
    <v>44.085000000000001</v>
    <v>43.93</v>
    <v>44</v>
    <v>43.965000000000003</v>
    <v>44.38</v>
    <v>44.8</v>
    <v>45.37</v>
    <v>45.505000000000003</v>
    <v>44.375</v>
    <v>44.405000000000001</v>
    <v>44.59</v>
    <v>44.664999999999999</v>
    <v>44.73</v>
    <v>44.975000000000001</v>
    <v>45.23</v>
    <v>45.37</v>
    <v>45.305</v>
    <v>45.28</v>
    <v>45.314999999999998</v>
    <v>45.28</v>
    <v>45.064999999999998</v>
    <v>45.15</v>
    <v>45.13</v>
    <v>44.994999999999997</v>
    <v>45.06</v>
    <v>45.16</v>
    <v>45.174999999999997</v>
    <v>45.244999999999997</v>
    <v>45.215000000000003</v>
    <v>45.46</v>
    <v>45.27</v>
    <v>45.335000000000001</v>
    <v>45.31</v>
    <v>45.524999999999999</v>
    <v>45.255000000000003</v>
    <v>44.984999999999999</v>
    <v>44.755000000000003</v>
    <v>44.47</v>
    <v>44.454999999999998</v>
    <v>44.674999999999997</v>
    <v>45.18</v>
    <v>45.015000000000001</v>
    <v>44.99</v>
    <v>45.024999999999999</v>
    <v>44.78</v>
    <v>44.91</v>
    <v>44.935000000000002</v>
    <v>45</v>
    <v>44.905000000000001</v>
    <v>44.805</v>
    <v>44.74</v>
    <v>44.685000000000002</v>
    <v>44.78</v>
    <v>45.005000000000003</v>
    <v>45.06</v>
    <v>45.424999999999997</v>
    <v>45.6</v>
    <v>45.8</v>
    <v>45.65</v>
    <v>45.98</v>
    <v>46.244999999999997</v>
    <v>46.2</v>
    <v>46.52</v>
    <v>46.875</v>
    <v>46.814999999999998</v>
    <v>46.85</v>
    <v>47.15</v>
    <v>47.29</v>
    <v>47.784999999999997</v>
    <v>47.805</v>
  </a>
  <a r="1" c="205">
    <v>204.50110000000001</v>
    <v>205.32929999999999</v>
    <v>210.79060000000001</v>
    <v>214.8263</v>
    <v>209.1344</v>
    <v>215.14080000000001</v>
    <v>217.38399999999999</v>
    <v>218.66290000000001</v>
    <v>220.4239</v>
    <v>223.31700000000001</v>
    <v>225.39259999999999</v>
    <v>229.9734</v>
    <v>225.44499999999999</v>
    <v>229.74279999999999</v>
    <v>233.27529999999999</v>
    <v>232.14320000000001</v>
    <v>231.8288</v>
    <v>231.5667</v>
    <v>227.0907</v>
    <v>238.2021</v>
    <v>238.4956</v>
    <v>238.53749999999999</v>
    <v>242.04910000000001</v>
    <v>246.70330000000001</v>
    <v>245.1309</v>
    <v>249.87950000000001</v>
    <v>251.40989999999999</v>
    <v>255.0787</v>
    <v>254.40780000000001</v>
    <v>251.39940000000001</v>
    <v>253.02420000000001</v>
    <v>254.3554</v>
    <v>252.77260000000001</v>
    <v>252.38470000000001</v>
    <v>255.73910000000001</v>
    <v>254.7852</v>
    <v>255.36170000000001</v>
    <v>253.8837</v>
    <v>252.5001</v>
    <v>255.3408</v>
    <v>260.00540000000001</v>
    <v>255.61330000000001</v>
    <v>257.8356</v>
    <v>249.87950000000001</v>
    <v>246.6404</v>
    <v>249.0513</v>
    <v>252.21700000000001</v>
    <v>250.9906</v>
    <v>244.6592</v>
    <v>245.81229999999999</v>
    <v>245.8228</v>
    <v>242.58369999999999</v>
    <v>241.01130000000001</v>
    <v>240.07839999999999</v>
    <v>232.18520000000001</v>
    <v>233.768</v>
    <v>232.2585</v>
    <v>236.68209999999999</v>
    <v>236.03219999999999</v>
    <v>233.88329999999999</v>
    <v>234.26070000000001</v>
    <v>236.93369999999999</v>
    <v>239.20840000000001</v>
    <v>240.5187</v>
    <v>239.21889999999999</v>
    <v>234.63800000000001</v>
    <v>243.68440000000001</v>
    <v>247.44749999999999</v>
    <v>246.3783</v>
    <v>244.91079999999999</v>
    <v>244.4915</v>
    <v>243.39080000000001</v>
    <v>240.4453</v>
    <v>244.81649999999999</v>
    <v>240.8227</v>
    <v>232.93989999999999</v>
    <v>230.5814</v>
    <v>224.6798</v>
    <v>223.45330000000001</v>
    <v>222.27930000000001</v>
    <v>223.20169999999999</v>
    <v>220.44489999999999</v>
    <v>224.66929999999999</v>
    <v>222.751</v>
    <v>219.70060000000001</v>
    <v>219.14510000000001</v>
    <v>227.32130000000001</v>
    <v>226.4932</v>
    <v>223.40090000000001</v>
    <v>229.6799</v>
    <v>229.08240000000001</v>
    <v>228.4744</v>
    <v>228.22280000000001</v>
    <v>223.52670000000001</v>
    <v>227.70920000000001</v>
    <v>227.62530000000001</v>
    <v>227.87690000000001</v>
    <v>234.59610000000001</v>
    <v>238.91489999999999</v>
    <v>242.8982</v>
    <v>242.72</v>
    <v>244.23990000000001</v>
    <v>249.33439999999999</v>
    <v>247.95070000000001</v>
    <v>246.57749999999999</v>
    <v>234.0301</v>
    <v>228.13900000000001</v>
    <v>224.2919</v>
    <v>222.0172</v>
    <v>226.1054</v>
    <v>215.8117</v>
    <v>229.69030000000001</v>
    <v>230.93780000000001</v>
    <v>238.38030000000001</v>
    <v>240.56059999999999</v>
    <v>239.63810000000001</v>
    <v>240.0574</v>
    <v>239.114</v>
    <v>233.09710000000001</v>
    <v>238.39070000000001</v>
    <v>242.39500000000001</v>
    <v>243.4118</v>
    <v>227.8</v>
    <v>223.9</v>
    <v>221.75</v>
    <v>229.86</v>
    <v>231.18</v>
    <v>225.05</v>
    <v>220.36</v>
    <v>223.42</v>
    <v>226.42</v>
    <v>222.25</v>
    <v>222.68</v>
    <v>222.84</v>
    <v>226.33</v>
    <v>225.02</v>
    <v>226.18</v>
    <v>229.86</v>
    <v>232.99</v>
    <v>246.27</v>
    <v>243.15</v>
    <v>245.75</v>
    <v>247.05</v>
    <v>241.12</v>
    <v>241.91</v>
    <v>243.05</v>
    <v>246.77</v>
    <v>248.79</v>
    <v>248.12</v>
    <v>240.74</v>
    <v>246.21</v>
    <v>242.93</v>
    <v>230.12</v>
    <v>235.34</v>
    <v>233.99</v>
    <v>233.96</v>
    <v>229.45</v>
    <v>227.71</v>
    <v>221.73</v>
    <v>218.32</v>
    <v>215.9</v>
    <v>214.77</v>
    <v>215.68</v>
    <v>220.67</v>
    <v>220.39</v>
    <v>217.43</v>
    <v>213.53</v>
    <v>209.98</v>
    <v>206.07</v>
    <v>207.63</v>
    <v>209.61</v>
    <v>208.24</v>
    <v>204.93</v>
    <v>202.18</v>
    <v>202.36</v>
    <v>201.38</v>
    <v>203.44</v>
    <v>207.66</v>
    <v>206.49</v>
    <v>206.46</v>
    <v>206.48</v>
    <v>211.85</v>
    <v>212.57</v>
    <v>211.79</v>
    <v>212.55</v>
    <v>211.52</v>
    <v>210.13</v>
    <v>210.94</v>
    <v>213.8</v>
    <v>213.99</v>
    <v>214.14</v>
    <v>212.87</v>
    <v>208.11</v>
    <v>206.6</v>
    <v>207.73</v>
    <v>209.64</v>
    <v>207.29</v>
    <v>207.61</v>
    <v>210.5</v>
    <v>211.41</v>
    <v>209.98</v>
    <v>213.32</v>
    <v>214.73</v>
    <v>218.31</v>
    <v>221.15</v>
  </a>
  <a r="1" c="754">
    <v>178.2852</v>
    <v>179.21360000000001</v>
    <v>175.8853</v>
    <v>173.88040000000001</v>
    <v>174.80879999999999</v>
    <v>177.5247</v>
    <v>180.9913</v>
    <v>181.7123</v>
    <v>184.12200000000001</v>
    <v>186.65039999999999</v>
    <v>185.1788</v>
    <v>184.2998</v>
    <v>182.33449999999999</v>
    <v>181.40610000000001</v>
    <v>184.39859999999999</v>
    <v>184.2011</v>
    <v>187.88489999999999</v>
    <v>187.20339999999999</v>
    <v>188.34909999999999</v>
    <v>188.84289999999999</v>
    <v>189.4256</v>
    <v>188.8725</v>
    <v>189.92930000000001</v>
    <v>191.01560000000001</v>
    <v>190.58109999999999</v>
    <v>191.86500000000001</v>
    <v>191.85509999999999</v>
    <v>193.49459999999999</v>
    <v>195.33150000000001</v>
    <v>195.90440000000001</v>
    <v>194.51179999999999</v>
    <v>195.34139999999999</v>
    <v>195.34139999999999</v>
    <v>192.20079999999999</v>
    <v>197.9092</v>
    <v>199.0154</v>
    <v>200.5659</v>
    <v>200.89179999999999</v>
    <v>200.88200000000001</v>
    <v>202.5609</v>
    <v>202.06710000000001</v>
    <v>200.38820000000001</v>
    <v>202.51150000000001</v>
    <v>203.0942</v>
    <v>205.46449999999999</v>
    <v>206.4324</v>
    <v>206.5805</v>
    <v>207.1138</v>
    <v>206.4126</v>
    <v>201.99799999999999</v>
    <v>202.36340000000001</v>
    <v>201.0104</v>
    <v>200.15110000000001</v>
    <v>199.13390000000001</v>
    <v>199.89429999999999</v>
    <v>199.17339999999999</v>
    <v>198.6104</v>
    <v>195.32169999999999</v>
    <v>195.49940000000001</v>
    <v>197.6524</v>
    <v>198.2944</v>
    <v>198.55119999999999</v>
    <v>200.42769999999999</v>
    <v>197.39570000000001</v>
    <v>200.05240000000001</v>
    <v>199.30179999999999</v>
    <v>200.53630000000001</v>
    <v>203.351</v>
    <v>199.7561</v>
    <v>194.8674</v>
    <v>193.68219999999999</v>
    <v>190.6206</v>
    <v>191.24279999999999</v>
    <v>191.69710000000001</v>
    <v>191.065</v>
    <v>192.42789999999999</v>
    <v>194.90690000000001</v>
    <v>191.60820000000001</v>
    <v>192.45760000000001</v>
    <v>195.49940000000001</v>
    <v>194.72909999999999</v>
    <v>196.47720000000001</v>
    <v>197.0599</v>
    <v>198.32400000000001</v>
    <v>198.1463</v>
    <v>196.72409999999999</v>
    <v>195.72659999999999</v>
    <v>195.1241</v>
    <v>196.2698</v>
    <v>196.2105</v>
    <v>196.77350000000001</v>
    <v>194.90690000000001</v>
    <v>198.0179</v>
    <v>200.10169999999999</v>
    <v>198.26480000000001</v>
    <v>197.81049999999999</v>
    <v>196.66480000000001</v>
    <v>197.25739999999999</v>
    <v>193.91919999999999</v>
    <v>195.24270000000001</v>
    <v>194.32419999999999</v>
    <v>196.57589999999999</v>
    <v>198.68940000000001</v>
    <v>198.887</v>
    <v>198.245</v>
    <v>196.02289999999999</v>
    <v>198.51169999999999</v>
    <v>202.59049999999999</v>
    <v>202.70910000000001</v>
    <v>199.50919999999999</v>
    <v>197.75120000000001</v>
    <v>195.51920000000001</v>
    <v>193.62299999999999</v>
    <v>194.70930000000001</v>
    <v>195.31180000000001</v>
    <v>195.9537</v>
    <v>193.22790000000001</v>
    <v>194.43279999999999</v>
    <v>193.73159999999999</v>
    <v>191.6378</v>
    <v>188.35890000000001</v>
    <v>188.0034</v>
    <v>188.71449999999999</v>
    <v>191.85509999999999</v>
    <v>193.15880000000001</v>
    <v>193.73159999999999</v>
    <v>192.37860000000001</v>
    <v>190.63050000000001</v>
    <v>191.05510000000001</v>
    <v>191.37119999999999</v>
    <v>190.3441</v>
    <v>192.88220000000001</v>
    <v>191.24279999999999</v>
    <v>193.38589999999999</v>
    <v>192.58600000000001</v>
    <v>194.41309999999999</v>
    <v>195.59819999999999</v>
    <v>198.1463</v>
    <v>200.40790000000001</v>
    <v>201.27699999999999</v>
    <v>200.6943</v>
    <v>202.5214</v>
    <v>204.06209999999999</v>
    <v>203.42009999999999</v>
    <v>202.08690000000001</v>
    <v>200.9906</v>
    <v>200.2894</v>
    <v>196.92160000000001</v>
    <v>197.21789999999999</v>
    <v>196.71420000000001</v>
    <v>194.63030000000001</v>
    <v>198.4228</v>
    <v>199.68690000000001</v>
    <v>199.95359999999999</v>
    <v>204.66460000000001</v>
    <v>206.67930000000001</v>
    <v>205.86940000000001</v>
    <v>206.19540000000001</v>
    <v>208.1311</v>
    <v>206.88669999999999</v>
    <v>205.9188</v>
    <v>206.0472</v>
    <v>205.9485</v>
    <v>209.3261</v>
    <v>210.2347</v>
    <v>211.489</v>
    <v>212.4272</v>
    <v>213.21729999999999</v>
    <v>211.79519999999999</v>
    <v>210.7878</v>
    <v>211.726</v>
    <v>210.8964</v>
    <v>208.33850000000001</v>
    <v>210.59030000000001</v>
    <v>209.82980000000001</v>
    <v>209.61250000000001</v>
    <v>209.01009999999999</v>
    <v>207.99279999999999</v>
    <v>211.8347</v>
    <v>212.1902</v>
    <v>212.447</v>
    <v>213.04939999999999</v>
    <v>215.7654</v>
    <v>217.48390000000001</v>
    <v>214.9753</v>
    <v>211.95320000000001</v>
    <v>214.28399999999999</v>
    <v>214.68889999999999</v>
    <v>211.0051</v>
    <v>199.94370000000001</v>
    <v>200.23009999999999</v>
    <v>198.9067</v>
    <v>200.13140000000001</v>
    <v>202.21530000000001</v>
    <v>202.04740000000001</v>
    <v>201.16839999999999</v>
    <v>197.23759999999999</v>
    <v>196.3389</v>
    <v>195.46979999999999</v>
    <v>197.34630000000001</v>
    <v>195.77600000000001</v>
    <v>194.35380000000001</v>
    <v>194.2945</v>
    <v>195.15379999999999</v>
    <v>196.00309999999999</v>
    <v>196.04259999999999</v>
    <v>196.57589999999999</v>
    <v>197.5932</v>
    <v>198.9265</v>
    <v>197.66229999999999</v>
    <v>199.9734</v>
    <v>201.32640000000001</v>
    <v>203.55840000000001</v>
    <v>202.4572</v>
    <v>204.94110000000001</v>
    <v>205.33609999999999</v>
    <v>202.32390000000001</v>
    <v>202.99549999999999</v>
    <v>200.46719999999999</v>
    <v>195.6772</v>
    <v>198.66970000000001</v>
    <v>198.4623</v>
    <v>201.51400000000001</v>
    <v>202.1362</v>
    <v>201.62270000000001</v>
    <v>202.14609999999999</v>
    <v>201.7116</v>
    <v>199.1438</v>
    <v>201.17830000000001</v>
    <v>200.83260000000001</v>
    <v>201.2474</v>
    <v>202.72880000000001</v>
    <v>204.2201</v>
    <v>204.46700000000001</v>
    <v>205.05959999999999</v>
    <v>204.15100000000001</v>
    <v>203.5189</v>
    <v>201.35599999999999</v>
    <v>200.36840000000001</v>
    <v>201.25729999999999</v>
    <v>200.81280000000001</v>
    <v>204.4374</v>
    <v>211.05449999999999</v>
    <v>210.95570000000001</v>
    <v>213.31610000000001</v>
    <v>214.90620000000001</v>
    <v>214.58029999999999</v>
    <v>216.24930000000001</v>
    <v>216.83199999999999</v>
    <v>219.2715</v>
    <v>218.75790000000001</v>
    <v>219.59739999999999</v>
    <v>217.6123</v>
    <v>206.51140000000001</v>
    <v>205.42500000000001</v>
    <v>203.54849999999999</v>
    <v>203.43</v>
    <v>201.6721</v>
    <v>203.1337</v>
    <v>206.6003</v>
    <v>204.97069999999999</v>
    <v>206.19540000000001</v>
    <v>213.721</v>
    <v>214.8074</v>
    <v>216.77279999999999</v>
    <v>222.45160000000001</v>
    <v>231.01429999999999</v>
    <v>230.18469999999999</v>
    <v>227.81440000000001</v>
    <v>226.15520000000001</v>
    <v>226.01689999999999</v>
    <v>225.3749</v>
    <v>223.8639</v>
    <v>223.2911</v>
    <v>226.27369999999999</v>
    <v>227.74520000000001</v>
    <v>227.54769999999999</v>
    <v>226.7971</v>
    <v>230.04640000000001</v>
    <v>227.10329999999999</v>
    <v>224.15029999999999</v>
    <v>226.9453</v>
    <v>223.48859999999999</v>
    <v>223.57749999999999</v>
    <v>222.30340000000001</v>
    <v>226.2441</v>
    <v>226.2243</v>
    <v>224.87129999999999</v>
    <v>224.8021</v>
    <v>233.07839999999999</v>
    <v>230.2439</v>
    <v>224.0515</v>
    <v>224.07130000000001</v>
    <v>225.49350000000001</v>
    <v>224.32810000000001</v>
    <v>226.06630000000001</v>
    <v>228.9896</v>
    <v>226.6687</v>
    <v>223.79480000000001</v>
    <v>223.09350000000001</v>
    <v>222.72810000000001</v>
    <v>223.7157</v>
    <v>218.9949</v>
    <v>217.89869999999999</v>
    <v>217.4444</v>
    <v>215.4889</v>
    <v>216.38759999999999</v>
    <v>215.79499999999999</v>
    <v>216.82220000000001</v>
    <v>219.9332</v>
    <v>219.8245</v>
    <v>222.28370000000001</v>
    <v>220.32820000000001</v>
    <v>222.8664</v>
    <v>218.76779999999999</v>
    <v>222.91579999999999</v>
    <v>217.96780000000001</v>
    <v>218.3135</v>
    <v>221.28620000000001</v>
    <v>220.9504</v>
    <v>219.6566</v>
    <v>220.7825</v>
    <v>219.59739999999999</v>
    <v>207.2225</v>
    <v>202.97569999999999</v>
    <v>205.93860000000001</v>
    <v>204.37809999999999</v>
    <v>202.47200000000001</v>
    <v>202.72880000000001</v>
    <v>200.24</v>
    <v>205.46449999999999</v>
    <v>208.2002</v>
    <v>208.73349999999999</v>
    <v>209.31620000000001</v>
    <v>207.31139999999999</v>
    <v>209.37549999999999</v>
    <v>208.71379999999999</v>
    <v>209.6422</v>
    <v>210.25450000000001</v>
    <v>209.39529999999999</v>
    <v>205.42500000000001</v>
    <v>207.02500000000001</v>
    <v>208.6447</v>
    <v>211.86429999999999</v>
    <v>211.173</v>
    <v>206.0077</v>
    <v>203.7954</v>
    <v>204.13120000000001</v>
    <v>206.8768</v>
    <v>207.8151</v>
    <v>207.14349999999999</v>
    <v>206.06700000000001</v>
    <v>208.2792</v>
    <v>207.5188</v>
    <v>209.22739999999999</v>
    <v>209.494</v>
    <v>210.48159999999999</v>
    <v>211.51859999999999</v>
    <v>207.73599999999999</v>
    <v>209.12860000000001</v>
    <v>210.8075</v>
    <v>213.31610000000001</v>
    <v>204.12139999999999</v>
    <v>188.62559999999999</v>
    <v>185.13929999999999</v>
    <v>180.59620000000001</v>
    <v>196.6352</v>
    <v>190.99590000000001</v>
    <v>196.09200000000001</v>
    <v>197.77099999999999</v>
    <v>196.34880000000001</v>
    <v>190.88720000000001</v>
    <v>194.1661</v>
    <v>191.82550000000001</v>
    <v>195.91419999999999</v>
    <v>194.8674</v>
    <v>198.25489999999999</v>
    <v>196.69450000000001</v>
    <v>198.17590000000001</v>
    <v>208.87180000000001</v>
    <v>207.89410000000001</v>
    <v>208.1311</v>
    <v>211.47909999999999</v>
    <v>211.5976</v>
    <v>207.33109999999999</v>
    <v>211.95320000000001</v>
    <v>211.88409999999999</v>
    <v>210.39269999999999</v>
    <v>216.62459999999999</v>
    <v>215.51849999999999</v>
    <v>214.4914</v>
    <v>219.53809999999999</v>
    <v>220.1208</v>
    <v>222.15530000000001</v>
    <v>222.27379999999999</v>
    <v>219.1233</v>
    <v>220.86150000000001</v>
    <v>219.28129999999999</v>
    <v>223.65649999999999</v>
    <v>221.82939999999999</v>
    <v>222.40219999999999</v>
    <v>223.8639</v>
    <v>222.72810000000001</v>
    <v>223.96270000000001</v>
    <v>224.63419999999999</v>
    <v>223.8639</v>
    <v>225.9478</v>
    <v>224.31819999999999</v>
    <v>223.459</v>
    <v>223.02440000000001</v>
    <v>223.2516</v>
    <v>221.51339999999999</v>
    <v>221.3158</v>
    <v>219.04429999999999</v>
    <v>219.1233</v>
    <v>219.05420000000001</v>
    <v>221.95779999999999</v>
    <v>221.81950000000001</v>
    <v>219.04429999999999</v>
    <v>223.57749999999999</v>
    <v>226.01689999999999</v>
    <v>229.99700000000001</v>
    <v>235.8141</v>
    <v>236.298</v>
    <v>237.4239</v>
    <v>236.3869</v>
    <v>236.8313</v>
    <v>235.7647</v>
    <v>233.8389</v>
    <v>233.0093</v>
    <v>235.1129</v>
    <v>232.3871</v>
    <v>233.94749999999999</v>
    <v>235.41900000000001</v>
    <v>233.61170000000001</v>
    <v>232.30799999999999</v>
    <v>233.65119999999999</v>
    <v>236.30789999999999</v>
    <v>221.70099999999999</v>
    <v>221.464</v>
    <v>222.2936</v>
    <v>218.9752</v>
    <v>219.40969999999999</v>
    <v>219.59739999999999</v>
    <v>215.01480000000001</v>
    <v>218.05670000000001</v>
    <v>218.32329999999999</v>
    <v>216.51599999999999</v>
    <v>213.89879999999999</v>
    <v>213.63210000000001</v>
    <v>213.7704</v>
    <v>214.3235</v>
    <v>217.0197</v>
    <v>215.49870000000001</v>
    <v>214.0864</v>
    <v>213.721</v>
    <v>214.05680000000001</v>
    <v>214.31360000000001</v>
    <v>214.72839999999999</v>
    <v>220.07140000000001</v>
    <v>217.87889999999999</v>
    <v>219.8048</v>
    <v>218.511</v>
    <v>218.6097</v>
    <v>216.78270000000001</v>
    <v>214.90620000000001</v>
    <v>211.35069999999999</v>
    <v>212.49639999999999</v>
    <v>211.5976</v>
    <v>212.0915</v>
    <v>211.54830000000001</v>
    <v>209.07919999999999</v>
    <v>212.64449999999999</v>
    <v>208.84219999999999</v>
    <v>209.11869999999999</v>
    <v>208.33850000000001</v>
    <v>209.05950000000001</v>
    <v>207.59780000000001</v>
    <v>206.77809999999999</v>
    <v>206.4126</v>
    <v>206.71879999999999</v>
    <v>206.01759999999999</v>
    <v>205.12870000000001</v>
    <v>205.61269999999999</v>
    <v>206.6892</v>
    <v>207.89410000000001</v>
    <v>207.578</v>
    <v>208.39779999999999</v>
    <v>206.46199999999999</v>
    <v>206.4126</v>
    <v>206.3929</v>
    <v>207.25210000000001</v>
    <v>201.70169999999999</v>
    <v>198.4228</v>
    <v>200.398</v>
    <v>206.0275</v>
    <v>199.9931</v>
    <v>200.65479999999999</v>
    <v>200.44739999999999</v>
    <v>203.4794</v>
    <v>206.49160000000001</v>
    <v>204.0522</v>
    <v>217.93819999999999</v>
    <v>213.46420000000001</v>
    <v>212.4075</v>
    <v>211.75569999999999</v>
    <v>210.25450000000001</v>
    <v>209.76329999999999</v>
    <v>211.04220000000001</v>
    <v>207.31039999999999</v>
    <v>205.93719999999999</v>
    <v>206.5557</v>
    <v>205.36070000000001</v>
    <v>203.43190000000001</v>
    <v>205.5284</v>
    <v>210.0778</v>
    <v>211.31469999999999</v>
    <v>209.51169999999999</v>
    <v>208.64169999999999</v>
    <v>205.53890000000001</v>
    <v>200.68549999999999</v>
    <v>199.76310000000001</v>
    <v>197.2159</v>
    <v>199.1866</v>
    <v>197.761</v>
    <v>200.23480000000001</v>
    <v>199.1551</v>
    <v>201.46119999999999</v>
    <v>199.39619999999999</v>
    <v>202.4676</v>
    <v>202.803</v>
    <v>201.50319999999999</v>
    <v>200.5598</v>
    <v>201.2516</v>
    <v>199.34379999999999</v>
    <v>201.32499999999999</v>
    <v>203.2013</v>
    <v>203.00219999999999</v>
    <v>206.97499999999999</v>
    <v>207.82409999999999</v>
    <v>209.53270000000001</v>
    <v>207.6354</v>
    <v>208.71510000000001</v>
    <v>205.41309999999999</v>
    <v>204.93090000000001</v>
    <v>206.4299</v>
    <v>206.89109999999999</v>
    <v>206.5976</v>
    <v>205.83240000000001</v>
    <v>204.50110000000001</v>
    <v>205.32929999999999</v>
    <v>210.79060000000001</v>
    <v>214.8263</v>
    <v>209.1344</v>
    <v>215.14080000000001</v>
    <v>217.38399999999999</v>
    <v>218.66290000000001</v>
    <v>220.4239</v>
    <v>223.31700000000001</v>
    <v>225.39259999999999</v>
    <v>229.9734</v>
    <v>225.44499999999999</v>
    <v>229.74279999999999</v>
    <v>233.27529999999999</v>
    <v>232.14320000000001</v>
    <v>231.8288</v>
    <v>231.5667</v>
    <v>227.0907</v>
    <v>238.2021</v>
    <v>238.4956</v>
    <v>238.53749999999999</v>
    <v>242.04910000000001</v>
    <v>246.70330000000001</v>
    <v>245.1309</v>
    <v>249.87950000000001</v>
    <v>251.40989999999999</v>
    <v>255.0787</v>
    <v>254.40780000000001</v>
    <v>251.39940000000001</v>
    <v>253.02420000000001</v>
    <v>254.3554</v>
    <v>252.77260000000001</v>
    <v>252.38470000000001</v>
    <v>255.73910000000001</v>
    <v>254.7852</v>
    <v>255.36170000000001</v>
    <v>253.8837</v>
    <v>252.5001</v>
    <v>255.3408</v>
    <v>260.00540000000001</v>
    <v>255.61330000000001</v>
    <v>257.8356</v>
    <v>249.87950000000001</v>
    <v>246.6404</v>
    <v>249.0513</v>
    <v>252.21700000000001</v>
    <v>250.9906</v>
    <v>244.6592</v>
    <v>245.81229999999999</v>
    <v>245.8228</v>
    <v>242.58369999999999</v>
    <v>241.01130000000001</v>
    <v>240.07839999999999</v>
    <v>232.18520000000001</v>
    <v>233.768</v>
    <v>232.2585</v>
    <v>236.68209999999999</v>
    <v>236.03219999999999</v>
    <v>233.88329999999999</v>
    <v>234.26070000000001</v>
    <v>236.93369999999999</v>
    <v>239.20840000000001</v>
    <v>240.5187</v>
    <v>239.21889999999999</v>
    <v>234.63800000000001</v>
    <v>243.68440000000001</v>
    <v>247.44749999999999</v>
    <v>246.3783</v>
    <v>244.91079999999999</v>
    <v>244.4915</v>
    <v>243.39080000000001</v>
    <v>240.4453</v>
    <v>244.81649999999999</v>
    <v>240.8227</v>
    <v>232.93989999999999</v>
    <v>230.5814</v>
    <v>224.6798</v>
    <v>223.45330000000001</v>
    <v>222.27930000000001</v>
    <v>223.20169999999999</v>
    <v>220.44489999999999</v>
    <v>224.66929999999999</v>
    <v>222.751</v>
    <v>219.70060000000001</v>
    <v>219.14510000000001</v>
    <v>227.32130000000001</v>
    <v>226.4932</v>
    <v>223.40090000000001</v>
    <v>229.6799</v>
    <v>229.08240000000001</v>
    <v>228.4744</v>
    <v>228.22280000000001</v>
    <v>223.52670000000001</v>
    <v>227.70920000000001</v>
    <v>227.62530000000001</v>
    <v>227.87690000000001</v>
    <v>234.59610000000001</v>
    <v>238.91489999999999</v>
    <v>242.8982</v>
    <v>242.72</v>
    <v>244.23990000000001</v>
    <v>249.33439999999999</v>
    <v>247.95070000000001</v>
    <v>246.57749999999999</v>
    <v>234.0301</v>
    <v>228.13900000000001</v>
    <v>224.2919</v>
    <v>222.0172</v>
    <v>226.1054</v>
    <v>215.8117</v>
    <v>229.69030000000001</v>
    <v>230.93780000000001</v>
    <v>238.38030000000001</v>
    <v>240.56059999999999</v>
    <v>239.63810000000001</v>
    <v>240.0574</v>
    <v>239.114</v>
    <v>233.09710000000001</v>
    <v>238.39070000000001</v>
    <v>242.39500000000001</v>
    <v>243.4118</v>
    <v>227.8</v>
    <v>223.9</v>
    <v>221.75</v>
    <v>229.86</v>
    <v>231.18</v>
    <v>225.05</v>
    <v>220.36</v>
    <v>223.42</v>
    <v>226.42</v>
    <v>222.25</v>
    <v>222.68</v>
    <v>222.84</v>
    <v>226.33</v>
    <v>225.02</v>
    <v>226.18</v>
    <v>229.86</v>
    <v>232.99</v>
    <v>246.27</v>
    <v>243.15</v>
    <v>245.75</v>
    <v>247.05</v>
    <v>241.12</v>
    <v>241.91</v>
    <v>243.05</v>
    <v>246.77</v>
    <v>248.79</v>
    <v>248.12</v>
    <v>240.74</v>
    <v>246.21</v>
    <v>242.93</v>
    <v>230.12</v>
    <v>235.34</v>
    <v>233.99</v>
    <v>233.96</v>
    <v>229.45</v>
    <v>227.71</v>
    <v>221.73</v>
    <v>218.32</v>
    <v>215.9</v>
    <v>214.77</v>
    <v>215.68</v>
    <v>220.67</v>
    <v>220.39</v>
    <v>217.43</v>
    <v>213.53</v>
    <v>209.98</v>
    <v>206.07</v>
    <v>207.63</v>
    <v>209.61</v>
    <v>208.24</v>
    <v>204.93</v>
    <v>202.18</v>
    <v>202.36</v>
    <v>201.38</v>
    <v>203.44</v>
    <v>207.66</v>
    <v>206.49</v>
    <v>206.46</v>
    <v>206.48</v>
    <v>211.85</v>
    <v>212.57</v>
    <v>211.79</v>
    <v>212.55</v>
    <v>211.52</v>
    <v>210.13</v>
    <v>210.94</v>
    <v>213.8</v>
    <v>213.99</v>
    <v>214.14</v>
    <v>212.87</v>
    <v>208.11</v>
    <v>206.6</v>
    <v>207.73</v>
    <v>209.64</v>
    <v>207.29</v>
    <v>207.61</v>
    <v>210.5</v>
    <v>211.41</v>
    <v>209.98</v>
    <v>213.32</v>
    <v>214.73</v>
    <v>218.31</v>
    <v>221.15</v>
  </a>
  <a r="1" c="252">
    <v>217.93819999999999</v>
    <v>213.46420000000001</v>
    <v>212.4075</v>
    <v>211.75569999999999</v>
    <v>210.25450000000001</v>
    <v>209.76329999999999</v>
    <v>211.04220000000001</v>
    <v>207.31039999999999</v>
    <v>205.93719999999999</v>
    <v>206.5557</v>
    <v>205.36070000000001</v>
    <v>203.43190000000001</v>
    <v>205.5284</v>
    <v>210.0778</v>
    <v>211.31469999999999</v>
    <v>209.51169999999999</v>
    <v>208.64169999999999</v>
    <v>205.53890000000001</v>
    <v>200.68549999999999</v>
    <v>199.76310000000001</v>
    <v>197.2159</v>
    <v>199.1866</v>
    <v>197.761</v>
    <v>200.23480000000001</v>
    <v>199.1551</v>
    <v>201.46119999999999</v>
    <v>199.39619999999999</v>
    <v>202.4676</v>
    <v>202.803</v>
    <v>201.50319999999999</v>
    <v>200.5598</v>
    <v>201.2516</v>
    <v>199.34379999999999</v>
    <v>201.32499999999999</v>
    <v>203.2013</v>
    <v>203.00219999999999</v>
    <v>206.97499999999999</v>
    <v>207.82409999999999</v>
    <v>209.53270000000001</v>
    <v>207.6354</v>
    <v>208.71510000000001</v>
    <v>205.41309999999999</v>
    <v>204.93090000000001</v>
    <v>206.4299</v>
    <v>206.89109999999999</v>
    <v>206.5976</v>
    <v>205.83240000000001</v>
    <v>204.50110000000001</v>
    <v>205.32929999999999</v>
    <v>210.79060000000001</v>
    <v>214.8263</v>
    <v>209.1344</v>
    <v>215.14080000000001</v>
    <v>217.38399999999999</v>
    <v>218.66290000000001</v>
    <v>220.4239</v>
    <v>223.31700000000001</v>
    <v>225.39259999999999</v>
    <v>229.9734</v>
    <v>225.44499999999999</v>
    <v>229.74279999999999</v>
    <v>233.27529999999999</v>
    <v>232.14320000000001</v>
    <v>231.8288</v>
    <v>231.5667</v>
    <v>227.0907</v>
    <v>238.2021</v>
    <v>238.4956</v>
    <v>238.53749999999999</v>
    <v>242.04910000000001</v>
    <v>246.70330000000001</v>
    <v>245.1309</v>
    <v>249.87950000000001</v>
    <v>251.40989999999999</v>
    <v>255.0787</v>
    <v>254.40780000000001</v>
    <v>251.39940000000001</v>
    <v>253.02420000000001</v>
    <v>254.3554</v>
    <v>252.77260000000001</v>
    <v>252.38470000000001</v>
    <v>255.73910000000001</v>
    <v>254.7852</v>
    <v>255.36170000000001</v>
    <v>253.8837</v>
    <v>252.5001</v>
    <v>255.3408</v>
    <v>260.00540000000001</v>
    <v>255.61330000000001</v>
    <v>257.8356</v>
    <v>249.87950000000001</v>
    <v>246.6404</v>
    <v>249.0513</v>
    <v>252.21700000000001</v>
    <v>250.9906</v>
    <v>244.6592</v>
    <v>245.81229999999999</v>
    <v>245.8228</v>
    <v>242.58369999999999</v>
    <v>241.01130000000001</v>
    <v>240.07839999999999</v>
    <v>232.18520000000001</v>
    <v>233.768</v>
    <v>232.2585</v>
    <v>236.68209999999999</v>
    <v>236.03219999999999</v>
    <v>233.88329999999999</v>
    <v>234.26070000000001</v>
    <v>236.93369999999999</v>
    <v>239.20840000000001</v>
    <v>240.5187</v>
    <v>239.21889999999999</v>
    <v>234.63800000000001</v>
    <v>243.68440000000001</v>
    <v>247.44749999999999</v>
    <v>246.3783</v>
    <v>244.91079999999999</v>
    <v>244.4915</v>
    <v>243.39080000000001</v>
    <v>240.4453</v>
    <v>244.81649999999999</v>
    <v>240.8227</v>
    <v>232.93989999999999</v>
    <v>230.5814</v>
    <v>224.6798</v>
    <v>223.45330000000001</v>
    <v>222.27930000000001</v>
    <v>223.20169999999999</v>
    <v>220.44489999999999</v>
    <v>224.66929999999999</v>
    <v>222.751</v>
    <v>219.70060000000001</v>
    <v>219.14510000000001</v>
    <v>227.32130000000001</v>
    <v>226.4932</v>
    <v>223.40090000000001</v>
    <v>229.6799</v>
    <v>229.08240000000001</v>
    <v>228.4744</v>
    <v>228.22280000000001</v>
    <v>223.52670000000001</v>
    <v>227.70920000000001</v>
    <v>227.62530000000001</v>
    <v>227.87690000000001</v>
    <v>234.59610000000001</v>
    <v>238.91489999999999</v>
    <v>242.8982</v>
    <v>242.72</v>
    <v>244.23990000000001</v>
    <v>249.33439999999999</v>
    <v>247.95070000000001</v>
    <v>246.57749999999999</v>
    <v>234.0301</v>
    <v>228.13900000000001</v>
    <v>224.2919</v>
    <v>222.0172</v>
    <v>226.1054</v>
    <v>215.8117</v>
    <v>229.69030000000001</v>
    <v>230.93780000000001</v>
    <v>238.38030000000001</v>
    <v>240.56059999999999</v>
    <v>239.63810000000001</v>
    <v>240.0574</v>
    <v>239.114</v>
    <v>233.09710000000001</v>
    <v>238.39070000000001</v>
    <v>242.39500000000001</v>
    <v>243.4118</v>
    <v>227.8</v>
    <v>223.9</v>
    <v>221.75</v>
    <v>229.86</v>
    <v>231.18</v>
    <v>225.05</v>
    <v>220.36</v>
    <v>223.42</v>
    <v>226.42</v>
    <v>222.25</v>
    <v>222.68</v>
    <v>222.84</v>
    <v>226.33</v>
    <v>225.02</v>
    <v>226.18</v>
    <v>229.86</v>
    <v>232.99</v>
    <v>246.27</v>
    <v>243.15</v>
    <v>245.75</v>
    <v>247.05</v>
    <v>241.12</v>
    <v>241.91</v>
    <v>243.05</v>
    <v>246.77</v>
    <v>248.79</v>
    <v>248.12</v>
    <v>240.74</v>
    <v>246.21</v>
    <v>242.93</v>
    <v>230.12</v>
    <v>235.34</v>
    <v>233.99</v>
    <v>233.96</v>
    <v>229.45</v>
    <v>227.71</v>
    <v>221.73</v>
    <v>218.32</v>
    <v>215.9</v>
    <v>214.77</v>
    <v>215.68</v>
    <v>220.67</v>
    <v>220.39</v>
    <v>217.43</v>
    <v>213.53</v>
    <v>209.98</v>
    <v>206.07</v>
    <v>207.63</v>
    <v>209.61</v>
    <v>208.24</v>
    <v>204.93</v>
    <v>202.18</v>
    <v>202.36</v>
    <v>201.38</v>
    <v>203.44</v>
    <v>207.66</v>
    <v>206.49</v>
    <v>206.46</v>
    <v>206.48</v>
    <v>211.85</v>
    <v>212.57</v>
    <v>211.79</v>
    <v>212.55</v>
    <v>211.52</v>
    <v>210.13</v>
    <v>210.94</v>
    <v>213.8</v>
    <v>213.99</v>
    <v>214.14</v>
    <v>212.87</v>
    <v>208.11</v>
    <v>206.6</v>
    <v>207.73</v>
    <v>209.64</v>
    <v>207.29</v>
    <v>207.61</v>
    <v>210.5</v>
    <v>211.41</v>
    <v>209.98</v>
    <v>213.32</v>
    <v>214.73</v>
    <v>218.31</v>
    <v>221.15</v>
  </a>
  <a r="1" c="254">
    <v>81.73</v>
    <v>82.3</v>
    <v>82.75</v>
    <v>82.89</v>
    <v>83.23</v>
    <v>83.41</v>
    <v>83.31</v>
    <v>83.34</v>
    <v>82.93</v>
    <v>83.01</v>
    <v>81.97</v>
    <v>80.739999999999995</v>
    <v>82.94</v>
    <v>82.83</v>
    <v>83.34</v>
    <v>81.99</v>
    <v>81.75</v>
    <v>81.510000000000005</v>
    <v>80.5</v>
    <v>80.47</v>
    <v>81.14</v>
    <v>79.25</v>
    <v>80.45</v>
    <v>80.25</v>
    <v>82.11</v>
    <v>82.16</v>
    <v>82.52</v>
    <v>81.78</v>
    <v>81.98</v>
    <v>81.91</v>
    <v>82.72</v>
    <v>82.82</v>
    <v>83.55</v>
    <v>83.95</v>
    <v>83.82</v>
    <v>83.09</v>
    <v>81.849999999999994</v>
    <v>82.04</v>
    <v>81.08</v>
    <v>80.150000000000006</v>
    <v>81.58</v>
    <v>82.73</v>
    <v>83.18</v>
    <v>83.46</v>
    <v>83.21</v>
    <v>83.55</v>
    <v>83.4</v>
    <v>84.97</v>
    <v>85.24</v>
    <v>85.63</v>
    <v>84.72</v>
    <v>85.87</v>
    <v>86.05</v>
    <v>86.74</v>
    <v>85.64</v>
    <v>87.28</v>
    <v>87.18</v>
    <v>86.06</v>
    <v>85.47</v>
    <v>85.44</v>
    <v>85.33</v>
    <v>85.06</v>
    <v>84.89</v>
    <v>85.46</v>
    <v>85.66</v>
    <v>84.37</v>
    <v>84.73</v>
    <v>85.49</v>
    <v>85.32</v>
    <v>83.22</v>
    <v>82.24</v>
    <v>84</v>
    <v>85.83</v>
    <v>85.63</v>
    <v>85.44</v>
    <v>84.07</v>
    <v>84.05</v>
    <v>84.04</v>
    <v>84.48</v>
    <v>86</v>
    <v>85.64</v>
    <v>86.31</v>
    <v>85.27</v>
    <v>85.42</v>
    <v>86.75</v>
    <v>86.29</v>
    <v>85.6</v>
    <v>85.54</v>
    <v>83.29</v>
    <v>84.65</v>
    <v>83.42</v>
    <v>82.3</v>
    <v>81.900000000000006</v>
    <v>84.39</v>
    <v>84.01</v>
    <v>83.07</v>
    <v>82.73</v>
    <v>83.44</v>
    <v>83.68</v>
    <v>83.94</v>
    <v>82.08</v>
    <v>80.849999999999994</v>
    <v>81.39</v>
    <v>81.540000000000006</v>
    <v>82.81</v>
    <v>80.81</v>
    <v>79.67</v>
    <v>79.39</v>
    <v>79.48</v>
    <v>83.11</v>
    <v>82.79</v>
    <v>82.59</v>
    <v>86.53</v>
    <v>87.07</v>
    <v>88.14</v>
    <v>87.73</v>
    <v>89.06</v>
    <v>88.87</v>
    <v>89.24</v>
    <v>90.41</v>
    <v>89.92</v>
    <v>89.42</v>
    <v>90.19</v>
    <v>91.19</v>
    <v>91.3</v>
    <v>91.05</v>
    <v>89.78</v>
    <v>90.53</v>
    <v>91.96</v>
    <v>92.19</v>
    <v>94.14</v>
    <v>95.84</v>
    <v>94.91</v>
    <v>95.73</v>
    <v>97.6</v>
    <v>96.15</v>
    <v>98.31</v>
    <v>98.97</v>
    <v>97.28</v>
    <v>95.93</v>
    <v>94.93</v>
    <v>96.89</v>
    <v>97.59</v>
    <v>98.96</v>
    <v>100.06</v>
    <v>100.6</v>
    <v>100.12</v>
    <v>100.44</v>
    <v>99.7</v>
    <v>100.14</v>
    <v>101.95</v>
    <v>103.29</v>
    <v>102.36</v>
    <v>100.51</v>
    <v>100.67</v>
    <v>98.39</v>
    <v>97.98</v>
    <v>99.88</v>
    <v>103.16</v>
    <v>105.03</v>
    <v>104.53</v>
    <v>105.54</v>
    <v>107.35</v>
    <v>107.47</v>
    <v>108.83</v>
    <v>105.82</v>
    <v>105.69</v>
    <v>107.49</v>
    <v>105.76</v>
    <v>105.59</v>
    <v>108.67</v>
    <v>106.58</v>
    <v>103.57</v>
    <v>104.69</v>
    <v>104.78</v>
    <v>100.63</v>
    <v>100.56</v>
    <v>103.85</v>
    <v>103.14</v>
    <v>102.33</v>
    <v>103.14</v>
    <v>101.05</v>
    <v>99.74</v>
    <v>98.18</v>
    <v>99.41</v>
    <v>101.94</v>
    <v>102.71</v>
    <v>102.15</v>
    <v>101.25</v>
    <v>98.03</v>
    <v>96.06</v>
    <v>94.83</v>
    <v>97.11</v>
    <v>98.1</v>
    <v>97.89</v>
    <v>100.74</v>
    <v>100.97</v>
    <v>100.6</v>
    <v>100.16</v>
    <v>100.1</v>
    <v>100.32</v>
    <v>102.25</v>
    <v>103.11</v>
    <v>102.22</v>
    <v>104.23</v>
    <v>100.9</v>
    <v>99.77</v>
    <v>99.31</v>
    <v>99.73</v>
    <v>98.24</v>
    <v>99.33</v>
    <v>99.45</v>
    <v>98.99</v>
    <v>99.32</v>
    <v>98.17</v>
    <v>98.05</v>
    <v>98.04</v>
    <v>98.96</v>
    <v>99.9</v>
    <v>100.8</v>
    <v>101.48</v>
    <v>100.97</v>
    <v>99.76</v>
    <v>100.69</v>
    <v>98.87</v>
    <v>98.62</v>
    <v>99.66</v>
    <v>100.97</v>
    <v>101.08</v>
    <v>103.54</v>
    <v>104.06</v>
    <v>104.12</v>
    <v>103.43</v>
    <v>104.51</v>
    <v>103.47</v>
    <v>104.37</v>
    <v>104.84</v>
    <v>105.07</v>
    <v>106.56</v>
    <v>107.24</v>
    <v>107.49</v>
    <v>106.61</v>
    <v>105.89</v>
    <v>105.7</v>
    <v>105.01</v>
    <v>103.38</v>
    <v>103.38</v>
    <v>100.62</v>
    <v>100.15</v>
    <v>100.71</v>
    <v>99.7</v>
    <v>100.56</v>
    <v>97.49</v>
    <v>98.13</v>
  </a>
  <a r="1" c="761">
    <v>51.15</v>
    <v>51.65</v>
    <v>51.7</v>
    <v>50.84</v>
    <v>50.69</v>
    <v>50.71</v>
    <v>51.03</v>
    <v>51.76</v>
    <v>52.48</v>
    <v>52.67</v>
    <v>52.76</v>
    <v>52.99</v>
    <v>52.9</v>
    <v>53.32</v>
    <v>53.29</v>
    <v>53.77</v>
    <v>54</v>
    <v>54.01</v>
    <v>53.67</v>
    <v>54.11</v>
    <v>54.18</v>
    <v>54.2</v>
    <v>54.5</v>
    <v>54.52</v>
    <v>54.34</v>
    <v>54.27</v>
    <v>53.96</v>
    <v>53.84</v>
    <v>53.91</v>
    <v>54.42</v>
    <v>53.9</v>
    <v>54.1</v>
    <v>54.29</v>
    <v>54.4</v>
    <v>54.8</v>
    <v>55.12</v>
    <v>55.37</v>
    <v>55.66</v>
    <v>54.75</v>
    <v>55.34</v>
    <v>55.53</v>
    <v>55.62</v>
    <v>55.82</v>
    <v>55.46</v>
    <v>55.66</v>
    <v>55.48</v>
    <v>55.74</v>
    <v>55.54</v>
    <v>55.45</v>
    <v>55.27</v>
    <v>55.39</v>
    <v>55.44</v>
    <v>55.73</v>
    <v>56.35</v>
    <v>56.76</v>
    <v>56.73</v>
    <v>57.39</v>
    <v>57.64</v>
    <v>57.86</v>
    <v>57.43</v>
    <v>58.08</v>
    <v>58.44</v>
    <v>59.28</v>
    <v>59.04</v>
    <v>59.88</v>
    <v>60.31</v>
    <v>59.91</v>
    <v>60.31</v>
    <v>60.68</v>
    <v>60.01</v>
    <v>60.18</v>
    <v>61.91</v>
    <v>62.45</v>
    <v>62.51</v>
    <v>63.16</v>
    <v>63.41</v>
    <v>63.71</v>
    <v>64.290000000000006</v>
    <v>63.73</v>
    <v>63.97</v>
    <v>64.31</v>
    <v>64.510000000000005</v>
    <v>64.42</v>
    <v>63.2</v>
    <v>62.93</v>
    <v>65.03</v>
    <v>65.099999999999994</v>
    <v>65.19</v>
    <v>65.010000000000005</v>
    <v>64.89</v>
    <v>65.28</v>
    <v>66.48</v>
    <v>66.94</v>
    <v>66.11</v>
    <v>66.680000000000007</v>
    <v>67.33</v>
    <v>66.930000000000007</v>
    <v>65.72</v>
    <v>66.59</v>
    <v>66.44</v>
    <v>66.739999999999995</v>
    <v>66.069999999999993</v>
    <v>66.78</v>
    <v>66.87</v>
    <v>67.19</v>
    <v>68.760000000000005</v>
    <v>68.849999999999994</v>
    <v>68.75</v>
    <v>68.87</v>
    <v>68.22</v>
    <v>68.53</v>
    <v>67.91</v>
    <v>68.510000000000005</v>
    <v>68.52</v>
    <v>68.19</v>
    <v>68.28</v>
    <v>67.37</v>
    <v>68.13</v>
    <v>68.55</v>
    <v>68.89</v>
    <v>68.86</v>
    <v>67.569999999999993</v>
    <v>67.11</v>
    <v>67.16</v>
    <v>65.66</v>
    <v>65.34</v>
    <v>66.48</v>
    <v>66.540000000000006</v>
    <v>65.239999999999995</v>
    <v>66.95</v>
    <v>66.78</v>
    <v>66.849999999999994</v>
    <v>66.209999999999994</v>
    <v>66.64</v>
    <v>67.64</v>
    <v>68.02</v>
    <v>68.010000000000005</v>
    <v>68.010000000000005</v>
    <v>68.099999999999994</v>
    <v>67.709999999999994</v>
    <v>67.73</v>
    <v>68.64</v>
    <v>68.87</v>
    <v>68.52</v>
    <v>69.08</v>
    <v>69.13</v>
    <v>69.150000000000006</v>
    <v>69.819999999999993</v>
    <v>69.819999999999993</v>
    <v>70.2</v>
    <v>70.08</v>
    <v>70.069999999999993</v>
    <v>69.489999999999995</v>
    <v>68.39</v>
    <v>68.930000000000007</v>
    <v>68.650000000000006</v>
    <v>69.87</v>
    <v>70.209999999999994</v>
    <v>70.58</v>
    <v>71.34</v>
    <v>71.03</v>
    <v>71.5</v>
    <v>71.77</v>
    <v>72.02</v>
    <v>72.180000000000007</v>
    <v>72.790000000000006</v>
    <v>73.040000000000006</v>
    <v>73.38</v>
    <v>72.33</v>
    <v>72.069999999999993</v>
    <v>72.53</v>
    <v>72.41</v>
    <v>72.44</v>
    <v>73</v>
    <v>72.430000000000007</v>
    <v>72.599999999999994</v>
    <v>73.03</v>
    <v>73.36</v>
    <v>73.319999999999993</v>
    <v>73.66</v>
    <v>73.86</v>
    <v>74.25</v>
    <v>73.48</v>
    <v>73.67</v>
    <v>73.69</v>
    <v>73.790000000000006</v>
    <v>71.75</v>
    <v>70.34</v>
    <v>70.599999999999994</v>
    <v>70.91</v>
    <v>72.19</v>
    <v>70.27</v>
    <v>69</v>
    <v>69.03</v>
    <v>69.14</v>
    <v>68.97</v>
    <v>70.680000000000007</v>
    <v>69.63</v>
    <v>65.099999999999994</v>
    <v>63.46</v>
    <v>64.78</v>
    <v>65.709999999999994</v>
    <v>66.06</v>
    <v>66.75</v>
    <v>66.95</v>
    <v>68.05</v>
    <v>68.36</v>
    <v>70.150000000000006</v>
    <v>70.16</v>
    <v>70.150000000000006</v>
    <v>70.209999999999994</v>
    <v>70.48</v>
    <v>70.349999999999994</v>
    <v>69.930000000000007</v>
    <v>70.03</v>
    <v>69.72</v>
    <v>70.63</v>
    <v>70.38</v>
    <v>71.040000000000006</v>
    <v>69.55</v>
    <v>68.319999999999993</v>
    <v>67.599999999999994</v>
    <v>66.05</v>
    <v>66.819999999999993</v>
    <v>66.98</v>
    <v>66.91</v>
    <v>69.13</v>
    <v>69.760000000000005</v>
    <v>69.37</v>
    <v>69.81</v>
    <v>69.459999999999994</v>
    <v>71.05</v>
    <v>70.77</v>
    <v>71.31</v>
    <v>71.42</v>
    <v>71.73</v>
    <v>72.09</v>
    <v>71.680000000000007</v>
    <v>71.41</v>
    <v>71.69</v>
    <v>71.849999999999994</v>
    <v>71.78</v>
    <v>72.150000000000006</v>
    <v>72.44</v>
    <v>72.61</v>
    <v>73.06</v>
    <v>73.22</v>
    <v>73.59</v>
    <v>74.3</v>
    <v>74.27</v>
    <v>74.400000000000006</v>
    <v>75.260000000000005</v>
    <v>74.97</v>
    <v>74.75</v>
    <v>74.83</v>
    <v>74.650000000000006</v>
    <v>74.44</v>
    <v>74.400000000000006</v>
    <v>74.34</v>
    <v>74.36</v>
    <v>73.91</v>
    <v>72.88</v>
    <v>73.08</v>
    <v>72.5</v>
    <v>72.63</v>
    <v>74.849999999999994</v>
    <v>75.209999999999994</v>
    <v>76.28</v>
    <v>77.06</v>
    <v>76.69</v>
    <v>77</v>
    <v>76.72</v>
    <v>75.88</v>
    <v>75.91</v>
    <v>76.06</v>
    <v>76.28</v>
    <v>77.260000000000005</v>
    <v>78.09</v>
    <v>77.56</v>
    <v>77.900000000000006</v>
    <v>77.16</v>
    <v>77.63</v>
    <v>77.95</v>
    <v>78.459999999999994</v>
    <v>78.459999999999994</v>
    <v>78.680000000000007</v>
    <v>78.91</v>
    <v>78.78</v>
    <v>77.97</v>
    <v>77.849999999999994</v>
    <v>78.540000000000006</v>
    <v>78.25</v>
    <v>78.19</v>
    <v>78.64</v>
    <v>78.17</v>
    <v>78.260000000000005</v>
    <v>77.16</v>
    <v>77.459999999999994</v>
    <v>77.36</v>
    <v>77.739999999999995</v>
    <v>77.33</v>
    <v>78.52</v>
    <v>78.48</v>
    <v>78.739999999999995</v>
    <v>78.14</v>
    <v>78.28</v>
    <v>78.400000000000006</v>
    <v>77.61</v>
    <v>77.25</v>
    <v>77.239999999999995</v>
    <v>78.7</v>
    <v>79.150000000000006</v>
    <v>79.78</v>
    <v>79.45</v>
    <v>79.56</v>
    <v>80.38</v>
    <v>80.73</v>
    <v>80.430000000000007</v>
    <v>78.11</v>
    <v>79.11</v>
    <v>79.7</v>
    <v>80.56</v>
    <v>81.55</v>
    <v>80.88</v>
    <v>81.05</v>
    <v>81.38</v>
    <v>82.58</v>
    <v>82.76</v>
    <v>83.09</v>
    <v>82.85</v>
    <v>82.54</v>
    <v>82.88</v>
    <v>82.85</v>
    <v>83.4</v>
    <v>83.35</v>
    <v>83.64</v>
    <v>82.04</v>
    <v>82.2</v>
    <v>80.72</v>
    <v>79.13</v>
    <v>80.739999999999995</v>
    <v>80.98</v>
    <v>79.97</v>
    <v>80.31</v>
    <v>77</v>
    <v>75.97</v>
    <v>75.930000000000007</v>
    <v>73.67</v>
    <v>72.900000000000006</v>
    <v>71.83</v>
    <v>72.900000000000006</v>
    <v>72.180000000000007</v>
    <v>73.14</v>
    <v>73.66</v>
    <v>73.209999999999994</v>
    <v>74.040000000000006</v>
    <v>74.510000000000005</v>
    <v>74.34</v>
    <v>75.88</v>
    <v>76</v>
    <v>75.36</v>
    <v>74.760000000000005</v>
    <v>73.16</v>
    <v>72.72</v>
    <v>73.819999999999993</v>
    <v>74.11</v>
    <v>70.31</v>
    <v>66.260000000000005</v>
    <v>64.72</v>
    <v>67.349999999999994</v>
    <v>64.03</v>
    <v>67</v>
    <v>66.16</v>
    <v>67.989999999999995</v>
    <v>69.13</v>
    <v>68.239999999999995</v>
    <v>67.88</v>
    <v>67.180000000000007</v>
    <v>69.650000000000006</v>
    <v>70.27</v>
    <v>70.67</v>
    <v>70.819999999999993</v>
    <v>71.27</v>
    <v>71.63</v>
    <v>73.760000000000005</v>
    <v>73.790000000000006</v>
    <v>73.39</v>
    <v>73.239999999999995</v>
    <v>74.48</v>
    <v>74.2</v>
    <v>76.39</v>
    <v>77.319999999999993</v>
    <v>77.010000000000005</v>
    <v>77.37</v>
    <v>77.89</v>
    <v>77.459999999999994</v>
    <v>77.599999999999994</v>
    <v>77.03</v>
    <v>76.36</v>
    <v>75.69</v>
    <v>76.430000000000007</v>
    <v>77.010000000000005</v>
    <v>77.14</v>
    <v>76.81</v>
    <v>77.040000000000006</v>
    <v>77.150000000000006</v>
    <v>77.69</v>
    <v>77.78</v>
    <v>77.88</v>
    <v>77.84</v>
    <v>77.31</v>
    <v>76.61</v>
    <v>76.91</v>
    <v>76.37</v>
    <v>76.23</v>
    <v>76.67</v>
    <v>76.36</v>
    <v>76.42</v>
    <v>75.89</v>
    <v>76.180000000000007</v>
    <v>76.13</v>
    <v>76.900000000000006</v>
    <v>76.680000000000007</v>
    <v>76.760000000000005</v>
    <v>77.17</v>
    <v>77.25</v>
    <v>76.42</v>
    <v>75.92</v>
    <v>76.86</v>
    <v>76.510000000000005</v>
    <v>77.069999999999993</v>
    <v>76.73</v>
    <v>77.11</v>
    <v>77.03</v>
    <v>76.5</v>
    <v>77.17</v>
    <v>77.17</v>
    <v>76.75</v>
    <v>77.83</v>
    <v>77.569999999999993</v>
    <v>77.59</v>
    <v>76.73</v>
    <v>77.2</v>
    <v>77.38</v>
    <v>77.59</v>
    <v>77.86</v>
    <v>78.44</v>
    <v>78.98</v>
    <v>79.25</v>
    <v>77.61</v>
    <v>78.569999999999993</v>
    <v>78.459999999999994</v>
    <v>78.88</v>
    <v>78.91</v>
    <v>79.02</v>
    <v>79.510000000000005</v>
    <v>79.290000000000006</v>
    <v>79.03</v>
    <v>79.56</v>
    <v>79.34</v>
    <v>79.069999999999993</v>
    <v>78.92</v>
    <v>79.319999999999993</v>
    <v>79.319999999999993</v>
    <v>78.900000000000006</v>
    <v>78.91</v>
    <v>79.260000000000005</v>
    <v>79.11</v>
    <v>78.38</v>
    <v>78.66</v>
    <v>77.959999999999994</v>
    <v>78.22</v>
    <v>78.86</v>
    <v>78.16</v>
    <v>79.34</v>
    <v>79.41</v>
    <v>81.05</v>
    <v>81.319999999999993</v>
    <v>81.2</v>
    <v>81.27</v>
    <v>80.23</v>
    <v>79.92</v>
    <v>80.88</v>
    <v>81.02</v>
    <v>81.12</v>
    <v>81.2</v>
    <v>81.33</v>
    <v>81.040000000000006</v>
    <v>81.260000000000005</v>
    <v>81.569999999999993</v>
    <v>81.67</v>
    <v>82.01</v>
    <v>81.93</v>
    <v>81.95</v>
    <v>81.95</v>
    <v>81.75</v>
    <v>82.85</v>
    <v>82.95</v>
    <v>81.7</v>
    <v>82.32</v>
    <v>82.2</v>
    <v>82.56</v>
    <v>82.3</v>
    <v>80.78</v>
    <v>82.08</v>
    <v>81.88</v>
    <v>80.900000000000006</v>
    <v>81.73</v>
    <v>82.3</v>
    <v>82.75</v>
    <v>82.89</v>
    <v>83.23</v>
    <v>83.41</v>
    <v>83.31</v>
    <v>83.34</v>
    <v>82.93</v>
    <v>83.01</v>
    <v>81.97</v>
    <v>80.739999999999995</v>
    <v>82.94</v>
    <v>82.83</v>
    <v>83.34</v>
    <v>81.99</v>
    <v>81.75</v>
    <v>81.510000000000005</v>
    <v>80.5</v>
    <v>80.47</v>
    <v>81.14</v>
    <v>79.25</v>
    <v>80.45</v>
    <v>80.25</v>
    <v>82.11</v>
    <v>82.16</v>
    <v>82.52</v>
    <v>81.78</v>
    <v>81.98</v>
    <v>81.91</v>
    <v>82.72</v>
    <v>82.82</v>
    <v>83.55</v>
    <v>83.95</v>
    <v>83.82</v>
    <v>83.09</v>
    <v>81.849999999999994</v>
    <v>82.04</v>
    <v>81.08</v>
    <v>80.150000000000006</v>
    <v>81.58</v>
    <v>82.73</v>
    <v>83.18</v>
    <v>83.46</v>
    <v>83.21</v>
    <v>83.55</v>
    <v>83.4</v>
    <v>84.97</v>
    <v>85.24</v>
    <v>85.63</v>
    <v>84.72</v>
    <v>85.87</v>
    <v>86.05</v>
    <v>86.74</v>
    <v>85.64</v>
    <v>87.28</v>
    <v>87.18</v>
    <v>86.06</v>
    <v>85.47</v>
    <v>85.44</v>
    <v>85.33</v>
    <v>85.06</v>
    <v>84.89</v>
    <v>85.46</v>
    <v>85.66</v>
    <v>84.37</v>
    <v>84.73</v>
    <v>85.49</v>
    <v>85.32</v>
    <v>83.22</v>
    <v>82.24</v>
    <v>84</v>
    <v>85.83</v>
    <v>85.63</v>
    <v>85.44</v>
    <v>84.07</v>
    <v>84.05</v>
    <v>84.04</v>
    <v>84.48</v>
    <v>86</v>
    <v>85.64</v>
    <v>86.31</v>
    <v>85.27</v>
    <v>85.42</v>
    <v>86.75</v>
    <v>86.29</v>
    <v>85.6</v>
    <v>85.54</v>
    <v>83.29</v>
    <v>84.65</v>
    <v>83.42</v>
    <v>82.3</v>
    <v>81.900000000000006</v>
    <v>84.39</v>
    <v>84.01</v>
    <v>83.07</v>
    <v>82.73</v>
    <v>83.44</v>
    <v>83.68</v>
    <v>83.94</v>
    <v>82.08</v>
    <v>80.849999999999994</v>
    <v>81.39</v>
    <v>81.540000000000006</v>
    <v>82.81</v>
    <v>80.81</v>
    <v>79.67</v>
    <v>79.39</v>
    <v>79.48</v>
    <v>83.11</v>
    <v>82.79</v>
    <v>82.59</v>
    <v>86.53</v>
    <v>87.07</v>
    <v>88.14</v>
    <v>87.73</v>
    <v>89.06</v>
    <v>88.87</v>
    <v>89.24</v>
    <v>90.41</v>
    <v>89.92</v>
    <v>89.42</v>
    <v>90.19</v>
    <v>91.19</v>
    <v>91.3</v>
    <v>91.05</v>
    <v>89.78</v>
    <v>90.53</v>
    <v>91.96</v>
    <v>92.19</v>
    <v>94.14</v>
    <v>95.84</v>
    <v>94.91</v>
    <v>95.73</v>
    <v>97.6</v>
    <v>96.15</v>
    <v>98.31</v>
    <v>98.97</v>
    <v>97.28</v>
    <v>95.93</v>
    <v>94.93</v>
    <v>96.89</v>
    <v>97.59</v>
    <v>98.96</v>
    <v>100.06</v>
    <v>100.6</v>
    <v>100.12</v>
    <v>100.44</v>
    <v>99.7</v>
    <v>100.14</v>
    <v>101.95</v>
    <v>103.29</v>
    <v>102.36</v>
    <v>100.51</v>
    <v>100.67</v>
    <v>98.39</v>
    <v>97.98</v>
    <v>99.88</v>
    <v>103.16</v>
    <v>105.03</v>
    <v>104.53</v>
    <v>105.54</v>
    <v>107.35</v>
    <v>107.47</v>
    <v>108.83</v>
    <v>105.82</v>
    <v>105.69</v>
    <v>107.49</v>
    <v>105.76</v>
    <v>105.59</v>
    <v>108.67</v>
    <v>106.58</v>
    <v>103.57</v>
    <v>104.69</v>
    <v>104.78</v>
    <v>100.63</v>
    <v>100.56</v>
    <v>103.85</v>
    <v>103.14</v>
    <v>102.33</v>
    <v>103.14</v>
    <v>101.05</v>
    <v>99.74</v>
    <v>98.18</v>
    <v>99.41</v>
    <v>101.94</v>
    <v>102.71</v>
    <v>102.15</v>
    <v>101.25</v>
    <v>98.03</v>
    <v>96.06</v>
    <v>94.83</v>
    <v>97.11</v>
    <v>98.1</v>
    <v>97.89</v>
    <v>100.74</v>
    <v>100.97</v>
    <v>100.6</v>
    <v>100.16</v>
    <v>100.1</v>
    <v>100.32</v>
    <v>102.25</v>
    <v>103.11</v>
    <v>102.22</v>
    <v>104.23</v>
    <v>100.9</v>
    <v>99.77</v>
    <v>99.31</v>
    <v>99.73</v>
    <v>98.24</v>
    <v>99.33</v>
    <v>99.45</v>
    <v>98.99</v>
    <v>99.32</v>
    <v>98.17</v>
    <v>98.05</v>
    <v>98.04</v>
    <v>98.96</v>
    <v>99.9</v>
    <v>100.8</v>
    <v>101.48</v>
    <v>100.97</v>
    <v>99.76</v>
    <v>100.69</v>
    <v>98.87</v>
    <v>98.62</v>
    <v>99.66</v>
    <v>100.97</v>
    <v>101.08</v>
    <v>103.54</v>
    <v>104.06</v>
    <v>104.12</v>
    <v>103.43</v>
    <v>104.51</v>
    <v>103.47</v>
    <v>104.37</v>
    <v>104.84</v>
    <v>105.07</v>
    <v>106.56</v>
    <v>107.24</v>
    <v>107.49</v>
    <v>106.61</v>
    <v>105.89</v>
    <v>105.7</v>
    <v>105.01</v>
    <v>103.38</v>
    <v>103.38</v>
    <v>100.62</v>
    <v>100.15</v>
    <v>100.71</v>
    <v>99.7</v>
    <v>100.56</v>
    <v>97.49</v>
    <v>98.13</v>
  </a>
  <a r="1" c="208">
    <v>83.4</v>
    <v>84.97</v>
    <v>85.24</v>
    <v>85.63</v>
    <v>84.72</v>
    <v>85.87</v>
    <v>86.05</v>
    <v>86.74</v>
    <v>85.64</v>
    <v>87.28</v>
    <v>87.18</v>
    <v>86.06</v>
    <v>85.47</v>
    <v>85.44</v>
    <v>85.33</v>
    <v>85.06</v>
    <v>84.89</v>
    <v>85.46</v>
    <v>85.66</v>
    <v>84.37</v>
    <v>84.73</v>
    <v>85.49</v>
    <v>85.32</v>
    <v>83.22</v>
    <v>82.24</v>
    <v>84</v>
    <v>85.83</v>
    <v>85.63</v>
    <v>85.44</v>
    <v>84.07</v>
    <v>84.05</v>
    <v>84.04</v>
    <v>84.48</v>
    <v>86</v>
    <v>85.64</v>
    <v>86.31</v>
    <v>85.27</v>
    <v>85.42</v>
    <v>86.75</v>
    <v>86.29</v>
    <v>85.6</v>
    <v>85.54</v>
    <v>83.29</v>
    <v>84.65</v>
    <v>83.42</v>
    <v>82.3</v>
    <v>81.900000000000006</v>
    <v>84.39</v>
    <v>84.01</v>
    <v>83.07</v>
    <v>82.73</v>
    <v>83.44</v>
    <v>83.68</v>
    <v>83.94</v>
    <v>82.08</v>
    <v>80.849999999999994</v>
    <v>81.39</v>
    <v>81.540000000000006</v>
    <v>82.81</v>
    <v>80.81</v>
    <v>79.67</v>
    <v>79.39</v>
    <v>79.48</v>
    <v>83.11</v>
    <v>82.79</v>
    <v>82.59</v>
    <v>86.53</v>
    <v>87.07</v>
    <v>88.14</v>
    <v>87.73</v>
    <v>89.06</v>
    <v>88.87</v>
    <v>89.24</v>
    <v>90.41</v>
    <v>89.92</v>
    <v>89.42</v>
    <v>90.19</v>
    <v>91.19</v>
    <v>91.3</v>
    <v>91.05</v>
    <v>89.78</v>
    <v>90.53</v>
    <v>91.96</v>
    <v>92.19</v>
    <v>94.14</v>
    <v>95.84</v>
    <v>94.91</v>
    <v>95.73</v>
    <v>97.6</v>
    <v>96.15</v>
    <v>98.31</v>
    <v>98.97</v>
    <v>97.28</v>
    <v>95.93</v>
    <v>94.93</v>
    <v>96.89</v>
    <v>97.59</v>
    <v>98.96</v>
    <v>100.06</v>
    <v>100.6</v>
    <v>100.12</v>
    <v>100.44</v>
    <v>99.7</v>
    <v>100.14</v>
    <v>101.95</v>
    <v>103.29</v>
    <v>102.36</v>
    <v>100.51</v>
    <v>100.67</v>
    <v>98.39</v>
    <v>97.98</v>
    <v>99.88</v>
    <v>103.16</v>
    <v>105.03</v>
    <v>104.53</v>
    <v>105.54</v>
    <v>107.35</v>
    <v>107.47</v>
    <v>108.83</v>
    <v>105.82</v>
    <v>105.69</v>
    <v>107.49</v>
    <v>105.76</v>
    <v>105.59</v>
    <v>108.67</v>
    <v>106.58</v>
    <v>103.57</v>
    <v>104.69</v>
    <v>104.78</v>
    <v>100.63</v>
    <v>100.56</v>
    <v>103.85</v>
    <v>103.14</v>
    <v>102.33</v>
    <v>103.14</v>
    <v>101.05</v>
    <v>99.74</v>
    <v>98.18</v>
    <v>99.41</v>
    <v>101.94</v>
    <v>102.71</v>
    <v>102.15</v>
    <v>101.25</v>
    <v>98.03</v>
    <v>96.06</v>
    <v>94.83</v>
    <v>97.11</v>
    <v>98.1</v>
    <v>97.89</v>
    <v>100.74</v>
    <v>100.97</v>
    <v>100.6</v>
    <v>100.16</v>
    <v>100.1</v>
    <v>100.32</v>
    <v>102.25</v>
    <v>103.11</v>
    <v>102.22</v>
    <v>104.23</v>
    <v>100.9</v>
    <v>99.77</v>
    <v>99.31</v>
    <v>99.73</v>
    <v>98.24</v>
    <v>99.33</v>
    <v>99.45</v>
    <v>98.99</v>
    <v>99.32</v>
    <v>98.17</v>
    <v>98.05</v>
    <v>98.04</v>
    <v>98.96</v>
    <v>99.9</v>
    <v>100.8</v>
    <v>101.48</v>
    <v>100.97</v>
    <v>99.76</v>
    <v>100.69</v>
    <v>98.87</v>
    <v>98.62</v>
    <v>99.66</v>
    <v>100.97</v>
    <v>101.08</v>
    <v>103.54</v>
    <v>104.06</v>
    <v>104.12</v>
    <v>103.43</v>
    <v>104.51</v>
    <v>103.47</v>
    <v>104.37</v>
    <v>104.84</v>
    <v>105.07</v>
    <v>106.56</v>
    <v>107.24</v>
    <v>107.49</v>
    <v>106.61</v>
    <v>105.89</v>
    <v>105.7</v>
    <v>105.01</v>
    <v>103.38</v>
    <v>103.38</v>
    <v>100.62</v>
    <v>100.15</v>
    <v>100.71</v>
    <v>99.7</v>
    <v>100.56</v>
    <v>97.49</v>
    <v>98.13</v>
  </a>
  <a r="1" c="205">
    <v>71.760000000000005</v>
    <v>77.8</v>
    <v>89.34</v>
    <v>95.6</v>
    <v>97.6</v>
    <v>97.6</v>
    <v>105.31</v>
    <v>102.5</v>
    <v>97.09</v>
    <v>95.97</v>
    <v>91.45</v>
    <v>94.95</v>
    <v>89.93</v>
    <v>90.78</v>
    <v>90.93</v>
    <v>87.63</v>
    <v>82.31</v>
    <v>85.27</v>
    <v>94.39</v>
    <v>86.04</v>
    <v>79.62</v>
    <v>73.62</v>
    <v>78</v>
    <v>68.23</v>
    <v>62.14</v>
    <v>71.099999999999994</v>
    <v>75.05</v>
    <v>69.47</v>
    <v>66.23</v>
    <v>63.92</v>
    <v>65.69</v>
    <v>67.64</v>
    <v>67.39</v>
    <v>67.64</v>
    <v>63.83</v>
    <v>63.09</v>
    <v>65.06</v>
    <v>66.319999999999993</v>
    <v>69.069999999999993</v>
    <v>62.95</v>
    <v>64.680000000000007</v>
    <v>63.3</v>
    <v>65.650000000000006</v>
    <v>62.03</v>
    <v>58.25</v>
    <v>61.78</v>
    <v>61.38</v>
    <v>62.76</v>
    <v>59.59</v>
    <v>58.37</v>
    <v>59.69</v>
    <v>60.53</v>
    <v>56.7</v>
    <v>54.69</v>
    <v>53.97</v>
    <v>56.26</v>
    <v>54.96</v>
    <v>55.27</v>
    <v>51.81</v>
    <v>50.23</v>
    <v>45.58</v>
    <v>49.59</v>
    <v>48.07</v>
    <v>48.13</v>
    <v>48.76</v>
    <v>46.59</v>
    <v>50.21</v>
    <v>47.75</v>
    <v>50.25</v>
    <v>53.94</v>
    <v>58.58</v>
    <v>63.35</v>
    <v>64.209999999999994</v>
    <v>66.81</v>
    <v>68.13</v>
    <v>62.61</v>
    <v>72.41</v>
    <v>76.459999999999994</v>
    <v>71</v>
    <v>75.930000000000007</v>
    <v>69.09</v>
    <v>64.98</v>
    <v>72.5</v>
    <v>70.400000000000006</v>
    <v>68.599999999999994</v>
    <v>68.38</v>
    <v>79.62</v>
    <v>71.83</v>
    <v>72.510000000000005</v>
    <v>78.13</v>
    <v>73.63</v>
    <v>69.66</v>
    <v>67.209999999999994</v>
    <v>62.25</v>
    <v>58.56</v>
    <v>55.88</v>
    <v>62.58</v>
    <v>65.09</v>
    <v>65.88</v>
    <v>68.7</v>
    <v>67.819999999999993</v>
    <v>68.09</v>
    <v>66.88</v>
    <v>66.89</v>
    <v>73.47</v>
    <v>65.209999999999994</v>
    <v>65.39</v>
    <v>58.09</v>
    <v>58.94</v>
    <v>56.48</v>
    <v>54.02</v>
    <v>57.86</v>
    <v>57.49</v>
    <v>60.74</v>
    <v>57.45</v>
    <v>58.82</v>
    <v>61.17</v>
    <v>58.4</v>
    <v>57.19</v>
    <v>54.06</v>
    <v>51.01</v>
    <v>50</v>
    <v>52.76</v>
    <v>52.33</v>
    <v>52.45</v>
    <v>52.36</v>
    <v>51.84</v>
    <v>47.9</v>
    <v>47.28</v>
    <v>49.27</v>
    <v>48.85</v>
    <v>45.81</v>
    <v>46.24</v>
    <v>45.69</v>
    <v>41.7</v>
    <v>41.11</v>
    <v>41.51</v>
    <v>44.13</v>
    <v>44.5</v>
    <v>44</v>
    <v>40.25</v>
    <v>41.81</v>
    <v>39.58</v>
    <v>36.840000000000003</v>
    <v>41.09</v>
    <v>38.83</v>
    <v>41.22</v>
    <v>43.33</v>
    <v>42.99</v>
    <v>42.19</v>
    <v>48.42</v>
    <v>44.49</v>
    <v>47.01</v>
    <v>45.13</v>
    <v>46.45</v>
    <v>44.38</v>
    <v>43.88</v>
    <v>41.36</v>
    <v>42.94</v>
    <v>41.66</v>
    <v>42.09</v>
    <v>39.69</v>
    <v>44.27</v>
    <v>41.6</v>
    <v>42.53</v>
    <v>40.14</v>
    <v>40.57</v>
    <v>38.53</v>
    <v>39.520000000000003</v>
    <v>39.840000000000003</v>
    <v>41.27</v>
    <v>43.31</v>
    <v>42.57</v>
    <v>39.880000000000003</v>
    <v>36.22</v>
    <v>36.21</v>
    <v>35.979999999999997</v>
    <v>35.619999999999997</v>
    <v>39.65</v>
    <v>38</v>
    <v>40.18</v>
    <v>40.450000000000003</v>
    <v>38.82</v>
    <v>38.29</v>
    <v>38.04</v>
    <v>37.11</v>
    <v>37.11</v>
    <v>37.020000000000003</v>
    <v>36.14</v>
    <v>35.869999999999997</v>
    <v>35.97</v>
    <v>38.549999999999997</v>
    <v>36.82</v>
    <v>34.57</v>
    <v>34.700000000000003</v>
    <v>32.21</v>
    <v>31.78</v>
    <v>29.04</v>
    <v>30.01</v>
    <v>27.97</v>
    <v>27.24</v>
    <v>27.48</v>
    <v>27.73</v>
    <v>27.01</v>
    <v>26.35</v>
  </a>
  <a r="1" c="754">
    <v>10.32</v>
    <v>10.31</v>
    <v>10.31</v>
    <v>10.32</v>
    <v>10.29</v>
    <v>10.295</v>
    <v>10.32</v>
    <v>10.31</v>
    <v>10.3</v>
    <v>10.3</v>
    <v>10.31</v>
    <v>10.3</v>
    <v>10.29</v>
    <v>10.29</v>
    <v>10.3</v>
    <v>10.29</v>
    <v>10.3</v>
    <v>10.33</v>
    <v>10.32</v>
    <v>10.31</v>
    <v>10.32</v>
    <v>10.33</v>
    <v>10.345000000000001</v>
    <v>10.34</v>
    <v>10.33</v>
    <v>10.33</v>
    <v>10.35</v>
    <v>10.35</v>
    <v>10.38</v>
    <v>10.35</v>
    <v>10.34</v>
    <v>10.36</v>
    <v>10.37</v>
    <v>10.36</v>
    <v>10.38</v>
    <v>10.47</v>
    <v>10.6</v>
    <v>10.58</v>
    <v>10.38</v>
    <v>10.63</v>
    <v>10.64</v>
    <v>10.63</v>
    <v>10.64</v>
    <v>10.6</v>
    <v>10.63</v>
    <v>10.63</v>
    <v>10.54</v>
    <v>10.56</v>
    <v>10.6</v>
    <v>10.65</v>
    <v>10.65</v>
    <v>10.66</v>
    <v>10.64</v>
    <v>10.645</v>
    <v>10.62</v>
    <v>10.64</v>
    <v>10.64</v>
    <v>10.62</v>
    <v>10.62</v>
    <v>10.635</v>
    <v>10.63</v>
    <v>10.65</v>
    <v>10.78</v>
    <v>10.79</v>
    <v>10.78</v>
    <v>10.75</v>
    <v>11.26</v>
    <v>11.22</v>
    <v>11.12</v>
    <v>11.15</v>
    <v>10.63</v>
    <v>10.64</v>
    <v>10.66</v>
    <v>10.63</v>
    <v>10.61</v>
    <v>10.61</v>
    <v>10.66</v>
    <v>10.63</v>
    <v>10.63</v>
    <v>10.66</v>
    <v>10.63</v>
    <v>10.63</v>
    <v>10.64</v>
    <v>10.62</v>
    <v>10.64</v>
    <v>10.64</v>
    <v>10.64</v>
    <v>10.65</v>
    <v>10.64</v>
    <v>10.63</v>
    <v>10.65</v>
    <v>10.68</v>
    <v>10.73</v>
    <v>10.74</v>
    <v>10.76</v>
    <v>10.8</v>
    <v>10.79</v>
    <v>10.79</v>
    <v>10.8</v>
    <v>10.74</v>
    <v>10.89</v>
    <v>10.85</v>
    <v>10.83</v>
    <v>10.74</v>
    <v>10.8</v>
    <v>10.85</v>
    <v>11.05</v>
    <v>11.15</v>
    <v>11.42</v>
    <v>12.18</v>
    <v>12.6</v>
    <v>12.87</v>
    <v>12.9</v>
    <v>13.1</v>
    <v>16.05</v>
    <v>14.16</v>
    <v>13.17</v>
    <v>13.41</v>
    <v>12.76</v>
    <v>12.5</v>
    <v>12.72</v>
    <v>12.7</v>
    <v>12.67</v>
    <v>12.5</v>
    <v>12.58</v>
    <v>13</v>
    <v>13.4</v>
    <v>13</v>
    <v>12.81</v>
    <v>14.42</v>
    <v>13.74</v>
    <v>13.94</v>
    <v>12.81</v>
    <v>14.83</v>
    <v>14.95</v>
    <v>14.34</v>
    <v>15.17</v>
    <v>18.23</v>
    <v>8.4499999999999993</v>
    <v>9.77</v>
    <v>11.17</v>
    <v>10.27</v>
    <v>9.64</v>
    <v>9.01</v>
    <v>7.76</v>
    <v>7.44</v>
    <v>7.16</v>
    <v>7.59</v>
    <v>10.15</v>
    <v>10.79</v>
    <v>11.03</v>
    <v>10.28</v>
    <v>10.07</v>
    <v>9.2899999999999991</v>
    <v>8.57</v>
    <v>9.09</v>
    <v>8.48</v>
    <v>8.35</v>
    <v>9.0500000000000007</v>
    <v>9.4499999999999993</v>
    <v>10.199999999999999</v>
    <v>10.210000000000001</v>
    <v>9.4600000000000009</v>
    <v>9.4</v>
    <v>9.89</v>
    <v>9.34</v>
    <v>9.02</v>
    <v>9.52</v>
    <v>9.41</v>
    <v>8.94</v>
    <v>8.56</v>
    <v>8.4700000000000006</v>
    <v>8</v>
    <v>8.0299999999999994</v>
    <v>8.25</v>
    <v>7.65</v>
    <v>7.42</v>
    <v>7.68</v>
    <v>7.78</v>
    <v>7.51</v>
    <v>8.61</v>
    <v>8.7200000000000006</v>
    <v>8.81</v>
    <v>8.8800000000000008</v>
    <v>8.4700000000000006</v>
    <v>8.61</v>
    <v>9.01</v>
    <v>9.24</v>
    <v>8.67</v>
    <v>8.41</v>
    <v>9.1999999999999993</v>
    <v>8.7899999999999991</v>
    <v>8.86</v>
    <v>9.1</v>
    <v>8.3800000000000008</v>
    <v>8.19</v>
    <v>7.64</v>
    <v>7.88</v>
    <v>7.46</v>
    <v>7.28</v>
    <v>7.49</v>
    <v>7.05</v>
    <v>7.42</v>
    <v>7.61</v>
    <v>7.47</v>
    <v>7.51</v>
    <v>7.27</v>
    <v>6.92</v>
    <v>7.09</v>
    <v>6.77</v>
    <v>7.05</v>
    <v>6.95</v>
    <v>6.91</v>
    <v>6.39</v>
    <v>6.44</v>
    <v>5.97</v>
    <v>5.59</v>
    <v>5.82</v>
    <v>5.82</v>
    <v>5.59</v>
    <v>5.65</v>
    <v>6.09</v>
    <v>6.1</v>
    <v>6.23</v>
    <v>6.31</v>
    <v>6.21</v>
    <v>6.3</v>
    <v>6.22</v>
    <v>6.61</v>
    <v>8.41</v>
    <v>8.31</v>
    <v>8.31</v>
    <v>8.23</v>
    <v>8.58</v>
    <v>8.84</v>
    <v>8.09</v>
    <v>8.6</v>
    <v>9.5</v>
    <v>9.41</v>
    <v>11.19</v>
    <v>10.54</v>
    <v>10</v>
    <v>9.6</v>
    <v>9.81</v>
    <v>9.15</v>
    <v>10.039999999999999</v>
    <v>11.65</v>
    <v>16.54</v>
    <v>15.73</v>
    <v>18.23</v>
    <v>22.31</v>
    <v>20.83</v>
    <v>18.3</v>
    <v>18.059999999999999</v>
    <v>19.11</v>
    <v>24.5</v>
    <v>24.84</v>
    <v>22.89</v>
    <v>22.46</v>
    <v>21.67</v>
    <v>21.05</v>
    <v>20.58</v>
    <v>21.72</v>
    <v>26.56</v>
    <v>24.47</v>
    <v>24.06</v>
    <v>22.59</v>
    <v>23.08</v>
    <v>23.88</v>
    <v>18</v>
    <v>20.67</v>
    <v>21.8</v>
    <v>20.95</v>
    <v>25.23</v>
    <v>25.2</v>
    <v>22.91</v>
    <v>22.04</v>
    <v>21.95</v>
    <v>23.54</v>
    <v>22.23</v>
    <v>20.13</v>
    <v>20.34</v>
    <v>20.079999999999998</v>
    <v>21.91</v>
    <v>20.09</v>
    <v>18.420000000000002</v>
    <v>19.27</v>
    <v>18.37</v>
    <v>18.53</v>
    <v>18.48</v>
    <v>19.100000000000001</v>
    <v>18.38</v>
    <v>20.96</v>
    <v>21.52</v>
    <v>22.02</v>
    <v>23.61</v>
    <v>24.04</v>
    <v>22.78</v>
    <v>23.65</v>
    <v>21.23</v>
    <v>21.85</v>
    <v>27.25</v>
    <v>30</v>
    <v>29.5</v>
    <v>26.12</v>
    <v>25.24</v>
    <v>22.88</v>
    <v>22.81</v>
    <v>24.17</v>
    <v>24.23</v>
    <v>26.05</v>
    <v>31.25</v>
    <v>34.17</v>
    <v>38.78</v>
    <v>41.82</v>
    <v>31.11</v>
    <v>34.119999999999997</v>
    <v>35.299999999999997</v>
    <v>41.91</v>
    <v>41.61</v>
    <v>45.93</v>
    <v>46.89</v>
    <v>50.5</v>
    <v>47.76</v>
    <v>55.49</v>
    <v>53.73</v>
    <v>50.08</v>
    <v>54.38</v>
    <v>55.03</v>
    <v>52.62</v>
    <v>50.19</v>
    <v>45.12</v>
    <v>42.66</v>
    <v>38.79</v>
    <v>34.08</v>
    <v>32.07</v>
    <v>35.19</v>
    <v>32.39</v>
    <v>33.39</v>
    <v>29.38</v>
    <v>30.92</v>
    <v>30.29</v>
    <v>25.97</v>
    <v>26.27</v>
    <v>23.69</v>
    <v>25.47</v>
    <v>26.19</v>
    <v>23.95</v>
    <v>27.72</v>
    <v>28</v>
    <v>26.02</v>
    <v>28.05</v>
    <v>27.77</v>
    <v>27.16</v>
    <v>30.91</v>
    <v>28.93</v>
    <v>26.37</v>
    <v>23.82</v>
    <v>22.39</v>
    <v>21.63</v>
    <v>22.53</v>
    <v>22.7</v>
    <v>21.89</v>
    <v>19.8</v>
    <v>21.93</v>
    <v>20.23</v>
    <v>24.08</v>
    <v>22.72</v>
    <v>22.5</v>
    <v>22.55</v>
    <v>23</v>
    <v>21.56</v>
    <v>21.98</v>
    <v>20.39</v>
    <v>21.53</v>
    <v>23.37</v>
    <v>24.32</v>
    <v>23.74</v>
    <v>24.49</v>
    <v>24.44</v>
    <v>23.74</v>
    <v>26.31</v>
    <v>26.24</v>
    <v>25.47</v>
    <v>28.66</v>
    <v>27.12</v>
    <v>26.95</v>
    <v>28.09</v>
    <v>28.85</v>
    <v>32.03</v>
    <v>37.01</v>
    <v>37.409999999999997</v>
    <v>37.72</v>
    <v>39.729999999999997</v>
    <v>37.57</v>
    <v>36.81</v>
    <v>39.72</v>
    <v>48.87</v>
    <v>53.9</v>
    <v>55.24</v>
    <v>52.93</v>
    <v>52.72</v>
    <v>52.44</v>
    <v>49.77</v>
    <v>49.09</v>
    <v>47.16</v>
    <v>50.29</v>
    <v>54.26</v>
    <v>52.54</v>
    <v>68.03</v>
    <v>64.48</v>
    <v>63.66</v>
    <v>65.45</v>
    <v>62.77</v>
    <v>62.02</v>
    <v>57.95</v>
    <v>55.11</v>
    <v>60.71</v>
    <v>55.57</v>
    <v>55.85</v>
    <v>55.26</v>
    <v>55.99</v>
    <v>51.74</v>
    <v>51.33</v>
    <v>53.72</v>
    <v>55.94</v>
    <v>53.52</v>
    <v>53.93</v>
    <v>55.45</v>
    <v>56.08</v>
    <v>62.41</v>
    <v>60.95</v>
    <v>64.37</v>
    <v>67.17</v>
    <v>68.98</v>
    <v>62.51</v>
    <v>61.32</v>
    <v>66.97</v>
    <v>74.59</v>
    <v>75.5</v>
    <v>75.5</v>
    <v>71.010000000000005</v>
    <v>75.63</v>
    <v>76.59</v>
    <v>71.489999999999995</v>
    <v>76.41</v>
    <v>84.09</v>
    <v>83.1</v>
    <v>79.319999999999993</v>
    <v>75.319999999999993</v>
    <v>71.86</v>
    <v>78.47</v>
    <v>77.42</v>
    <v>73.66</v>
    <v>71.06</v>
    <v>68.989999999999995</v>
    <v>65.41</v>
    <v>66.569999999999993</v>
    <v>67.19</v>
    <v>70.38</v>
    <v>71.19</v>
    <v>74.31</v>
    <v>73.2</v>
    <v>77.89</v>
    <v>73.64</v>
    <v>73.59</v>
    <v>72.23</v>
    <v>69.61</v>
    <v>69.790000000000006</v>
    <v>70.72</v>
    <v>73.97</v>
    <v>73.75</v>
    <v>79.97</v>
    <v>82.71</v>
    <v>95.68</v>
    <v>95.83</v>
    <v>95.29</v>
    <v>104.97</v>
    <v>135.22999999999999</v>
    <v>140.30000000000001</v>
    <v>142.65</v>
    <v>131.16999999999999</v>
    <v>119.13</v>
    <v>110.53</v>
    <v>116.51</v>
    <v>111.63</v>
    <v>115.93</v>
    <v>128.80000000000001</v>
    <v>127.36</v>
    <v>138.56</v>
    <v>134.12</v>
    <v>134.77000000000001</v>
    <v>138.13</v>
    <v>147.16</v>
    <v>171.01</v>
    <v>174.14</v>
    <v>171.56</v>
    <v>162.13999999999999</v>
    <v>163.38999999999999</v>
    <v>159.05000000000001</v>
    <v>139.44</v>
    <v>120.12</v>
    <v>124.7</v>
    <v>136.05000000000001</v>
    <v>137.43</v>
    <v>132.28</v>
    <v>143.41999999999999</v>
    <v>137.38999999999999</v>
    <v>132.77000000000001</v>
    <v>126.67</v>
    <v>112.23</v>
    <v>121.23</v>
    <v>106.75</v>
    <v>112.65</v>
    <v>111.52</v>
    <v>104.22</v>
    <v>111.17</v>
    <v>101.64</v>
    <v>97.57</v>
    <v>95.36</v>
    <v>96.63</v>
    <v>102.86</v>
    <v>88</v>
    <v>88.17</v>
    <v>89.55</v>
    <v>85.77</v>
    <v>88.72</v>
    <v>91.38</v>
    <v>87.36</v>
    <v>91.84</v>
    <v>96.59</v>
    <v>111.65</v>
    <v>104.67</v>
    <v>104.61</v>
    <v>103.93</v>
    <v>100.6</v>
    <v>103</v>
    <v>87.42</v>
    <v>82.33</v>
    <v>83.51</v>
    <v>75.94</v>
    <v>77.72</v>
    <v>83.23</v>
    <v>83.44</v>
    <v>81.88</v>
    <v>81.31</v>
    <v>76.92</v>
    <v>74.09</v>
    <v>71.62</v>
    <v>71.760000000000005</v>
    <v>77.8</v>
    <v>89.34</v>
    <v>95.6</v>
    <v>97.6</v>
    <v>97.6</v>
    <v>105.31</v>
    <v>102.5</v>
    <v>97.09</v>
    <v>95.97</v>
    <v>91.45</v>
    <v>94.95</v>
    <v>89.93</v>
    <v>90.78</v>
    <v>90.93</v>
    <v>87.63</v>
    <v>82.31</v>
    <v>85.27</v>
    <v>94.39</v>
    <v>86.04</v>
    <v>79.62</v>
    <v>73.62</v>
    <v>78</v>
    <v>68.23</v>
    <v>62.14</v>
    <v>71.099999999999994</v>
    <v>75.05</v>
    <v>69.47</v>
    <v>66.23</v>
    <v>63.92</v>
    <v>65.69</v>
    <v>67.64</v>
    <v>67.39</v>
    <v>67.64</v>
    <v>63.83</v>
    <v>63.09</v>
    <v>65.06</v>
    <v>66.319999999999993</v>
    <v>69.069999999999993</v>
    <v>62.95</v>
    <v>64.680000000000007</v>
    <v>63.3</v>
    <v>65.650000000000006</v>
    <v>62.03</v>
    <v>58.25</v>
    <v>61.78</v>
    <v>61.38</v>
    <v>62.76</v>
    <v>59.59</v>
    <v>58.37</v>
    <v>59.69</v>
    <v>60.53</v>
    <v>56.7</v>
    <v>54.69</v>
    <v>53.97</v>
    <v>56.26</v>
    <v>54.96</v>
    <v>55.27</v>
    <v>51.81</v>
    <v>50.23</v>
    <v>45.58</v>
    <v>49.59</v>
    <v>48.07</v>
    <v>48.13</v>
    <v>48.76</v>
    <v>46.59</v>
    <v>50.21</v>
    <v>47.75</v>
    <v>50.25</v>
    <v>53.94</v>
    <v>58.58</v>
    <v>63.35</v>
    <v>64.209999999999994</v>
    <v>66.81</v>
    <v>68.13</v>
    <v>62.61</v>
    <v>72.41</v>
    <v>76.459999999999994</v>
    <v>71</v>
    <v>75.930000000000007</v>
    <v>69.09</v>
    <v>64.98</v>
    <v>72.5</v>
    <v>70.400000000000006</v>
    <v>68.599999999999994</v>
    <v>68.38</v>
    <v>79.62</v>
    <v>71.83</v>
    <v>72.510000000000005</v>
    <v>78.13</v>
    <v>73.63</v>
    <v>69.66</v>
    <v>67.209999999999994</v>
    <v>62.25</v>
    <v>58.56</v>
    <v>55.88</v>
    <v>62.58</v>
    <v>65.09</v>
    <v>65.88</v>
    <v>68.7</v>
    <v>67.819999999999993</v>
    <v>68.09</v>
    <v>66.88</v>
    <v>66.89</v>
    <v>73.47</v>
    <v>65.209999999999994</v>
    <v>65.39</v>
    <v>58.09</v>
    <v>58.94</v>
    <v>56.48</v>
    <v>54.02</v>
    <v>57.86</v>
    <v>57.49</v>
    <v>60.74</v>
    <v>57.45</v>
    <v>58.82</v>
    <v>61.17</v>
    <v>58.4</v>
    <v>57.19</v>
    <v>54.06</v>
    <v>51.01</v>
    <v>50</v>
    <v>52.76</v>
    <v>52.33</v>
    <v>52.45</v>
    <v>52.36</v>
    <v>51.84</v>
    <v>47.9</v>
    <v>47.28</v>
    <v>49.27</v>
    <v>48.85</v>
    <v>45.81</v>
    <v>46.24</v>
    <v>45.69</v>
    <v>41.7</v>
    <v>41.11</v>
    <v>41.51</v>
    <v>44.13</v>
    <v>44.5</v>
    <v>44</v>
    <v>40.25</v>
    <v>41.81</v>
    <v>39.58</v>
    <v>36.840000000000003</v>
    <v>41.09</v>
    <v>38.83</v>
    <v>41.22</v>
    <v>43.33</v>
    <v>42.99</v>
    <v>42.19</v>
    <v>48.42</v>
    <v>44.49</v>
    <v>47.01</v>
    <v>45.13</v>
    <v>46.45</v>
    <v>44.38</v>
    <v>43.88</v>
    <v>41.36</v>
    <v>42.94</v>
    <v>41.66</v>
    <v>42.09</v>
    <v>39.69</v>
    <v>44.27</v>
    <v>41.6</v>
    <v>42.53</v>
    <v>40.14</v>
    <v>40.57</v>
    <v>38.53</v>
    <v>39.520000000000003</v>
    <v>39.840000000000003</v>
    <v>41.27</v>
    <v>43.31</v>
    <v>42.57</v>
    <v>39.880000000000003</v>
    <v>36.22</v>
    <v>36.21</v>
    <v>35.979999999999997</v>
    <v>35.619999999999997</v>
    <v>39.65</v>
    <v>38</v>
    <v>40.18</v>
    <v>40.450000000000003</v>
    <v>38.82</v>
    <v>38.29</v>
    <v>38.04</v>
    <v>37.11</v>
    <v>37.11</v>
    <v>37.020000000000003</v>
    <v>36.14</v>
    <v>35.869999999999997</v>
    <v>35.97</v>
    <v>38.549999999999997</v>
    <v>36.82</v>
    <v>34.57</v>
    <v>34.700000000000003</v>
    <v>32.21</v>
    <v>31.78</v>
    <v>29.04</v>
    <v>30.01</v>
    <v>27.97</v>
    <v>27.24</v>
    <v>27.48</v>
    <v>27.73</v>
    <v>27.01</v>
    <v>26.35</v>
  </a>
  <a r="1" c="252">
    <v>124.7</v>
    <v>136.05000000000001</v>
    <v>137.43</v>
    <v>132.28</v>
    <v>143.41999999999999</v>
    <v>137.38999999999999</v>
    <v>132.77000000000001</v>
    <v>126.67</v>
    <v>112.23</v>
    <v>121.23</v>
    <v>106.75</v>
    <v>112.65</v>
    <v>111.52</v>
    <v>104.22</v>
    <v>111.17</v>
    <v>101.64</v>
    <v>97.57</v>
    <v>95.36</v>
    <v>96.63</v>
    <v>102.86</v>
    <v>88</v>
    <v>88.17</v>
    <v>89.55</v>
    <v>85.77</v>
    <v>88.72</v>
    <v>91.38</v>
    <v>87.36</v>
    <v>91.84</v>
    <v>96.59</v>
    <v>111.65</v>
    <v>104.67</v>
    <v>104.61</v>
    <v>103.93</v>
    <v>100.6</v>
    <v>103</v>
    <v>87.42</v>
    <v>82.33</v>
    <v>83.51</v>
    <v>75.94</v>
    <v>77.72</v>
    <v>83.23</v>
    <v>83.44</v>
    <v>81.88</v>
    <v>81.31</v>
    <v>76.92</v>
    <v>74.09</v>
    <v>71.62</v>
    <v>71.760000000000005</v>
    <v>77.8</v>
    <v>89.34</v>
    <v>95.6</v>
    <v>97.6</v>
    <v>97.6</v>
    <v>105.31</v>
    <v>102.5</v>
    <v>97.09</v>
    <v>95.97</v>
    <v>91.45</v>
    <v>94.95</v>
    <v>89.93</v>
    <v>90.78</v>
    <v>90.93</v>
    <v>87.63</v>
    <v>82.31</v>
    <v>85.27</v>
    <v>94.39</v>
    <v>86.04</v>
    <v>79.62</v>
    <v>73.62</v>
    <v>78</v>
    <v>68.23</v>
    <v>62.14</v>
    <v>71.099999999999994</v>
    <v>75.05</v>
    <v>69.47</v>
    <v>66.23</v>
    <v>63.92</v>
    <v>65.69</v>
    <v>67.64</v>
    <v>67.39</v>
    <v>67.64</v>
    <v>63.83</v>
    <v>63.09</v>
    <v>65.06</v>
    <v>66.319999999999993</v>
    <v>69.069999999999993</v>
    <v>62.95</v>
    <v>64.680000000000007</v>
    <v>63.3</v>
    <v>65.650000000000006</v>
    <v>62.03</v>
    <v>58.25</v>
    <v>61.78</v>
    <v>61.38</v>
    <v>62.76</v>
    <v>59.59</v>
    <v>58.37</v>
    <v>59.69</v>
    <v>60.53</v>
    <v>56.7</v>
    <v>54.69</v>
    <v>53.97</v>
    <v>56.26</v>
    <v>54.96</v>
    <v>55.27</v>
    <v>51.81</v>
    <v>50.23</v>
    <v>45.58</v>
    <v>49.59</v>
    <v>48.07</v>
    <v>48.13</v>
    <v>48.76</v>
    <v>46.59</v>
    <v>50.21</v>
    <v>47.75</v>
    <v>50.25</v>
    <v>53.94</v>
    <v>58.58</v>
    <v>63.35</v>
    <v>64.209999999999994</v>
    <v>66.81</v>
    <v>68.13</v>
    <v>62.61</v>
    <v>72.41</v>
    <v>76.459999999999994</v>
    <v>71</v>
    <v>75.930000000000007</v>
    <v>69.09</v>
    <v>64.98</v>
    <v>72.5</v>
    <v>70.400000000000006</v>
    <v>68.599999999999994</v>
    <v>68.38</v>
    <v>79.62</v>
    <v>71.83</v>
    <v>72.510000000000005</v>
    <v>78.13</v>
    <v>73.63</v>
    <v>69.66</v>
    <v>67.209999999999994</v>
    <v>62.25</v>
    <v>58.56</v>
    <v>55.88</v>
    <v>62.58</v>
    <v>65.09</v>
    <v>65.88</v>
    <v>68.7</v>
    <v>67.819999999999993</v>
    <v>68.09</v>
    <v>66.88</v>
    <v>66.89</v>
    <v>73.47</v>
    <v>65.209999999999994</v>
    <v>65.39</v>
    <v>58.09</v>
    <v>58.94</v>
    <v>56.48</v>
    <v>54.02</v>
    <v>57.86</v>
    <v>57.49</v>
    <v>60.74</v>
    <v>57.45</v>
    <v>58.82</v>
    <v>61.17</v>
    <v>58.4</v>
    <v>57.19</v>
    <v>54.06</v>
    <v>51.01</v>
    <v>50</v>
    <v>52.76</v>
    <v>52.33</v>
    <v>52.45</v>
    <v>52.36</v>
    <v>51.84</v>
    <v>47.9</v>
    <v>47.28</v>
    <v>49.27</v>
    <v>48.85</v>
    <v>45.81</v>
    <v>46.24</v>
    <v>45.69</v>
    <v>41.7</v>
    <v>41.11</v>
    <v>41.51</v>
    <v>44.13</v>
    <v>44.5</v>
    <v>44</v>
    <v>40.25</v>
    <v>41.81</v>
    <v>39.58</v>
    <v>36.840000000000003</v>
    <v>41.09</v>
    <v>38.83</v>
    <v>41.22</v>
    <v>43.33</v>
    <v>42.99</v>
    <v>42.19</v>
    <v>48.42</v>
    <v>44.49</v>
    <v>47.01</v>
    <v>45.13</v>
    <v>46.45</v>
    <v>44.38</v>
    <v>43.88</v>
    <v>41.36</v>
    <v>42.94</v>
    <v>41.66</v>
    <v>42.09</v>
    <v>39.69</v>
    <v>44.27</v>
    <v>41.6</v>
    <v>42.53</v>
    <v>40.14</v>
    <v>40.57</v>
    <v>38.53</v>
    <v>39.520000000000003</v>
    <v>39.840000000000003</v>
    <v>41.27</v>
    <v>43.31</v>
    <v>42.57</v>
    <v>39.880000000000003</v>
    <v>36.22</v>
    <v>36.21</v>
    <v>35.979999999999997</v>
    <v>35.619999999999997</v>
    <v>39.65</v>
    <v>38</v>
    <v>40.18</v>
    <v>40.450000000000003</v>
    <v>38.82</v>
    <v>38.29</v>
    <v>38.04</v>
    <v>37.11</v>
    <v>37.11</v>
    <v>37.020000000000003</v>
    <v>36.14</v>
    <v>35.869999999999997</v>
    <v>35.97</v>
    <v>38.549999999999997</v>
    <v>36.82</v>
    <v>34.57</v>
    <v>34.700000000000003</v>
    <v>32.21</v>
    <v>31.78</v>
    <v>29.04</v>
    <v>30.01</v>
    <v>27.97</v>
    <v>27.24</v>
    <v>27.48</v>
    <v>27.73</v>
    <v>27.01</v>
    <v>26.35</v>
  </a>
  <a r="1" c="208">
    <v>38.265000000000001</v>
    <v>39.909999999999997</v>
    <v>41.825000000000003</v>
    <v>42.134999999999998</v>
    <v>40.56</v>
    <v>41.55</v>
    <v>41.664999999999999</v>
    <v>42.534999999999997</v>
    <v>41.4</v>
    <v>41.604999999999997</v>
    <v>41.93</v>
    <v>40.634999999999998</v>
    <v>40.475000000000001</v>
    <v>41.08</v>
    <v>42.585000000000001</v>
    <v>42.295000000000002</v>
    <v>41.854999999999997</v>
    <v>42.32</v>
    <v>43.42</v>
    <v>41.8</v>
    <v>41.61</v>
    <v>41.88</v>
    <v>41.075000000000003</v>
    <v>40.305</v>
    <v>41.405000000000001</v>
    <v>42.034999999999997</v>
    <v>41.99</v>
    <v>42.865000000000002</v>
    <v>43.51</v>
    <v>42.75</v>
    <v>43.51</v>
    <v>43.215000000000003</v>
    <v>44.58</v>
    <v>46.09</v>
    <v>45.835000000000001</v>
    <v>45.2</v>
    <v>45.89</v>
    <v>46.68</v>
    <v>47.075000000000003</v>
    <v>46.77</v>
    <v>45.825000000000003</v>
    <v>44.414999999999999</v>
    <v>41.68</v>
    <v>43.945</v>
    <v>42.3</v>
    <v>39.42</v>
    <v>38.950000000000003</v>
    <v>41.314999999999998</v>
    <v>41.55</v>
    <v>40.270000000000003</v>
    <v>39.835000000000001</v>
    <v>39.435000000000002</v>
    <v>39.634999999999998</v>
    <v>39.97</v>
    <v>37.094999999999999</v>
    <v>37.645000000000003</v>
    <v>38.49</v>
    <v>38.314999999999998</v>
    <v>39.659999999999997</v>
    <v>38.884999999999998</v>
    <v>37.43</v>
    <v>37.32</v>
    <v>38</v>
    <v>40.15</v>
    <v>38.96</v>
    <v>38.265000000000001</v>
    <v>42.79</v>
    <v>42.39</v>
    <v>42.825000000000003</v>
    <v>42.93</v>
    <v>44.454999999999998</v>
    <v>44.715000000000003</v>
    <v>46.005000000000003</v>
    <v>48.9</v>
    <v>47.994999999999997</v>
    <v>47.734999999999999</v>
    <v>49.39</v>
    <v>53.35</v>
    <v>54.15</v>
    <v>53.6</v>
    <v>52.8</v>
    <v>55.7</v>
    <v>57.13</v>
    <v>56.81</v>
    <v>60.5</v>
    <v>59.23</v>
    <v>59.5</v>
    <v>61.66</v>
    <v>61.79</v>
    <v>58.14</v>
    <v>64.36</v>
    <v>68.069999999999993</v>
    <v>65.19</v>
    <v>66.33</v>
    <v>64.64</v>
    <v>67.94</v>
    <v>68</v>
    <v>73.42</v>
    <v>76.73</v>
    <v>77.55</v>
    <v>76.73</v>
    <v>80.11</v>
    <v>81.11</v>
    <v>80.349999999999994</v>
    <v>88</v>
    <v>88</v>
    <v>85.05</v>
    <v>77.3</v>
    <v>78.239999999999995</v>
    <v>75.66</v>
    <v>75.099999999999994</v>
    <v>77.06</v>
    <v>80.06</v>
    <v>80.75</v>
    <v>79.28</v>
    <v>77.06</v>
    <v>82.01</v>
    <v>81.97</v>
    <v>85.94</v>
    <v>80.56</v>
    <v>79.56</v>
    <v>82.01</v>
    <v>78.3</v>
    <v>78.239999999999995</v>
    <v>81.67</v>
    <v>77.900000000000006</v>
    <v>76.349999999999994</v>
    <v>77.38</v>
    <v>77.209999999999994</v>
    <v>70.83</v>
    <v>70.3</v>
    <v>73.349999999999994</v>
    <v>72.48</v>
    <v>70.37</v>
    <v>71.819999999999993</v>
    <v>67.31</v>
    <v>64.709999999999994</v>
    <v>63.66</v>
    <v>64</v>
    <v>67.540000000000006</v>
    <v>69.8</v>
    <v>65.489999999999995</v>
    <v>64.41</v>
    <v>61.49</v>
    <v>57.77</v>
    <v>54.48</v>
    <v>59.47</v>
    <v>61.67</v>
    <v>61.47</v>
    <v>63.72</v>
    <v>60.08</v>
    <v>60.32</v>
    <v>62.08</v>
    <v>62.53</v>
    <v>62.85</v>
    <v>63.09</v>
    <v>62.5</v>
    <v>61.73</v>
    <v>61.97</v>
    <v>57.24</v>
    <v>54.98</v>
    <v>55.41</v>
    <v>55.97</v>
    <v>54.16</v>
    <v>54.85</v>
    <v>55.19</v>
    <v>57.17</v>
    <v>57.08</v>
    <v>56.29</v>
    <v>55.54</v>
    <v>55.77</v>
    <v>55.53</v>
    <v>56.86</v>
    <v>60.79</v>
    <v>58.45</v>
    <v>56.95</v>
    <v>55.8</v>
    <v>58.56</v>
    <v>54.04</v>
    <v>54.33</v>
    <v>55</v>
    <v>54.4</v>
    <v>55.86</v>
    <v>58.29</v>
    <v>60.13</v>
    <v>58.57</v>
    <v>56.26</v>
    <v>56.71</v>
    <v>56.57</v>
    <v>59.3</v>
    <v>59.5</v>
    <v>59.42</v>
    <v>64.64</v>
    <v>63.47</v>
    <v>64.680000000000007</v>
    <v>60.95</v>
    <v>58.9</v>
    <v>58.86</v>
    <v>57.22</v>
    <v>56</v>
    <v>55.35</v>
    <v>52.47</v>
    <v>52.39</v>
    <v>52.52</v>
    <v>52.04</v>
    <v>53.09</v>
    <v>49.884999999999998</v>
    <v>48.67</v>
  </a>
  <a r="1" c="763">
    <v>29.08</v>
    <v>29.07</v>
    <v>28.765000000000001</v>
    <v>29.375</v>
    <v>29.13</v>
    <v>27.28</v>
    <v>27.475000000000001</v>
    <v>27.655000000000001</v>
    <v>28.52</v>
    <v>29.184999999999999</v>
    <v>29.195</v>
    <v>29.504999999999999</v>
    <v>29.414999999999999</v>
    <v>29.7</v>
    <v>29.305</v>
    <v>29.625</v>
    <v>30.605</v>
    <v>33.57</v>
    <v>33.96</v>
    <v>33.58</v>
    <v>33.909999999999997</v>
    <v>33.4</v>
    <v>33.465000000000003</v>
    <v>33.5</v>
    <v>33.715000000000003</v>
    <v>33.6</v>
    <v>34.274999999999999</v>
    <v>35.700000000000003</v>
    <v>35.549999999999997</v>
    <v>36.134999999999998</v>
    <v>36.005000000000003</v>
    <v>35.905000000000001</v>
    <v>36.805</v>
    <v>36.43</v>
    <v>37.159999999999997</v>
    <v>36.905000000000001</v>
    <v>37.145000000000003</v>
    <v>37.04</v>
    <v>38.380000000000003</v>
    <v>38.914999999999999</v>
    <v>37.950000000000003</v>
    <v>38.064999999999998</v>
    <v>37.765000000000001</v>
    <v>37.865000000000002</v>
    <v>37.619999999999997</v>
    <v>37.99</v>
    <v>37.664999999999999</v>
    <v>37.799999999999997</v>
    <v>37.06</v>
    <v>35.645000000000003</v>
    <v>34.914999999999999</v>
    <v>35.134999999999998</v>
    <v>35.83</v>
    <v>35.200000000000003</v>
    <v>34.784999999999997</v>
    <v>34.270000000000003</v>
    <v>34.265000000000001</v>
    <v>33.805</v>
    <v>33.615000000000002</v>
    <v>32.534999999999997</v>
    <v>34.1</v>
    <v>34.19</v>
    <v>34.655000000000001</v>
    <v>34.82</v>
    <v>34.905000000000001</v>
    <v>34.645000000000003</v>
    <v>34.344999999999999</v>
    <v>33.520000000000003</v>
    <v>34.22</v>
    <v>33.744999999999997</v>
    <v>33.384999999999998</v>
    <v>33.604999999999997</v>
    <v>34.655000000000001</v>
    <v>33.6</v>
    <v>31.88</v>
    <v>33.15</v>
    <v>33.64</v>
    <v>34.265000000000001</v>
    <v>32.564999999999998</v>
    <v>32.994999999999997</v>
    <v>33.340000000000003</v>
    <v>33.46</v>
    <v>33.14</v>
    <v>32.56</v>
    <v>32.895000000000003</v>
    <v>33.61</v>
    <v>33.1</v>
    <v>33.225000000000001</v>
    <v>34.564999999999998</v>
    <v>33.17</v>
    <v>33.094999999999999</v>
    <v>33.984999999999999</v>
    <v>33.58</v>
    <v>33.159999999999997</v>
    <v>33.83</v>
    <v>34.869999999999997</v>
    <v>34.295000000000002</v>
    <v>33.729999999999997</v>
    <v>34.880000000000003</v>
    <v>34.89</v>
    <v>33.954999999999998</v>
    <v>31.91</v>
    <v>32</v>
    <v>31.315000000000001</v>
    <v>31</v>
    <v>31.89</v>
    <v>31.215</v>
    <v>30.88</v>
    <v>31.355</v>
    <v>31.475000000000001</v>
    <v>31.515000000000001</v>
    <v>30.77</v>
    <v>31.51</v>
    <v>31.88</v>
    <v>31.6</v>
    <v>32.33</v>
    <v>33.545000000000002</v>
    <v>33.590000000000003</v>
    <v>32.799999999999997</v>
    <v>32.06</v>
    <v>32.344999999999999</v>
    <v>32.090000000000003</v>
    <v>31.495000000000001</v>
    <v>30.885000000000002</v>
    <v>30.135000000000002</v>
    <v>29.805</v>
    <v>29.805</v>
    <v>31.43</v>
    <v>32.56</v>
    <v>33.03</v>
    <v>32.799999999999997</v>
    <v>32.72</v>
    <v>31.335000000000001</v>
    <v>31.434999999999999</v>
    <v>32.22</v>
    <v>36.384999999999998</v>
    <v>36.06</v>
    <v>36.89</v>
    <v>38</v>
    <v>37.18</v>
    <v>37.200000000000003</v>
    <v>38</v>
    <v>37.094999999999999</v>
    <v>37.005000000000003</v>
    <v>37.494999999999997</v>
    <v>36.35</v>
    <v>37.71</v>
    <v>38.07</v>
    <v>38.01</v>
    <v>38.06</v>
    <v>38.284999999999997</v>
    <v>37.064999999999998</v>
    <v>37.085000000000001</v>
    <v>36.825000000000003</v>
    <v>36.92</v>
    <v>36.71</v>
    <v>37.22</v>
    <v>36.659999999999997</v>
    <v>38.01</v>
    <v>37.715000000000003</v>
    <v>37.65</v>
    <v>38.51</v>
    <v>37.93</v>
    <v>36.5</v>
    <v>36.15</v>
    <v>35.984999999999999</v>
    <v>34.69</v>
    <v>34.984999999999999</v>
    <v>33.94</v>
    <v>34.005000000000003</v>
    <v>34.07</v>
    <v>34.369999999999997</v>
    <v>33.99</v>
    <v>34.305</v>
    <v>34.365000000000002</v>
    <v>34.14</v>
    <v>34.729999999999997</v>
    <v>34.979999999999997</v>
    <v>35.78</v>
    <v>35.704999999999998</v>
    <v>34.979999999999997</v>
    <v>35.395000000000003</v>
    <v>35.299999999999997</v>
    <v>36.085000000000001</v>
    <v>35.744999999999997</v>
    <v>35.234999999999999</v>
    <v>34.93</v>
    <v>34.465000000000003</v>
    <v>33.1</v>
    <v>34.21</v>
    <v>33.07</v>
    <v>32.590000000000003</v>
    <v>30.48</v>
    <v>30.725000000000001</v>
    <v>31.414999999999999</v>
    <v>31.6</v>
    <v>32.049999999999997</v>
    <v>31.1</v>
    <v>29.53</v>
    <v>29.925000000000001</v>
    <v>29.734999999999999</v>
    <v>30.37</v>
    <v>30.32</v>
    <v>30.164999999999999</v>
    <v>30.28</v>
    <v>30.3</v>
    <v>30.375</v>
    <v>31.66</v>
    <v>31.545000000000002</v>
    <v>31.56</v>
    <v>31.635000000000002</v>
    <v>32.11</v>
    <v>32.115000000000002</v>
    <v>32.200000000000003</v>
    <v>32.14</v>
    <v>32.39</v>
    <v>32.344999999999999</v>
    <v>32.86</v>
    <v>33</v>
    <v>32.82</v>
    <v>31.285</v>
    <v>30.09</v>
    <v>30.045000000000002</v>
    <v>28.98</v>
    <v>29.234999999999999</v>
    <v>28.52</v>
    <v>28.88</v>
    <v>29.254999999999999</v>
    <v>29.824999999999999</v>
    <v>29.05</v>
    <v>29.984999999999999</v>
    <v>30.175000000000001</v>
    <v>30.835000000000001</v>
    <v>29.07</v>
    <v>29.024999999999999</v>
    <v>29.49</v>
    <v>29.46</v>
    <v>30.635000000000002</v>
    <v>32.695</v>
    <v>31.46</v>
    <v>30.605</v>
    <v>30.635000000000002</v>
    <v>29.76</v>
    <v>30.364999999999998</v>
    <v>30.434999999999999</v>
    <v>29.875</v>
    <v>30.605</v>
    <v>30.41</v>
    <v>30.414999999999999</v>
    <v>31.045000000000002</v>
    <v>30.475000000000001</v>
    <v>30.375</v>
    <v>30.885000000000002</v>
    <v>30.765000000000001</v>
    <v>29.975000000000001</v>
    <v>29.675000000000001</v>
    <v>30.35</v>
    <v>30.63</v>
    <v>30.7</v>
    <v>30.98</v>
    <v>30.79</v>
    <v>29.72</v>
    <v>29.024999999999999</v>
    <v>29.37</v>
    <v>29.18</v>
    <v>29.34</v>
    <v>28.4</v>
    <v>28.94</v>
    <v>28.785</v>
    <v>29.76</v>
    <v>30.85</v>
    <v>29.4</v>
    <v>30.765000000000001</v>
    <v>30.29</v>
    <v>29.74</v>
    <v>29.1</v>
    <v>29.12</v>
    <v>29.065000000000001</v>
    <v>30.004999999999999</v>
    <v>30.41</v>
    <v>30.484999999999999</v>
    <v>30.055</v>
    <v>29.925000000000001</v>
    <v>30.815000000000001</v>
    <v>31.12</v>
    <v>31.795000000000002</v>
    <v>32.045000000000002</v>
    <v>32.335000000000001</v>
    <v>32.685000000000002</v>
    <v>33.409999999999997</v>
    <v>33.29</v>
    <v>33.094999999999999</v>
    <v>33.18</v>
    <v>33.020000000000003</v>
    <v>32.85</v>
    <v>32.984999999999999</v>
    <v>33.695</v>
    <v>31.88</v>
    <v>31.39</v>
    <v>31.54</v>
    <v>31.82</v>
    <v>31.4</v>
    <v>31.395</v>
    <v>31</v>
    <v>33.274999999999999</v>
    <v>33.954999999999998</v>
    <v>32.704999999999998</v>
    <v>32.28</v>
    <v>32.215000000000003</v>
    <v>32.46</v>
    <v>32.825000000000003</v>
    <v>33.405000000000001</v>
    <v>33.43</v>
    <v>34.005000000000003</v>
    <v>34.134999999999998</v>
    <v>34.44</v>
    <v>34.305</v>
    <v>34.185000000000002</v>
    <v>34.020000000000003</v>
    <v>33.380000000000003</v>
    <v>33.055</v>
    <v>32.51</v>
    <v>31.434999999999999</v>
    <v>32.055</v>
    <v>31.254999999999999</v>
    <v>34.494999999999997</v>
    <v>35.5</v>
    <v>37.31</v>
    <v>36.905000000000001</v>
    <v>36.615000000000002</v>
    <v>36.744999999999997</v>
    <v>37.055</v>
    <v>37.655000000000001</v>
    <v>37.549999999999997</v>
    <v>37.92</v>
    <v>37.814999999999998</v>
    <v>38.06</v>
    <v>38.659999999999997</v>
    <v>38.515000000000001</v>
    <v>38.020000000000003</v>
    <v>37.020000000000003</v>
    <v>36.935000000000002</v>
    <v>36.115000000000002</v>
    <v>35.51</v>
    <v>35.924999999999997</v>
    <v>34.07</v>
    <v>35.695</v>
    <v>36.835000000000001</v>
    <v>36.024999999999999</v>
    <v>34.354999999999997</v>
    <v>34.5</v>
    <v>35.04</v>
    <v>34.11</v>
    <v>34.76</v>
    <v>34.405000000000001</v>
    <v>35.354999999999997</v>
    <v>35.18</v>
    <v>34.21</v>
    <v>33.25</v>
    <v>34.35</v>
    <v>34.625</v>
    <v>33.43</v>
    <v>32.44</v>
    <v>31.13</v>
    <v>30.395</v>
    <v>30.96</v>
    <v>30.6</v>
    <v>28.164999999999999</v>
    <v>26.17</v>
    <v>25.11</v>
    <v>25.3</v>
    <v>24.344999999999999</v>
    <v>25.78</v>
    <v>25.754999999999999</v>
    <v>26.62</v>
    <v>27.06</v>
    <v>26.8</v>
    <v>26.62</v>
    <v>26.664999999999999</v>
    <v>27.62</v>
    <v>29.574999999999999</v>
    <v>30.13</v>
    <v>29.885000000000002</v>
    <v>29.31</v>
    <v>28.89</v>
    <v>30.024999999999999</v>
    <v>30.135000000000002</v>
    <v>29.395</v>
    <v>30.25</v>
    <v>30.99</v>
    <v>31.454999999999998</v>
    <v>34.03</v>
    <v>34.659999999999997</v>
    <v>34.545000000000002</v>
    <v>33.825000000000003</v>
    <v>33.395000000000003</v>
    <v>33.49</v>
    <v>33.89</v>
    <v>34.655000000000001</v>
    <v>34.704999999999998</v>
    <v>33.39</v>
    <v>34.049999999999997</v>
    <v>34.695</v>
    <v>34.44</v>
    <v>34.695</v>
    <v>34.274999999999999</v>
    <v>33.83</v>
    <v>34.36</v>
    <v>35.805</v>
    <v>35.725000000000001</v>
    <v>35.9</v>
    <v>36.414999999999999</v>
    <v>36.984999999999999</v>
    <v>36.435000000000002</v>
    <v>35.564999999999998</v>
    <v>35.42</v>
    <v>35.524999999999999</v>
    <v>34.935000000000002</v>
    <v>34.200000000000003</v>
    <v>34.049999999999997</v>
    <v>34.22</v>
    <v>34.6</v>
    <v>35.594999999999999</v>
    <v>34.950000000000003</v>
    <v>35.445</v>
    <v>35.659999999999997</v>
    <v>36.115000000000002</v>
    <v>35.484999999999999</v>
    <v>36.204999999999998</v>
    <v>36.914999999999999</v>
    <v>36.799999999999997</v>
    <v>37.104999999999997</v>
    <v>37.82</v>
    <v>37.909999999999997</v>
    <v>38.255000000000003</v>
    <v>37.979999999999997</v>
    <v>37.354999999999997</v>
    <v>37.659999999999997</v>
    <v>37.409999999999997</v>
    <v>38.15</v>
    <v>38.115000000000002</v>
    <v>38.505000000000003</v>
    <v>37.155000000000001</v>
    <v>35.844999999999999</v>
    <v>34.325000000000003</v>
    <v>34.5</v>
    <v>34.994999999999997</v>
    <v>35.479999999999997</v>
    <v>35.880000000000003</v>
    <v>34.634999999999998</v>
    <v>33.799999999999997</v>
    <v>33.755000000000003</v>
    <v>35.299999999999997</v>
    <v>34.314999999999998</v>
    <v>34.494999999999997</v>
    <v>35.46</v>
    <v>35.284999999999997</v>
    <v>36.774999999999999</v>
    <v>36.615000000000002</v>
    <v>36.615000000000002</v>
    <v>36.655000000000001</v>
    <v>36.659999999999997</v>
    <v>37</v>
    <v>36.4</v>
    <v>36.15</v>
    <v>36.85</v>
    <v>36.655000000000001</v>
    <v>36.29</v>
    <v>35.9</v>
    <v>36.314999999999998</v>
    <v>34.96</v>
    <v>34.664999999999999</v>
    <v>33.115000000000002</v>
    <v>31.515000000000001</v>
    <v>31.274999999999999</v>
    <v>31.574999999999999</v>
    <v>32.075000000000003</v>
    <v>32.085000000000001</v>
    <v>31.83</v>
    <v>31.92</v>
    <v>31.754999999999999</v>
    <v>32.65</v>
    <v>32.225000000000001</v>
    <v>32.65</v>
    <v>33.685000000000002</v>
    <v>32.99</v>
    <v>33</v>
    <v>33.799999999999997</v>
    <v>33.505000000000003</v>
    <v>33.314999999999998</v>
    <v>32.664999999999999</v>
    <v>33.04</v>
    <v>33.200000000000003</v>
    <v>33.549999999999997</v>
    <v>34.234999999999999</v>
    <v>34.14</v>
    <v>34.08</v>
    <v>33.54</v>
    <v>33.06</v>
    <v>33.18</v>
    <v>32.020000000000003</v>
    <v>32.585000000000001</v>
    <v>32.125</v>
    <v>32.51</v>
    <v>33.26</v>
    <v>32.46</v>
    <v>34.1</v>
    <v>35.24</v>
    <v>34.21</v>
    <v>33.42</v>
    <v>33.494999999999997</v>
    <v>34.29</v>
    <v>34.270000000000003</v>
    <v>34.375</v>
    <v>34.424999999999997</v>
    <v>34.32</v>
    <v>34.61</v>
    <v>34.19</v>
    <v>34.25</v>
    <v>33.92</v>
    <v>32.725000000000001</v>
    <v>33.344999999999999</v>
    <v>33.880000000000003</v>
    <v>36.225000000000001</v>
    <v>35.884999999999998</v>
    <v>35.295000000000002</v>
    <v>34.380000000000003</v>
    <v>32.984999999999999</v>
    <v>32.774999999999999</v>
    <v>32.909999999999997</v>
    <v>31.695</v>
    <v>32.865000000000002</v>
    <v>33.549999999999997</v>
    <v>34.79</v>
    <v>35.71</v>
    <v>36.33</v>
    <v>35.4</v>
    <v>35.78</v>
    <v>36.744999999999997</v>
    <v>36.5</v>
    <v>37.505000000000003</v>
    <v>37.61</v>
    <v>37.505000000000003</v>
    <v>36.71</v>
    <v>36.57</v>
    <v>36.29</v>
    <v>35.854999999999997</v>
    <v>36</v>
    <v>35.094999999999999</v>
    <v>35.49</v>
    <v>35.81</v>
    <v>36.67</v>
    <v>36.72</v>
    <v>36.74</v>
    <v>37.729999999999997</v>
    <v>38.265000000000001</v>
    <v>39.909999999999997</v>
    <v>41.825000000000003</v>
    <v>42.134999999999998</v>
    <v>40.56</v>
    <v>41.55</v>
    <v>41.664999999999999</v>
    <v>42.534999999999997</v>
    <v>41.4</v>
    <v>41.604999999999997</v>
    <v>41.93</v>
    <v>40.634999999999998</v>
    <v>40.475000000000001</v>
    <v>41.08</v>
    <v>42.585000000000001</v>
    <v>42.295000000000002</v>
    <v>41.854999999999997</v>
    <v>42.32</v>
    <v>43.42</v>
    <v>41.8</v>
    <v>41.61</v>
    <v>41.88</v>
    <v>41.075000000000003</v>
    <v>40.305</v>
    <v>41.405000000000001</v>
    <v>42.034999999999997</v>
    <v>41.99</v>
    <v>42.865000000000002</v>
    <v>43.51</v>
    <v>42.75</v>
    <v>43.51</v>
    <v>43.215000000000003</v>
    <v>44.58</v>
    <v>46.09</v>
    <v>45.835000000000001</v>
    <v>45.2</v>
    <v>45.89</v>
    <v>46.68</v>
    <v>47.075000000000003</v>
    <v>46.77</v>
    <v>45.825000000000003</v>
    <v>44.414999999999999</v>
    <v>41.68</v>
    <v>43.945</v>
    <v>42.3</v>
    <v>39.42</v>
    <v>38.950000000000003</v>
    <v>41.314999999999998</v>
    <v>41.55</v>
    <v>40.270000000000003</v>
    <v>39.835000000000001</v>
    <v>39.435000000000002</v>
    <v>39.634999999999998</v>
    <v>39.97</v>
    <v>37.094999999999999</v>
    <v>37.645000000000003</v>
    <v>38.49</v>
    <v>38.314999999999998</v>
    <v>39.659999999999997</v>
    <v>38.884999999999998</v>
    <v>37.43</v>
    <v>37.32</v>
    <v>38</v>
    <v>40.15</v>
    <v>38.96</v>
    <v>38.265000000000001</v>
    <v>42.79</v>
    <v>42.39</v>
    <v>42.825000000000003</v>
    <v>42.93</v>
    <v>44.454999999999998</v>
    <v>44.715000000000003</v>
    <v>46.005000000000003</v>
    <v>48.9</v>
    <v>47.994999999999997</v>
    <v>47.734999999999999</v>
    <v>49.39</v>
    <v>53.35</v>
    <v>54.15</v>
    <v>53.6</v>
    <v>52.8</v>
    <v>55.7</v>
    <v>57.13</v>
    <v>56.81</v>
    <v>60.5</v>
    <v>59.23</v>
    <v>59.5</v>
    <v>61.66</v>
    <v>61.79</v>
    <v>58.14</v>
    <v>64.36</v>
    <v>68.069999999999993</v>
    <v>65.19</v>
    <v>66.33</v>
    <v>64.64</v>
    <v>67.94</v>
    <v>68</v>
    <v>73.42</v>
    <v>76.73</v>
    <v>77.55</v>
    <v>76.73</v>
    <v>80.11</v>
    <v>81.11</v>
    <v>80.349999999999994</v>
    <v>88</v>
    <v>88</v>
    <v>85.05</v>
    <v>77.3</v>
    <v>78.239999999999995</v>
    <v>75.66</v>
    <v>75.099999999999994</v>
    <v>77.06</v>
    <v>80.06</v>
    <v>80.75</v>
    <v>79.28</v>
    <v>77.06</v>
    <v>82.01</v>
    <v>81.97</v>
    <v>85.94</v>
    <v>80.56</v>
    <v>79.56</v>
    <v>82.01</v>
    <v>78.3</v>
    <v>78.239999999999995</v>
    <v>81.67</v>
    <v>77.900000000000006</v>
    <v>76.349999999999994</v>
    <v>77.38</v>
    <v>77.209999999999994</v>
    <v>70.83</v>
    <v>70.3</v>
    <v>73.349999999999994</v>
    <v>72.48</v>
    <v>70.37</v>
    <v>71.819999999999993</v>
    <v>67.31</v>
    <v>64.709999999999994</v>
    <v>63.66</v>
    <v>64</v>
    <v>67.540000000000006</v>
    <v>69.8</v>
    <v>65.489999999999995</v>
    <v>64.41</v>
    <v>61.49</v>
    <v>57.77</v>
    <v>54.48</v>
    <v>59.47</v>
    <v>61.67</v>
    <v>61.47</v>
    <v>63.72</v>
    <v>60.08</v>
    <v>60.32</v>
    <v>62.08</v>
    <v>62.53</v>
    <v>62.85</v>
    <v>63.09</v>
    <v>62.5</v>
    <v>61.73</v>
    <v>61.97</v>
    <v>57.24</v>
    <v>54.98</v>
    <v>55.41</v>
    <v>55.97</v>
    <v>54.16</v>
    <v>54.85</v>
    <v>55.19</v>
    <v>57.17</v>
    <v>57.08</v>
    <v>56.29</v>
    <v>55.54</v>
    <v>55.77</v>
    <v>55.53</v>
    <v>56.86</v>
    <v>60.79</v>
    <v>58.45</v>
    <v>56.95</v>
    <v>55.8</v>
    <v>58.56</v>
    <v>54.04</v>
    <v>54.33</v>
    <v>55</v>
    <v>54.4</v>
    <v>55.86</v>
    <v>58.29</v>
    <v>60.13</v>
    <v>58.57</v>
    <v>56.26</v>
    <v>56.71</v>
    <v>56.57</v>
    <v>59.3</v>
    <v>59.5</v>
    <v>59.42</v>
    <v>64.64</v>
    <v>63.47</v>
    <v>64.680000000000007</v>
    <v>60.95</v>
    <v>58.9</v>
    <v>58.86</v>
    <v>57.22</v>
    <v>56</v>
    <v>55.35</v>
    <v>52.47</v>
    <v>52.39</v>
    <v>52.52</v>
    <v>52.04</v>
    <v>53.09</v>
    <v>49.884999999999998</v>
    <v>48.67</v>
  </a>
  <a r="1" c="254">
    <v>33.42</v>
    <v>33.494999999999997</v>
    <v>34.29</v>
    <v>34.270000000000003</v>
    <v>34.375</v>
    <v>34.424999999999997</v>
    <v>34.32</v>
    <v>34.61</v>
    <v>34.19</v>
    <v>34.25</v>
    <v>33.92</v>
    <v>32.725000000000001</v>
    <v>33.344999999999999</v>
    <v>33.880000000000003</v>
    <v>36.225000000000001</v>
    <v>35.884999999999998</v>
    <v>35.295000000000002</v>
    <v>34.380000000000003</v>
    <v>32.984999999999999</v>
    <v>32.774999999999999</v>
    <v>32.909999999999997</v>
    <v>31.695</v>
    <v>32.865000000000002</v>
    <v>33.549999999999997</v>
    <v>34.79</v>
    <v>35.71</v>
    <v>36.33</v>
    <v>35.4</v>
    <v>35.78</v>
    <v>36.744999999999997</v>
    <v>36.5</v>
    <v>37.505000000000003</v>
    <v>37.61</v>
    <v>37.505000000000003</v>
    <v>36.71</v>
    <v>36.57</v>
    <v>36.29</v>
    <v>35.854999999999997</v>
    <v>36</v>
    <v>35.094999999999999</v>
    <v>35.49</v>
    <v>35.81</v>
    <v>36.67</v>
    <v>36.72</v>
    <v>36.74</v>
    <v>37.729999999999997</v>
    <v>38.265000000000001</v>
    <v>39.909999999999997</v>
    <v>41.825000000000003</v>
    <v>42.134999999999998</v>
    <v>40.56</v>
    <v>41.55</v>
    <v>41.664999999999999</v>
    <v>42.534999999999997</v>
    <v>41.4</v>
    <v>41.604999999999997</v>
    <v>41.93</v>
    <v>40.634999999999998</v>
    <v>40.475000000000001</v>
    <v>41.08</v>
    <v>42.585000000000001</v>
    <v>42.295000000000002</v>
    <v>41.854999999999997</v>
    <v>42.32</v>
    <v>43.42</v>
    <v>41.8</v>
    <v>41.61</v>
    <v>41.88</v>
    <v>41.075000000000003</v>
    <v>40.305</v>
    <v>41.405000000000001</v>
    <v>42.034999999999997</v>
    <v>41.99</v>
    <v>42.865000000000002</v>
    <v>43.51</v>
    <v>42.75</v>
    <v>43.51</v>
    <v>43.215000000000003</v>
    <v>44.58</v>
    <v>46.09</v>
    <v>45.835000000000001</v>
    <v>45.2</v>
    <v>45.89</v>
    <v>46.68</v>
    <v>47.075000000000003</v>
    <v>46.77</v>
    <v>45.825000000000003</v>
    <v>44.414999999999999</v>
    <v>41.68</v>
    <v>43.945</v>
    <v>42.3</v>
    <v>39.42</v>
    <v>38.950000000000003</v>
    <v>41.314999999999998</v>
    <v>41.55</v>
    <v>40.270000000000003</v>
    <v>39.835000000000001</v>
    <v>39.435000000000002</v>
    <v>39.634999999999998</v>
    <v>39.97</v>
    <v>37.094999999999999</v>
    <v>37.645000000000003</v>
    <v>38.49</v>
    <v>38.314999999999998</v>
    <v>39.659999999999997</v>
    <v>38.884999999999998</v>
    <v>37.43</v>
    <v>37.32</v>
    <v>38</v>
    <v>40.15</v>
    <v>38.96</v>
    <v>38.265000000000001</v>
    <v>42.79</v>
    <v>42.39</v>
    <v>42.825000000000003</v>
    <v>42.93</v>
    <v>44.454999999999998</v>
    <v>44.715000000000003</v>
    <v>46.005000000000003</v>
    <v>48.9</v>
    <v>47.994999999999997</v>
    <v>47.734999999999999</v>
    <v>49.39</v>
    <v>53.35</v>
    <v>54.15</v>
    <v>53.6</v>
    <v>52.8</v>
    <v>55.7</v>
    <v>57.13</v>
    <v>56.81</v>
    <v>60.5</v>
    <v>59.23</v>
    <v>59.5</v>
    <v>61.66</v>
    <v>61.79</v>
    <v>58.14</v>
    <v>64.36</v>
    <v>68.069999999999993</v>
    <v>65.19</v>
    <v>66.33</v>
    <v>64.64</v>
    <v>67.94</v>
    <v>68</v>
    <v>73.42</v>
    <v>76.73</v>
    <v>77.55</v>
    <v>76.73</v>
    <v>80.11</v>
    <v>81.11</v>
    <v>80.349999999999994</v>
    <v>88</v>
    <v>88</v>
    <v>85.05</v>
    <v>77.3</v>
    <v>78.239999999999995</v>
    <v>75.66</v>
    <v>75.099999999999994</v>
    <v>77.06</v>
    <v>80.06</v>
    <v>80.75</v>
    <v>79.28</v>
    <v>77.06</v>
    <v>82.01</v>
    <v>81.97</v>
    <v>85.94</v>
    <v>80.56</v>
    <v>79.56</v>
    <v>82.01</v>
    <v>78.3</v>
    <v>78.239999999999995</v>
    <v>81.67</v>
    <v>77.900000000000006</v>
    <v>76.349999999999994</v>
    <v>77.38</v>
    <v>77.209999999999994</v>
    <v>70.83</v>
    <v>70.3</v>
    <v>73.349999999999994</v>
    <v>72.48</v>
    <v>70.37</v>
    <v>71.819999999999993</v>
    <v>67.31</v>
    <v>64.709999999999994</v>
    <v>63.66</v>
    <v>64</v>
    <v>67.540000000000006</v>
    <v>69.8</v>
    <v>65.489999999999995</v>
    <v>64.41</v>
    <v>61.49</v>
    <v>57.77</v>
    <v>54.48</v>
    <v>59.47</v>
    <v>61.67</v>
    <v>61.47</v>
    <v>63.72</v>
    <v>60.08</v>
    <v>60.32</v>
    <v>62.08</v>
    <v>62.53</v>
    <v>62.85</v>
    <v>63.09</v>
    <v>62.5</v>
    <v>61.73</v>
    <v>61.97</v>
    <v>57.24</v>
    <v>54.98</v>
    <v>55.41</v>
    <v>55.97</v>
    <v>54.16</v>
    <v>54.85</v>
    <v>55.19</v>
    <v>57.17</v>
    <v>57.08</v>
    <v>56.29</v>
    <v>55.54</v>
    <v>55.77</v>
    <v>55.53</v>
    <v>56.86</v>
    <v>60.79</v>
    <v>58.45</v>
    <v>56.95</v>
    <v>55.8</v>
    <v>58.56</v>
    <v>54.04</v>
    <v>54.33</v>
    <v>55</v>
    <v>54.4</v>
    <v>55.86</v>
    <v>58.29</v>
    <v>60.13</v>
    <v>58.57</v>
    <v>56.26</v>
    <v>56.71</v>
    <v>56.57</v>
    <v>59.3</v>
    <v>59.5</v>
    <v>59.42</v>
    <v>64.64</v>
    <v>63.47</v>
    <v>64.680000000000007</v>
    <v>60.95</v>
    <v>58.9</v>
    <v>58.86</v>
    <v>57.22</v>
    <v>56</v>
    <v>55.35</v>
    <v>52.47</v>
    <v>52.39</v>
    <v>52.52</v>
    <v>52.04</v>
    <v>53.09</v>
    <v>49.884999999999998</v>
    <v>48.67</v>
  </a>
  <a r="1" c="763">
    <v>7.7237999999999998</v>
    <v>7.7675999999999998</v>
    <v>7.7202000000000002</v>
    <v>7.6577999999999999</v>
    <v>7.59</v>
    <v>7.5914000000000001</v>
    <v>7.6547999999999998</v>
    <v>7.7552000000000003</v>
    <v>7.8667999999999996</v>
    <v>7.8966000000000003</v>
    <v>7.8814000000000002</v>
    <v>7.9588000000000001</v>
    <v>7.9303999999999997</v>
    <v>7.9484000000000004</v>
    <v>7.9589999999999996</v>
    <v>8.0117999999999991</v>
    <v>8.0586000000000002</v>
    <v>8.0719999999999992</v>
    <v>8.0359999999999996</v>
    <v>8.0432000000000006</v>
    <v>8.0546000000000006</v>
    <v>8.0549999999999997</v>
    <v>8.1470000000000002</v>
    <v>8.1278000000000006</v>
    <v>8.1047999999999991</v>
    <v>8.0961999999999996</v>
    <v>8.0793999999999997</v>
    <v>8.0752000000000006</v>
    <v>8.1044</v>
    <v>8.1852</v>
    <v>8.1809999999999992</v>
    <v>8.2327999999999992</v>
    <v>8.2316000000000003</v>
    <v>8.2495999999999992</v>
    <v>8.3062000000000005</v>
    <v>8.3323999999999998</v>
    <v>8.3260000000000005</v>
    <v>8.3856000000000002</v>
    <v>8.3453999999999997</v>
    <v>8.4209999999999994</v>
    <v>8.4402000000000008</v>
    <v>8.4374000000000002</v>
    <v>8.4632000000000005</v>
    <v>8.3864000000000001</v>
    <v>8.4095999999999993</v>
    <v>8.3658000000000001</v>
    <v>8.4109999999999996</v>
    <v>8.4228000000000005</v>
    <v>8.4244000000000003</v>
    <v>8.4077999999999999</v>
    <v>8.3867999999999991</v>
    <v>8.3596000000000004</v>
    <v>8.3743999999999996</v>
    <v>8.4624000000000006</v>
    <v>8.4638000000000009</v>
    <v>8.4366000000000003</v>
    <v>8.484</v>
    <v>8.4987999999999992</v>
    <v>8.5457999999999998</v>
    <v>8.5069999999999997</v>
    <v>8.5375999999999994</v>
    <v>8.5866000000000007</v>
    <v>8.6844000000000001</v>
    <v>8.6948000000000008</v>
    <v>8.7384000000000004</v>
    <v>8.7937999999999992</v>
    <v>8.7851999999999997</v>
    <v>8.8192000000000004</v>
    <v>8.8506</v>
    <v>8.7721999999999998</v>
    <v>8.7306000000000008</v>
    <v>8.9337999999999997</v>
    <v>8.9524000000000008</v>
    <v>8.9641999999999999</v>
    <v>9.0206</v>
    <v>9.0332000000000008</v>
    <v>9.0456000000000003</v>
    <v>9.1262000000000008</v>
    <v>9.0312000000000001</v>
    <v>9.0370000000000008</v>
    <v>9.0722000000000005</v>
    <v>9.0974000000000004</v>
    <v>9.0673999999999992</v>
    <v>8.9608000000000008</v>
    <v>8.9594000000000005</v>
    <v>9.1348000000000003</v>
    <v>9.1736000000000004</v>
    <v>9.1354000000000006</v>
    <v>9.1072000000000006</v>
    <v>9.1275999999999993</v>
    <v>9.1574000000000009</v>
    <v>9.2121999999999993</v>
    <v>9.2165999999999997</v>
    <v>9.1373999999999995</v>
    <v>9.1587999999999994</v>
    <v>9.1826000000000008</v>
    <v>9.1866000000000003</v>
    <v>9.1324000000000005</v>
    <v>9.2149999999999999</v>
    <v>9.2165999999999997</v>
    <v>9.2385999999999999</v>
    <v>9.1617999999999995</v>
    <v>9.2707999999999995</v>
    <v>9.2791999999999994</v>
    <v>9.3057999999999996</v>
    <v>9.4489999999999998</v>
    <v>9.4464000000000006</v>
    <v>9.4138000000000002</v>
    <v>9.4326000000000008</v>
    <v>9.4225999999999992</v>
    <v>9.4933999999999994</v>
    <v>9.4266000000000005</v>
    <v>9.4253999999999998</v>
    <v>9.43</v>
    <v>9.3712</v>
    <v>9.3751999999999995</v>
    <v>9.3141999999999996</v>
    <v>9.3775999999999993</v>
    <v>9.4060000000000006</v>
    <v>9.4594000000000005</v>
    <v>9.4307999999999996</v>
    <v>9.2959999999999994</v>
    <v>9.2368000000000006</v>
    <v>9.2479999999999993</v>
    <v>9.1387999999999998</v>
    <v>9.1425999999999998</v>
    <v>9.2474000000000007</v>
    <v>9.2553999999999998</v>
    <v>9.1334</v>
    <v>9.3249999999999993</v>
    <v>9.3122000000000007</v>
    <v>9.2918000000000003</v>
    <v>9.1920000000000002</v>
    <v>9.2815999999999992</v>
    <v>9.3513999999999999</v>
    <v>9.4184000000000001</v>
    <v>9.4274000000000004</v>
    <v>9.4421999999999997</v>
    <v>9.4681999999999995</v>
    <v>9.4597999999999995</v>
    <v>9.4483999999999995</v>
    <v>9.5242000000000004</v>
    <v>9.5722000000000005</v>
    <v>9.5286000000000008</v>
    <v>9.5907999999999998</v>
    <v>9.5746000000000002</v>
    <v>9.6015999999999995</v>
    <v>9.6118000000000006</v>
    <v>9.5657999999999994</v>
    <v>9.5716000000000001</v>
    <v>9.5489999999999995</v>
    <v>9.5457999999999998</v>
    <v>9.4784000000000006</v>
    <v>9.3965999999999994</v>
    <v>9.4773999999999994</v>
    <v>9.4640000000000004</v>
    <v>9.5952000000000002</v>
    <v>9.6295999999999999</v>
    <v>9.7042000000000002</v>
    <v>9.75</v>
    <v>9.7642000000000007</v>
    <v>9.8143999999999991</v>
    <v>9.8577999999999992</v>
    <v>9.9242000000000008</v>
    <v>9.9410000000000007</v>
    <v>9.9931999999999999</v>
    <v>10.013999999999999</v>
    <v>10.0395</v>
    <v>10.021000000000001</v>
    <v>10.0115</v>
    <v>9.9931999999999999</v>
    <v>10.016500000000001</v>
    <v>10.006500000000001</v>
    <v>10.054500000000001</v>
    <v>9.9814000000000007</v>
    <v>10.0045</v>
    <v>10.0145</v>
    <v>10.0265</v>
    <v>10.039</v>
    <v>10.079499999999999</v>
    <v>10.118</v>
    <v>10.1325</v>
    <v>10.0885</v>
    <v>10.125500000000001</v>
    <v>10.156000000000001</v>
    <v>10.173</v>
    <v>10.048999999999999</v>
    <v>9.9909999999999997</v>
    <v>9.93</v>
    <v>9.9670000000000005</v>
    <v>10.082000000000001</v>
    <v>9.8732000000000006</v>
    <v>9.8407999999999998</v>
    <v>9.8368000000000002</v>
    <v>9.8710000000000004</v>
    <v>9.8612000000000002</v>
    <v>10.0085</v>
    <v>9.9486000000000008</v>
    <v>9.5541999999999998</v>
    <v>9.3244000000000007</v>
    <v>9.4253999999999998</v>
    <v>9.5370000000000008</v>
    <v>9.5212000000000003</v>
    <v>9.5581999999999994</v>
    <v>9.5815999999999999</v>
    <v>9.6766000000000005</v>
    <v>9.6988000000000003</v>
    <v>9.8672000000000004</v>
    <v>9.8821999999999992</v>
    <v>9.8924000000000003</v>
    <v>9.8862000000000005</v>
    <v>9.8826000000000001</v>
    <v>9.8981999999999992</v>
    <v>9.8702000000000005</v>
    <v>9.8688000000000002</v>
    <v>9.8719999999999999</v>
    <v>9.8673999999999999</v>
    <v>9.9824000000000002</v>
    <v>9.9415999999999993</v>
    <v>10.0205</v>
    <v>9.9217999999999993</v>
    <v>9.8002000000000002</v>
    <v>9.7327999999999992</v>
    <v>9.6012000000000004</v>
    <v>9.7086000000000006</v>
    <v>9.7568000000000001</v>
    <v>9.6950000000000003</v>
    <v>9.8971999999999998</v>
    <v>9.9705999999999992</v>
    <v>9.9168000000000003</v>
    <v>9.9977999999999998</v>
    <v>9.952</v>
    <v>10.073499999999999</v>
    <v>10.0245</v>
    <v>10.096500000000001</v>
    <v>10.0845</v>
    <v>10.095000000000001</v>
    <v>10.082000000000001</v>
    <v>10.1195</v>
    <v>10.112500000000001</v>
    <v>10.132999999999999</v>
    <v>10.1775</v>
    <v>10.1755</v>
    <v>10.234</v>
    <v>10.276</v>
    <v>10.29</v>
    <v>10.382</v>
    <v>10.406000000000001</v>
    <v>10.438000000000001</v>
    <v>10.5405</v>
    <v>10.536</v>
    <v>10.528499999999999</v>
    <v>10.638</v>
    <v>10.611000000000001</v>
    <v>10.589</v>
    <v>10.621499999999999</v>
    <v>10.599500000000001</v>
    <v>10.570499999999999</v>
    <v>10.621</v>
    <v>10.596</v>
    <v>10.618499999999999</v>
    <v>10.583500000000001</v>
    <v>10.377000000000001</v>
    <v>10.4375</v>
    <v>10.334</v>
    <v>10.395</v>
    <v>10.8225</v>
    <v>10.875500000000001</v>
    <v>11.002000000000001</v>
    <v>11.106999999999999</v>
    <v>11.113</v>
    <v>11.1585</v>
    <v>11.1365</v>
    <v>10.971</v>
    <v>10.993</v>
    <v>10.9915</v>
    <v>10.994999999999999</v>
    <v>11.141999999999999</v>
    <v>11.279500000000001</v>
    <v>11.244</v>
    <v>11.294499999999999</v>
    <v>11.176500000000001</v>
    <v>11.227</v>
    <v>11.259</v>
    <v>11.353999999999999</v>
    <v>11.3185</v>
    <v>11.358499999999999</v>
    <v>11.345000000000001</v>
    <v>11.3535</v>
    <v>11.301</v>
    <v>11.359500000000001</v>
    <v>11.420500000000001</v>
    <v>11.400499999999999</v>
    <v>11.3645</v>
    <v>11.397500000000001</v>
    <v>11.371499999999999</v>
    <v>11.407999999999999</v>
    <v>11.228999999999999</v>
    <v>11.275</v>
    <v>11.243</v>
    <v>11.282500000000001</v>
    <v>11.1655</v>
    <v>11.3575</v>
    <v>11.346</v>
    <v>11.4055</v>
    <v>11.295</v>
    <v>11.3035</v>
    <v>11.3155</v>
    <v>11.212999999999999</v>
    <v>11.194000000000001</v>
    <v>11.173500000000001</v>
    <v>11.3635</v>
    <v>11.3855</v>
    <v>11.4975</v>
    <v>11.425000000000001</v>
    <v>11.4245</v>
    <v>11.541</v>
    <v>11.552</v>
    <v>11.481</v>
    <v>11.243</v>
    <v>11.416</v>
    <v>11.445</v>
    <v>11.446</v>
    <v>11.5975</v>
    <v>11.4975</v>
    <v>11.477499999999999</v>
    <v>11.4275</v>
    <v>11.55</v>
    <v>11.538500000000001</v>
    <v>11.5985</v>
    <v>11.568</v>
    <v>11.480499999999999</v>
    <v>11.516500000000001</v>
    <v>11.496499999999999</v>
    <v>11.5425</v>
    <v>11.545999999999999</v>
    <v>11.6275</v>
    <v>11.484999999999999</v>
    <v>11.5</v>
    <v>11.343</v>
    <v>11.1335</v>
    <v>11.2845</v>
    <v>11.304500000000001</v>
    <v>11.178000000000001</v>
    <v>11.173</v>
    <v>10.7995</v>
    <v>10.55</v>
    <v>10.5745</v>
    <v>10.353999999999999</v>
    <v>10.3035</v>
    <v>10.085000000000001</v>
    <v>10.1645</v>
    <v>10.0745</v>
    <v>10.199</v>
    <v>10.2235</v>
    <v>10.163</v>
    <v>10.2865</v>
    <v>10.346500000000001</v>
    <v>10.311</v>
    <v>10.538</v>
    <v>10.548</v>
    <v>10.502000000000001</v>
    <v>10.4565</v>
    <v>10.2065</v>
    <v>10.163</v>
    <v>10.298500000000001</v>
    <v>10.295999999999999</v>
    <v>9.7303999999999995</v>
    <v>9.3157999999999994</v>
    <v>9.0909999999999993</v>
    <v>9.39</v>
    <v>8.9138000000000002</v>
    <v>9.2721999999999998</v>
    <v>9.1682000000000006</v>
    <v>9.4160000000000004</v>
    <v>9.5071999999999992</v>
    <v>9.3361999999999998</v>
    <v>9.2141999999999999</v>
    <v>9.0746000000000002</v>
    <v>9.3938000000000006</v>
    <v>9.4922000000000004</v>
    <v>9.5297999999999998</v>
    <v>9.5421999999999993</v>
    <v>9.5950000000000006</v>
    <v>9.6294000000000004</v>
    <v>9.9022000000000006</v>
    <v>9.8924000000000003</v>
    <v>9.83</v>
    <v>9.7804000000000002</v>
    <v>9.9833999999999996</v>
    <v>9.9551999999999996</v>
    <v>10.349500000000001</v>
    <v>10.442</v>
    <v>10.417999999999999</v>
    <v>10.452500000000001</v>
    <v>10.529500000000001</v>
    <v>10.4565</v>
    <v>10.4635</v>
    <v>10.362500000000001</v>
    <v>10.262499999999999</v>
    <v>10.130000000000001</v>
    <v>10.221</v>
    <v>10.307499999999999</v>
    <v>10.361499999999999</v>
    <v>10.295999999999999</v>
    <v>10.288</v>
    <v>10.218</v>
    <v>10.388</v>
    <v>10.375999999999999</v>
    <v>10.382</v>
    <v>10.422499999999999</v>
    <v>10.425000000000001</v>
    <v>10.436</v>
    <v>10.439500000000001</v>
    <v>10.333</v>
    <v>10.304500000000001</v>
    <v>10.3405</v>
    <v>10.3355</v>
    <v>10.329499999999999</v>
    <v>10.2455</v>
    <v>10.297000000000001</v>
    <v>10.278499999999999</v>
    <v>10.3765</v>
    <v>10.388500000000001</v>
    <v>10.385999999999999</v>
    <v>10.4625</v>
    <v>10.4475</v>
    <v>10.432</v>
    <v>10.4695</v>
    <v>10.587999999999999</v>
    <v>10.509499999999999</v>
    <v>10.5525</v>
    <v>10.5535</v>
    <v>10.5785</v>
    <v>10.670500000000001</v>
    <v>10.62</v>
    <v>10.6305</v>
    <v>10.718500000000001</v>
    <v>10.5305</v>
    <v>10.765000000000001</v>
    <v>10.7225</v>
    <v>10.7355</v>
    <v>10.6485</v>
    <v>10.7105</v>
    <v>10.749499999999999</v>
    <v>10.7925</v>
    <v>10.9175</v>
    <v>10.968999999999999</v>
    <v>11.0265</v>
    <v>11.079499999999999</v>
    <v>10.7135</v>
    <v>10.827999999999999</v>
    <v>10.7835</v>
    <v>10.814</v>
    <v>10.81</v>
    <v>10.8475</v>
    <v>10.9275</v>
    <v>10.92</v>
    <v>10.927</v>
    <v>11.0015</v>
    <v>10.9435</v>
    <v>10.961</v>
    <v>10.9435</v>
    <v>10.8695</v>
    <v>10.9255</v>
    <v>10.9785</v>
    <v>10.9915</v>
    <v>10.978</v>
    <v>11.0905</v>
    <v>11.0375</v>
    <v>10.964</v>
    <v>10.9895</v>
    <v>10.8635</v>
    <v>10.954000000000001</v>
    <v>11.047499999999999</v>
    <v>10.954499999999999</v>
    <v>11.01</v>
    <v>11.0175</v>
    <v>11.0845</v>
    <v>11.1585</v>
    <v>11.1775</v>
    <v>11.179500000000001</v>
    <v>11.092499999999999</v>
    <v>11.081</v>
    <v>11.218999999999999</v>
    <v>11.240500000000001</v>
    <v>11.2735</v>
    <v>11.282</v>
    <v>11.266999999999999</v>
    <v>11.265000000000001</v>
    <v>11.259</v>
    <v>11.289</v>
    <v>11.2715</v>
    <v>11.349500000000001</v>
    <v>11.390499999999999</v>
    <v>11.425000000000001</v>
    <v>11.4495</v>
    <v>11.4415</v>
    <v>11.561500000000001</v>
    <v>11.582000000000001</v>
    <v>11.352499999999999</v>
    <v>11.4345</v>
    <v>11.3805</v>
    <v>11.435499999999999</v>
    <v>11.398</v>
    <v>11.273</v>
    <v>11.488</v>
    <v>11.552</v>
    <v>11.4815</v>
    <v>11.526999999999999</v>
    <v>11.644</v>
    <v>11.727499999999999</v>
    <v>11.750999999999999</v>
    <v>11.789</v>
    <v>11.813499999999999</v>
    <v>11.8055</v>
    <v>11.819000000000001</v>
    <v>11.776999999999999</v>
    <v>11.802</v>
    <v>11.595000000000001</v>
    <v>11.425000000000001</v>
    <v>11.677</v>
    <v>11.698</v>
    <v>11.756500000000001</v>
    <v>11.583500000000001</v>
    <v>11.583</v>
    <v>11.548999999999999</v>
    <v>11.404999999999999</v>
    <v>11.445</v>
    <v>11.531000000000001</v>
    <v>11.3985</v>
    <v>11.563000000000001</v>
    <v>11.574</v>
    <v>11.715</v>
    <v>11.705</v>
    <v>11.749499999999999</v>
    <v>11.702</v>
    <v>11.704000000000001</v>
    <v>11.696</v>
    <v>11.7075</v>
    <v>11.766999999999999</v>
    <v>11.742000000000001</v>
    <v>11.754</v>
    <v>11.7225</v>
    <v>11.647500000000001</v>
    <v>11.574</v>
    <v>11.570499999999999</v>
    <v>11.4975</v>
    <v>11.445</v>
    <v>11.576499999999999</v>
    <v>11.6225</v>
    <v>11.661</v>
    <v>11.6755</v>
    <v>11.695</v>
    <v>11.7105</v>
    <v>11.625</v>
    <v>11.766500000000001</v>
    <v>11.804</v>
    <v>11.863</v>
    <v>11.836499999999999</v>
    <v>11.920999999999999</v>
    <v>11.903499999999999</v>
    <v>11.9345</v>
    <v>11.82</v>
    <v>11.983000000000001</v>
    <v>11.96</v>
    <v>11.766500000000001</v>
    <v>11.676</v>
    <v>11.6845</v>
    <v>11.763500000000001</v>
    <v>11.742000000000001</v>
    <v>11.678000000000001</v>
    <v>11.637</v>
    <v>11.6715</v>
    <v>11.542</v>
    <v>11.653</v>
    <v>11.792999999999999</v>
    <v>11.7155</v>
    <v>11.662000000000001</v>
    <v>11.5525</v>
    <v>11.6555</v>
    <v>11.6875</v>
    <v>11.689</v>
    <v>11.6685</v>
    <v>11.557499999999999</v>
    <v>11.531000000000001</v>
    <v>11.512499999999999</v>
    <v>11.538500000000001</v>
    <v>11.663</v>
    <v>11.6495</v>
    <v>11.683</v>
    <v>11.577500000000001</v>
    <v>11.6455</v>
    <v>11.731999999999999</v>
    <v>11.688000000000001</v>
    <v>11.6145</v>
    <v>11.728999999999999</v>
    <v>11.688000000000001</v>
    <v>11.797499999999999</v>
    <v>11.778499999999999</v>
    <v>11.634499999999999</v>
    <v>11.5855</v>
    <v>11.708500000000001</v>
    <v>11.688000000000001</v>
    <v>11.6295</v>
    <v>11.622</v>
    <v>11.6425</v>
    <v>11.6585</v>
    <v>11.585000000000001</v>
    <v>11.419499999999999</v>
    <v>11.332000000000001</v>
    <v>11.358499999999999</v>
    <v>11.345499999999999</v>
    <v>11.419499999999999</v>
    <v>11.3085</v>
    <v>11.131500000000001</v>
    <v>11.179500000000001</v>
    <v>11.17</v>
    <v>11.359</v>
    <v>11.387499999999999</v>
    <v>11.333</v>
    <v>11.567500000000001</v>
    <v>11.617000000000001</v>
    <v>11.6525</v>
    <v>11.650499999999999</v>
    <v>11.784000000000001</v>
    <v>11.8575</v>
    <v>11.958</v>
    <v>12.090999999999999</v>
    <v>12.0535</v>
    <v>12.073499999999999</v>
    <v>12.154500000000001</v>
    <v>12.206</v>
    <v>12.2035</v>
    <v>12.194000000000001</v>
    <v>12.1645</v>
    <v>12.202500000000001</v>
    <v>12.225</v>
    <v>12.308999999999999</v>
    <v>12.401</v>
    <v>12.504</v>
    <v>12.541</v>
    <v>12.564500000000001</v>
    <v>12.606</v>
    <v>12.538500000000001</v>
    <v>12.6775</v>
    <v>12.8695</v>
    <v>12.8055</v>
    <v>12.696999999999999</v>
    <v>12.678000000000001</v>
    <v>12.772</v>
    <v>12.794</v>
    <v>12.94</v>
    <v>12.972</v>
    <v>12.955</v>
    <v>12.9345</v>
    <v>12.9915</v>
    <v>13.013999999999999</v>
    <v>13.074999999999999</v>
    <v>13.1065</v>
    <v>13.0665</v>
    <v>13.0535</v>
    <v>13.005000000000001</v>
    <v>12.917</v>
    <v>12.7095</v>
    <v>12.7</v>
    <v>12.691000000000001</v>
    <v>12.8855</v>
    <v>13.065</v>
    <v>13.029500000000001</v>
    <v>13.0015</v>
    <v>13.0695</v>
    <v>13.103</v>
    <v>13.1005</v>
    <v>12.999499999999999</v>
    <v>13.111000000000001</v>
    <v>12.9915</v>
    <v>12.97</v>
    <v>12.993499999999999</v>
    <v>13.125</v>
    <v>13.231</v>
    <v>13.12</v>
    <v>13.153499999999999</v>
    <v>13.228</v>
    <v>13.138</v>
    <v>13.077</v>
    <v>13.2</v>
    <v>13.2525</v>
    <v>13.279</v>
    <v>13.2265</v>
    <v>13.256500000000001</v>
    <v>13.263500000000001</v>
    <v>13.102</v>
    <v>13.1515</v>
    <v>13.188000000000001</v>
    <v>13.21</v>
    <v>13.042999999999999</v>
    <v>13.122999999999999</v>
    <v>13.0405</v>
    <v>13.096</v>
    <v>12.996499999999999</v>
    <v>12.86</v>
    <v>12.964499999999999</v>
    <v>13.214499999999999</v>
    <v>13.411</v>
    <v>13.455500000000001</v>
    <v>13.43</v>
    <v>13.4665</v>
    <v>13.4825</v>
    <v>13.468</v>
    <v>13.461</v>
    <v>13.547000000000001</v>
    <v>13.49</v>
    <v>13.47</v>
    <v>13.343500000000001</v>
    <v>13.298500000000001</v>
    <v>13.196999999999999</v>
    <v>13.208500000000001</v>
    <v>13.173</v>
    <v>13.1905</v>
    <v>13.218999999999999</v>
    <v>13.303000000000001</v>
    <v>13.4345</v>
    <v>13.263500000000001</v>
    <v>13.257</v>
    <v>13.298500000000001</v>
    <v>13.384499999999999</v>
    <v>13.3225</v>
    <v>13.297499999999999</v>
    <v>13.2835</v>
    <v>13.1945</v>
    <v>13.147</v>
    <v>13.284000000000001</v>
    <v>13.259499999999999</v>
    <v>13.2035</v>
    <v>13.2615</v>
    <v>13.358499999999999</v>
    <v>13.3635</v>
    <v>13.5425</v>
    <v>13.6335</v>
    <v>13.6205</v>
    <v>13.554500000000001</v>
    <v>13.6045</v>
    <v>13.5745</v>
    <v>13.593500000000001</v>
    <v>13.6485</v>
    <v>13.644</v>
    <v>13.775499999999999</v>
    <v>13.911</v>
    <v>13.987500000000001</v>
    <v>13.984</v>
    <v>13.952500000000001</v>
    <v>13.997999999999999</v>
    <v>14.058</v>
    <v>13.991</v>
    <v>13.9985</v>
    <v>13.868499999999999</v>
    <v>13.797499999999999</v>
    <v>13.852</v>
    <v>13.813499999999999</v>
    <v>13.875500000000001</v>
    <v>13.750999999999999</v>
    <v>13.741</v>
  </a>
  <a r="1" c="254">
    <v>11.526999999999999</v>
    <v>11.644</v>
    <v>11.727499999999999</v>
    <v>11.750999999999999</v>
    <v>11.789</v>
    <v>11.813499999999999</v>
    <v>11.8055</v>
    <v>11.819000000000001</v>
    <v>11.776999999999999</v>
    <v>11.802</v>
    <v>11.595000000000001</v>
    <v>11.425000000000001</v>
    <v>11.677</v>
    <v>11.698</v>
    <v>11.756500000000001</v>
    <v>11.583500000000001</v>
    <v>11.583</v>
    <v>11.548999999999999</v>
    <v>11.404999999999999</v>
    <v>11.445</v>
    <v>11.531000000000001</v>
    <v>11.3985</v>
    <v>11.563000000000001</v>
    <v>11.574</v>
    <v>11.715</v>
    <v>11.705</v>
    <v>11.749499999999999</v>
    <v>11.702</v>
    <v>11.704000000000001</v>
    <v>11.696</v>
    <v>11.7075</v>
    <v>11.766999999999999</v>
    <v>11.742000000000001</v>
    <v>11.754</v>
    <v>11.7225</v>
    <v>11.647500000000001</v>
    <v>11.574</v>
    <v>11.570499999999999</v>
    <v>11.4975</v>
    <v>11.445</v>
    <v>11.576499999999999</v>
    <v>11.6225</v>
    <v>11.661</v>
    <v>11.6755</v>
    <v>11.695</v>
    <v>11.7105</v>
    <v>11.625</v>
    <v>11.766500000000001</v>
    <v>11.804</v>
    <v>11.863</v>
    <v>11.836499999999999</v>
    <v>11.920999999999999</v>
    <v>11.903499999999999</v>
    <v>11.9345</v>
    <v>11.82</v>
    <v>11.983000000000001</v>
    <v>11.96</v>
    <v>11.766500000000001</v>
    <v>11.676</v>
    <v>11.6845</v>
    <v>11.763500000000001</v>
    <v>11.742000000000001</v>
    <v>11.678000000000001</v>
    <v>11.637</v>
    <v>11.6715</v>
    <v>11.542</v>
    <v>11.653</v>
    <v>11.792999999999999</v>
    <v>11.7155</v>
    <v>11.662000000000001</v>
    <v>11.5525</v>
    <v>11.6555</v>
    <v>11.6875</v>
    <v>11.689</v>
    <v>11.6685</v>
    <v>11.557499999999999</v>
    <v>11.531000000000001</v>
    <v>11.512499999999999</v>
    <v>11.538500000000001</v>
    <v>11.663</v>
    <v>11.6495</v>
    <v>11.683</v>
    <v>11.577500000000001</v>
    <v>11.6455</v>
    <v>11.731999999999999</v>
    <v>11.688000000000001</v>
    <v>11.6145</v>
    <v>11.728999999999999</v>
    <v>11.688000000000001</v>
    <v>11.797499999999999</v>
    <v>11.778499999999999</v>
    <v>11.634499999999999</v>
    <v>11.5855</v>
    <v>11.708500000000001</v>
    <v>11.688000000000001</v>
    <v>11.6295</v>
    <v>11.622</v>
    <v>11.6425</v>
    <v>11.6585</v>
    <v>11.585000000000001</v>
    <v>11.419499999999999</v>
    <v>11.332000000000001</v>
    <v>11.358499999999999</v>
    <v>11.345499999999999</v>
    <v>11.419499999999999</v>
    <v>11.3085</v>
    <v>11.131500000000001</v>
    <v>11.179500000000001</v>
    <v>11.17</v>
    <v>11.359</v>
    <v>11.387499999999999</v>
    <v>11.333</v>
    <v>11.567500000000001</v>
    <v>11.617000000000001</v>
    <v>11.6525</v>
    <v>11.650499999999999</v>
    <v>11.784000000000001</v>
    <v>11.8575</v>
    <v>11.958</v>
    <v>12.090999999999999</v>
    <v>12.0535</v>
    <v>12.073499999999999</v>
    <v>12.154500000000001</v>
    <v>12.206</v>
    <v>12.2035</v>
    <v>12.194000000000001</v>
    <v>12.1645</v>
    <v>12.202500000000001</v>
    <v>12.225</v>
    <v>12.308999999999999</v>
    <v>12.401</v>
    <v>12.504</v>
    <v>12.541</v>
    <v>12.564500000000001</v>
    <v>12.606</v>
    <v>12.538500000000001</v>
    <v>12.6775</v>
    <v>12.8695</v>
    <v>12.8055</v>
    <v>12.696999999999999</v>
    <v>12.678000000000001</v>
    <v>12.772</v>
    <v>12.794</v>
    <v>12.94</v>
    <v>12.972</v>
    <v>12.955</v>
    <v>12.9345</v>
    <v>12.9915</v>
    <v>13.013999999999999</v>
    <v>13.074999999999999</v>
    <v>13.1065</v>
    <v>13.0665</v>
    <v>13.0535</v>
    <v>13.005000000000001</v>
    <v>12.917</v>
    <v>12.7095</v>
    <v>12.7</v>
    <v>12.691000000000001</v>
    <v>12.8855</v>
    <v>13.065</v>
    <v>13.029500000000001</v>
    <v>13.0015</v>
    <v>13.0695</v>
    <v>13.103</v>
    <v>13.1005</v>
    <v>12.999499999999999</v>
    <v>13.111000000000001</v>
    <v>12.9915</v>
    <v>12.97</v>
    <v>12.993499999999999</v>
    <v>13.125</v>
    <v>13.231</v>
    <v>13.12</v>
    <v>13.153499999999999</v>
    <v>13.228</v>
    <v>13.138</v>
    <v>13.077</v>
    <v>13.2</v>
    <v>13.2525</v>
    <v>13.279</v>
    <v>13.2265</v>
    <v>13.256500000000001</v>
    <v>13.263500000000001</v>
    <v>13.102</v>
    <v>13.1515</v>
    <v>13.188000000000001</v>
    <v>13.21</v>
    <v>13.042999999999999</v>
    <v>13.122999999999999</v>
    <v>13.0405</v>
    <v>13.096</v>
    <v>12.996499999999999</v>
    <v>12.86</v>
    <v>12.964499999999999</v>
    <v>13.214499999999999</v>
    <v>13.411</v>
    <v>13.455500000000001</v>
    <v>13.43</v>
    <v>13.4665</v>
    <v>13.4825</v>
    <v>13.468</v>
    <v>13.461</v>
    <v>13.547000000000001</v>
    <v>13.49</v>
    <v>13.47</v>
    <v>13.343500000000001</v>
    <v>13.298500000000001</v>
    <v>13.196999999999999</v>
    <v>13.208500000000001</v>
    <v>13.173</v>
    <v>13.1905</v>
    <v>13.218999999999999</v>
    <v>13.303000000000001</v>
    <v>13.4345</v>
    <v>13.263500000000001</v>
    <v>13.257</v>
    <v>13.298500000000001</v>
    <v>13.384499999999999</v>
    <v>13.3225</v>
    <v>13.297499999999999</v>
    <v>13.2835</v>
    <v>13.1945</v>
    <v>13.147</v>
    <v>13.284000000000001</v>
    <v>13.259499999999999</v>
    <v>13.2035</v>
    <v>13.2615</v>
    <v>13.358499999999999</v>
    <v>13.3635</v>
    <v>13.5425</v>
    <v>13.6335</v>
    <v>13.6205</v>
    <v>13.554500000000001</v>
    <v>13.6045</v>
    <v>13.5745</v>
    <v>13.593500000000001</v>
    <v>13.6485</v>
    <v>13.644</v>
    <v>13.775499999999999</v>
    <v>13.911</v>
    <v>13.987500000000001</v>
    <v>13.984</v>
    <v>13.952500000000001</v>
    <v>13.997999999999999</v>
    <v>14.058</v>
    <v>13.991</v>
    <v>13.9985</v>
    <v>13.868499999999999</v>
    <v>13.797499999999999</v>
    <v>13.852</v>
    <v>13.813499999999999</v>
    <v>13.875500000000001</v>
    <v>13.750999999999999</v>
    <v>13.741</v>
  </a>
  <a r="1" c="208">
    <v>11.625</v>
    <v>11.766500000000001</v>
    <v>11.804</v>
    <v>11.863</v>
    <v>11.836499999999999</v>
    <v>11.920999999999999</v>
    <v>11.903499999999999</v>
    <v>11.9345</v>
    <v>11.82</v>
    <v>11.983000000000001</v>
    <v>11.96</v>
    <v>11.766500000000001</v>
    <v>11.676</v>
    <v>11.6845</v>
    <v>11.763500000000001</v>
    <v>11.742000000000001</v>
    <v>11.678000000000001</v>
    <v>11.637</v>
    <v>11.6715</v>
    <v>11.542</v>
    <v>11.653</v>
    <v>11.792999999999999</v>
    <v>11.7155</v>
    <v>11.662000000000001</v>
    <v>11.5525</v>
    <v>11.6555</v>
    <v>11.6875</v>
    <v>11.689</v>
    <v>11.6685</v>
    <v>11.557499999999999</v>
    <v>11.531000000000001</v>
    <v>11.512499999999999</v>
    <v>11.538500000000001</v>
    <v>11.663</v>
    <v>11.6495</v>
    <v>11.683</v>
    <v>11.577500000000001</v>
    <v>11.6455</v>
    <v>11.731999999999999</v>
    <v>11.688000000000001</v>
    <v>11.6145</v>
    <v>11.728999999999999</v>
    <v>11.688000000000001</v>
    <v>11.797499999999999</v>
    <v>11.778499999999999</v>
    <v>11.634499999999999</v>
    <v>11.5855</v>
    <v>11.708500000000001</v>
    <v>11.688000000000001</v>
    <v>11.6295</v>
    <v>11.622</v>
    <v>11.6425</v>
    <v>11.6585</v>
    <v>11.585000000000001</v>
    <v>11.419499999999999</v>
    <v>11.332000000000001</v>
    <v>11.358499999999999</v>
    <v>11.345499999999999</v>
    <v>11.419499999999999</v>
    <v>11.3085</v>
    <v>11.131500000000001</v>
    <v>11.179500000000001</v>
    <v>11.17</v>
    <v>11.359</v>
    <v>11.387499999999999</v>
    <v>11.333</v>
    <v>11.567500000000001</v>
    <v>11.617000000000001</v>
    <v>11.6525</v>
    <v>11.650499999999999</v>
    <v>11.784000000000001</v>
    <v>11.8575</v>
    <v>11.958</v>
    <v>12.090999999999999</v>
    <v>12.0535</v>
    <v>12.073499999999999</v>
    <v>12.154500000000001</v>
    <v>12.206</v>
    <v>12.2035</v>
    <v>12.194000000000001</v>
    <v>12.1645</v>
    <v>12.202500000000001</v>
    <v>12.225</v>
    <v>12.308999999999999</v>
    <v>12.401</v>
    <v>12.504</v>
    <v>12.541</v>
    <v>12.564500000000001</v>
    <v>12.606</v>
    <v>12.538500000000001</v>
    <v>12.6775</v>
    <v>12.8695</v>
    <v>12.8055</v>
    <v>12.696999999999999</v>
    <v>12.678000000000001</v>
    <v>12.772</v>
    <v>12.794</v>
    <v>12.94</v>
    <v>12.972</v>
    <v>12.955</v>
    <v>12.9345</v>
    <v>12.9915</v>
    <v>13.013999999999999</v>
    <v>13.074999999999999</v>
    <v>13.1065</v>
    <v>13.0665</v>
    <v>13.0535</v>
    <v>13.005000000000001</v>
    <v>12.917</v>
    <v>12.7095</v>
    <v>12.7</v>
    <v>12.691000000000001</v>
    <v>12.8855</v>
    <v>13.065</v>
    <v>13.029500000000001</v>
    <v>13.0015</v>
    <v>13.0695</v>
    <v>13.103</v>
    <v>13.1005</v>
    <v>12.999499999999999</v>
    <v>13.111000000000001</v>
    <v>12.9915</v>
    <v>12.97</v>
    <v>12.993499999999999</v>
    <v>13.125</v>
    <v>13.231</v>
    <v>13.12</v>
    <v>13.153499999999999</v>
    <v>13.228</v>
    <v>13.138</v>
    <v>13.077</v>
    <v>13.2</v>
    <v>13.2525</v>
    <v>13.279</v>
    <v>13.2265</v>
    <v>13.256500000000001</v>
    <v>13.263500000000001</v>
    <v>13.102</v>
    <v>13.1515</v>
    <v>13.188000000000001</v>
    <v>13.21</v>
    <v>13.042999999999999</v>
    <v>13.122999999999999</v>
    <v>13.0405</v>
    <v>13.096</v>
    <v>12.996499999999999</v>
    <v>12.86</v>
    <v>12.964499999999999</v>
    <v>13.214499999999999</v>
    <v>13.411</v>
    <v>13.455500000000001</v>
    <v>13.43</v>
    <v>13.4665</v>
    <v>13.4825</v>
    <v>13.468</v>
    <v>13.461</v>
    <v>13.547000000000001</v>
    <v>13.49</v>
    <v>13.47</v>
    <v>13.343500000000001</v>
    <v>13.298500000000001</v>
    <v>13.196999999999999</v>
    <v>13.208500000000001</v>
    <v>13.173</v>
    <v>13.1905</v>
    <v>13.218999999999999</v>
    <v>13.303000000000001</v>
    <v>13.4345</v>
    <v>13.263500000000001</v>
    <v>13.257</v>
    <v>13.298500000000001</v>
    <v>13.384499999999999</v>
    <v>13.3225</v>
    <v>13.297499999999999</v>
    <v>13.2835</v>
    <v>13.1945</v>
    <v>13.147</v>
    <v>13.284000000000001</v>
    <v>13.259499999999999</v>
    <v>13.2035</v>
    <v>13.2615</v>
    <v>13.358499999999999</v>
    <v>13.3635</v>
    <v>13.5425</v>
    <v>13.6335</v>
    <v>13.6205</v>
    <v>13.554500000000001</v>
    <v>13.6045</v>
    <v>13.5745</v>
    <v>13.593500000000001</v>
    <v>13.6485</v>
    <v>13.644</v>
    <v>13.775499999999999</v>
    <v>13.911</v>
    <v>13.987500000000001</v>
    <v>13.984</v>
    <v>13.952500000000001</v>
    <v>13.997999999999999</v>
    <v>14.058</v>
    <v>13.991</v>
    <v>13.9985</v>
    <v>13.868499999999999</v>
    <v>13.797499999999999</v>
    <v>13.852</v>
    <v>13.813499999999999</v>
    <v>13.875500000000001</v>
    <v>13.750999999999999</v>
    <v>13.741</v>
  </a>
  <a r="1" c="205">
    <v>230.82</v>
    <v>226.5</v>
    <v>233.06</v>
    <v>240.93</v>
    <v>241.56</v>
    <v>246.29</v>
    <v>247.38</v>
    <v>246.47</v>
    <v>242.6</v>
    <v>236.65</v>
    <v>238.18</v>
    <v>239.12</v>
    <v>231</v>
    <v>231.31</v>
    <v>234.34</v>
    <v>239.16</v>
    <v>238.42</v>
    <v>244.68</v>
    <v>243.01</v>
    <v>241.73</v>
    <v>239.3</v>
    <v>242.96</v>
    <v>238.62</v>
    <v>232.99</v>
    <v>222.69</v>
    <v>210.32</v>
    <v>208.72</v>
    <v>206.96</v>
    <v>204.08</v>
    <v>199.6</v>
    <v>198.79</v>
    <v>201.15</v>
    <v>204.79</v>
    <v>204.86</v>
    <v>210.11</v>
    <v>205.27</v>
    <v>208.56</v>
    <v>210.64</v>
    <v>207.92</v>
    <v>210</v>
    <v>208.39</v>
    <v>208.73</v>
    <v>216.82</v>
    <v>218.94</v>
    <v>213.21</v>
    <v>213.49</v>
    <v>214.33</v>
    <v>212.65</v>
    <v>209.53</v>
    <v>207.67</v>
    <v>211.74</v>
    <v>215.2</v>
    <v>209.87</v>
    <v>208.76</v>
    <v>205.37</v>
    <v>210.14</v>
    <v>207.24</v>
    <v>211.71</v>
    <v>207.54</v>
    <v>199.34</v>
    <v>200.95</v>
    <v>208.27</v>
    <v>210.57</v>
    <v>209.77</v>
    <v>212.79</v>
    <v>213.77</v>
    <v>221.25</v>
    <v>233.65</v>
    <v>238.38</v>
    <v>239.89</v>
    <v>249.02</v>
    <v>248.5</v>
    <v>249.7</v>
    <v>250.56</v>
    <v>248.28</v>
    <v>249.91</v>
    <v>255.36</v>
    <v>255.08</v>
    <v>263.99</v>
    <v>261.12</v>
    <v>259.7</v>
    <v>263.04000000000002</v>
    <v>265.06</v>
    <v>268.26</v>
    <v>272.05</v>
    <v>273.55</v>
    <v>274.99</v>
    <v>271.17</v>
    <v>272.68</v>
    <v>268.99</v>
    <v>265.82</v>
    <v>270.13</v>
    <v>267.22000000000003</v>
    <v>264.14</v>
    <v>264.86</v>
    <v>259.33999999999997</v>
    <v>265.01</v>
    <v>268.45999999999998</v>
    <v>266.32</v>
    <v>265.29000000000002</v>
    <v>271.85000000000002</v>
    <v>274</v>
    <v>270.64</v>
    <v>261.26</v>
    <v>256.52</v>
    <v>250.02</v>
    <v>253.79</v>
    <v>246.03</v>
    <v>245.22</v>
    <v>244.19</v>
    <v>238</v>
    <v>241.51</v>
    <v>238.55</v>
    <v>246.02</v>
    <v>246</v>
    <v>237.5</v>
    <v>244.39</v>
    <v>232.79</v>
    <v>234.11</v>
    <v>234.27</v>
    <v>227.01</v>
    <v>232.69</v>
    <v>240.14</v>
    <v>238.34</v>
    <v>241.7</v>
    <v>242.67</v>
    <v>244.16</v>
    <v>245.98</v>
    <v>243.62</v>
    <v>247.04</v>
    <v>245.34</v>
    <v>247.31</v>
    <v>247.49</v>
    <v>254.96</v>
    <v>249.89</v>
    <v>247.23</v>
    <v>249.99</v>
    <v>247.55</v>
    <v>244.85</v>
    <v>233.66</v>
    <v>232.11</v>
    <v>231.39</v>
    <v>230.86</v>
    <v>226.65</v>
    <v>235.5</v>
    <v>271.58</v>
    <v>284.02</v>
    <v>277.42</v>
    <v>272.64999999999998</v>
    <v>272.26</v>
    <v>274.48</v>
    <v>278.08999999999997</v>
    <v>272.27</v>
    <v>267.27999999999997</v>
    <v>265.13</v>
    <v>262.64999999999998</v>
    <v>261.31</v>
    <v>259.45</v>
    <v>265.83999999999997</v>
    <v>260.11</v>
    <v>258.63</v>
    <v>262.07</v>
    <v>261.06</v>
    <v>260.27999999999997</v>
    <v>256.26</v>
    <v>266.43</v>
    <v>259.77</v>
    <v>254.92</v>
    <v>254.98</v>
    <v>258.89999999999998</v>
    <v>258.51</v>
    <v>256.97000000000003</v>
    <v>252.4</v>
    <v>251.89</v>
    <v>256.77999999999997</v>
    <v>253.54</v>
    <v>248.42</v>
    <v>245.96</v>
    <v>251.19</v>
    <v>253.71</v>
    <v>258.45</v>
    <v>254.98</v>
    <v>249.27</v>
    <v>249.38</v>
    <v>249.67</v>
    <v>246.15</v>
    <v>246.67</v>
    <v>249.15</v>
    <v>248.23</v>
    <v>251.52</v>
    <v>251.4</v>
    <v>256.29000000000002</v>
    <v>259.92</v>
    <v>254.06</v>
    <v>262.43</v>
    <v>259.52999999999997</v>
    <v>258.58</v>
    <v>254.08</v>
    <v>254.76</v>
    <v>250</v>
    <v>262.45</v>
    <v>262.63</v>
    <v>262.37</v>
    <v>250.38</v>
    <v>248</v>
  </a>
  <a r="1" c="252">
    <v>221.09</v>
    <v>224.21</v>
    <v>226.97</v>
    <v>229.25</v>
    <v>230.3</v>
    <v>222.86</v>
    <v>244.22</v>
    <v>254</v>
    <v>249.32</v>
    <v>250.2</v>
    <v>243.04</v>
    <v>244.41</v>
    <v>248.4</v>
    <v>249.1</v>
    <v>244.2</v>
    <v>237.58</v>
    <v>234.69</v>
    <v>232.87</v>
    <v>222.55</v>
    <v>222.69</v>
    <v>217.14</v>
    <v>220.69</v>
    <v>226.28</v>
    <v>229.67</v>
    <v>229.16</v>
    <v>233.22</v>
    <v>233.88</v>
    <v>234.42</v>
    <v>232.38</v>
    <v>229.11</v>
    <v>229.53</v>
    <v>226.89</v>
    <v>227.92</v>
    <v>231.78</v>
    <v>230.28</v>
    <v>226.19</v>
    <v>222.54</v>
    <v>222.56</v>
    <v>221.27</v>
    <v>226.76</v>
    <v>227.35</v>
    <v>228.43</v>
    <v>232.14</v>
    <v>232.38</v>
    <v>232.52</v>
    <v>232.07</v>
    <v>232.53</v>
    <v>230.82</v>
    <v>226.5</v>
    <v>233.06</v>
    <v>240.93</v>
    <v>241.56</v>
    <v>246.29</v>
    <v>247.38</v>
    <v>246.47</v>
    <v>242.6</v>
    <v>236.65</v>
    <v>238.18</v>
    <v>239.12</v>
    <v>231</v>
    <v>231.31</v>
    <v>234.34</v>
    <v>239.16</v>
    <v>238.42</v>
    <v>244.68</v>
    <v>243.01</v>
    <v>241.73</v>
    <v>239.3</v>
    <v>242.96</v>
    <v>238.62</v>
    <v>232.99</v>
    <v>222.69</v>
    <v>210.32</v>
    <v>208.72</v>
    <v>206.96</v>
    <v>204.08</v>
    <v>199.6</v>
    <v>198.79</v>
    <v>201.15</v>
    <v>204.79</v>
    <v>204.86</v>
    <v>210.11</v>
    <v>205.27</v>
    <v>208.56</v>
    <v>210.64</v>
    <v>207.92</v>
    <v>210</v>
    <v>208.39</v>
    <v>208.73</v>
    <v>216.82</v>
    <v>218.94</v>
    <v>213.21</v>
    <v>213.49</v>
    <v>214.33</v>
    <v>212.65</v>
    <v>209.53</v>
    <v>207.67</v>
    <v>211.74</v>
    <v>215.2</v>
    <v>209.87</v>
    <v>208.76</v>
    <v>205.37</v>
    <v>210.14</v>
    <v>207.24</v>
    <v>211.71</v>
    <v>207.54</v>
    <v>199.34</v>
    <v>200.95</v>
    <v>208.27</v>
    <v>210.57</v>
    <v>209.77</v>
    <v>212.79</v>
    <v>213.77</v>
    <v>221.25</v>
    <v>233.65</v>
    <v>238.38</v>
    <v>239.89</v>
    <v>249.02</v>
    <v>248.5</v>
    <v>249.7</v>
    <v>250.56</v>
    <v>248.28</v>
    <v>249.91</v>
    <v>255.36</v>
    <v>255.08</v>
    <v>263.99</v>
    <v>261.12</v>
    <v>259.7</v>
    <v>263.04000000000002</v>
    <v>265.06</v>
    <v>268.26</v>
    <v>272.05</v>
    <v>273.55</v>
    <v>274.99</v>
    <v>271.17</v>
    <v>272.68</v>
    <v>268.99</v>
    <v>265.82</v>
    <v>270.13</v>
    <v>267.22000000000003</v>
    <v>264.14</v>
    <v>264.86</v>
    <v>259.33999999999997</v>
    <v>265.01</v>
    <v>268.45999999999998</v>
    <v>266.32</v>
    <v>265.29000000000002</v>
    <v>271.85000000000002</v>
    <v>274</v>
    <v>270.64</v>
    <v>261.26</v>
    <v>256.52</v>
    <v>250.02</v>
    <v>253.79</v>
    <v>246.03</v>
    <v>245.22</v>
    <v>244.19</v>
    <v>238</v>
    <v>241.51</v>
    <v>238.55</v>
    <v>246.02</v>
    <v>246</v>
    <v>237.5</v>
    <v>244.39</v>
    <v>232.79</v>
    <v>234.11</v>
    <v>234.27</v>
    <v>227.01</v>
    <v>232.69</v>
    <v>240.14</v>
    <v>238.34</v>
    <v>241.7</v>
    <v>242.67</v>
    <v>244.16</v>
    <v>245.98</v>
    <v>243.62</v>
    <v>247.04</v>
    <v>245.34</v>
    <v>247.31</v>
    <v>247.49</v>
    <v>254.96</v>
    <v>249.89</v>
    <v>247.23</v>
    <v>249.99</v>
    <v>247.55</v>
    <v>244.85</v>
    <v>233.66</v>
    <v>232.11</v>
    <v>231.39</v>
    <v>230.86</v>
    <v>226.65</v>
    <v>235.5</v>
    <v>271.58</v>
    <v>284.02</v>
    <v>277.42</v>
    <v>272.64999999999998</v>
    <v>272.26</v>
    <v>274.48</v>
    <v>278.08999999999997</v>
    <v>272.27</v>
    <v>267.27999999999997</v>
    <v>265.13</v>
    <v>262.64999999999998</v>
    <v>261.31</v>
    <v>259.45</v>
    <v>265.83999999999997</v>
    <v>260.11</v>
    <v>258.63</v>
    <v>262.07</v>
    <v>261.06</v>
    <v>260.27999999999997</v>
    <v>256.26</v>
    <v>266.43</v>
    <v>259.77</v>
    <v>254.92</v>
    <v>254.98</v>
    <v>258.89999999999998</v>
    <v>258.51</v>
    <v>256.97000000000003</v>
    <v>252.4</v>
    <v>251.89</v>
    <v>256.77999999999997</v>
    <v>253.54</v>
    <v>248.42</v>
    <v>245.96</v>
    <v>251.19</v>
    <v>253.71</v>
    <v>258.45</v>
    <v>254.98</v>
    <v>249.27</v>
    <v>249.38</v>
    <v>249.67</v>
    <v>246.15</v>
    <v>246.67</v>
    <v>249.15</v>
    <v>248.23</v>
    <v>251.52</v>
    <v>251.4</v>
    <v>256.29000000000002</v>
    <v>259.92</v>
    <v>254.06</v>
    <v>262.43</v>
    <v>259.52999999999997</v>
    <v>258.58</v>
    <v>254.08</v>
    <v>254.76</v>
    <v>250</v>
    <v>262.45</v>
    <v>262.63</v>
    <v>262.37</v>
    <v>250.38</v>
    <v>248</v>
  </a>
  <a r="1" c="754">
    <v>126.56</v>
    <v>128.56</v>
    <v>121.39</v>
    <v>119.57</v>
    <v>127.74</v>
    <v>132.71</v>
    <v>133.09</v>
    <v>137</v>
    <v>138.07</v>
    <v>138.6</v>
    <v>139.74</v>
    <v>142.71</v>
    <v>142.08000000000001</v>
    <v>140.6</v>
    <v>143.56</v>
    <v>142.59</v>
    <v>145.80000000000001</v>
    <v>143.19999999999999</v>
    <v>142.83000000000001</v>
    <v>145.18</v>
    <v>146.13</v>
    <v>143.9</v>
    <v>146.71</v>
    <v>146.74</v>
    <v>147.72999999999999</v>
    <v>147.03</v>
    <v>146.32</v>
    <v>146.09</v>
    <v>147.03</v>
    <v>144.84</v>
    <v>146.88</v>
    <v>144.52000000000001</v>
    <v>146.88</v>
    <v>147.41999999999999</v>
    <v>145.88999999999999</v>
    <v>147.47999999999999</v>
    <v>148.84</v>
    <v>147.41999999999999</v>
    <v>149.97</v>
    <v>154.07</v>
    <v>153.79</v>
    <v>152.12</v>
    <v>153.84</v>
    <v>153.41999999999999</v>
    <v>153.41</v>
    <v>153.34</v>
    <v>153.38</v>
    <v>151.94</v>
    <v>149.93</v>
    <v>148.47</v>
    <v>144.57</v>
    <v>145.24</v>
    <v>149.1</v>
    <v>151.37</v>
    <v>153.72999999999999</v>
    <v>155.18</v>
    <v>154.62</v>
    <v>153.16</v>
    <v>151.71</v>
    <v>153.5</v>
    <v>155.34</v>
    <v>154.78</v>
    <v>156.02000000000001</v>
    <v>156.87</v>
    <v>157.75</v>
    <v>159.12</v>
    <v>161.26</v>
    <v>159</v>
    <v>155.19999999999999</v>
    <v>159.28</v>
    <v>171.81</v>
    <v>170.31</v>
    <v>169.15</v>
    <v>170.53</v>
    <v>169.84</v>
    <v>174.45</v>
    <v>172.34</v>
    <v>168.64</v>
    <v>170.98</v>
    <v>169.8</v>
    <v>169.51</v>
    <v>167.08</v>
    <v>168.59</v>
    <v>174.58</v>
    <v>174.99</v>
    <v>174.73</v>
    <v>173.54</v>
    <v>173.16</v>
    <v>176.76</v>
    <v>178.22</v>
    <v>177.58</v>
    <v>174.12</v>
    <v>173.51</v>
    <v>176.82</v>
    <v>175.35</v>
    <v>171.96</v>
    <v>175.39</v>
    <v>176.55500000000001</v>
    <v>178.75</v>
    <v>174.42</v>
    <v>174.48</v>
    <v>175.9</v>
    <v>178.15</v>
    <v>178.15</v>
    <v>178.87</v>
    <v>179.71</v>
    <v>178.3</v>
    <v>179.83</v>
    <v>180.38</v>
    <v>180.97</v>
    <v>180.69</v>
    <v>182.41</v>
    <v>180</v>
    <v>185.07</v>
    <v>185.19</v>
    <v>185.67</v>
    <v>185.95</v>
    <v>189.05</v>
    <v>186.13</v>
    <v>183.62</v>
    <v>183.32</v>
    <v>181.28</v>
    <v>179.22</v>
    <v>174.63</v>
    <v>177.23</v>
    <v>179.54</v>
    <v>176.59</v>
    <v>173.67</v>
    <v>179.62</v>
    <v>180.96</v>
    <v>175</v>
    <v>179</v>
    <v>184.72</v>
    <v>186.21</v>
    <v>188.7</v>
    <v>188.76</v>
    <v>188</v>
    <v>189.5</v>
    <v>187.48</v>
    <v>186.57</v>
    <v>187.07</v>
    <v>185.99</v>
    <v>183.63</v>
    <v>184.7</v>
    <v>183.54</v>
    <v>183.15</v>
    <v>183.13</v>
    <v>181.05</v>
    <v>180.75</v>
    <v>182.15</v>
    <v>182.02</v>
    <v>179.32</v>
    <v>176.44</v>
    <v>178.34</v>
    <v>179.34</v>
    <v>181.28</v>
    <v>185</v>
    <v>184.3</v>
    <v>187.06</v>
    <v>187.23</v>
    <v>186.89</v>
    <v>183.83</v>
    <v>183.66</v>
    <v>184.06</v>
    <v>182.81</v>
    <v>186.1</v>
    <v>189.08</v>
    <v>185.57</v>
    <v>186.34</v>
    <v>193.61</v>
    <v>197.85</v>
    <v>193.25</v>
    <v>197.2</v>
    <v>200</v>
    <v>197.59</v>
    <v>200</v>
    <v>199.29</v>
    <v>199.34</v>
    <v>199.79</v>
    <v>195.05</v>
    <v>194.49</v>
    <v>192.72</v>
    <v>193.02</v>
    <v>187.93</v>
    <v>183.75</v>
    <v>183.13</v>
    <v>182.55</v>
    <v>186.41</v>
    <v>180.83</v>
    <v>179.85</v>
    <v>182.5</v>
    <v>183.2</v>
    <v>181.71</v>
    <v>186.98</v>
    <v>184.07</v>
    <v>167.9</v>
    <v>161.02000000000001</v>
    <v>161.93</v>
    <v>162.77000000000001</v>
    <v>165.8</v>
    <v>166.94</v>
    <v>166.8</v>
    <v>170.23</v>
    <v>170.1</v>
    <v>177.59</v>
    <v>177.06</v>
    <v>178.22</v>
    <v>178.88</v>
    <v>180.11</v>
    <v>176.13</v>
    <v>177.04</v>
    <v>175.5</v>
    <v>173.12</v>
    <v>170.8</v>
    <v>172.12</v>
    <v>178.5</v>
    <v>176.25</v>
    <v>173.33</v>
    <v>177.89</v>
    <v>171.39</v>
    <v>175.4</v>
    <v>179.55</v>
    <v>184.52</v>
    <v>187</v>
    <v>186.49</v>
    <v>184.89</v>
    <v>186.88</v>
    <v>186.43</v>
    <v>189.87</v>
    <v>191.6</v>
    <v>193.88</v>
    <v>193.96</v>
    <v>192.53</v>
    <v>191.16</v>
    <v>187.97</v>
    <v>186.33</v>
    <v>185.13</v>
    <v>184.76</v>
    <v>181.96</v>
    <v>186.51</v>
    <v>180.8</v>
    <v>182.72</v>
    <v>185.17</v>
    <v>186.65</v>
    <v>188.82</v>
    <v>187.54</v>
    <v>187.69</v>
    <v>186.89</v>
    <v>187.53</v>
    <v>188.99</v>
    <v>189.07</v>
    <v>189.7</v>
    <v>184.71</v>
    <v>186.38</v>
    <v>187.83</v>
    <v>188.39</v>
    <v>190.83</v>
    <v>192.73</v>
    <v>186.4</v>
    <v>197.93</v>
    <v>195.78</v>
    <v>199.5</v>
    <v>207.09</v>
    <v>210.05</v>
    <v>208.18</v>
    <v>206.84</v>
    <v>208.91</v>
    <v>214.1</v>
    <v>211.48</v>
    <v>202.61</v>
    <v>201.7</v>
    <v>204.61</v>
    <v>202.88</v>
    <v>198.38</v>
    <v>197.12</v>
    <v>201.45</v>
    <v>207.86</v>
    <v>205.74</v>
    <v>207.89</v>
    <v>210.71</v>
    <v>213.44</v>
    <v>218.16</v>
    <v>220.55</v>
    <v>227.03</v>
    <v>226.09</v>
    <v>225.04</v>
    <v>230.26</v>
    <v>228.97</v>
    <v>227.46</v>
    <v>232.93</v>
    <v>231.15</v>
    <v>220.52</v>
    <v>223.29</v>
    <v>224.92</v>
    <v>225.06</v>
    <v>229.05</v>
    <v>227.05</v>
    <v>223.75</v>
    <v>221.3</v>
    <v>219.39</v>
    <v>220.22</v>
    <v>224.19</v>
    <v>227.61</v>
    <v>222.11</v>
    <v>222.13</v>
    <v>218.94</v>
    <v>218.46</v>
    <v>217.76</v>
    <v>223.35</v>
    <v>220.66</v>
    <v>225.94</v>
    <v>230.71</v>
    <v>235.01</v>
    <v>235.42</v>
    <v>234.85</v>
    <v>235.42</v>
    <v>238.15</v>
    <v>237.07</v>
    <v>234.64</v>
    <v>237.68</v>
    <v>237.42</v>
    <v>242.06</v>
    <v>236.17</v>
    <v>238.83</v>
    <v>229.15</v>
    <v>233.14</v>
    <v>232.76</v>
    <v>228.93</v>
    <v>230.37</v>
    <v>228.68</v>
    <v>226.65</v>
    <v>226.63</v>
    <v>222.88</v>
    <v>216.58</v>
    <v>212.71</v>
    <v>212.8</v>
    <v>214.35</v>
    <v>208.74</v>
    <v>212.28</v>
    <v>205.02</v>
    <v>203.8</v>
    <v>208.36</v>
    <v>200.7</v>
    <v>199.25</v>
    <v>194.54</v>
    <v>196.59</v>
    <v>198.89</v>
    <v>193.89</v>
    <v>197.95</v>
    <v>195.74</v>
    <v>192.82</v>
    <v>195.54</v>
    <v>194.95</v>
    <v>196.21</v>
    <v>203.26</v>
    <v>205.71</v>
    <v>201.13</v>
    <v>201.36</v>
    <v>192.72</v>
    <v>190.26</v>
    <v>192.17</v>
    <v>196.01</v>
    <v>178.41</v>
    <v>171</v>
    <v>175.26</v>
    <v>170.66</v>
    <v>191.1</v>
    <v>181.22</v>
    <v>184.87</v>
    <v>182.12</v>
    <v>179.59</v>
    <v>174.33</v>
    <v>172.61</v>
    <v>167.32</v>
    <v>173.18</v>
    <v>180.6</v>
    <v>186.54</v>
    <v>188.99</v>
    <v>187.7</v>
    <v>187.39</v>
    <v>184.42</v>
    <v>190.2</v>
    <v>189.98</v>
    <v>186.35</v>
    <v>185.01</v>
    <v>188.71</v>
    <v>192.08</v>
    <v>193.06</v>
    <v>208.64</v>
    <v>211.37</v>
    <v>210.25</v>
    <v>205.17</v>
    <v>205.59</v>
    <v>206.16</v>
    <v>204.07</v>
    <v>201.12</v>
    <v>203.1</v>
    <v>200.99</v>
    <v>206.02</v>
    <v>204.72</v>
    <v>205.7</v>
    <v>205.01</v>
    <v>206.65</v>
    <v>205.71</v>
    <v>207.23</v>
    <v>207.91</v>
    <v>213.57</v>
    <v>216.98</v>
    <v>217.61</v>
    <v>213.2</v>
    <v>213.24</v>
    <v>212.1</v>
    <v>216.1</v>
    <v>214.82</v>
    <v>212.52</v>
    <v>209.69</v>
    <v>208.47</v>
    <v>212.77</v>
    <v>211.99</v>
    <v>217.12</v>
    <v>223.3</v>
    <v>219.39</v>
    <v>220.46</v>
    <v>219.92</v>
    <v>223.41</v>
    <v>223.47</v>
    <v>219.36</v>
    <v>222.54</v>
    <v>222.26</v>
    <v>225.02</v>
    <v>225.69</v>
    <v>226.35</v>
    <v>223.19</v>
    <v>223.88</v>
    <v>226.13</v>
    <v>229.3</v>
    <v>227.47</v>
    <v>228.29</v>
    <v>232.23</v>
    <v>231.44</v>
    <v>232.79</v>
    <v>231.01</v>
    <v>230.19</v>
    <v>234.11</v>
    <v>214.75</v>
    <v>211.65</v>
    <v>213.75</v>
    <v>222.31</v>
    <v>223.13</v>
    <v>222.69</v>
    <v>221.3</v>
    <v>221.47</v>
    <v>224.56</v>
    <v>230.98</v>
    <v>231.03</v>
    <v>231.49</v>
    <v>228.01</v>
    <v>223.81</v>
    <v>221.95</v>
    <v>228.84</v>
    <v>227.94</v>
    <v>228.71</v>
    <v>229.12</v>
    <v>231.6</v>
    <v>229</v>
    <v>225.34</v>
    <v>225.99</v>
    <v>235.68</v>
    <v>232.33</v>
    <v>235.84</v>
    <v>238.24</v>
    <v>230.33</v>
    <v>229.95</v>
    <v>228.15</v>
    <v>231.43</v>
    <v>234.05</v>
    <v>231.62</v>
    <v>231.23</v>
    <v>231.48</v>
    <v>227.63</v>
    <v>220.71</v>
    <v>220.21</v>
    <v>218.15</v>
    <v>219.78</v>
    <v>222.17</v>
    <v>219.57</v>
    <v>220.63</v>
    <v>222.41</v>
    <v>219.51</v>
    <v>220.9</v>
    <v>221.78</v>
    <v>225.22</v>
    <v>227.74</v>
    <v>216.37</v>
    <v>220.07</v>
    <v>216.39</v>
    <v>215.57</v>
    <v>214.47</v>
    <v>213.04</v>
    <v>216.48</v>
    <v>222.03</v>
    <v>217.95</v>
    <v>221.09</v>
    <v>224.21</v>
    <v>226.97</v>
    <v>229.25</v>
    <v>230.3</v>
    <v>222.86</v>
    <v>244.22</v>
    <v>254</v>
    <v>249.32</v>
    <v>250.2</v>
    <v>243.04</v>
    <v>244.41</v>
    <v>248.4</v>
    <v>249.1</v>
    <v>244.2</v>
    <v>237.58</v>
    <v>234.69</v>
    <v>232.87</v>
    <v>222.55</v>
    <v>222.69</v>
    <v>217.14</v>
    <v>220.69</v>
    <v>226.28</v>
    <v>229.67</v>
    <v>229.16</v>
    <v>233.22</v>
    <v>233.88</v>
    <v>234.42</v>
    <v>232.38</v>
    <v>229.11</v>
    <v>229.53</v>
    <v>226.89</v>
    <v>227.92</v>
    <v>231.78</v>
    <v>230.28</v>
    <v>226.19</v>
    <v>222.54</v>
    <v>222.56</v>
    <v>221.27</v>
    <v>226.76</v>
    <v>227.35</v>
    <v>228.43</v>
    <v>232.14</v>
    <v>232.38</v>
    <v>232.52</v>
    <v>232.07</v>
    <v>232.53</v>
    <v>230.82</v>
    <v>226.5</v>
    <v>233.06</v>
    <v>240.93</v>
    <v>241.56</v>
    <v>246.29</v>
    <v>247.38</v>
    <v>246.47</v>
    <v>242.6</v>
    <v>236.65</v>
    <v>238.18</v>
    <v>239.12</v>
    <v>231</v>
    <v>231.31</v>
    <v>234.34</v>
    <v>239.16</v>
    <v>238.42</v>
    <v>244.68</v>
    <v>243.01</v>
    <v>241.73</v>
    <v>239.3</v>
    <v>242.96</v>
    <v>238.62</v>
    <v>232.99</v>
    <v>222.69</v>
    <v>210.32</v>
    <v>208.72</v>
    <v>206.96</v>
    <v>204.08</v>
    <v>199.6</v>
    <v>198.79</v>
    <v>201.15</v>
    <v>204.79</v>
    <v>204.86</v>
    <v>210.11</v>
    <v>205.27</v>
    <v>208.56</v>
    <v>210.64</v>
    <v>207.92</v>
    <v>210</v>
    <v>208.39</v>
    <v>208.73</v>
    <v>216.82</v>
    <v>218.94</v>
    <v>213.21</v>
    <v>213.49</v>
    <v>214.33</v>
    <v>212.65</v>
    <v>209.53</v>
    <v>207.67</v>
    <v>211.74</v>
    <v>215.2</v>
    <v>209.87</v>
    <v>208.76</v>
    <v>205.37</v>
    <v>210.14</v>
    <v>207.24</v>
    <v>211.71</v>
    <v>207.54</v>
    <v>199.34</v>
    <v>200.95</v>
    <v>208.27</v>
    <v>210.57</v>
    <v>209.77</v>
    <v>212.79</v>
    <v>213.77</v>
    <v>221.25</v>
    <v>233.65</v>
    <v>238.38</v>
    <v>239.89</v>
    <v>249.02</v>
    <v>248.5</v>
    <v>249.7</v>
    <v>250.56</v>
    <v>248.28</v>
    <v>249.91</v>
    <v>255.36</v>
    <v>255.08</v>
    <v>263.99</v>
    <v>261.12</v>
    <v>259.7</v>
    <v>263.04000000000002</v>
    <v>265.06</v>
    <v>268.26</v>
    <v>272.05</v>
    <v>273.55</v>
    <v>274.99</v>
    <v>271.17</v>
    <v>272.68</v>
    <v>268.99</v>
    <v>265.82</v>
    <v>270.13</v>
    <v>267.22000000000003</v>
    <v>264.14</v>
    <v>264.86</v>
    <v>259.33999999999997</v>
    <v>265.01</v>
    <v>268.45999999999998</v>
    <v>266.32</v>
    <v>265.29000000000002</v>
    <v>271.85000000000002</v>
    <v>274</v>
    <v>270.64</v>
    <v>261.26</v>
    <v>256.52</v>
    <v>250.02</v>
    <v>253.79</v>
    <v>246.03</v>
    <v>245.22</v>
    <v>244.19</v>
    <v>238</v>
    <v>241.51</v>
    <v>238.55</v>
    <v>246.02</v>
    <v>246</v>
    <v>237.5</v>
    <v>244.39</v>
    <v>232.79</v>
    <v>234.11</v>
    <v>234.27</v>
    <v>227.01</v>
    <v>232.69</v>
    <v>240.14</v>
    <v>238.34</v>
    <v>241.7</v>
    <v>242.67</v>
    <v>244.16</v>
    <v>245.98</v>
    <v>243.62</v>
    <v>247.04</v>
    <v>245.34</v>
    <v>247.31</v>
    <v>247.49</v>
    <v>254.96</v>
    <v>249.89</v>
    <v>247.23</v>
    <v>249.99</v>
    <v>247.55</v>
    <v>244.85</v>
    <v>233.66</v>
    <v>232.11</v>
    <v>231.39</v>
    <v>230.86</v>
    <v>226.65</v>
    <v>235.5</v>
    <v>271.58</v>
    <v>284.02</v>
    <v>277.42</v>
    <v>272.64999999999998</v>
    <v>272.26</v>
    <v>274.48</v>
    <v>278.08999999999997</v>
    <v>272.27</v>
    <v>267.27999999999997</v>
    <v>265.13</v>
    <v>262.64999999999998</v>
    <v>261.31</v>
    <v>259.45</v>
    <v>265.83999999999997</v>
    <v>260.11</v>
    <v>258.63</v>
    <v>262.07</v>
    <v>261.06</v>
    <v>260.27999999999997</v>
    <v>256.26</v>
    <v>266.43</v>
    <v>259.77</v>
    <v>254.92</v>
    <v>254.98</v>
    <v>258.89999999999998</v>
    <v>258.51</v>
    <v>256.97000000000003</v>
    <v>252.4</v>
    <v>251.89</v>
    <v>256.77999999999997</v>
    <v>253.54</v>
    <v>248.42</v>
    <v>245.96</v>
    <v>251.19</v>
    <v>253.71</v>
    <v>258.45</v>
    <v>254.98</v>
    <v>249.27</v>
    <v>249.38</v>
    <v>249.67</v>
    <v>246.15</v>
    <v>246.67</v>
    <v>249.15</v>
    <v>248.23</v>
    <v>251.52</v>
    <v>251.4</v>
    <v>256.29000000000002</v>
    <v>259.92</v>
    <v>254.06</v>
    <v>262.43</v>
    <v>259.52999999999997</v>
    <v>258.58</v>
    <v>254.08</v>
    <v>254.76</v>
    <v>250</v>
    <v>262.45</v>
    <v>262.63</v>
    <v>262.37</v>
    <v>250.38</v>
    <v>248</v>
  </a>
  <a r="1" c="205">
    <v>36.9</v>
    <v>39.380000000000003</v>
    <v>39.369999999999997</v>
    <v>40.04</v>
    <v>42.63</v>
    <v>41.11</v>
    <v>45.55</v>
    <v>44.06</v>
    <v>47.29</v>
    <v>48.72</v>
    <v>48.32</v>
    <v>46.96</v>
    <v>48.56</v>
    <v>54.25</v>
    <v>54.32</v>
    <v>45.07</v>
    <v>42.49</v>
    <v>43.93</v>
    <v>48.78</v>
    <v>48.66</v>
    <v>46.47</v>
    <v>48.81</v>
    <v>49.25</v>
    <v>48.6</v>
    <v>48.24</v>
    <v>50.59</v>
    <v>50.24</v>
    <v>47.13</v>
    <v>48.29</v>
    <v>46.48</v>
    <v>46.79</v>
    <v>46.18</v>
    <v>45.46</v>
    <v>44.62</v>
    <v>44.11</v>
    <v>43.63</v>
    <v>46.12</v>
    <v>46.88</v>
    <v>45.46</v>
    <v>45.61</v>
    <v>45.5</v>
    <v>43.1</v>
    <v>45.58</v>
    <v>45.95</v>
    <v>43.42</v>
    <v>45.58</v>
    <v>46.78</v>
    <v>47.98</v>
    <v>45.25</v>
    <v>45.77</v>
    <v>45.76</v>
    <v>44.06</v>
    <v>45.03</v>
    <v>46.18</v>
    <v>43.87</v>
    <v>44.01</v>
    <v>44.06</v>
    <v>47.18</v>
    <v>44.1</v>
    <v>43.13</v>
    <v>41.19</v>
    <v>44.13</v>
    <v>48.03</v>
    <v>50.38</v>
    <v>50.78</v>
    <v>52.91</v>
    <v>58.95</v>
    <v>61.72</v>
    <v>62.38</v>
    <v>65.180000000000007</v>
    <v>63.81</v>
    <v>64.94</v>
    <v>68.5</v>
    <v>68.5</v>
    <v>65.7</v>
    <v>66.260000000000005</v>
    <v>65.27</v>
    <v>66.78</v>
    <v>82.54</v>
    <v>84.99</v>
    <v>84.52</v>
    <v>94.75</v>
    <v>94.48</v>
    <v>99.62</v>
    <v>95.78</v>
    <v>108.15</v>
    <v>113.01</v>
    <v>109.62</v>
    <v>124.92</v>
    <v>129.44</v>
    <v>120.61</v>
    <v>120.29</v>
    <v>115.93</v>
    <v>108.77</v>
    <v>108.17</v>
    <v>110.8</v>
    <v>118.96</v>
    <v>118.5</v>
    <v>119.84</v>
    <v>123.52</v>
    <v>121.77</v>
    <v>120.89</v>
    <v>114.68</v>
    <v>109.33</v>
    <v>107.93</v>
    <v>112.71</v>
    <v>111.78</v>
    <v>99.17</v>
    <v>110.27</v>
    <v>107.92</v>
    <v>107.04</v>
    <v>116.96</v>
    <v>124.57</v>
    <v>127.86</v>
    <v>117.05</v>
    <v>121.1</v>
    <v>133.99</v>
    <v>140.94</v>
    <v>132.28</v>
    <v>131.65</v>
    <v>132.87</v>
    <v>128.32</v>
    <v>131.72</v>
    <v>139.63</v>
    <v>127.02</v>
    <v>120.35</v>
    <v>122.2</v>
    <v>110.39</v>
    <v>110.24</v>
    <v>112.54</v>
    <v>109.84</v>
    <v>103.12</v>
    <v>107.76</v>
    <v>102.99</v>
    <v>96.98</v>
    <v>95.04</v>
    <v>97.06</v>
    <v>105.45</v>
    <v>102.62</v>
    <v>100.23</v>
    <v>92.32</v>
    <v>91.67</v>
    <v>86.3</v>
    <v>81.88</v>
    <v>91.13</v>
    <v>90.2</v>
    <v>91</v>
    <v>100.86</v>
    <v>101.06</v>
    <v>99.81</v>
    <v>101.65</v>
    <v>97.52</v>
    <v>97.71</v>
    <v>100.95</v>
    <v>104.56</v>
    <v>102.5</v>
    <v>103.49</v>
    <v>96.685000000000002</v>
    <v>92.8</v>
    <v>92.13</v>
    <v>90.07</v>
    <v>87.26</v>
    <v>87.48</v>
    <v>88.24</v>
    <v>92.09</v>
    <v>89.47</v>
    <v>89.51</v>
    <v>88.97</v>
    <v>90.05</v>
    <v>91.67</v>
    <v>95.8</v>
    <v>104.47</v>
    <v>106.24</v>
    <v>100.32</v>
    <v>102.94</v>
    <v>97.19</v>
    <v>97.14</v>
    <v>101.05</v>
    <v>108.8</v>
    <v>108.6</v>
    <v>121.78</v>
    <v>123.86</v>
    <v>122.6</v>
    <v>127.39</v>
    <v>123</v>
    <v>116.03</v>
    <v>115.93</v>
    <v>120.23</v>
    <v>120</v>
    <v>119.33</v>
    <v>116.19</v>
    <v>112.5</v>
    <v>113.12</v>
    <v>107.08</v>
    <v>104.7</v>
    <v>101.35</v>
    <v>102.81</v>
    <v>98.12</v>
    <v>95.37</v>
    <v>89.85</v>
    <v>92.03</v>
    <v>91.69</v>
    <v>92.96</v>
    <v>85.49</v>
    <v>86.96</v>
  </a>
  <a r="1" c="754">
    <v>33.85</v>
    <v>34.590000000000003</v>
    <v>32.83</v>
    <v>32.520000000000003</v>
    <v>35.54</v>
    <v>35.69</v>
    <v>36.5</v>
    <v>37.29</v>
    <v>37.700000000000003</v>
    <v>38.14</v>
    <v>37.950000000000003</v>
    <v>38.770000000000003</v>
    <v>37.92</v>
    <v>37.799999999999997</v>
    <v>38.86</v>
    <v>38.229999999999997</v>
    <v>39.409999999999997</v>
    <v>40.61</v>
    <v>43.35</v>
    <v>43.81</v>
    <v>44.74</v>
    <v>43.64</v>
    <v>43.67</v>
    <v>43.96</v>
    <v>44.08</v>
    <v>44.23</v>
    <v>44.94</v>
    <v>44.7</v>
    <v>43.74</v>
    <v>42.35</v>
    <v>41.92</v>
    <v>41.27</v>
    <v>42.15</v>
    <v>42.7</v>
    <v>44.54</v>
    <v>44.04</v>
    <v>44.57</v>
    <v>45.18</v>
    <v>46.16</v>
    <v>45.69</v>
    <v>46.66</v>
    <v>45.76</v>
    <v>47.08</v>
    <v>48</v>
    <v>50.5</v>
    <v>50.76</v>
    <v>50.39</v>
    <v>50.25</v>
    <v>47.8</v>
    <v>47.05</v>
    <v>46.87</v>
    <v>46.89</v>
    <v>48.45</v>
    <v>48.05</v>
    <v>47.47</v>
    <v>47.64</v>
    <v>47.12</v>
    <v>47.06</v>
    <v>46.06</v>
    <v>46.74</v>
    <v>48.15</v>
    <v>48.22</v>
    <v>48.89</v>
    <v>49.09</v>
    <v>49.55</v>
    <v>43.65</v>
    <v>43.84</v>
    <v>42.92</v>
    <v>43.08</v>
    <v>43.36</v>
    <v>42.6</v>
    <v>42.77</v>
    <v>42.74</v>
    <v>42.78</v>
    <v>42.5</v>
    <v>43.31</v>
    <v>44.03</v>
    <v>43.16</v>
    <v>44.19</v>
    <v>44.05</v>
    <v>43.51</v>
    <v>44.52</v>
    <v>43.47</v>
    <v>42.98</v>
    <v>42.99</v>
    <v>42.99</v>
    <v>42.73</v>
    <v>41.99</v>
    <v>43.05</v>
    <v>43.82</v>
    <v>45.61</v>
    <v>43.16</v>
    <v>44.51</v>
    <v>46.15</v>
    <v>44</v>
    <v>44.86</v>
    <v>45.24</v>
    <v>43.23</v>
    <v>42.75</v>
    <v>42.64</v>
    <v>42.71</v>
    <v>42.05</v>
    <v>42.2</v>
    <v>42.42</v>
    <v>42.57</v>
    <v>41.83</v>
    <v>41.99</v>
    <v>43.77</v>
    <v>44.17</v>
    <v>44.52</v>
    <v>43.94</v>
    <v>40.33</v>
    <v>39.729999999999997</v>
    <v>38.71</v>
    <v>37.979999999999997</v>
    <v>38.33</v>
    <v>37.200000000000003</v>
    <v>37.630000000000003</v>
    <v>35.69</v>
    <v>36.31</v>
    <v>36.26</v>
    <v>35.68</v>
    <v>35.04</v>
    <v>34.200000000000003</v>
    <v>34.409999999999997</v>
    <v>34.28</v>
    <v>34.5</v>
    <v>35.11</v>
    <v>31.88</v>
    <v>31.36</v>
    <v>30.47</v>
    <v>30.37</v>
    <v>30.51</v>
    <v>30.9</v>
    <v>30.97</v>
    <v>30.68</v>
    <v>30</v>
    <v>30.09</v>
    <v>29.85</v>
    <v>30.51</v>
    <v>31.05</v>
    <v>31.27</v>
    <v>32.03</v>
    <v>31.83</v>
    <v>32.1</v>
    <v>31.74</v>
    <v>31.42</v>
    <v>30.08</v>
    <v>30.72</v>
    <v>31.06</v>
    <v>30.13</v>
    <v>30.19</v>
    <v>30.85</v>
    <v>30.29</v>
    <v>30.03</v>
    <v>30.78</v>
    <v>30.42</v>
    <v>30.74</v>
    <v>30.91</v>
    <v>30.92</v>
    <v>30.76</v>
    <v>30.46</v>
    <v>30.45</v>
    <v>30.98</v>
    <v>30.63</v>
    <v>30.62</v>
    <v>31.09</v>
    <v>30.57</v>
    <v>30.74</v>
    <v>30.54</v>
    <v>30.59</v>
    <v>30.97</v>
    <v>30.84</v>
    <v>31.07</v>
    <v>31.23</v>
    <v>32.020000000000003</v>
    <v>33.99</v>
    <v>34.590000000000003</v>
    <v>34.869999999999997</v>
    <v>33.5</v>
    <v>34.49</v>
    <v>34.46</v>
    <v>34.340000000000003</v>
    <v>34.46</v>
    <v>34.869999999999997</v>
    <v>32.979999999999997</v>
    <v>33.369999999999997</v>
    <v>32.950000000000003</v>
    <v>31.7</v>
    <v>31.1</v>
    <v>31.35</v>
    <v>30.83</v>
    <v>30.13</v>
    <v>30.74</v>
    <v>29.05</v>
    <v>21.48</v>
    <v>20.11</v>
    <v>19.829999999999998</v>
    <v>18.989999999999998</v>
    <v>20.49</v>
    <v>19.71</v>
    <v>19.36</v>
    <v>20.47</v>
    <v>19.920000000000002</v>
    <v>20.69</v>
    <v>20.87</v>
    <v>21.52</v>
    <v>20.99</v>
    <v>21.41</v>
    <v>20.100000000000001</v>
    <v>20.54</v>
    <v>20.13</v>
    <v>20.07</v>
    <v>19.61</v>
    <v>20.13</v>
    <v>22.04</v>
    <v>20.100000000000001</v>
    <v>19.43</v>
    <v>19.399999999999999</v>
    <v>18.89</v>
    <v>19.07</v>
    <v>18.98</v>
    <v>19.64</v>
    <v>19.36</v>
    <v>19.66</v>
    <v>20.91</v>
    <v>21.47</v>
    <v>20.77</v>
    <v>21.14</v>
    <v>21.84</v>
    <v>22.56</v>
    <v>22.81</v>
    <v>23.54</v>
    <v>23.92</v>
    <v>23.91</v>
    <v>23.46</v>
    <v>22.69</v>
    <v>22.39</v>
    <v>22.26</v>
    <v>22.59</v>
    <v>22.38</v>
    <v>23.32</v>
    <v>23.46</v>
    <v>23.22</v>
    <v>23.56</v>
    <v>23.44</v>
    <v>22.66</v>
    <v>22.31</v>
    <v>22.44</v>
    <v>22.77</v>
    <v>22.84</v>
    <v>22.4</v>
    <v>21.98</v>
    <v>22.34</v>
    <v>22.68</v>
    <v>22.92</v>
    <v>22.9</v>
    <v>22.3</v>
    <v>21.52</v>
    <v>23.2</v>
    <v>22.52</v>
    <v>23.32</v>
    <v>25.05</v>
    <v>26.23</v>
    <v>26.2</v>
    <v>25.05</v>
    <v>24.16</v>
    <v>24.92</v>
    <v>25.03</v>
    <v>24.35</v>
    <v>24.84</v>
    <v>24.2</v>
    <v>24.01</v>
    <v>24.44</v>
    <v>24.5</v>
    <v>24.87</v>
    <v>24.05</v>
    <v>23.65</v>
    <v>24.05</v>
    <v>23.93</v>
    <v>22.47</v>
    <v>21.96</v>
    <v>20.8</v>
    <v>20.92</v>
    <v>20.81</v>
    <v>20.16</v>
    <v>20.12</v>
    <v>20.78</v>
    <v>20.34</v>
    <v>20.83</v>
    <v>20.440000000000001</v>
    <v>19.3</v>
    <v>19.059999999999999</v>
    <v>19.52</v>
    <v>20.2</v>
    <v>20.399999999999999</v>
    <v>20.440000000000001</v>
    <v>20.3</v>
    <v>19.82</v>
    <v>20.05</v>
    <v>20.22</v>
    <v>20.56</v>
    <v>19.87</v>
    <v>20.010000000000002</v>
    <v>19.88</v>
    <v>19.149999999999999</v>
    <v>19.2</v>
    <v>19.2</v>
    <v>19.72</v>
    <v>19.670000000000002</v>
    <v>21.49</v>
    <v>21.77</v>
    <v>21.86</v>
    <v>21.57</v>
    <v>20.83</v>
    <v>20.29</v>
    <v>19.8</v>
    <v>19.75</v>
    <v>20.010000000000002</v>
    <v>19.43</v>
    <v>19.38</v>
    <v>19.29</v>
    <v>19.649999999999999</v>
    <v>19.38</v>
    <v>19.100000000000001</v>
    <v>19.77</v>
    <v>20.97</v>
    <v>22.48</v>
    <v>24.13</v>
    <v>23.6</v>
    <v>27.39</v>
    <v>25.72</v>
    <v>26.09</v>
    <v>24.87</v>
    <v>24.27</v>
    <v>22.99</v>
    <v>23.52</v>
    <v>23.09</v>
    <v>23.73</v>
    <v>22.74</v>
    <v>21.33</v>
    <v>20.81</v>
    <v>20.75</v>
    <v>20.64</v>
    <v>19.93</v>
    <v>19.78</v>
    <v>20.68</v>
    <v>23.7</v>
    <v>24.05</v>
    <v>25.69</v>
    <v>25.92</v>
    <v>24.12</v>
    <v>23.96</v>
    <v>24.26</v>
    <v>24.22</v>
    <v>24.2</v>
    <v>23.42</v>
    <v>23.62</v>
    <v>22.71</v>
    <v>22.71</v>
    <v>22.05</v>
    <v>21.98</v>
    <v>22.43</v>
    <v>19.850000000000001</v>
    <v>19.57</v>
    <v>18.13</v>
    <v>21.53</v>
    <v>19.88</v>
    <v>19.739999999999998</v>
    <v>20.309999999999999</v>
    <v>19.850000000000001</v>
    <v>19.23</v>
    <v>18.93</v>
    <v>18.84</v>
    <v>19.510000000000002</v>
    <v>20.59</v>
    <v>21.49</v>
    <v>20.05</v>
    <v>20.51</v>
    <v>20.34</v>
    <v>20.100000000000001</v>
    <v>19.98</v>
    <v>20.62</v>
    <v>20.27</v>
    <v>19.940000000000001</v>
    <v>20.309999999999999</v>
    <v>21</v>
    <v>21.42</v>
    <v>22.18</v>
    <v>22.56</v>
    <v>21.52</v>
    <v>21.55</v>
    <v>21.66</v>
    <v>21.38</v>
    <v>21.27</v>
    <v>20.69</v>
    <v>20.55</v>
    <v>20.05</v>
    <v>20.55</v>
    <v>20.37</v>
    <v>20.25</v>
    <v>19.55</v>
    <v>19.739999999999998</v>
    <v>20.29</v>
    <v>20.25</v>
    <v>19.989999999999998</v>
    <v>20.059999999999999</v>
    <v>20.48</v>
    <v>22.08</v>
    <v>20.68</v>
    <v>20.77</v>
    <v>20.14</v>
    <v>20.74</v>
    <v>20.8</v>
    <v>21.49</v>
    <v>21.08</v>
    <v>21.19</v>
    <v>22.55</v>
    <v>22.2</v>
    <v>22.5</v>
    <v>22.69</v>
    <v>22.4</v>
    <v>22.85</v>
    <v>21.88</v>
    <v>22.49</v>
    <v>22</v>
    <v>23.59</v>
    <v>23.44</v>
    <v>23.82</v>
    <v>23.43</v>
    <v>23.3</v>
    <v>22.92</v>
    <v>22.69</v>
    <v>22.8</v>
    <v>23.1</v>
    <v>23.26</v>
    <v>23.24</v>
    <v>23.49</v>
    <v>22.63</v>
    <v>20.7</v>
    <v>20.68</v>
    <v>20.41</v>
    <v>20.34</v>
    <v>19.8</v>
    <v>19.309999999999999</v>
    <v>19.5</v>
    <v>20.190000000000001</v>
    <v>20.41</v>
    <v>19.77</v>
    <v>19.95</v>
    <v>20.65</v>
    <v>21.81</v>
    <v>22.22</v>
    <v>23.86</v>
    <v>24.56</v>
    <v>23.66</v>
    <v>25.31</v>
    <v>23.54</v>
    <v>23.5</v>
    <v>24.8</v>
    <v>24.55</v>
    <v>24.35</v>
    <v>24.85</v>
    <v>24.93</v>
    <v>24.35</v>
    <v>24.21</v>
    <v>24</v>
    <v>24.61</v>
    <v>24.49</v>
    <v>24.48</v>
    <v>24.44</v>
    <v>24.77</v>
    <v>24.61</v>
    <v>24.08</v>
    <v>24.77</v>
    <v>25.27</v>
    <v>24.9</v>
    <v>30.57</v>
    <v>29.58</v>
    <v>28.76</v>
    <v>29.34</v>
    <v>31.22</v>
    <v>33.99</v>
    <v>35.5</v>
    <v>34.479999999999997</v>
    <v>33.549999999999997</v>
    <v>35.94</v>
    <v>37.299999999999997</v>
    <v>36.83</v>
    <v>36.590000000000003</v>
    <v>37.17</v>
    <v>37.43</v>
    <v>37.799999999999997</v>
    <v>36.369999999999997</v>
    <v>37.22</v>
    <v>35.630000000000003</v>
    <v>37.15</v>
    <v>36.840000000000003</v>
    <v>37.01</v>
    <v>38.1</v>
    <v>38.119999999999997</v>
    <v>36.92</v>
    <v>38.159999999999997</v>
    <v>38.28</v>
    <v>39.54</v>
    <v>41.53</v>
    <v>41.34</v>
    <v>40.159999999999997</v>
    <v>39.99</v>
    <v>39.5</v>
    <v>37.03</v>
    <v>38.380000000000003</v>
    <v>37.24</v>
    <v>38.130000000000003</v>
    <v>38.450000000000003</v>
    <v>37.880000000000003</v>
    <v>37.89</v>
    <v>35.909999999999997</v>
    <v>35.520000000000003</v>
    <v>34.71</v>
    <v>34.33</v>
    <v>35.11</v>
    <v>33.619999999999997</v>
    <v>34.5</v>
    <v>35.79</v>
    <v>35.83</v>
    <v>36.81</v>
    <v>40.56</v>
    <v>40.01</v>
    <v>43.47</v>
    <v>43.76</v>
    <v>40.5</v>
    <v>41.41</v>
    <v>40.299999999999997</v>
    <v>40.5</v>
    <v>40.78</v>
    <v>39.51</v>
    <v>37.81</v>
    <v>37.51</v>
    <v>37.31</v>
    <v>36.049999999999997</v>
    <v>36.28</v>
    <v>36.82</v>
    <v>36.369999999999997</v>
    <v>36.35</v>
    <v>36.159999999999997</v>
    <v>36.200000000000003</v>
    <v>36.68</v>
    <v>37.299999999999997</v>
    <v>36.9</v>
    <v>39.380000000000003</v>
    <v>39.369999999999997</v>
    <v>40.04</v>
    <v>42.63</v>
    <v>41.11</v>
    <v>45.55</v>
    <v>44.06</v>
    <v>47.29</v>
    <v>48.72</v>
    <v>48.32</v>
    <v>46.96</v>
    <v>48.56</v>
    <v>54.25</v>
    <v>54.32</v>
    <v>45.07</v>
    <v>42.49</v>
    <v>43.93</v>
    <v>48.78</v>
    <v>48.66</v>
    <v>46.47</v>
    <v>48.81</v>
    <v>49.25</v>
    <v>48.6</v>
    <v>48.24</v>
    <v>50.59</v>
    <v>50.24</v>
    <v>47.13</v>
    <v>48.29</v>
    <v>46.48</v>
    <v>46.79</v>
    <v>46.18</v>
    <v>45.46</v>
    <v>44.62</v>
    <v>44.11</v>
    <v>43.63</v>
    <v>46.12</v>
    <v>46.88</v>
    <v>45.46</v>
    <v>45.61</v>
    <v>45.5</v>
    <v>43.1</v>
    <v>45.58</v>
    <v>45.95</v>
    <v>43.42</v>
    <v>45.58</v>
    <v>46.78</v>
    <v>47.98</v>
    <v>45.25</v>
    <v>45.77</v>
    <v>45.76</v>
    <v>44.06</v>
    <v>45.03</v>
    <v>46.18</v>
    <v>43.87</v>
    <v>44.01</v>
    <v>44.06</v>
    <v>47.18</v>
    <v>44.1</v>
    <v>43.13</v>
    <v>41.19</v>
    <v>44.13</v>
    <v>48.03</v>
    <v>50.38</v>
    <v>50.78</v>
    <v>52.91</v>
    <v>58.95</v>
    <v>61.72</v>
    <v>62.38</v>
    <v>65.180000000000007</v>
    <v>63.81</v>
    <v>64.94</v>
    <v>68.5</v>
    <v>68.5</v>
    <v>65.7</v>
    <v>66.260000000000005</v>
    <v>65.27</v>
    <v>66.78</v>
    <v>82.54</v>
    <v>84.99</v>
    <v>84.52</v>
    <v>94.75</v>
    <v>94.48</v>
    <v>99.62</v>
    <v>95.78</v>
    <v>108.15</v>
    <v>113.01</v>
    <v>109.62</v>
    <v>124.92</v>
    <v>129.44</v>
    <v>120.61</v>
    <v>120.29</v>
    <v>115.93</v>
    <v>108.77</v>
    <v>108.17</v>
    <v>110.8</v>
    <v>118.96</v>
    <v>118.5</v>
    <v>119.84</v>
    <v>123.52</v>
    <v>121.77</v>
    <v>120.89</v>
    <v>114.68</v>
    <v>109.33</v>
    <v>107.93</v>
    <v>112.71</v>
    <v>111.78</v>
    <v>99.17</v>
    <v>110.27</v>
    <v>107.92</v>
    <v>107.04</v>
    <v>116.96</v>
    <v>124.57</v>
    <v>127.86</v>
    <v>117.05</v>
    <v>121.1</v>
    <v>133.99</v>
    <v>140.94</v>
    <v>132.28</v>
    <v>131.65</v>
    <v>132.87</v>
    <v>128.32</v>
    <v>131.72</v>
    <v>139.63</v>
    <v>127.02</v>
    <v>120.35</v>
    <v>122.2</v>
    <v>110.39</v>
    <v>110.24</v>
    <v>112.54</v>
    <v>109.84</v>
    <v>103.12</v>
    <v>107.76</v>
    <v>102.99</v>
    <v>96.98</v>
    <v>95.04</v>
    <v>97.06</v>
    <v>105.45</v>
    <v>102.62</v>
    <v>100.23</v>
    <v>92.32</v>
    <v>91.67</v>
    <v>86.3</v>
    <v>81.88</v>
    <v>91.13</v>
    <v>90.2</v>
    <v>91</v>
    <v>100.86</v>
    <v>101.06</v>
    <v>99.81</v>
    <v>101.65</v>
    <v>97.52</v>
    <v>97.71</v>
    <v>100.95</v>
    <v>104.56</v>
    <v>102.5</v>
    <v>103.49</v>
    <v>96.685000000000002</v>
    <v>92.8</v>
    <v>92.13</v>
    <v>90.07</v>
    <v>87.26</v>
    <v>87.48</v>
    <v>88.24</v>
    <v>92.09</v>
    <v>89.47</v>
    <v>89.51</v>
    <v>88.97</v>
    <v>90.05</v>
    <v>91.67</v>
    <v>95.8</v>
    <v>104.47</v>
    <v>106.24</v>
    <v>100.32</v>
    <v>102.94</v>
    <v>97.19</v>
    <v>97.14</v>
    <v>101.05</v>
    <v>108.8</v>
    <v>108.6</v>
    <v>121.78</v>
    <v>123.86</v>
    <v>122.6</v>
    <v>127.39</v>
    <v>123</v>
    <v>116.03</v>
    <v>115.93</v>
    <v>120.23</v>
    <v>120</v>
    <v>119.33</v>
    <v>116.19</v>
    <v>112.5</v>
    <v>113.12</v>
    <v>107.08</v>
    <v>104.7</v>
    <v>101.35</v>
    <v>102.81</v>
    <v>98.12</v>
    <v>95.37</v>
    <v>89.85</v>
    <v>92.03</v>
    <v>91.69</v>
    <v>92.96</v>
    <v>85.49</v>
    <v>86.96</v>
  </a>
  <a r="1" c="252">
    <v>38.159999999999997</v>
    <v>38.28</v>
    <v>39.54</v>
    <v>41.53</v>
    <v>41.34</v>
    <v>40.159999999999997</v>
    <v>39.99</v>
    <v>39.5</v>
    <v>37.03</v>
    <v>38.380000000000003</v>
    <v>37.24</v>
    <v>38.130000000000003</v>
    <v>38.450000000000003</v>
    <v>37.880000000000003</v>
    <v>37.89</v>
    <v>35.909999999999997</v>
    <v>35.520000000000003</v>
    <v>34.71</v>
    <v>34.33</v>
    <v>35.11</v>
    <v>33.619999999999997</v>
    <v>34.5</v>
    <v>35.79</v>
    <v>35.83</v>
    <v>36.81</v>
    <v>40.56</v>
    <v>40.01</v>
    <v>43.47</v>
    <v>43.76</v>
    <v>40.5</v>
    <v>41.41</v>
    <v>40.299999999999997</v>
    <v>40.5</v>
    <v>40.78</v>
    <v>39.51</v>
    <v>37.81</v>
    <v>37.51</v>
    <v>37.31</v>
    <v>36.049999999999997</v>
    <v>36.28</v>
    <v>36.82</v>
    <v>36.369999999999997</v>
    <v>36.35</v>
    <v>36.159999999999997</v>
    <v>36.200000000000003</v>
    <v>36.68</v>
    <v>37.299999999999997</v>
    <v>36.9</v>
    <v>39.380000000000003</v>
    <v>39.369999999999997</v>
    <v>40.04</v>
    <v>42.63</v>
    <v>41.11</v>
    <v>45.55</v>
    <v>44.06</v>
    <v>47.29</v>
    <v>48.72</v>
    <v>48.32</v>
    <v>46.96</v>
    <v>48.56</v>
    <v>54.25</v>
    <v>54.32</v>
    <v>45.07</v>
    <v>42.49</v>
    <v>43.93</v>
    <v>48.78</v>
    <v>48.66</v>
    <v>46.47</v>
    <v>48.81</v>
    <v>49.25</v>
    <v>48.6</v>
    <v>48.24</v>
    <v>50.59</v>
    <v>50.24</v>
    <v>47.13</v>
    <v>48.29</v>
    <v>46.48</v>
    <v>46.79</v>
    <v>46.18</v>
    <v>45.46</v>
    <v>44.62</v>
    <v>44.11</v>
    <v>43.63</v>
    <v>46.12</v>
    <v>46.88</v>
    <v>45.46</v>
    <v>45.61</v>
    <v>45.5</v>
    <v>43.1</v>
    <v>45.58</v>
    <v>45.95</v>
    <v>43.42</v>
    <v>45.58</v>
    <v>46.78</v>
    <v>47.98</v>
    <v>45.25</v>
    <v>45.77</v>
    <v>45.76</v>
    <v>44.06</v>
    <v>45.03</v>
    <v>46.18</v>
    <v>43.87</v>
    <v>44.01</v>
    <v>44.06</v>
    <v>47.18</v>
    <v>44.1</v>
    <v>43.13</v>
    <v>41.19</v>
    <v>44.13</v>
    <v>48.03</v>
    <v>50.38</v>
    <v>50.78</v>
    <v>52.91</v>
    <v>58.95</v>
    <v>61.72</v>
    <v>62.38</v>
    <v>65.180000000000007</v>
    <v>63.81</v>
    <v>64.94</v>
    <v>68.5</v>
    <v>68.5</v>
    <v>65.7</v>
    <v>66.260000000000005</v>
    <v>65.27</v>
    <v>66.78</v>
    <v>82.54</v>
    <v>84.99</v>
    <v>84.52</v>
    <v>94.75</v>
    <v>94.48</v>
    <v>99.62</v>
    <v>95.78</v>
    <v>108.15</v>
    <v>113.01</v>
    <v>109.62</v>
    <v>124.92</v>
    <v>129.44</v>
    <v>120.61</v>
    <v>120.29</v>
    <v>115.93</v>
    <v>108.77</v>
    <v>108.17</v>
    <v>110.8</v>
    <v>118.96</v>
    <v>118.5</v>
    <v>119.84</v>
    <v>123.52</v>
    <v>121.77</v>
    <v>120.89</v>
    <v>114.68</v>
    <v>109.33</v>
    <v>107.93</v>
    <v>112.71</v>
    <v>111.78</v>
    <v>99.17</v>
    <v>110.27</v>
    <v>107.92</v>
    <v>107.04</v>
    <v>116.96</v>
    <v>124.57</v>
    <v>127.86</v>
    <v>117.05</v>
    <v>121.1</v>
    <v>133.99</v>
    <v>140.94</v>
    <v>132.28</v>
    <v>131.65</v>
    <v>132.87</v>
    <v>128.32</v>
    <v>131.72</v>
    <v>139.63</v>
    <v>127.02</v>
    <v>120.35</v>
    <v>122.2</v>
    <v>110.39</v>
    <v>110.24</v>
    <v>112.54</v>
    <v>109.84</v>
    <v>103.12</v>
    <v>107.76</v>
    <v>102.99</v>
    <v>96.98</v>
    <v>95.04</v>
    <v>97.06</v>
    <v>105.45</v>
    <v>102.62</v>
    <v>100.23</v>
    <v>92.32</v>
    <v>91.67</v>
    <v>86.3</v>
    <v>81.88</v>
    <v>91.13</v>
    <v>90.2</v>
    <v>91</v>
    <v>100.86</v>
    <v>101.06</v>
    <v>99.81</v>
    <v>101.65</v>
    <v>97.52</v>
    <v>97.71</v>
    <v>100.95</v>
    <v>104.56</v>
    <v>102.5</v>
    <v>103.49</v>
    <v>96.685000000000002</v>
    <v>92.8</v>
    <v>92.13</v>
    <v>90.07</v>
    <v>87.26</v>
    <v>87.48</v>
    <v>88.24</v>
    <v>92.09</v>
    <v>89.47</v>
    <v>89.51</v>
    <v>88.97</v>
    <v>90.05</v>
    <v>91.67</v>
    <v>95.8</v>
    <v>104.47</v>
    <v>106.24</v>
    <v>100.32</v>
    <v>102.94</v>
    <v>97.19</v>
    <v>97.14</v>
    <v>101.05</v>
    <v>108.8</v>
    <v>108.6</v>
    <v>121.78</v>
    <v>123.86</v>
    <v>122.6</v>
    <v>127.39</v>
    <v>123</v>
    <v>116.03</v>
    <v>115.93</v>
    <v>120.23</v>
    <v>120</v>
    <v>119.33</v>
    <v>116.19</v>
    <v>112.5</v>
    <v>113.12</v>
    <v>107.08</v>
    <v>104.7</v>
    <v>101.35</v>
    <v>102.81</v>
    <v>98.12</v>
    <v>95.37</v>
    <v>89.85</v>
    <v>92.03</v>
    <v>91.69</v>
    <v>92.96</v>
    <v>85.49</v>
    <v>86.96</v>
  </a>
  <a r="1" c="761">
    <v>118.04</v>
    <v>118.64</v>
    <v>118.57</v>
    <v>119.39</v>
    <v>118.66</v>
    <v>118.5</v>
    <v>119.05</v>
    <v>119.4</v>
    <v>118.71</v>
    <v>117.69</v>
    <v>117.44</v>
    <v>118.09</v>
    <v>117.88</v>
    <v>117.8</v>
    <v>118.21</v>
    <v>117.85</v>
    <v>116.47</v>
    <v>116.35</v>
    <v>116.6</v>
    <v>116.21</v>
    <v>115.61</v>
    <v>115.86</v>
    <v>116.43</v>
    <v>116</v>
    <v>115.75</v>
    <v>115.83</v>
    <v>115.36</v>
    <v>115.93</v>
    <v>116.54</v>
    <v>117.11</v>
    <v>117.58</v>
    <v>118.01</v>
    <v>118.11</v>
    <v>118.13</v>
    <v>118.29</v>
    <v>118.33</v>
    <v>118</v>
    <v>118.08</v>
    <v>116.5</v>
    <v>117.33</v>
    <v>117.13</v>
    <v>116.62</v>
    <v>116.86</v>
    <v>116.79</v>
    <v>116.38</v>
    <v>115.59</v>
    <v>115.89</v>
    <v>116.15</v>
    <v>117.15</v>
    <v>117.57</v>
    <v>117.1</v>
    <v>117.11</v>
    <v>117.09</v>
    <v>117.43</v>
    <v>117.2</v>
    <v>117.43</v>
    <v>117.55</v>
    <v>117.69</v>
    <v>118.25</v>
    <v>118.44</v>
    <v>118.32</v>
    <v>118</v>
    <v>118.02</v>
    <v>118.56</v>
    <v>117.86</v>
    <v>118.75</v>
    <v>118.39</v>
    <v>119.1</v>
    <v>118.67</v>
    <v>118.88</v>
    <v>118.99</v>
    <v>119.22</v>
    <v>119.72</v>
    <v>119.61</v>
    <v>119.57</v>
    <v>119.44</v>
    <v>119.15</v>
    <v>119.28</v>
    <v>119.66</v>
    <v>119.55</v>
    <v>119.38</v>
    <v>119.02</v>
    <v>119.15</v>
    <v>118.73</v>
    <v>118.63</v>
    <v>118.57</v>
    <v>118.49</v>
    <v>118.17</v>
    <v>118.17</v>
    <v>118.41</v>
    <v>118.86</v>
    <v>118.8</v>
    <v>118.38</v>
    <v>118.41</v>
    <v>118.05</v>
    <v>117.73</v>
    <v>117.8</v>
    <v>117.87</v>
    <v>117.86</v>
    <v>117.51</v>
    <v>115.57</v>
    <v>115.56</v>
    <v>115.7</v>
    <v>115.89</v>
    <v>116.03</v>
    <v>116.1</v>
    <v>116.75</v>
    <v>116.42</v>
    <v>116.48</v>
    <v>116.71</v>
    <v>116.86</v>
    <v>117.03</v>
    <v>116.38</v>
    <v>116.07</v>
    <v>116.4</v>
    <v>116.02</v>
    <v>116.16</v>
    <v>116.97</v>
    <v>117.3</v>
    <v>118.15</v>
    <v>118.15</v>
    <v>118.27</v>
    <v>118.14</v>
    <v>117.86</v>
    <v>117.88</v>
    <v>118.15</v>
    <v>117.6</v>
    <v>117.67</v>
    <v>117.32</v>
    <v>117.75</v>
    <v>117.39</v>
    <v>117.68</v>
    <v>117.83</v>
    <v>117.23</v>
    <v>117.23</v>
    <v>117.3</v>
    <v>117.53</v>
    <v>117.32</v>
    <v>117.24</v>
    <v>117.02</v>
    <v>116.74</v>
    <v>116.51</v>
    <v>116.48</v>
    <v>116.39</v>
    <v>116.48</v>
    <v>116.59</v>
    <v>116.68</v>
    <v>116.79</v>
    <v>116.42</v>
    <v>116.43</v>
    <v>116.25</v>
    <v>116.85</v>
    <v>116.65</v>
    <v>116.66</v>
    <v>116.42</v>
    <v>116.6</v>
    <v>116.84</v>
    <v>116.74</v>
    <v>117.31</v>
    <v>117.9</v>
    <v>118.15</v>
    <v>117.28</v>
    <v>118.21</v>
    <v>118.94</v>
    <v>118.63</v>
    <v>118.56</v>
    <v>118.44</v>
    <v>118.76</v>
    <v>119.16</v>
    <v>118.67</v>
    <v>118.89</v>
    <v>119.06</v>
    <v>118.94</v>
    <v>118.89</v>
    <v>118.63</v>
    <v>118.67</v>
    <v>117.99</v>
    <v>117.96</v>
    <v>117.96</v>
    <v>117.86</v>
    <v>118.12</v>
    <v>118</v>
    <v>117.82</v>
    <v>117.55</v>
    <v>117.51</v>
    <v>117.87</v>
    <v>117.35</v>
    <v>117.66</v>
    <v>117.72</v>
    <v>117.75</v>
    <v>118.19</v>
    <v>118.27</v>
    <v>118.32</v>
    <v>118.36</v>
    <v>118.79</v>
    <v>118.97</v>
    <v>118.83</v>
    <v>119.56</v>
    <v>118.81</v>
    <v>118.3</v>
    <v>118.52</v>
    <v>118.43</v>
    <v>118.71</v>
    <v>118.63</v>
    <v>118.42</v>
    <v>118.39</v>
    <v>117.8</v>
    <v>117.78</v>
    <v>117.16</v>
    <v>116.86</v>
    <v>116.59</v>
    <v>116.81</v>
    <v>116.16</v>
    <v>116.46</v>
    <v>116.42</v>
    <v>116.9</v>
    <v>117.44</v>
    <v>117.67</v>
    <v>117.69</v>
    <v>117.85</v>
    <v>117.6</v>
    <v>117.79</v>
    <v>117.83</v>
    <v>118.44</v>
    <v>118.72</v>
    <v>118.9</v>
    <v>115.97</v>
    <v>115.71</v>
    <v>115.33</v>
    <v>115.24</v>
    <v>115.17</v>
    <v>115.09</v>
    <v>115.03</v>
    <v>115.2</v>
    <v>115.13</v>
    <v>115.05</v>
    <v>114.8</v>
    <v>114.87</v>
    <v>115.05</v>
    <v>115.92</v>
    <v>116.15</v>
    <v>116.46</v>
    <v>116.55</v>
    <v>116.13</v>
    <v>116.43</v>
    <v>116.52</v>
    <v>116.81</v>
    <v>116.67</v>
    <v>116.78</v>
    <v>117.06</v>
    <v>117.58</v>
    <v>117.85</v>
    <v>117.69</v>
    <v>117.92</v>
    <v>118</v>
    <v>118.34</v>
    <v>118.26</v>
    <v>117.92</v>
    <v>117.72</v>
    <v>118.01</v>
    <v>117.33</v>
    <v>117.4</v>
    <v>117.46</v>
    <v>117.13</v>
    <v>116.7</v>
    <v>118.51</v>
    <v>118.06</v>
    <v>118.8</v>
    <v>119.65</v>
    <v>120.03</v>
    <v>120.42</v>
    <v>120.52</v>
    <v>120.68</v>
    <v>120.45</v>
    <v>120.57</v>
    <v>121.26</v>
    <v>121.43</v>
    <v>122.53</v>
    <v>121.61</v>
    <v>121.8</v>
    <v>120.9</v>
    <v>121.18</v>
    <v>121.21</v>
    <v>121.86</v>
    <v>121.71</v>
    <v>121.54</v>
    <v>121.09</v>
    <v>121.14</v>
    <v>121.1</v>
    <v>121.79</v>
    <v>122.12</v>
    <v>122.05</v>
    <v>121.92</v>
    <v>121.82</v>
    <v>121.89</v>
    <v>122.22</v>
    <v>123.22</v>
    <v>122.79</v>
    <v>122.91</v>
    <v>122.78</v>
    <v>123.3</v>
    <v>125.06</v>
    <v>124.41</v>
    <v>123.25</v>
    <v>123.56</v>
    <v>124.43</v>
    <v>124.61</v>
    <v>125.14</v>
    <v>125.28</v>
    <v>124.43</v>
    <v>124.84</v>
    <v>124.58</v>
    <v>124.71</v>
    <v>123.52</v>
    <v>123.32</v>
    <v>123.17</v>
    <v>123.36</v>
    <v>122.14</v>
    <v>122.52</v>
    <v>123.39</v>
    <v>123.4</v>
    <v>123.46</v>
    <v>123.81</v>
    <v>124.76</v>
    <v>124.07</v>
    <v>123.67</v>
    <v>124.2</v>
    <v>124.54</v>
    <v>124.85</v>
    <v>124.37</v>
    <v>124.01</v>
    <v>123.31</v>
    <v>122.74</v>
    <v>122.97</v>
    <v>123.03</v>
    <v>123.7</v>
    <v>123.1</v>
    <v>123.3</v>
    <v>123.21</v>
    <v>123.17</v>
    <v>123.03</v>
    <v>124.35</v>
    <v>124.59</v>
    <v>123.5</v>
    <v>123.33</v>
    <v>120.57</v>
    <v>119.72</v>
    <v>119.69</v>
    <v>119.77</v>
    <v>118.97</v>
    <v>118.82</v>
    <v>116.92</v>
    <v>116.8</v>
    <v>116.27</v>
    <v>116.13</v>
    <v>116.59</v>
    <v>117.26</v>
    <v>117.57</v>
    <v>117.72</v>
    <v>117.59</v>
    <v>117.8</v>
    <v>117.86</v>
    <v>117.6</v>
    <v>117.97</v>
    <v>118.02</v>
    <v>117.5</v>
    <v>115.67</v>
    <v>116.7</v>
    <v>117.21</v>
    <v>117.06</v>
    <v>115.49</v>
    <v>114.17</v>
    <v>112.33</v>
    <v>112.24</v>
    <v>113.03</v>
    <v>112.43</v>
    <v>112.51</v>
    <v>111.49</v>
    <v>112.55</v>
    <v>112.67</v>
    <v>112.58</v>
    <v>112.59</v>
    <v>112.59</v>
    <v>113.42</v>
    <v>112.97</v>
    <v>113.03</v>
    <v>112.94</v>
    <v>112.87</v>
    <v>113.58</v>
    <v>113.71</v>
    <v>114.96</v>
    <v>114.28</v>
    <v>113.97</v>
    <v>114.3</v>
    <v>114.7</v>
    <v>113.54</v>
    <v>113.65</v>
    <v>112.78</v>
    <v>113.41</v>
    <v>112.84</v>
    <v>112.52</v>
    <v>113</v>
    <v>113.25</v>
    <v>112.65</v>
    <v>112.88</v>
    <v>112.17</v>
    <v>112.65</v>
    <v>112.33</v>
    <v>112.09</v>
    <v>112.33</v>
    <v>112.14</v>
    <v>112.15</v>
    <v>111.58</v>
    <v>110.88</v>
    <v>110.89</v>
    <v>110.77</v>
    <v>111.33</v>
    <v>111.41</v>
    <v>111.98</v>
    <v>111.46</v>
    <v>111.47</v>
    <v>110.73</v>
    <v>110.73</v>
    <v>110.09</v>
    <v>110.05</v>
    <v>109.76</v>
    <v>109.48</v>
    <v>109.4</v>
    <v>109.35</v>
    <v>109.33</v>
    <v>109.63</v>
    <v>109.88</v>
    <v>110</v>
    <v>110.29</v>
    <v>110.02</v>
    <v>110.16</v>
    <v>110.83</v>
    <v>110.18</v>
    <v>111.12</v>
    <v>110.67</v>
    <v>110.2</v>
    <v>110</v>
    <v>110.02</v>
    <v>109.43</v>
    <v>109.8</v>
    <v>110.97</v>
    <v>111.86</v>
    <v>112.35</v>
    <v>112.77</v>
    <v>112.06</v>
    <v>112</v>
    <v>111.82</v>
    <v>111.25</v>
    <v>111.28</v>
    <v>110.93</v>
    <v>111.62</v>
    <v>110.96</v>
    <v>110.64</v>
    <v>111.27</v>
    <v>110.95</v>
    <v>111.09</v>
    <v>111.21</v>
    <v>111.56</v>
    <v>110.77</v>
    <v>111.09</v>
    <v>111.4</v>
    <v>111.94</v>
    <v>111.37</v>
    <v>111.19</v>
    <v>111.1</v>
    <v>111.46</v>
    <v>111.34</v>
    <v>111.75</v>
    <v>111.12</v>
    <v>111</v>
    <v>111.22</v>
    <v>111.21</v>
    <v>108.89</v>
    <v>108.99</v>
    <v>108.59</v>
    <v>107.99</v>
    <v>107.92</v>
    <v>108.48</v>
    <v>108.83</v>
    <v>108.51</v>
    <v>108.37</v>
    <v>108.84</v>
    <v>109.3</v>
    <v>109.17</v>
    <v>108.96</v>
    <v>109</v>
    <v>109.06</v>
    <v>109.41</v>
    <v>109.01</v>
    <v>109.21</v>
    <v>109.64</v>
    <v>110.16</v>
    <v>110.71</v>
    <v>110.3</v>
    <v>110.88</v>
    <v>110.64</v>
    <v>110.24</v>
    <v>110</v>
    <v>110.11</v>
    <v>110.12</v>
    <v>110.68</v>
    <v>110.61</v>
    <v>110.67</v>
    <v>110.46</v>
    <v>110.31</v>
    <v>110.12</v>
    <v>110.12</v>
    <v>110.92</v>
    <v>111.17</v>
    <v>111.23</v>
    <v>111.67</v>
    <v>111.73</v>
    <v>111.33</v>
    <v>110.94</v>
    <v>111.11</v>
    <v>110.86</v>
    <v>110.82</v>
    <v>110.33</v>
    <v>110.59</v>
    <v>110.69</v>
    <v>110.99</v>
    <v>111.44</v>
    <v>111.48</v>
    <v>111.88</v>
    <v>111.67</v>
    <v>111.41</v>
    <v>111.07</v>
    <v>111.07</v>
    <v>111.08</v>
    <v>110.73</v>
    <v>110.95</v>
    <v>110.46</v>
    <v>110.5</v>
    <v>110.68</v>
    <v>110.67</v>
    <v>110.55</v>
    <v>110.49</v>
    <v>109.73</v>
    <v>109.82</v>
    <v>109.74</v>
    <v>109.64</v>
    <v>109.79</v>
    <v>110.09</v>
    <v>110.21</v>
    <v>109.77</v>
    <v>109.56</v>
    <v>109.93</v>
    <v>109.92</v>
    <v>110.09</v>
    <v>110.4</v>
    <v>110.61</v>
    <v>110.69</v>
    <v>110.98</v>
    <v>111.17</v>
    <v>110.65</v>
    <v>111.07</v>
    <v>110.98</v>
    <v>111.4</v>
    <v>111.42</v>
    <v>111.01</v>
    <v>110.15</v>
    <v>110.37</v>
    <v>110.01</v>
    <v>109.88</v>
    <v>108.85</v>
    <v>108</v>
    <v>108.46</v>
    <v>108.44</v>
    <v>109.06</v>
    <v>109.68</v>
    <v>109.54</v>
    <v>109.73</v>
    <v>110</v>
    <v>109.77</v>
    <v>109.02</v>
    <v>109.05</v>
    <v>109.26</v>
    <v>109.44</v>
    <v>109.48</v>
    <v>109.66</v>
    <v>109.86</v>
    <v>109.97</v>
    <v>110.43</v>
    <v>110.32</v>
    <v>110.16</v>
    <v>110.3</v>
    <v>110.13</v>
    <v>110.3</v>
    <v>110.16</v>
    <v>111.28</v>
    <v>112.16</v>
    <v>111.65</v>
    <v>112.19</v>
    <v>111.99</v>
    <v>111.98</v>
    <v>111.49</v>
    <v>112.12</v>
    <v>112.49</v>
    <v>113.34</v>
    <v>112.93</v>
    <v>112.56</v>
    <v>112.68</v>
    <v>110.05</v>
    <v>109.73</v>
    <v>109.43</v>
    <v>109.44</v>
    <v>109.65</v>
    <v>109.91</v>
    <v>110.13</v>
    <v>110.95</v>
    <v>110.3</v>
    <v>109.52</v>
    <v>110.12</v>
    <v>109.78</v>
    <v>108.9</v>
    <v>108.8</v>
    <v>108.54</v>
    <v>108.76</v>
    <v>107.99</v>
    <v>107.98</v>
    <v>108.23</v>
    <v>108.1</v>
    <v>108.28</v>
    <v>108.51</v>
    <v>108.76</v>
    <v>108.92</v>
    <v>108.95</v>
    <v>108.66</v>
    <v>108.84</v>
    <v>108.89</v>
    <v>108.61</v>
    <v>108.79</v>
    <v>108.81</v>
    <v>108.49</v>
    <v>108.33</v>
    <v>108.29</v>
    <v>108.17</v>
    <v>108.52</v>
    <v>108.68</v>
    <v>109.07</v>
    <v>109.38</v>
    <v>109.22</v>
    <v>109.54</v>
    <v>109.47</v>
    <v>109.8</v>
    <v>109.61</v>
    <v>109.32</v>
    <v>109.58</v>
    <v>109.49</v>
    <v>109.37</v>
    <v>109.22</v>
    <v>109.56</v>
    <v>109.56</v>
    <v>109.72</v>
    <v>109.71</v>
    <v>110.26</v>
    <v>110.34</v>
    <v>110.22</v>
    <v>110.28</v>
    <v>110.59</v>
    <v>110.14</v>
    <v>110.01</v>
    <v>109.97</v>
    <v>110.12</v>
    <v>111.08</v>
    <v>111.07</v>
    <v>111.3</v>
    <v>111.97</v>
    <v>112.35</v>
    <v>112.17</v>
    <v>112.05</v>
    <v>111.85</v>
    <v>111.78</v>
    <v>112.1</v>
    <v>111.62</v>
    <v>111.61</v>
    <v>111.86</v>
    <v>111.8</v>
    <v>111.93</v>
    <v>111.68</v>
    <v>111.67</v>
    <v>111.92</v>
    <v>111.66</v>
    <v>111.73</v>
    <v>111.72</v>
    <v>111.84</v>
    <v>111.96</v>
    <v>111.94</v>
    <v>111.88</v>
    <v>112.15</v>
    <v>112.09</v>
    <v>112.23</v>
    <v>112.14</v>
    <v>112.18</v>
    <v>111.07</v>
    <v>111.14</v>
    <v>111.16</v>
    <v>111.19</v>
    <v>110.86</v>
    <v>111.11</v>
    <v>110.82</v>
    <v>110.9</v>
    <v>110.98</v>
    <v>111.05</v>
    <v>111.21</v>
    <v>110.78</v>
    <v>110.77</v>
    <v>110.79</v>
    <v>109.98</v>
    <v>109.84</v>
    <v>109.8</v>
    <v>109.94</v>
    <v>109.95</v>
    <v>110.12</v>
    <v>110.23</v>
    <v>110.43</v>
    <v>110.28</v>
    <v>110.51</v>
    <v>110.48</v>
    <v>110.33</v>
    <v>110.29</v>
    <v>110.14</v>
    <v>110.18</v>
    <v>110.13</v>
    <v>109.96</v>
    <v>110.04</v>
    <v>110.57</v>
    <v>110.56</v>
    <v>110.74</v>
    <v>109.05</v>
    <v>109.05</v>
    <v>109.1</v>
    <v>109.36</v>
    <v>109.67</v>
    <v>109.86</v>
    <v>109.63</v>
    <v>109.79</v>
    <v>110.17</v>
    <v>110.05</v>
    <v>111.42</v>
    <v>111.16</v>
    <v>111.48</v>
    <v>111.21</v>
    <v>112.01</v>
    <v>111.85</v>
    <v>111.94</v>
    <v>112.2</v>
    <v>112</v>
    <v>112.64</v>
    <v>112.01</v>
    <v>111.69</v>
    <v>111.92</v>
    <v>111.82</v>
    <v>111.89</v>
    <v>112.3</v>
    <v>112.37</v>
  </a>
  <a r="1" c="254">
    <v>110.67</v>
    <v>110.46</v>
    <v>110.31</v>
    <v>110.12</v>
    <v>110.12</v>
    <v>110.92</v>
    <v>111.17</v>
    <v>111.23</v>
    <v>111.67</v>
    <v>111.73</v>
    <v>111.33</v>
    <v>110.94</v>
    <v>111.11</v>
    <v>110.86</v>
    <v>110.82</v>
    <v>110.33</v>
    <v>110.59</v>
    <v>110.69</v>
    <v>110.99</v>
    <v>111.44</v>
    <v>111.48</v>
    <v>111.88</v>
    <v>111.67</v>
    <v>111.41</v>
    <v>111.07</v>
    <v>111.07</v>
    <v>111.08</v>
    <v>110.73</v>
    <v>110.95</v>
    <v>110.46</v>
    <v>110.5</v>
    <v>110.68</v>
    <v>110.67</v>
    <v>110.55</v>
    <v>110.49</v>
    <v>109.73</v>
    <v>109.82</v>
    <v>109.74</v>
    <v>109.64</v>
    <v>109.79</v>
    <v>110.09</v>
    <v>110.21</v>
    <v>109.77</v>
    <v>109.56</v>
    <v>109.93</v>
    <v>109.92</v>
    <v>110.09</v>
    <v>110.4</v>
    <v>110.61</v>
    <v>110.69</v>
    <v>110.98</v>
    <v>111.17</v>
    <v>110.65</v>
    <v>111.07</v>
    <v>110.98</v>
    <v>111.4</v>
    <v>111.42</v>
    <v>111.01</v>
    <v>110.15</v>
    <v>110.37</v>
    <v>110.01</v>
    <v>109.88</v>
    <v>108.85</v>
    <v>108</v>
    <v>108.46</v>
    <v>108.44</v>
    <v>109.06</v>
    <v>109.68</v>
    <v>109.54</v>
    <v>109.73</v>
    <v>110</v>
    <v>109.77</v>
    <v>109.02</v>
    <v>109.05</v>
    <v>109.26</v>
    <v>109.44</v>
    <v>109.48</v>
    <v>109.66</v>
    <v>109.86</v>
    <v>109.97</v>
    <v>110.43</v>
    <v>110.32</v>
    <v>110.16</v>
    <v>110.3</v>
    <v>110.13</v>
    <v>110.3</v>
    <v>110.16</v>
    <v>111.28</v>
    <v>112.16</v>
    <v>111.65</v>
    <v>112.19</v>
    <v>111.99</v>
    <v>111.98</v>
    <v>111.49</v>
    <v>112.12</v>
    <v>112.49</v>
    <v>113.34</v>
    <v>112.93</v>
    <v>112.56</v>
    <v>112.68</v>
    <v>110.05</v>
    <v>109.73</v>
    <v>109.43</v>
    <v>109.44</v>
    <v>109.65</v>
    <v>109.91</v>
    <v>110.13</v>
    <v>110.95</v>
    <v>110.3</v>
    <v>109.52</v>
    <v>110.12</v>
    <v>109.78</v>
    <v>108.9</v>
    <v>108.8</v>
    <v>108.54</v>
    <v>108.76</v>
    <v>107.99</v>
    <v>107.98</v>
    <v>108.23</v>
    <v>108.1</v>
    <v>108.28</v>
    <v>108.51</v>
    <v>108.76</v>
    <v>108.92</v>
    <v>108.95</v>
    <v>108.66</v>
    <v>108.84</v>
    <v>108.89</v>
    <v>108.61</v>
    <v>108.79</v>
    <v>108.81</v>
    <v>108.49</v>
    <v>108.33</v>
    <v>108.29</v>
    <v>108.17</v>
    <v>108.52</v>
    <v>108.68</v>
    <v>109.07</v>
    <v>109.38</v>
    <v>109.22</v>
    <v>109.54</v>
    <v>109.47</v>
    <v>109.8</v>
    <v>109.61</v>
    <v>109.32</v>
    <v>109.58</v>
    <v>109.49</v>
    <v>109.37</v>
    <v>109.22</v>
    <v>109.56</v>
    <v>109.56</v>
    <v>109.72</v>
    <v>109.71</v>
    <v>110.26</v>
    <v>110.34</v>
    <v>110.22</v>
    <v>110.28</v>
    <v>110.59</v>
    <v>110.14</v>
    <v>110.01</v>
    <v>109.97</v>
    <v>110.12</v>
    <v>111.08</v>
    <v>111.07</v>
    <v>111.3</v>
    <v>111.97</v>
    <v>112.35</v>
    <v>112.17</v>
    <v>112.05</v>
    <v>111.85</v>
    <v>111.78</v>
    <v>112.1</v>
    <v>111.62</v>
    <v>111.61</v>
    <v>111.86</v>
    <v>111.8</v>
    <v>111.93</v>
    <v>111.68</v>
    <v>111.67</v>
    <v>111.92</v>
    <v>111.66</v>
    <v>111.73</v>
    <v>111.72</v>
    <v>111.84</v>
    <v>111.96</v>
    <v>111.94</v>
    <v>111.88</v>
    <v>112.15</v>
    <v>112.09</v>
    <v>112.23</v>
    <v>112.14</v>
    <v>112.18</v>
    <v>111.07</v>
    <v>111.14</v>
    <v>111.16</v>
    <v>111.19</v>
    <v>110.86</v>
    <v>111.11</v>
    <v>110.82</v>
    <v>110.9</v>
    <v>110.98</v>
    <v>111.05</v>
    <v>111.21</v>
    <v>110.78</v>
    <v>110.77</v>
    <v>110.79</v>
    <v>109.98</v>
    <v>109.84</v>
    <v>109.8</v>
    <v>109.94</v>
    <v>109.95</v>
    <v>110.12</v>
    <v>110.23</v>
    <v>110.43</v>
    <v>110.28</v>
    <v>110.51</v>
    <v>110.48</v>
    <v>110.33</v>
    <v>110.29</v>
    <v>110.14</v>
    <v>110.18</v>
    <v>110.13</v>
    <v>109.96</v>
    <v>110.04</v>
    <v>110.57</v>
    <v>110.56</v>
    <v>110.74</v>
    <v>109.05</v>
    <v>109.05</v>
    <v>109.1</v>
    <v>109.36</v>
    <v>109.67</v>
    <v>109.86</v>
    <v>109.63</v>
    <v>109.79</v>
    <v>110.17</v>
    <v>110.05</v>
    <v>111.42</v>
    <v>111.16</v>
    <v>111.48</v>
    <v>111.21</v>
    <v>112.01</v>
    <v>111.85</v>
    <v>111.94</v>
    <v>112.2</v>
    <v>112</v>
    <v>112.64</v>
    <v>112.01</v>
    <v>111.69</v>
    <v>111.92</v>
    <v>111.82</v>
    <v>111.89</v>
    <v>112.3</v>
    <v>112.37</v>
  </a>
  <a r="1" c="208">
    <v>110.09</v>
    <v>110.4</v>
    <v>110.61</v>
    <v>110.69</v>
    <v>110.98</v>
    <v>111.17</v>
    <v>110.65</v>
    <v>111.07</v>
    <v>110.98</v>
    <v>111.4</v>
    <v>111.42</v>
    <v>111.01</v>
    <v>110.15</v>
    <v>110.37</v>
    <v>110.01</v>
    <v>109.88</v>
    <v>108.85</v>
    <v>108</v>
    <v>108.46</v>
    <v>108.44</v>
    <v>109.06</v>
    <v>109.68</v>
    <v>109.54</v>
    <v>109.73</v>
    <v>110</v>
    <v>109.77</v>
    <v>109.02</v>
    <v>109.05</v>
    <v>109.26</v>
    <v>109.44</v>
    <v>109.48</v>
    <v>109.66</v>
    <v>109.86</v>
    <v>109.97</v>
    <v>110.43</v>
    <v>110.32</v>
    <v>110.16</v>
    <v>110.3</v>
    <v>110.13</v>
    <v>110.3</v>
    <v>110.16</v>
    <v>111.28</v>
    <v>112.16</v>
    <v>111.65</v>
    <v>112.19</v>
    <v>111.99</v>
    <v>111.98</v>
    <v>111.49</v>
    <v>112.12</v>
    <v>112.49</v>
    <v>113.34</v>
    <v>112.93</v>
    <v>112.56</v>
    <v>112.68</v>
    <v>110.05</v>
    <v>109.73</v>
    <v>109.43</v>
    <v>109.44</v>
    <v>109.65</v>
    <v>109.91</v>
    <v>110.13</v>
    <v>110.95</v>
    <v>110.3</v>
    <v>109.52</v>
    <v>110.12</v>
    <v>109.78</v>
    <v>108.9</v>
    <v>108.8</v>
    <v>108.54</v>
    <v>108.76</v>
    <v>107.99</v>
    <v>107.98</v>
    <v>108.23</v>
    <v>108.1</v>
    <v>108.28</v>
    <v>108.51</v>
    <v>108.76</v>
    <v>108.92</v>
    <v>108.95</v>
    <v>108.66</v>
    <v>108.84</v>
    <v>108.89</v>
    <v>108.61</v>
    <v>108.79</v>
    <v>108.81</v>
    <v>108.49</v>
    <v>108.33</v>
    <v>108.29</v>
    <v>108.17</v>
    <v>108.52</v>
    <v>108.68</v>
    <v>109.07</v>
    <v>109.38</v>
    <v>109.22</v>
    <v>109.54</v>
    <v>109.47</v>
    <v>109.8</v>
    <v>109.61</v>
    <v>109.32</v>
    <v>109.58</v>
    <v>109.49</v>
    <v>109.37</v>
    <v>109.22</v>
    <v>109.56</v>
    <v>109.56</v>
    <v>109.72</v>
    <v>109.71</v>
    <v>110.26</v>
    <v>110.34</v>
    <v>110.22</v>
    <v>110.28</v>
    <v>110.59</v>
    <v>110.14</v>
    <v>110.01</v>
    <v>109.97</v>
    <v>110.12</v>
    <v>111.08</v>
    <v>111.07</v>
    <v>111.3</v>
    <v>111.97</v>
    <v>112.35</v>
    <v>112.17</v>
    <v>112.05</v>
    <v>111.85</v>
    <v>111.78</v>
    <v>112.1</v>
    <v>111.62</v>
    <v>111.61</v>
    <v>111.86</v>
    <v>111.8</v>
    <v>111.93</v>
    <v>111.68</v>
    <v>111.67</v>
    <v>111.92</v>
    <v>111.66</v>
    <v>111.73</v>
    <v>111.72</v>
    <v>111.84</v>
    <v>111.96</v>
    <v>111.94</v>
    <v>111.88</v>
    <v>112.15</v>
    <v>112.09</v>
    <v>112.23</v>
    <v>112.14</v>
    <v>112.18</v>
    <v>111.07</v>
    <v>111.14</v>
    <v>111.16</v>
    <v>111.19</v>
    <v>110.86</v>
    <v>111.11</v>
    <v>110.82</v>
    <v>110.9</v>
    <v>110.98</v>
    <v>111.05</v>
    <v>111.21</v>
    <v>110.78</v>
    <v>110.77</v>
    <v>110.79</v>
    <v>109.98</v>
    <v>109.84</v>
    <v>109.8</v>
    <v>109.94</v>
    <v>109.95</v>
    <v>110.12</v>
    <v>110.23</v>
    <v>110.43</v>
    <v>110.28</v>
    <v>110.51</v>
    <v>110.48</v>
    <v>110.33</v>
    <v>110.29</v>
    <v>110.14</v>
    <v>110.18</v>
    <v>110.13</v>
    <v>109.96</v>
    <v>110.04</v>
    <v>110.57</v>
    <v>110.56</v>
    <v>110.74</v>
    <v>109.05</v>
    <v>109.05</v>
    <v>109.1</v>
    <v>109.36</v>
    <v>109.67</v>
    <v>109.86</v>
    <v>109.63</v>
    <v>109.79</v>
    <v>110.17</v>
    <v>110.05</v>
    <v>111.42</v>
    <v>111.16</v>
    <v>111.48</v>
    <v>111.21</v>
    <v>112.01</v>
    <v>111.85</v>
    <v>111.94</v>
    <v>112.2</v>
    <v>112</v>
    <v>112.64</v>
    <v>112.01</v>
    <v>111.69</v>
    <v>111.92</v>
    <v>111.82</v>
    <v>111.89</v>
    <v>112.3</v>
    <v>112.37</v>
  </a>
  <a r="1" c="208">
    <v>39.130000000000003</v>
    <v>39.76</v>
    <v>40.195</v>
    <v>40.04</v>
    <v>39.909999999999997</v>
    <v>40.274999999999999</v>
    <v>40.49</v>
    <v>40.564999999999998</v>
    <v>40.545000000000002</v>
    <v>41.14</v>
    <v>40.770000000000003</v>
    <v>40.835000000000001</v>
    <v>40.31</v>
    <v>40.765000000000001</v>
    <v>41.064999999999998</v>
    <v>40.895000000000003</v>
    <v>40.880000000000003</v>
    <v>41.134999999999998</v>
    <v>41.465000000000003</v>
    <v>41.15</v>
    <v>41.07</v>
    <v>41.055</v>
    <v>41.524999999999999</v>
    <v>41.204999999999998</v>
    <v>40.984999999999999</v>
    <v>41.454999999999998</v>
    <v>41.77</v>
    <v>41.814999999999998</v>
    <v>42.234999999999999</v>
    <v>42.07</v>
    <v>42.01</v>
    <v>42.19</v>
    <v>42.125</v>
    <v>42.715000000000003</v>
    <v>42.52</v>
    <v>43.134999999999998</v>
    <v>42.945</v>
    <v>43.64</v>
    <v>43.9</v>
    <v>43.57</v>
    <v>43.405000000000001</v>
    <v>42.924999999999997</v>
    <v>40.93</v>
    <v>41.49</v>
    <v>40.81</v>
    <v>40.634999999999998</v>
    <v>40.71</v>
    <v>41.65</v>
    <v>41.42</v>
    <v>40.645000000000003</v>
    <v>40.715000000000003</v>
    <v>41.305</v>
    <v>41.615000000000002</v>
    <v>41.325000000000003</v>
    <v>40.47</v>
    <v>39.729999999999997</v>
    <v>40.130000000000003</v>
    <v>39.979999999999997</v>
    <v>40.69</v>
    <v>39.734999999999999</v>
    <v>39.35</v>
    <v>39.520000000000003</v>
    <v>39.31</v>
    <v>40.634999999999998</v>
    <v>40.085000000000001</v>
    <v>39.954999999999998</v>
    <v>42.17</v>
    <v>42.02</v>
    <v>42.4</v>
    <v>42.255000000000003</v>
    <v>43.02</v>
    <v>43.12</v>
    <v>43.465000000000003</v>
    <v>44.375</v>
    <v>43.854999999999997</v>
    <v>43.76</v>
    <v>44.384999999999998</v>
    <v>44.06</v>
    <v>44.39</v>
    <v>44.38</v>
    <v>43.825000000000003</v>
    <v>44.02</v>
    <v>44.295000000000002</v>
    <v>44.94</v>
    <v>45.814999999999998</v>
    <v>46.795000000000002</v>
    <v>46.75</v>
    <v>47.05</v>
    <v>47.21</v>
    <v>45.54</v>
    <v>46.79</v>
    <v>47.164999999999999</v>
    <v>45.88</v>
    <v>45.545000000000002</v>
    <v>44.984999999999999</v>
    <v>45.844999999999999</v>
    <v>45.945</v>
    <v>46.585000000000001</v>
    <v>47.395000000000003</v>
    <v>47.8</v>
    <v>47.84</v>
    <v>47.954999999999998</v>
    <v>47.98</v>
    <v>48.954999999999998</v>
    <v>49.484999999999999</v>
    <v>48.92</v>
    <v>48.25</v>
    <v>46.55</v>
    <v>46.46</v>
    <v>46.1</v>
    <v>45.945</v>
    <v>46.424999999999997</v>
    <v>47.86</v>
    <v>49.13</v>
    <v>48.575000000000003</v>
    <v>49.225000000000001</v>
    <v>50.16</v>
    <v>49.8</v>
    <v>50.73</v>
    <v>48.45</v>
    <v>48.54</v>
    <v>48.725000000000001</v>
    <v>48.16</v>
    <v>47.74</v>
    <v>48.825000000000003</v>
    <v>48.27</v>
    <v>47.31</v>
    <v>48.36</v>
    <v>48.51</v>
    <v>46.795000000000002</v>
    <v>46.73</v>
    <v>47.73</v>
    <v>47.87</v>
    <v>46.77</v>
    <v>46.89</v>
    <v>46.8</v>
    <v>46.244999999999997</v>
    <v>45.295000000000002</v>
    <v>45.795000000000002</v>
    <v>46.75</v>
    <v>46.645000000000003</v>
    <v>46.15</v>
    <v>45.865000000000002</v>
    <v>45.37</v>
    <v>44.93</v>
    <v>43.984999999999999</v>
    <v>44.76</v>
    <v>45.36</v>
    <v>45.454999999999998</v>
    <v>46.72</v>
    <v>46.774999999999999</v>
    <v>46.564999999999998</v>
    <v>46.55</v>
    <v>46.41</v>
    <v>46.67</v>
    <v>47.215000000000003</v>
    <v>47.445</v>
    <v>47.14</v>
    <v>48.005000000000003</v>
    <v>46.37</v>
    <v>46.484999999999999</v>
    <v>46.615000000000002</v>
    <v>47.15</v>
    <v>46.454999999999998</v>
    <v>47.104999999999997</v>
    <v>47.384999999999998</v>
    <v>47.56</v>
    <v>47.83</v>
    <v>47.375</v>
    <v>47.685000000000002</v>
    <v>47.484999999999999</v>
    <v>47.54</v>
    <v>48.24</v>
    <v>48.414999999999999</v>
    <v>48.564999999999998</v>
    <v>48.28</v>
    <v>47.515000000000001</v>
    <v>48.02</v>
    <v>47.024999999999999</v>
    <v>46.704999999999998</v>
    <v>47.195</v>
    <v>47.8</v>
    <v>47.695</v>
    <v>48.97</v>
    <v>49.19</v>
    <v>48.865000000000002</v>
    <v>48.37</v>
    <v>48.7</v>
    <v>48.13</v>
    <v>48.58</v>
    <v>48.28</v>
    <v>48.37</v>
    <v>49.125</v>
    <v>50.16</v>
    <v>49.89</v>
    <v>49.41</v>
    <v>48.59</v>
    <v>48.905000000000001</v>
    <v>48.734999999999999</v>
    <v>48.12</v>
    <v>47.78</v>
    <v>46.81</v>
    <v>46.37</v>
    <v>46.72</v>
    <v>46.39</v>
    <v>46.585000000000001</v>
    <v>45.36</v>
    <v>45.52</v>
  </a>
  <a r="1" c="761">
    <v>26.73</v>
    <v>27.175000000000001</v>
    <v>26.925000000000001</v>
    <v>26.8</v>
    <v>26.754999999999999</v>
    <v>26.82</v>
    <v>26.625</v>
    <v>26.97</v>
    <v>27.34</v>
    <v>27.664999999999999</v>
    <v>27.94</v>
    <v>27.95</v>
    <v>27.77</v>
    <v>27.725000000000001</v>
    <v>27.62</v>
    <v>27.725000000000001</v>
    <v>27.934999999999999</v>
    <v>28.315000000000001</v>
    <v>27.885000000000002</v>
    <v>27.905000000000001</v>
    <v>28.085000000000001</v>
    <v>28</v>
    <v>28.06</v>
    <v>28.114999999999998</v>
    <v>27.94</v>
    <v>27.815000000000001</v>
    <v>27.975000000000001</v>
    <v>27.864999999999998</v>
    <v>28.085000000000001</v>
    <v>28.19</v>
    <v>28.094999999999999</v>
    <v>28</v>
    <v>28.175000000000001</v>
    <v>28.135000000000002</v>
    <v>28.15</v>
    <v>28.3</v>
    <v>28.175000000000001</v>
    <v>28.035</v>
    <v>28.385000000000002</v>
    <v>28.59</v>
    <v>28.31</v>
    <v>28.495000000000001</v>
    <v>28.3</v>
    <v>28.385000000000002</v>
    <v>28.274999999999999</v>
    <v>28.344999999999999</v>
    <v>28.745000000000001</v>
    <v>28.72</v>
    <v>28.725000000000001</v>
    <v>28.66</v>
    <v>28.585000000000001</v>
    <v>28.635000000000002</v>
    <v>28.515000000000001</v>
    <v>28.335000000000001</v>
    <v>28.16</v>
    <v>28.16</v>
    <v>28.434999999999999</v>
    <v>28.32</v>
    <v>28.074999999999999</v>
    <v>27.52</v>
    <v>27.805</v>
    <v>27.835000000000001</v>
    <v>27.805</v>
    <v>28.045000000000002</v>
    <v>28.41</v>
    <v>28.49</v>
    <v>28.48</v>
    <v>28.535</v>
    <v>28.274999999999999</v>
    <v>28.35</v>
    <v>28.335000000000001</v>
    <v>28.37</v>
    <v>28.54</v>
    <v>29.195</v>
    <v>29.13</v>
    <v>29.035</v>
    <v>28.975000000000001</v>
    <v>29.445</v>
    <v>28.975000000000001</v>
    <v>29.29</v>
    <v>29.324999999999999</v>
    <v>29.535</v>
    <v>29.51</v>
    <v>29.41</v>
    <v>29.48</v>
    <v>29.684999999999999</v>
    <v>29.7</v>
    <v>29.54</v>
    <v>29.61</v>
    <v>29.245000000000001</v>
    <v>29.315000000000001</v>
    <v>29.664999999999999</v>
    <v>29.56</v>
    <v>29.335000000000001</v>
    <v>29.63</v>
    <v>29.63</v>
    <v>29.63</v>
    <v>29.754999999999999</v>
    <v>30.01</v>
    <v>29.8</v>
    <v>29.88</v>
    <v>29.68</v>
    <v>29.774999999999999</v>
    <v>29.655000000000001</v>
    <v>29.725000000000001</v>
    <v>30.074999999999999</v>
    <v>29.995000000000001</v>
    <v>29.945</v>
    <v>29.96</v>
    <v>29.945</v>
    <v>30.18</v>
    <v>30.45</v>
    <v>30.31</v>
    <v>30.484999999999999</v>
    <v>30.234999999999999</v>
    <v>30.445</v>
    <v>30.53</v>
    <v>30.43</v>
    <v>30.62</v>
    <v>30.38</v>
    <v>30.305</v>
    <v>29.74</v>
    <v>29.655000000000001</v>
    <v>29.864999999999998</v>
    <v>29.64</v>
    <v>29.79</v>
    <v>30.01</v>
    <v>30.164999999999999</v>
    <v>30.07</v>
    <v>30.555</v>
    <v>30.75</v>
    <v>30.62</v>
    <v>31.05</v>
    <v>31.184999999999999</v>
    <v>31.22</v>
    <v>31.135000000000002</v>
    <v>31.125</v>
    <v>31.094999999999999</v>
    <v>31.204999999999998</v>
    <v>31.375</v>
    <v>31.42</v>
    <v>31.635000000000002</v>
    <v>31.715</v>
    <v>31.875</v>
    <v>31.82</v>
    <v>31.625</v>
    <v>31.635000000000002</v>
    <v>31.515000000000001</v>
    <v>31.41</v>
    <v>31.55</v>
    <v>31.34</v>
    <v>31.024999999999999</v>
    <v>30.92</v>
    <v>30.434999999999999</v>
    <v>30.8</v>
    <v>30.27</v>
    <v>30.86</v>
    <v>31.035</v>
    <v>31.1</v>
    <v>31.305</v>
    <v>31.12</v>
    <v>31.344999999999999</v>
    <v>31.41</v>
    <v>31.625</v>
    <v>31.684999999999999</v>
    <v>32</v>
    <v>32.15</v>
    <v>32.045000000000002</v>
    <v>32.024999999999999</v>
    <v>32.015000000000001</v>
    <v>31.805</v>
    <v>31.835000000000001</v>
    <v>31.81</v>
    <v>32.01</v>
    <v>31.96</v>
    <v>31.86</v>
    <v>32.200000000000003</v>
    <v>32.29</v>
    <v>32.225000000000001</v>
    <v>32.35</v>
    <v>32.43</v>
    <v>32.555</v>
    <v>32.704999999999998</v>
    <v>32.75</v>
    <v>32.51</v>
    <v>32.54</v>
    <v>32.08</v>
    <v>31.83</v>
    <v>31.545000000000002</v>
    <v>31.67</v>
    <v>31.71</v>
    <v>31.42</v>
    <v>31.2</v>
    <v>31.38</v>
    <v>31.33</v>
    <v>31.33</v>
    <v>31.965</v>
    <v>31.69</v>
    <v>30.574999999999999</v>
    <v>29.545000000000002</v>
    <v>29.754999999999999</v>
    <v>30.45</v>
    <v>30.725000000000001</v>
    <v>30.844999999999999</v>
    <v>30.984999999999999</v>
    <v>31.09</v>
    <v>30.92</v>
    <v>31.585000000000001</v>
    <v>31.754999999999999</v>
    <v>31.44</v>
    <v>31.484999999999999</v>
    <v>31.29</v>
    <v>31.504999999999999</v>
    <v>31.274999999999999</v>
    <v>31.3</v>
    <v>31.27</v>
    <v>31.524999999999999</v>
    <v>31.495000000000001</v>
    <v>31.454999999999998</v>
    <v>31.155000000000001</v>
    <v>30.96</v>
    <v>30.87</v>
    <v>30.43</v>
    <v>30.69</v>
    <v>30.63</v>
    <v>30.6</v>
    <v>30.97</v>
    <v>31.164999999999999</v>
    <v>31.105</v>
    <v>31.254999999999999</v>
    <v>31.094999999999999</v>
    <v>31.565000000000001</v>
    <v>31.54</v>
    <v>31.87</v>
    <v>32.58</v>
    <v>32.51</v>
    <v>33.340000000000003</v>
    <v>33.39</v>
    <v>33.08</v>
    <v>33.24</v>
    <v>33.854999999999997</v>
    <v>33.67</v>
    <v>33.909999999999997</v>
    <v>34.200000000000003</v>
    <v>33.51</v>
    <v>33.515000000000001</v>
    <v>33.545000000000002</v>
    <v>33.704999999999998</v>
    <v>33.695</v>
    <v>33.229999999999997</v>
    <v>33.53</v>
    <v>33.479999999999997</v>
    <v>33.695</v>
    <v>33.325000000000003</v>
    <v>33.39</v>
    <v>33.335000000000001</v>
    <v>33.115000000000002</v>
    <v>33.21</v>
    <v>33.270000000000003</v>
    <v>33.25</v>
    <v>32.78</v>
    <v>32.534999999999997</v>
    <v>32.875</v>
    <v>32.9</v>
    <v>33.115000000000002</v>
    <v>33.18</v>
    <v>33.725000000000001</v>
    <v>33.155000000000001</v>
    <v>33.185000000000002</v>
    <v>32.69</v>
    <v>32.604999999999997</v>
    <v>32.54</v>
    <v>32.51</v>
    <v>32.69</v>
    <v>32.75</v>
    <v>32.72</v>
    <v>32.854999999999997</v>
    <v>33.119999999999997</v>
    <v>32.984999999999999</v>
    <v>32.94</v>
    <v>32.625</v>
    <v>32.54</v>
    <v>32.79</v>
    <v>33.045000000000002</v>
    <v>33.090000000000003</v>
    <v>33.155000000000001</v>
    <v>33.244999999999997</v>
    <v>33.204999999999998</v>
    <v>33.865000000000002</v>
    <v>33.49</v>
    <v>33.625</v>
    <v>33.57</v>
    <v>33.479999999999997</v>
    <v>33.354999999999997</v>
    <v>33.18</v>
    <v>33.270000000000003</v>
    <v>33.130000000000003</v>
    <v>33.01</v>
    <v>33.06</v>
    <v>32.92</v>
    <v>32.770000000000003</v>
    <v>33.265000000000001</v>
    <v>33.24</v>
    <v>33.174999999999997</v>
    <v>33.064999999999998</v>
    <v>32.96</v>
    <v>32.92</v>
    <v>32.53</v>
    <v>32.29</v>
    <v>32.450000000000003</v>
    <v>32.825000000000003</v>
    <v>32.869999999999997</v>
    <v>33.18</v>
    <v>33.200000000000003</v>
    <v>32.884999999999998</v>
    <v>32.884999999999998</v>
    <v>32.99</v>
    <v>32.909999999999997</v>
    <v>32.265000000000001</v>
    <v>32.395000000000003</v>
    <v>32.9</v>
    <v>33.295000000000002</v>
    <v>33.4</v>
    <v>33.265000000000001</v>
    <v>33.5</v>
    <v>33.24</v>
    <v>33.494999999999997</v>
    <v>33.594999999999999</v>
    <v>33.965000000000003</v>
    <v>33.82</v>
    <v>33.755000000000003</v>
    <v>33.765000000000001</v>
    <v>33.744999999999997</v>
    <v>34.075000000000003</v>
    <v>34.244999999999997</v>
    <v>34.314999999999998</v>
    <v>34.36</v>
    <v>34.619999999999997</v>
    <v>33.905000000000001</v>
    <v>33.659999999999997</v>
    <v>34.164999999999999</v>
    <v>33.96</v>
    <v>33.145000000000003</v>
    <v>33.094999999999999</v>
    <v>32.555</v>
    <v>32.685000000000002</v>
    <v>32.770000000000003</v>
    <v>32.555</v>
    <v>32.155000000000001</v>
    <v>31.92</v>
    <v>32.14</v>
    <v>32.174999999999997</v>
    <v>32.615000000000002</v>
    <v>33.020000000000003</v>
    <v>32.99</v>
    <v>33.134999999999998</v>
    <v>32.984999999999999</v>
    <v>33.020000000000003</v>
    <v>33.244999999999997</v>
    <v>33.14</v>
    <v>33.055</v>
    <v>33.18</v>
    <v>32.435000000000002</v>
    <v>32.25</v>
    <v>32.590000000000003</v>
    <v>32.414999999999999</v>
    <v>31.355</v>
    <v>29.75</v>
    <v>28.78</v>
    <v>29.18</v>
    <v>27.984999999999999</v>
    <v>29.055</v>
    <v>29.16</v>
    <v>29.83</v>
    <v>30.1</v>
    <v>29.774999999999999</v>
    <v>29.914999999999999</v>
    <v>29.87</v>
    <v>30.635000000000002</v>
    <v>30.77</v>
    <v>30.63</v>
    <v>30.664999999999999</v>
    <v>30.844999999999999</v>
    <v>30.96</v>
    <v>31.93</v>
    <v>32.365000000000002</v>
    <v>32.134999999999998</v>
    <v>31.754999999999999</v>
    <v>31.98</v>
    <v>32.130000000000003</v>
    <v>33.244999999999997</v>
    <v>33.17</v>
    <v>33.405000000000001</v>
    <v>33.28</v>
    <v>33.33</v>
    <v>33.1</v>
    <v>33.049999999999997</v>
    <v>33.04</v>
    <v>32.85</v>
    <v>32.765000000000001</v>
    <v>32.774999999999999</v>
    <v>32.725000000000001</v>
    <v>32.755000000000003</v>
    <v>32.69</v>
    <v>32.344999999999999</v>
    <v>32.265000000000001</v>
    <v>32.6</v>
    <v>32.854999999999997</v>
    <v>33.08</v>
    <v>33.164999999999999</v>
    <v>33.46</v>
    <v>33.54</v>
    <v>33.715000000000003</v>
    <v>33.409999999999997</v>
    <v>33.024999999999999</v>
    <v>33.384999999999998</v>
    <v>33.164999999999999</v>
    <v>33.075000000000003</v>
    <v>32.700000000000003</v>
    <v>32.844999999999999</v>
    <v>32.840000000000003</v>
    <v>33.549999999999997</v>
    <v>33.615000000000002</v>
    <v>33.634999999999998</v>
    <v>33.585000000000001</v>
    <v>33.450000000000003</v>
    <v>33.534999999999997</v>
    <v>33.564999999999998</v>
    <v>33.9</v>
    <v>33.555</v>
    <v>33.65</v>
    <v>33.734999999999999</v>
    <v>33.68</v>
    <v>33.865000000000002</v>
    <v>33.755000000000003</v>
    <v>33.835000000000001</v>
    <v>34.265000000000001</v>
    <v>34.06</v>
    <v>34.67</v>
    <v>34.585000000000001</v>
    <v>34.615000000000002</v>
    <v>34.365000000000002</v>
    <v>34.68</v>
    <v>34.494999999999997</v>
    <v>34.380000000000003</v>
    <v>34.619999999999997</v>
    <v>34.840000000000003</v>
    <v>34.844999999999999</v>
    <v>34.770000000000003</v>
    <v>34.034999999999997</v>
    <v>34.325000000000003</v>
    <v>34.47</v>
    <v>34.314999999999998</v>
    <v>34.69</v>
    <v>34.57</v>
    <v>34.75</v>
    <v>34.825000000000003</v>
    <v>35.125</v>
    <v>34.865000000000002</v>
    <v>35.094999999999999</v>
    <v>34.97</v>
    <v>34.774999999999999</v>
    <v>34.975000000000001</v>
    <v>35.270000000000003</v>
    <v>35.384999999999998</v>
    <v>35.234999999999999</v>
    <v>35.08</v>
    <v>35.04</v>
    <v>34.799999999999997</v>
    <v>34.865000000000002</v>
    <v>34.784999999999997</v>
    <v>34.975000000000001</v>
    <v>34.895000000000003</v>
    <v>35.034999999999997</v>
    <v>35.340000000000003</v>
    <v>35.645000000000003</v>
    <v>35.99</v>
    <v>36.255000000000003</v>
    <v>36.305</v>
    <v>36.435000000000002</v>
    <v>36.35</v>
    <v>36.65</v>
    <v>36.69</v>
    <v>36.729999999999997</v>
    <v>36.71</v>
    <v>36.905000000000001</v>
    <v>36.85</v>
    <v>36.79</v>
    <v>36.465000000000003</v>
    <v>36.770000000000003</v>
    <v>36.81</v>
    <v>37.145000000000003</v>
    <v>37.375</v>
    <v>37.51</v>
    <v>37.729999999999997</v>
    <v>37.704999999999998</v>
    <v>37.975000000000001</v>
    <v>37.935000000000002</v>
    <v>36.674999999999997</v>
    <v>37.615000000000002</v>
    <v>37.130000000000003</v>
    <v>37.655000000000001</v>
    <v>37.92</v>
    <v>37.524999999999999</v>
    <v>38.265000000000001</v>
    <v>38.125</v>
    <v>38.01</v>
    <v>38.270000000000003</v>
    <v>38.475000000000001</v>
    <v>38.795000000000002</v>
    <v>38.685000000000002</v>
    <v>39.08</v>
    <v>38.945</v>
    <v>38.83</v>
    <v>39.134999999999998</v>
    <v>38.835000000000001</v>
    <v>38.92</v>
    <v>38.435000000000002</v>
    <v>37.875</v>
    <v>38.81</v>
    <v>38.770000000000003</v>
    <v>38.89</v>
    <v>38.515000000000001</v>
    <v>38.655000000000001</v>
    <v>38.325000000000003</v>
    <v>37.865000000000002</v>
    <v>37.844999999999999</v>
    <v>37.94</v>
    <v>37.225000000000001</v>
    <v>37.67</v>
    <v>37.545000000000002</v>
    <v>37.954999999999998</v>
    <v>37.884999999999998</v>
    <v>38.094999999999999</v>
    <v>37.97</v>
    <v>37.854999999999997</v>
    <v>37.715000000000003</v>
    <v>37.83</v>
    <v>38.159999999999997</v>
    <v>38.024999999999999</v>
    <v>38.005000000000003</v>
    <v>38.07</v>
    <v>37.79</v>
    <v>37.454999999999998</v>
    <v>37.545000000000002</v>
    <v>37.020000000000003</v>
    <v>36.94</v>
    <v>37.475000000000001</v>
    <v>37.79</v>
    <v>37.81</v>
    <v>37.825000000000003</v>
    <v>38.125</v>
    <v>38.409999999999997</v>
    <v>39.130000000000003</v>
    <v>39.76</v>
    <v>40.195</v>
    <v>40.04</v>
    <v>39.909999999999997</v>
    <v>40.274999999999999</v>
    <v>40.49</v>
    <v>40.564999999999998</v>
    <v>40.545000000000002</v>
    <v>41.14</v>
    <v>40.770000000000003</v>
    <v>40.835000000000001</v>
    <v>40.31</v>
    <v>40.765000000000001</v>
    <v>41.064999999999998</v>
    <v>40.895000000000003</v>
    <v>40.880000000000003</v>
    <v>41.134999999999998</v>
    <v>41.465000000000003</v>
    <v>41.15</v>
    <v>41.07</v>
    <v>41.055</v>
    <v>41.524999999999999</v>
    <v>41.204999999999998</v>
    <v>40.984999999999999</v>
    <v>41.454999999999998</v>
    <v>41.77</v>
    <v>41.814999999999998</v>
    <v>42.234999999999999</v>
    <v>42.07</v>
    <v>42.01</v>
    <v>42.19</v>
    <v>42.125</v>
    <v>42.715000000000003</v>
    <v>42.52</v>
    <v>43.134999999999998</v>
    <v>42.945</v>
    <v>43.64</v>
    <v>43.9</v>
    <v>43.57</v>
    <v>43.405000000000001</v>
    <v>42.924999999999997</v>
    <v>40.93</v>
    <v>41.49</v>
    <v>40.81</v>
    <v>40.634999999999998</v>
    <v>40.71</v>
    <v>41.65</v>
    <v>41.42</v>
    <v>40.645000000000003</v>
    <v>40.715000000000003</v>
    <v>41.305</v>
    <v>41.615000000000002</v>
    <v>41.325000000000003</v>
    <v>40.47</v>
    <v>39.729999999999997</v>
    <v>40.130000000000003</v>
    <v>39.979999999999997</v>
    <v>40.69</v>
    <v>39.734999999999999</v>
    <v>39.35</v>
    <v>39.520000000000003</v>
    <v>39.31</v>
    <v>40.634999999999998</v>
    <v>40.085000000000001</v>
    <v>39.954999999999998</v>
    <v>42.17</v>
    <v>42.02</v>
    <v>42.4</v>
    <v>42.255000000000003</v>
    <v>43.02</v>
    <v>43.12</v>
    <v>43.465000000000003</v>
    <v>44.375</v>
    <v>43.854999999999997</v>
    <v>43.76</v>
    <v>44.384999999999998</v>
    <v>44.06</v>
    <v>44.39</v>
    <v>44.38</v>
    <v>43.825000000000003</v>
    <v>44.02</v>
    <v>44.295000000000002</v>
    <v>44.94</v>
    <v>45.814999999999998</v>
    <v>46.795000000000002</v>
    <v>46.75</v>
    <v>47.05</v>
    <v>47.21</v>
    <v>45.54</v>
    <v>46.79</v>
    <v>47.164999999999999</v>
    <v>45.88</v>
    <v>45.545000000000002</v>
    <v>44.984999999999999</v>
    <v>45.844999999999999</v>
    <v>45.945</v>
    <v>46.585000000000001</v>
    <v>47.395000000000003</v>
    <v>47.8</v>
    <v>47.84</v>
    <v>47.954999999999998</v>
    <v>47.98</v>
    <v>48.954999999999998</v>
    <v>49.484999999999999</v>
    <v>48.92</v>
    <v>48.25</v>
    <v>46.55</v>
    <v>46.46</v>
    <v>46.1</v>
    <v>45.945</v>
    <v>46.424999999999997</v>
    <v>47.86</v>
    <v>49.13</v>
    <v>48.575000000000003</v>
    <v>49.225000000000001</v>
    <v>50.16</v>
    <v>49.8</v>
    <v>50.73</v>
    <v>48.45</v>
    <v>48.54</v>
    <v>48.725000000000001</v>
    <v>48.16</v>
    <v>47.74</v>
    <v>48.825000000000003</v>
    <v>48.27</v>
    <v>47.31</v>
    <v>48.36</v>
    <v>48.51</v>
    <v>46.795000000000002</v>
    <v>46.73</v>
    <v>47.73</v>
    <v>47.87</v>
    <v>46.77</v>
    <v>46.89</v>
    <v>46.8</v>
    <v>46.244999999999997</v>
    <v>45.295000000000002</v>
    <v>45.795000000000002</v>
    <v>46.75</v>
    <v>46.645000000000003</v>
    <v>46.15</v>
    <v>45.865000000000002</v>
    <v>45.37</v>
    <v>44.93</v>
    <v>43.984999999999999</v>
    <v>44.76</v>
    <v>45.36</v>
    <v>45.454999999999998</v>
    <v>46.72</v>
    <v>46.774999999999999</v>
    <v>46.564999999999998</v>
    <v>46.55</v>
    <v>46.41</v>
    <v>46.67</v>
    <v>47.215000000000003</v>
    <v>47.445</v>
    <v>47.14</v>
    <v>48.005000000000003</v>
    <v>46.37</v>
    <v>46.484999999999999</v>
    <v>46.615000000000002</v>
    <v>47.15</v>
    <v>46.454999999999998</v>
    <v>47.104999999999997</v>
    <v>47.384999999999998</v>
    <v>47.56</v>
    <v>47.83</v>
    <v>47.375</v>
    <v>47.685000000000002</v>
    <v>47.484999999999999</v>
    <v>47.54</v>
    <v>48.24</v>
    <v>48.414999999999999</v>
    <v>48.564999999999998</v>
    <v>48.28</v>
    <v>47.515000000000001</v>
    <v>48.02</v>
    <v>47.024999999999999</v>
    <v>46.704999999999998</v>
    <v>47.195</v>
    <v>47.8</v>
    <v>47.695</v>
    <v>48.97</v>
    <v>49.19</v>
    <v>48.865000000000002</v>
    <v>48.37</v>
    <v>48.7</v>
    <v>48.13</v>
    <v>48.58</v>
    <v>48.28</v>
    <v>48.37</v>
    <v>49.125</v>
    <v>50.16</v>
    <v>49.89</v>
    <v>49.41</v>
    <v>48.59</v>
    <v>48.905000000000001</v>
    <v>48.734999999999999</v>
    <v>48.12</v>
    <v>47.78</v>
    <v>46.81</v>
    <v>46.37</v>
    <v>46.72</v>
    <v>46.39</v>
    <v>46.585000000000001</v>
    <v>45.36</v>
    <v>45.52</v>
  </a>
  <a r="1" c="254">
    <v>38.270000000000003</v>
    <v>38.475000000000001</v>
    <v>38.795000000000002</v>
    <v>38.685000000000002</v>
    <v>39.08</v>
    <v>38.945</v>
    <v>38.83</v>
    <v>39.134999999999998</v>
    <v>38.835000000000001</v>
    <v>38.92</v>
    <v>38.435000000000002</v>
    <v>37.875</v>
    <v>38.81</v>
    <v>38.770000000000003</v>
    <v>38.89</v>
    <v>38.515000000000001</v>
    <v>38.655000000000001</v>
    <v>38.325000000000003</v>
    <v>37.865000000000002</v>
    <v>37.844999999999999</v>
    <v>37.94</v>
    <v>37.225000000000001</v>
    <v>37.67</v>
    <v>37.545000000000002</v>
    <v>37.954999999999998</v>
    <v>37.884999999999998</v>
    <v>38.094999999999999</v>
    <v>37.97</v>
    <v>37.854999999999997</v>
    <v>37.715000000000003</v>
    <v>37.83</v>
    <v>38.159999999999997</v>
    <v>38.024999999999999</v>
    <v>38.005000000000003</v>
    <v>38.07</v>
    <v>37.79</v>
    <v>37.454999999999998</v>
    <v>37.545000000000002</v>
    <v>37.020000000000003</v>
    <v>36.94</v>
    <v>37.475000000000001</v>
    <v>37.79</v>
    <v>37.81</v>
    <v>37.825000000000003</v>
    <v>38.125</v>
    <v>38.409999999999997</v>
    <v>39.130000000000003</v>
    <v>39.76</v>
    <v>40.195</v>
    <v>40.04</v>
    <v>39.909999999999997</v>
    <v>40.274999999999999</v>
    <v>40.49</v>
    <v>40.564999999999998</v>
    <v>40.545000000000002</v>
    <v>41.14</v>
    <v>40.770000000000003</v>
    <v>40.835000000000001</v>
    <v>40.31</v>
    <v>40.765000000000001</v>
    <v>41.064999999999998</v>
    <v>40.895000000000003</v>
    <v>40.880000000000003</v>
    <v>41.134999999999998</v>
    <v>41.465000000000003</v>
    <v>41.15</v>
    <v>41.07</v>
    <v>41.055</v>
    <v>41.524999999999999</v>
    <v>41.204999999999998</v>
    <v>40.984999999999999</v>
    <v>41.454999999999998</v>
    <v>41.77</v>
    <v>41.814999999999998</v>
    <v>42.234999999999999</v>
    <v>42.07</v>
    <v>42.01</v>
    <v>42.19</v>
    <v>42.125</v>
    <v>42.715000000000003</v>
    <v>42.52</v>
    <v>43.134999999999998</v>
    <v>42.945</v>
    <v>43.64</v>
    <v>43.9</v>
    <v>43.57</v>
    <v>43.405000000000001</v>
    <v>42.924999999999997</v>
    <v>40.93</v>
    <v>41.49</v>
    <v>40.81</v>
    <v>40.634999999999998</v>
    <v>40.71</v>
    <v>41.65</v>
    <v>41.42</v>
    <v>40.645000000000003</v>
    <v>40.715000000000003</v>
    <v>41.305</v>
    <v>41.615000000000002</v>
    <v>41.325000000000003</v>
    <v>40.47</v>
    <v>39.729999999999997</v>
    <v>40.130000000000003</v>
    <v>39.979999999999997</v>
    <v>40.69</v>
    <v>39.734999999999999</v>
    <v>39.35</v>
    <v>39.520000000000003</v>
    <v>39.31</v>
    <v>40.634999999999998</v>
    <v>40.085000000000001</v>
    <v>39.954999999999998</v>
    <v>42.17</v>
    <v>42.02</v>
    <v>42.4</v>
    <v>42.255000000000003</v>
    <v>43.02</v>
    <v>43.12</v>
    <v>43.465000000000003</v>
    <v>44.375</v>
    <v>43.854999999999997</v>
    <v>43.76</v>
    <v>44.384999999999998</v>
    <v>44.06</v>
    <v>44.39</v>
    <v>44.38</v>
    <v>43.825000000000003</v>
    <v>44.02</v>
    <v>44.295000000000002</v>
    <v>44.94</v>
    <v>45.814999999999998</v>
    <v>46.795000000000002</v>
    <v>46.75</v>
    <v>47.05</v>
    <v>47.21</v>
    <v>45.54</v>
    <v>46.79</v>
    <v>47.164999999999999</v>
    <v>45.88</v>
    <v>45.545000000000002</v>
    <v>44.984999999999999</v>
    <v>45.844999999999999</v>
    <v>45.945</v>
    <v>46.585000000000001</v>
    <v>47.395000000000003</v>
    <v>47.8</v>
    <v>47.84</v>
    <v>47.954999999999998</v>
    <v>47.98</v>
    <v>48.954999999999998</v>
    <v>49.484999999999999</v>
    <v>48.92</v>
    <v>48.25</v>
    <v>46.55</v>
    <v>46.46</v>
    <v>46.1</v>
    <v>45.945</v>
    <v>46.424999999999997</v>
    <v>47.86</v>
    <v>49.13</v>
    <v>48.575000000000003</v>
    <v>49.225000000000001</v>
    <v>50.16</v>
    <v>49.8</v>
    <v>50.73</v>
    <v>48.45</v>
    <v>48.54</v>
    <v>48.725000000000001</v>
    <v>48.16</v>
    <v>47.74</v>
    <v>48.825000000000003</v>
    <v>48.27</v>
    <v>47.31</v>
    <v>48.36</v>
    <v>48.51</v>
    <v>46.795000000000002</v>
    <v>46.73</v>
    <v>47.73</v>
    <v>47.87</v>
    <v>46.77</v>
    <v>46.89</v>
    <v>46.8</v>
    <v>46.244999999999997</v>
    <v>45.295000000000002</v>
    <v>45.795000000000002</v>
    <v>46.75</v>
    <v>46.645000000000003</v>
    <v>46.15</v>
    <v>45.865000000000002</v>
    <v>45.37</v>
    <v>44.93</v>
    <v>43.984999999999999</v>
    <v>44.76</v>
    <v>45.36</v>
    <v>45.454999999999998</v>
    <v>46.72</v>
    <v>46.774999999999999</v>
    <v>46.564999999999998</v>
    <v>46.55</v>
    <v>46.41</v>
    <v>46.67</v>
    <v>47.215000000000003</v>
    <v>47.445</v>
    <v>47.14</v>
    <v>48.005000000000003</v>
    <v>46.37</v>
    <v>46.484999999999999</v>
    <v>46.615000000000002</v>
    <v>47.15</v>
    <v>46.454999999999998</v>
    <v>47.104999999999997</v>
    <v>47.384999999999998</v>
    <v>47.56</v>
    <v>47.83</v>
    <v>47.375</v>
    <v>47.685000000000002</v>
    <v>47.484999999999999</v>
    <v>47.54</v>
    <v>48.24</v>
    <v>48.414999999999999</v>
    <v>48.564999999999998</v>
    <v>48.28</v>
    <v>47.515000000000001</v>
    <v>48.02</v>
    <v>47.024999999999999</v>
    <v>46.704999999999998</v>
    <v>47.195</v>
    <v>47.8</v>
    <v>47.695</v>
    <v>48.97</v>
    <v>49.19</v>
    <v>48.865000000000002</v>
    <v>48.37</v>
    <v>48.7</v>
    <v>48.13</v>
    <v>48.58</v>
    <v>48.28</v>
    <v>48.37</v>
    <v>49.125</v>
    <v>50.16</v>
    <v>49.89</v>
    <v>49.41</v>
    <v>48.59</v>
    <v>48.905000000000001</v>
    <v>48.734999999999999</v>
    <v>48.12</v>
    <v>47.78</v>
    <v>46.81</v>
    <v>46.37</v>
    <v>46.72</v>
    <v>46.39</v>
    <v>46.585000000000001</v>
    <v>45.36</v>
    <v>45.52</v>
  </a>
  <a r="1" c="205">
    <v>14.17</v>
    <v>16.309999999999999</v>
    <v>18.78</v>
    <v>19.57</v>
    <v>19.47</v>
    <v>19.670000000000002</v>
    <v>20.51</v>
    <v>19.72</v>
    <v>19.23</v>
    <v>19.829999999999998</v>
    <v>18.899999999999999</v>
    <v>20.190000000000001</v>
    <v>19</v>
    <v>19.75</v>
    <v>20.64</v>
    <v>19.77</v>
    <v>18.399999999999999</v>
    <v>19.2</v>
    <v>20.48</v>
    <v>18.920000000000002</v>
    <v>17.48</v>
    <v>16.48</v>
    <v>17.88</v>
    <v>16.2</v>
    <v>14.84</v>
    <v>17.53</v>
    <v>17.68</v>
    <v>16.739999999999998</v>
    <v>15.57</v>
    <v>13.99</v>
    <v>14.31</v>
    <v>14.27</v>
    <v>14.2</v>
    <v>14.64</v>
    <v>13.44</v>
    <v>12.6</v>
    <v>13.43</v>
    <v>13.18</v>
    <v>13.33</v>
    <v>12.85</v>
    <v>13.05</v>
    <v>12.53</v>
    <v>12.54</v>
    <v>12.18</v>
    <v>11.67</v>
    <v>12.16</v>
    <v>12.03</v>
    <v>12.38</v>
    <v>11.76</v>
    <v>11.8</v>
    <v>11.97</v>
    <v>12.44</v>
    <v>12.03</v>
    <v>11.99</v>
    <v>11.44</v>
    <v>11.7</v>
    <v>11.43</v>
    <v>11.69</v>
    <v>10.99</v>
    <v>10.3</v>
    <v>10.25</v>
    <v>10.84</v>
    <v>10.26</v>
    <v>10.15</v>
    <v>10.17</v>
    <v>9.16</v>
    <v>9.86</v>
    <v>9.3000000000000007</v>
    <v>9.2100000000000009</v>
    <v>9.58</v>
    <v>10.25</v>
    <v>11.71</v>
    <v>11.41</v>
    <v>12.65</v>
    <v>12.79</v>
    <v>11.67</v>
    <v>13.57</v>
    <v>12.72</v>
    <v>11.96</v>
    <v>12.65</v>
    <v>11.82</v>
    <v>11.32</v>
    <v>12.46</v>
    <v>12.14</v>
    <v>12.18</v>
    <v>11.87</v>
    <v>13.52</v>
    <v>12.58</v>
    <v>12.55</v>
    <v>13.29</v>
    <v>12</v>
    <v>11.96</v>
    <v>12.06</v>
    <v>11.23</v>
    <v>10.48</v>
    <v>10.06</v>
    <v>10.39</v>
    <v>11.33</v>
    <v>11.4</v>
    <v>12.22</v>
    <v>12.07</v>
    <v>12.19</v>
    <v>12.67</v>
    <v>12.89</v>
    <v>13.95</v>
    <v>12.27</v>
    <v>12</v>
    <v>10.5</v>
    <v>10.76</v>
    <v>10</v>
    <v>9.2899999999999991</v>
    <v>9.57</v>
    <v>9.89</v>
    <v>10.64</v>
    <v>9.89</v>
    <v>10.34</v>
    <v>11.74</v>
    <v>11.24</v>
    <v>10.86</v>
    <v>10.210000000000001</v>
    <v>10.07</v>
    <v>10.1</v>
    <v>10.26</v>
    <v>10.029999999999999</v>
    <v>10.15</v>
    <v>9.76</v>
    <v>9.61</v>
    <v>8.9600000000000009</v>
    <v>8.76</v>
    <v>9.0299999999999994</v>
    <v>9.0399999999999991</v>
    <v>8.35</v>
    <v>8.6</v>
    <v>8.36</v>
    <v>7.64</v>
    <v>7.72</v>
    <v>7.96</v>
    <v>8.7100000000000009</v>
    <v>8.68</v>
    <v>8.81</v>
    <v>8.09</v>
    <v>8.5399999999999991</v>
    <v>8.2200000000000006</v>
    <v>7.59</v>
    <v>8.6</v>
    <v>8.42</v>
    <v>9.01</v>
    <v>9.49</v>
    <v>9.3800000000000008</v>
    <v>9.4700000000000006</v>
    <v>9.82</v>
    <v>9.18</v>
    <v>9.89</v>
    <v>9.59</v>
    <v>9.85</v>
    <v>9.39</v>
    <v>9.19</v>
    <v>8.64</v>
    <v>9.2899999999999991</v>
    <v>9.07</v>
    <v>9.4</v>
    <v>9.0500000000000007</v>
    <v>9.81</v>
    <v>9.27</v>
    <v>9.74</v>
    <v>9.2899999999999991</v>
    <v>9.27</v>
    <v>9.2100000000000009</v>
    <v>9.56</v>
    <v>9.75</v>
    <v>9.6999999999999993</v>
    <v>11.18</v>
    <v>10.81</v>
    <v>10.210000000000001</v>
    <v>8.61</v>
    <v>8.51</v>
    <v>8.43</v>
    <v>8.3000000000000007</v>
    <v>9.0399999999999991</v>
    <v>8.27</v>
    <v>8.7899999999999991</v>
    <v>8.89</v>
    <v>8.68</v>
    <v>8.4700000000000006</v>
    <v>8.42</v>
    <v>7.91</v>
    <v>7.76</v>
    <v>7.9</v>
    <v>7.79</v>
    <v>7.75</v>
    <v>7.68</v>
    <v>8.02</v>
    <v>7.67</v>
    <v>7.32</v>
    <v>7.2</v>
    <v>6.7</v>
    <v>6.49</v>
    <v>5.83</v>
    <v>6.15</v>
    <v>5.83</v>
    <v>5.69</v>
    <v>5.58</v>
    <v>5.5</v>
    <v>5.38</v>
    <v>5.38</v>
  </a>
  <a r="1" c="252">
    <v>37.56</v>
    <v>37.729999999999997</v>
    <v>38.71</v>
    <v>42.12</v>
    <v>43.17</v>
    <v>42.25</v>
    <v>44.87</v>
    <v>40.83</v>
    <v>35.630000000000003</v>
    <v>37.909999999999997</v>
    <v>32.46</v>
    <v>30.34</v>
    <v>28.43</v>
    <v>26.74</v>
    <v>25.96</v>
    <v>23.15</v>
    <v>22.45</v>
    <v>21.06</v>
    <v>21.54</v>
    <v>21.13</v>
    <v>18.7</v>
    <v>18.600000000000001</v>
    <v>19.940000000000001</v>
    <v>18.73</v>
    <v>19.04</v>
    <v>20</v>
    <v>18.079999999999998</v>
    <v>18.91</v>
    <v>20.14</v>
    <v>22.85</v>
    <v>21.39</v>
    <v>21.56</v>
    <v>21.32</v>
    <v>20.32</v>
    <v>21.22</v>
    <v>18.34</v>
    <v>17.41</v>
    <v>17.12</v>
    <v>15.73</v>
    <v>15.79</v>
    <v>16.07</v>
    <v>16.43</v>
    <v>15.97</v>
    <v>16.079999999999998</v>
    <v>14.85</v>
    <v>14.48</v>
    <v>14.31</v>
    <v>14.17</v>
    <v>16.309999999999999</v>
    <v>18.78</v>
    <v>19.57</v>
    <v>19.47</v>
    <v>19.670000000000002</v>
    <v>20.51</v>
    <v>19.72</v>
    <v>19.23</v>
    <v>19.829999999999998</v>
    <v>18.899999999999999</v>
    <v>20.190000000000001</v>
    <v>19</v>
    <v>19.75</v>
    <v>20.64</v>
    <v>19.77</v>
    <v>18.399999999999999</v>
    <v>19.2</v>
    <v>20.48</v>
    <v>18.920000000000002</v>
    <v>17.48</v>
    <v>16.48</v>
    <v>17.88</v>
    <v>16.2</v>
    <v>14.84</v>
    <v>17.53</v>
    <v>17.68</v>
    <v>16.739999999999998</v>
    <v>15.57</v>
    <v>13.99</v>
    <v>14.31</v>
    <v>14.27</v>
    <v>14.2</v>
    <v>14.64</v>
    <v>13.44</v>
    <v>12.6</v>
    <v>13.43</v>
    <v>13.18</v>
    <v>13.33</v>
    <v>12.85</v>
    <v>13.05</v>
    <v>12.53</v>
    <v>12.54</v>
    <v>12.18</v>
    <v>11.67</v>
    <v>12.16</v>
    <v>12.03</v>
    <v>12.38</v>
    <v>11.76</v>
    <v>11.8</v>
    <v>11.97</v>
    <v>12.44</v>
    <v>12.03</v>
    <v>11.99</v>
    <v>11.44</v>
    <v>11.7</v>
    <v>11.43</v>
    <v>11.69</v>
    <v>10.99</v>
    <v>10.3</v>
    <v>10.25</v>
    <v>10.84</v>
    <v>10.26</v>
    <v>10.15</v>
    <v>10.17</v>
    <v>9.16</v>
    <v>9.86</v>
    <v>9.3000000000000007</v>
    <v>9.2100000000000009</v>
    <v>9.58</v>
    <v>10.25</v>
    <v>11.71</v>
    <v>11.41</v>
    <v>12.65</v>
    <v>12.79</v>
    <v>11.67</v>
    <v>13.57</v>
    <v>12.72</v>
    <v>11.96</v>
    <v>12.65</v>
    <v>11.82</v>
    <v>11.32</v>
    <v>12.46</v>
    <v>12.14</v>
    <v>12.18</v>
    <v>11.87</v>
    <v>13.52</v>
    <v>12.58</v>
    <v>12.55</v>
    <v>13.29</v>
    <v>12</v>
    <v>11.96</v>
    <v>12.06</v>
    <v>11.23</v>
    <v>10.48</v>
    <v>10.06</v>
    <v>10.39</v>
    <v>11.33</v>
    <v>11.4</v>
    <v>12.22</v>
    <v>12.07</v>
    <v>12.19</v>
    <v>12.67</v>
    <v>12.89</v>
    <v>13.95</v>
    <v>12.27</v>
    <v>12</v>
    <v>10.5</v>
    <v>10.76</v>
    <v>10</v>
    <v>9.2899999999999991</v>
    <v>9.57</v>
    <v>9.89</v>
    <v>10.64</v>
    <v>9.89</v>
    <v>10.34</v>
    <v>11.74</v>
    <v>11.24</v>
    <v>10.86</v>
    <v>10.210000000000001</v>
    <v>10.07</v>
    <v>10.1</v>
    <v>10.26</v>
    <v>10.029999999999999</v>
    <v>10.15</v>
    <v>9.76</v>
    <v>9.61</v>
    <v>8.9600000000000009</v>
    <v>8.76</v>
    <v>9.0299999999999994</v>
    <v>9.0399999999999991</v>
    <v>8.35</v>
    <v>8.6</v>
    <v>8.36</v>
    <v>7.64</v>
    <v>7.72</v>
    <v>7.96</v>
    <v>8.7100000000000009</v>
    <v>8.68</v>
    <v>8.81</v>
    <v>8.09</v>
    <v>8.5399999999999991</v>
    <v>8.2200000000000006</v>
    <v>7.59</v>
    <v>8.6</v>
    <v>8.42</v>
    <v>9.01</v>
    <v>9.49</v>
    <v>9.3800000000000008</v>
    <v>9.4700000000000006</v>
    <v>9.82</v>
    <v>9.18</v>
    <v>9.89</v>
    <v>9.59</v>
    <v>9.85</v>
    <v>9.39</v>
    <v>9.19</v>
    <v>8.64</v>
    <v>9.2899999999999991</v>
    <v>9.07</v>
    <v>9.4</v>
    <v>9.0500000000000007</v>
    <v>9.81</v>
    <v>9.27</v>
    <v>9.74</v>
    <v>9.2899999999999991</v>
    <v>9.27</v>
    <v>9.2100000000000009</v>
    <v>9.56</v>
    <v>9.75</v>
    <v>9.6999999999999993</v>
    <v>11.18</v>
    <v>10.81</v>
    <v>10.210000000000001</v>
    <v>8.61</v>
    <v>8.51</v>
    <v>8.43</v>
    <v>8.3000000000000007</v>
    <v>9.0399999999999991</v>
    <v>8.27</v>
    <v>8.7899999999999991</v>
    <v>8.89</v>
    <v>8.68</v>
    <v>8.4700000000000006</v>
    <v>8.42</v>
    <v>7.91</v>
    <v>7.76</v>
    <v>7.9</v>
    <v>7.79</v>
    <v>7.75</v>
    <v>7.68</v>
    <v>8.02</v>
    <v>7.67</v>
    <v>7.32</v>
    <v>7.2</v>
    <v>6.7</v>
    <v>6.49</v>
    <v>5.83</v>
    <v>6.15</v>
    <v>5.83</v>
    <v>5.69</v>
    <v>5.58</v>
    <v>5.5</v>
    <v>5.38</v>
    <v>5.38</v>
  </a>
  <a r="1" c="754">
    <v>3.45</v>
    <v>3.67</v>
    <v>3.5</v>
    <v>3.54</v>
    <v>3.2</v>
    <v>3.07</v>
    <v>3.38</v>
    <v>3.11</v>
    <v>3.48</v>
    <v>3.45</v>
    <v>3.26</v>
    <v>3.21</v>
    <v>3.1</v>
    <v>2.08</v>
    <v>2.09</v>
    <v>2.31</v>
    <v>2.4500000000000002</v>
    <v>2.68</v>
    <v>2.31</v>
    <v>2.5</v>
    <v>2.56</v>
    <v>2.48</v>
    <v>2.57</v>
    <v>2.83</v>
    <v>2.79</v>
    <v>2.67</v>
    <v>2.76</v>
    <v>2.77</v>
    <v>3.04</v>
    <v>3.15</v>
    <v>3.08</v>
    <v>3.11</v>
    <v>3.14</v>
    <v>3.23</v>
    <v>3.09</v>
    <v>2.84</v>
    <v>3.19</v>
    <v>3.48</v>
    <v>3.54</v>
    <v>3.4</v>
    <v>3.6</v>
    <v>3.29</v>
    <v>3.28</v>
    <v>3.28</v>
    <v>3.37</v>
    <v>3.4</v>
    <v>3.36</v>
    <v>3.29</v>
    <v>3.14</v>
    <v>2.88</v>
    <v>2.86</v>
    <v>2.62</v>
    <v>2.58</v>
    <v>2.4700000000000002</v>
    <v>2.5299999999999998</v>
    <v>2.34</v>
    <v>2.35</v>
    <v>2.17</v>
    <v>2.04</v>
    <v>1.92</v>
    <v>1.99</v>
    <v>2.1800000000000002</v>
    <v>2.34</v>
    <v>2.27</v>
    <v>2.52</v>
    <v>2.75</v>
    <v>2.98</v>
    <v>2.93</v>
    <v>2.89</v>
    <v>3.08</v>
    <v>3.15</v>
    <v>2.95</v>
    <v>2.85</v>
    <v>2.73</v>
    <v>2.72</v>
    <v>2.7</v>
    <v>2.86</v>
    <v>2.59</v>
    <v>2.8</v>
    <v>2.85</v>
    <v>2.69</v>
    <v>2.66</v>
    <v>2.62</v>
    <v>2.5299999999999998</v>
    <v>2.6</v>
    <v>2.73</v>
    <v>3.12</v>
    <v>3.2</v>
    <v>3.1</v>
    <v>3.45</v>
    <v>3.9</v>
    <v>4.4800000000000004</v>
    <v>4.22</v>
    <v>4.46</v>
    <v>5.49</v>
    <v>5.48</v>
    <v>6.27</v>
    <v>7.08</v>
    <v>7.24</v>
    <v>7.85</v>
    <v>10.1</v>
    <v>6.58</v>
    <v>4.88</v>
    <v>4.57</v>
    <v>4.25</v>
    <v>4.07</v>
    <v>4.16</v>
    <v>5.75</v>
    <v>5.31</v>
    <v>5.24</v>
    <v>5.72</v>
    <v>6.44</v>
    <v>6.16</v>
    <v>6.1</v>
    <v>5.94</v>
    <v>5.61</v>
    <v>5.42</v>
    <v>5.32</v>
    <v>5.27</v>
    <v>4.8499999999999996</v>
    <v>4.97</v>
    <v>4.93</v>
    <v>4.8899999999999997</v>
    <v>4.8499999999999996</v>
    <v>4.93</v>
    <v>5.48</v>
    <v>5.5</v>
    <v>5.89</v>
    <v>6.06</v>
    <v>6.08</v>
    <v>5.8</v>
    <v>5.73</v>
    <v>6.03</v>
    <v>6.16</v>
    <v>5.83</v>
    <v>5.66</v>
    <v>5.85</v>
    <v>5.86</v>
    <v>6.28</v>
    <v>6.38</v>
    <v>7.35</v>
    <v>7.01</v>
    <v>6.09</v>
    <v>6.31</v>
    <v>7.25</v>
    <v>7.4</v>
    <v>7.33</v>
    <v>6.67</v>
    <v>7.78</v>
    <v>9.48</v>
    <v>8.8699999999999992</v>
    <v>8.7100000000000009</v>
    <v>8.73</v>
    <v>7.63</v>
    <v>6.98</v>
    <v>7.79</v>
    <v>7.67</v>
    <v>8.08</v>
    <v>8.68</v>
    <v>8.9600000000000009</v>
    <v>8.4499999999999993</v>
    <v>8.42</v>
    <v>8.19</v>
    <v>8.5</v>
    <v>9.5399999999999991</v>
    <v>9.51</v>
    <v>10.02</v>
    <v>10.02</v>
    <v>10.97</v>
    <v>11.52</v>
    <v>11.98</v>
    <v>11.69</v>
    <v>10.93</v>
    <v>10.93</v>
    <v>11.59</v>
    <v>12.22</v>
    <v>13.69</v>
    <v>12.77</v>
    <v>13.53</v>
    <v>13.06</v>
    <v>15.34</v>
    <v>15.81</v>
    <v>15.56</v>
    <v>13.93</v>
    <v>12.86</v>
    <v>11.3</v>
    <v>11.06</v>
    <v>11.51</v>
    <v>10.8</v>
    <v>10.42</v>
    <v>10.85</v>
    <v>9.5</v>
    <v>9.5399999999999991</v>
    <v>10.220000000000001</v>
    <v>9.11</v>
    <v>8.59</v>
    <v>8.76</v>
    <v>8.1300000000000008</v>
    <v>8.68</v>
    <v>8.59</v>
    <v>9.27</v>
    <v>9.23</v>
    <v>9.98</v>
    <v>9.43</v>
    <v>9.3800000000000008</v>
    <v>9.08</v>
    <v>9.42</v>
    <v>8.92</v>
    <v>8.7899999999999991</v>
    <v>8.0299999999999994</v>
    <v>8.67</v>
    <v>8.1999999999999993</v>
    <v>8.69</v>
    <v>8.0399999999999991</v>
    <v>8.14</v>
    <v>8.23</v>
    <v>7.59</v>
    <v>8.0500000000000007</v>
    <v>7.43</v>
    <v>6.98</v>
    <v>7.57</v>
    <v>8.25</v>
    <v>8.74</v>
    <v>8.6300000000000008</v>
    <v>9.68</v>
    <v>9.68</v>
    <v>9.09</v>
    <v>9.17</v>
    <v>9.61</v>
    <v>10.7</v>
    <v>10.89</v>
    <v>11.95</v>
    <v>12.03</v>
    <v>11.89</v>
    <v>12.55</v>
    <v>11.58</v>
    <v>11.88</v>
    <v>12.39</v>
    <v>12.01</v>
    <v>13.15</v>
    <v>12.86</v>
    <v>12.9</v>
    <v>11.83</v>
    <v>12</v>
    <v>13.14</v>
    <v>13.94</v>
    <v>13.62</v>
    <v>19.07</v>
    <v>18.02</v>
    <v>18.21</v>
    <v>18.96</v>
    <v>17.809999999999999</v>
    <v>17.32</v>
    <v>18.39</v>
    <v>18.41</v>
    <v>22</v>
    <v>21.61</v>
    <v>20.8</v>
    <v>19.14</v>
    <v>19.010000000000002</v>
    <v>18.47</v>
    <v>18.82</v>
    <v>21.41</v>
    <v>21.67</v>
    <v>24.49</v>
    <v>23.49</v>
    <v>23.24</v>
    <v>24.98</v>
    <v>24.66</v>
    <v>23.01</v>
    <v>27.27</v>
    <v>27.02</v>
    <v>25.74</v>
    <v>27.67</v>
    <v>30.21</v>
    <v>28.06</v>
    <v>26.34</v>
    <v>28.06</v>
    <v>29.65</v>
    <v>27.22</v>
    <v>24.87</v>
    <v>24.85</v>
    <v>24.35</v>
    <v>25.7</v>
    <v>23.94</v>
    <v>22.14</v>
    <v>22.4</v>
    <v>21.66</v>
    <v>21.13</v>
    <v>21.72</v>
    <v>21.71</v>
    <v>19.11</v>
    <v>19.010000000000002</v>
    <v>19.77</v>
    <v>19.73</v>
    <v>21.01</v>
    <v>21.82</v>
    <v>19.510000000000002</v>
    <v>18.21</v>
    <v>17.93</v>
    <v>17.71</v>
    <v>20.85</v>
    <v>23.66</v>
    <v>21.72</v>
    <v>19.68</v>
    <v>20.13</v>
    <v>18.8</v>
    <v>19.23</v>
    <v>20.82</v>
    <v>20.28</v>
    <v>21.97</v>
    <v>25.61</v>
    <v>25.57</v>
    <v>29.08</v>
    <v>27.97</v>
    <v>20.27</v>
    <v>20.95</v>
    <v>22</v>
    <v>23.58</v>
    <v>23.84</v>
    <v>23.85</v>
    <v>22.98</v>
    <v>24.55</v>
    <v>23.25</v>
    <v>25.84</v>
    <v>27.46</v>
    <v>25.86</v>
    <v>26.4</v>
    <v>24.71</v>
    <v>23.08</v>
    <v>22.04</v>
    <v>21.13</v>
    <v>20.78</v>
    <v>19.04</v>
    <v>18.46</v>
    <v>17.61</v>
    <v>17.95</v>
    <v>16.71</v>
    <v>17.190000000000001</v>
    <v>15.45</v>
    <v>17.23</v>
    <v>17.32</v>
    <v>15.95</v>
    <v>15.63</v>
    <v>14.67</v>
    <v>16.21</v>
    <v>15.98</v>
    <v>15.21</v>
    <v>17.510000000000002</v>
    <v>17.600000000000001</v>
    <v>16.579999999999998</v>
    <v>18.53</v>
    <v>18.2</v>
    <v>18.13</v>
    <v>18.88</v>
    <v>18.71</v>
    <v>17.12</v>
    <v>16.100000000000001</v>
    <v>14.97</v>
    <v>14.16</v>
    <v>14.64</v>
    <v>15.11</v>
    <v>14.14</v>
    <v>12.6</v>
    <v>14.1</v>
    <v>13.91</v>
    <v>16.059999999999999</v>
    <v>14.85</v>
    <v>15.15</v>
    <v>15.25</v>
    <v>15.38</v>
    <v>14.5</v>
    <v>14.61</v>
    <v>13.64</v>
    <v>15.09</v>
    <v>15.44</v>
    <v>16.559999999999999</v>
    <v>16.66</v>
    <v>16.96</v>
    <v>16.89</v>
    <v>16.57</v>
    <v>17.11</v>
    <v>17.46</v>
    <v>17.11</v>
    <v>17.670000000000002</v>
    <v>16.61</v>
    <v>16.93</v>
    <v>17.45</v>
    <v>17.79</v>
    <v>21.64</v>
    <v>22.94</v>
    <v>24</v>
    <v>24.17</v>
    <v>24.52</v>
    <v>23.48</v>
    <v>23.87</v>
    <v>25.32</v>
    <v>30.24</v>
    <v>35.520000000000003</v>
    <v>35.369999999999997</v>
    <v>32.979999999999997</v>
    <v>31.99</v>
    <v>32.03</v>
    <v>31.79</v>
    <v>31.19</v>
    <v>31.05</v>
    <v>34.36</v>
    <v>35.24</v>
    <v>34.549999999999997</v>
    <v>41.6</v>
    <v>40.380000000000003</v>
    <v>38.82</v>
    <v>42.49</v>
    <v>39.24</v>
    <v>39.159999999999997</v>
    <v>37.200000000000003</v>
    <v>36.5</v>
    <v>43.24</v>
    <v>38.659999999999997</v>
    <v>38.24</v>
    <v>38.200000000000003</v>
    <v>39.56</v>
    <v>36.119999999999997</v>
    <v>35.21</v>
    <v>35.880000000000003</v>
    <v>36.700000000000003</v>
    <v>35.08</v>
    <v>35.46</v>
    <v>36.020000000000003</v>
    <v>37.479999999999997</v>
    <v>42.12</v>
    <v>42.98</v>
    <v>46.09</v>
    <v>46.83</v>
    <v>50.25</v>
    <v>45.44</v>
    <v>44.44</v>
    <v>47.85</v>
    <v>51.03</v>
    <v>51.67</v>
    <v>50.99</v>
    <v>48.97</v>
    <v>50.51</v>
    <v>50.21</v>
    <v>44.43</v>
    <v>43.38</v>
    <v>45.13</v>
    <v>45.93</v>
    <v>44.68</v>
    <v>39.35</v>
    <v>38.25</v>
    <v>38.17</v>
    <v>37.299999999999997</v>
    <v>35.93</v>
    <v>35.47</v>
    <v>34.979999999999997</v>
    <v>32.65</v>
    <v>33.79</v>
    <v>33.49</v>
    <v>35.04</v>
    <v>35.9</v>
    <v>36.020000000000003</v>
    <v>35.159999999999997</v>
    <v>36.479999999999997</v>
    <v>34.65</v>
    <v>37.24</v>
    <v>40.42</v>
    <v>36.03</v>
    <v>34.53</v>
    <v>33.950000000000003</v>
    <v>35.340000000000003</v>
    <v>34.31</v>
    <v>35.18</v>
    <v>36.340000000000003</v>
    <v>39.090000000000003</v>
    <v>37.26</v>
    <v>36.130000000000003</v>
    <v>38.119999999999997</v>
    <v>46.77</v>
    <v>45</v>
    <v>41.64</v>
    <v>39.67</v>
    <v>37.700000000000003</v>
    <v>38</v>
    <v>38.159999999999997</v>
    <v>36</v>
    <v>36.61</v>
    <v>39.51</v>
    <v>40.119999999999997</v>
    <v>41.94</v>
    <v>39.21</v>
    <v>38.200000000000003</v>
    <v>40.61</v>
    <v>39.24</v>
    <v>45.02</v>
    <v>45.79</v>
    <v>53.43</v>
    <v>47.64</v>
    <v>44.25</v>
    <v>44.21</v>
    <v>38.369999999999997</v>
    <v>34.72</v>
    <v>37.56</v>
    <v>37.729999999999997</v>
    <v>38.71</v>
    <v>42.12</v>
    <v>43.17</v>
    <v>42.25</v>
    <v>44.87</v>
    <v>40.83</v>
    <v>35.630000000000003</v>
    <v>37.909999999999997</v>
    <v>32.46</v>
    <v>30.34</v>
    <v>28.43</v>
    <v>26.74</v>
    <v>25.96</v>
    <v>23.15</v>
    <v>22.45</v>
    <v>21.06</v>
    <v>21.54</v>
    <v>21.13</v>
    <v>18.7</v>
    <v>18.600000000000001</v>
    <v>19.940000000000001</v>
    <v>18.73</v>
    <v>19.04</v>
    <v>20</v>
    <v>18.079999999999998</v>
    <v>18.91</v>
    <v>20.14</v>
    <v>22.85</v>
    <v>21.39</v>
    <v>21.56</v>
    <v>21.32</v>
    <v>20.32</v>
    <v>21.22</v>
    <v>18.34</v>
    <v>17.41</v>
    <v>17.12</v>
    <v>15.73</v>
    <v>15.79</v>
    <v>16.07</v>
    <v>16.43</v>
    <v>15.97</v>
    <v>16.079999999999998</v>
    <v>14.85</v>
    <v>14.48</v>
    <v>14.31</v>
    <v>14.17</v>
    <v>16.309999999999999</v>
    <v>18.78</v>
    <v>19.57</v>
    <v>19.47</v>
    <v>19.670000000000002</v>
    <v>20.51</v>
    <v>19.72</v>
    <v>19.23</v>
    <v>19.829999999999998</v>
    <v>18.899999999999999</v>
    <v>20.190000000000001</v>
    <v>19</v>
    <v>19.75</v>
    <v>20.64</v>
    <v>19.77</v>
    <v>18.399999999999999</v>
    <v>19.2</v>
    <v>20.48</v>
    <v>18.920000000000002</v>
    <v>17.48</v>
    <v>16.48</v>
    <v>17.88</v>
    <v>16.2</v>
    <v>14.84</v>
    <v>17.53</v>
    <v>17.68</v>
    <v>16.739999999999998</v>
    <v>15.57</v>
    <v>13.99</v>
    <v>14.31</v>
    <v>14.27</v>
    <v>14.2</v>
    <v>14.64</v>
    <v>13.44</v>
    <v>12.6</v>
    <v>13.43</v>
    <v>13.18</v>
    <v>13.33</v>
    <v>12.85</v>
    <v>13.05</v>
    <v>12.53</v>
    <v>12.54</v>
    <v>12.18</v>
    <v>11.67</v>
    <v>12.16</v>
    <v>12.03</v>
    <v>12.38</v>
    <v>11.76</v>
    <v>11.8</v>
    <v>11.97</v>
    <v>12.44</v>
    <v>12.03</v>
    <v>11.99</v>
    <v>11.44</v>
    <v>11.7</v>
    <v>11.43</v>
    <v>11.69</v>
    <v>10.99</v>
    <v>10.3</v>
    <v>10.25</v>
    <v>10.84</v>
    <v>10.26</v>
    <v>10.15</v>
    <v>10.17</v>
    <v>9.16</v>
    <v>9.86</v>
    <v>9.3000000000000007</v>
    <v>9.2100000000000009</v>
    <v>9.58</v>
    <v>10.25</v>
    <v>11.71</v>
    <v>11.41</v>
    <v>12.65</v>
    <v>12.79</v>
    <v>11.67</v>
    <v>13.57</v>
    <v>12.72</v>
    <v>11.96</v>
    <v>12.65</v>
    <v>11.82</v>
    <v>11.32</v>
    <v>12.46</v>
    <v>12.14</v>
    <v>12.18</v>
    <v>11.87</v>
    <v>13.52</v>
    <v>12.58</v>
    <v>12.55</v>
    <v>13.29</v>
    <v>12</v>
    <v>11.96</v>
    <v>12.06</v>
    <v>11.23</v>
    <v>10.48</v>
    <v>10.06</v>
    <v>10.39</v>
    <v>11.33</v>
    <v>11.4</v>
    <v>12.22</v>
    <v>12.07</v>
    <v>12.19</v>
    <v>12.67</v>
    <v>12.89</v>
    <v>13.95</v>
    <v>12.27</v>
    <v>12</v>
    <v>10.5</v>
    <v>10.76</v>
    <v>10</v>
    <v>9.2899999999999991</v>
    <v>9.57</v>
    <v>9.89</v>
    <v>10.64</v>
    <v>9.89</v>
    <v>10.34</v>
    <v>11.74</v>
    <v>11.24</v>
    <v>10.86</v>
    <v>10.210000000000001</v>
    <v>10.07</v>
    <v>10.1</v>
    <v>10.26</v>
    <v>10.029999999999999</v>
    <v>10.15</v>
    <v>9.76</v>
    <v>9.61</v>
    <v>8.9600000000000009</v>
    <v>8.76</v>
    <v>9.0299999999999994</v>
    <v>9.0399999999999991</v>
    <v>8.35</v>
    <v>8.6</v>
    <v>8.36</v>
    <v>7.64</v>
    <v>7.72</v>
    <v>7.96</v>
    <v>8.7100000000000009</v>
    <v>8.68</v>
    <v>8.81</v>
    <v>8.09</v>
    <v>8.5399999999999991</v>
    <v>8.2200000000000006</v>
    <v>7.59</v>
    <v>8.6</v>
    <v>8.42</v>
    <v>9.01</v>
    <v>9.49</v>
    <v>9.3800000000000008</v>
    <v>9.4700000000000006</v>
    <v>9.82</v>
    <v>9.18</v>
    <v>9.89</v>
    <v>9.59</v>
    <v>9.85</v>
    <v>9.39</v>
    <v>9.19</v>
    <v>8.64</v>
    <v>9.2899999999999991</v>
    <v>9.07</v>
    <v>9.4</v>
    <v>9.0500000000000007</v>
    <v>9.81</v>
    <v>9.27</v>
    <v>9.74</v>
    <v>9.2899999999999991</v>
    <v>9.27</v>
    <v>9.2100000000000009</v>
    <v>9.56</v>
    <v>9.75</v>
    <v>9.6999999999999993</v>
    <v>11.18</v>
    <v>10.81</v>
    <v>10.210000000000001</v>
    <v>8.61</v>
    <v>8.51</v>
    <v>8.43</v>
    <v>8.3000000000000007</v>
    <v>9.0399999999999991</v>
    <v>8.27</v>
    <v>8.7899999999999991</v>
    <v>8.89</v>
    <v>8.68</v>
    <v>8.4700000000000006</v>
    <v>8.42</v>
    <v>7.91</v>
    <v>7.76</v>
    <v>7.9</v>
    <v>7.79</v>
    <v>7.75</v>
    <v>7.68</v>
    <v>8.02</v>
    <v>7.67</v>
    <v>7.32</v>
    <v>7.2</v>
    <v>6.7</v>
    <v>6.49</v>
    <v>5.83</v>
    <v>6.15</v>
    <v>5.83</v>
    <v>5.69</v>
    <v>5.58</v>
    <v>5.5</v>
    <v>5.38</v>
    <v>5.38</v>
  </a>
  <a r="1" c="205">
    <v>660.09</v>
    <v>650.41</v>
    <v>658.79</v>
    <v>660.62</v>
    <v>648.69000000000005</v>
    <v>646.05999999999995</v>
    <v>653.05999999999995</v>
    <v>641.97</v>
    <v>631.09</v>
    <v>615.52</v>
    <v>620.79999999999995</v>
    <v>620.25</v>
    <v>604.12</v>
    <v>612.96</v>
    <v>647.63</v>
    <v>658.76</v>
    <v>672.36</v>
    <v>672.97</v>
    <v>668.73</v>
    <v>738.31</v>
    <v>716.5</v>
    <v>706.41</v>
    <v>691.7</v>
    <v>668.99</v>
    <v>670.21</v>
    <v>661.46</v>
    <v>677.22</v>
    <v>670.72</v>
    <v>668.69</v>
    <v>649.80999999999995</v>
    <v>639.77</v>
    <v>639.29</v>
    <v>643.22</v>
    <v>644.78</v>
    <v>655.66</v>
    <v>637.25</v>
    <v>639.29999999999995</v>
    <v>653.69000000000005</v>
    <v>657.01</v>
    <v>648.17999999999995</v>
    <v>653.55999999999995</v>
    <v>655.08000000000004</v>
    <v>667.73</v>
    <v>660.57</v>
    <v>644.86</v>
    <v>647.39</v>
    <v>654.07000000000005</v>
    <v>654.86</v>
    <v>638.17999999999995</v>
    <v>613.71</v>
    <v>627.45000000000005</v>
    <v>622.66</v>
    <v>615.67999999999995</v>
    <v>606.70000000000005</v>
    <v>593.66</v>
    <v>604.05999999999995</v>
    <v>592.91999999999996</v>
    <v>594.89</v>
    <v>547.54</v>
    <v>525.72</v>
    <v>536.38</v>
    <v>572.13</v>
    <v>579.23</v>
    <v>574.46</v>
    <v>573.02</v>
    <v>575.04999999999995</v>
    <v>612.41999999999996</v>
    <v>628.39</v>
    <v>629.86</v>
    <v>634.53</v>
    <v>662.49</v>
    <v>671.58</v>
    <v>676.87</v>
    <v>688.55</v>
    <v>670.91</v>
    <v>668.84</v>
    <v>674.72</v>
    <v>659.15</v>
    <v>675.03</v>
    <v>678.62</v>
    <v>671.34</v>
    <v>669.12</v>
    <v>611.91</v>
    <v>608.745</v>
    <v>610.41</v>
    <v>604.96</v>
    <v>612.88</v>
    <v>616.80999999999995</v>
    <v>609.63</v>
    <v>598.86</v>
    <v>603</v>
    <v>616.63</v>
    <v>618.42999999999995</v>
    <v>614.23</v>
    <v>611.21</v>
    <v>602.61</v>
    <v>605.05999999999995</v>
    <v>607.38</v>
    <v>610.26</v>
    <v>612.34</v>
    <v>635.255</v>
    <v>635.29</v>
    <v>632.51</v>
    <v>600.47</v>
    <v>597.63</v>
    <v>622.98</v>
    <v>627.57000000000005</v>
    <v>593</v>
    <v>585.39</v>
    <v>584.59</v>
    <v>570.98</v>
    <v>568.42999999999995</v>
    <v>566.98</v>
    <v>593.48</v>
    <v>600.21</v>
    <v>567.58000000000004</v>
    <v>577.22</v>
    <v>563.85</v>
    <v>562.20000000000005</v>
    <v>557.66999999999996</v>
    <v>542.87</v>
    <v>550.25</v>
    <v>562.6</v>
    <v>563.29</v>
    <v>612.91</v>
    <v>582.9</v>
    <v>600.29</v>
    <v>615.58000000000004</v>
    <v>603.12</v>
    <v>631.48</v>
    <v>669.21</v>
    <v>656.73</v>
    <v>661.04</v>
    <v>681.31</v>
    <v>664.54</v>
    <v>646.01</v>
    <v>645.85</v>
    <v>643.80999999999995</v>
    <v>627.16999999999996</v>
    <v>606.1</v>
    <v>595.19000000000005</v>
    <v>593.87</v>
    <v>593.41</v>
    <v>585.61</v>
    <v>539.03</v>
    <v>556.71</v>
    <v>590.24</v>
    <v>587.94000000000005</v>
    <v>588.77</v>
    <v>589.9</v>
    <v>592.1</v>
    <v>594.91999999999996</v>
    <v>599.12</v>
    <v>578.85</v>
    <v>594.97</v>
    <v>589.85</v>
    <v>568.97</v>
    <v>543.66999999999996</v>
    <v>546.03</v>
    <v>545.83000000000004</v>
    <v>549.9</v>
    <v>559.02</v>
    <v>570.04999999999995</v>
    <v>576.14</v>
    <v>571.1</v>
    <v>578.02</v>
    <v>572.34</v>
    <v>578.54</v>
    <v>592.85</v>
    <v>610.67999999999995</v>
    <v>616.77</v>
    <v>613.48</v>
    <v>653.69000000000005</v>
    <v>644.38</v>
    <v>648.03</v>
    <v>665.6</v>
    <v>670.24</v>
    <v>673.31</v>
    <v>682.31</v>
    <v>665.75</v>
    <v>741.245</v>
    <v>736.59500000000003</v>
    <v>744.1</v>
    <v>777.59</v>
    <v>751.66</v>
    <v>715.62</v>
    <v>738.79</v>
    <v>725.18</v>
    <v>725.93</v>
    <v>728.08</v>
    <v>741.9</v>
    <v>738.88</v>
    <v>721.31</v>
    <v>720.89</v>
    <v>718.67</v>
    <v>742.96</v>
    <v>762.5</v>
    <v>737.54</v>
    <v>736.72</v>
    <v>709.32500000000005</v>
    <v>705.44</v>
    <v>694.25</v>
    <v>697.52</v>
    <v>648.85</v>
    <v>642.62</v>
  </a>
  <a r="1" c="754">
    <v>314.01</v>
    <v>312.55</v>
    <v>299.52999999999997</v>
    <v>288.35000000000002</v>
    <v>296.73</v>
    <v>302.66000000000003</v>
    <v>301.27</v>
    <v>311.85000000000002</v>
    <v>310.87</v>
    <v>314.60000000000002</v>
    <v>315.8</v>
    <v>318.82</v>
    <v>319.77999999999997</v>
    <v>320.55</v>
    <v>328.77</v>
    <v>329.19</v>
    <v>336.31</v>
    <v>332.71</v>
    <v>334.19</v>
    <v>335.04</v>
    <v>339.97</v>
    <v>336.98</v>
    <v>341.49</v>
    <v>338.23</v>
    <v>334.7</v>
    <v>338.99</v>
    <v>332.2</v>
    <v>327.14999999999998</v>
    <v>324.82</v>
    <v>320.02</v>
    <v>318.29000000000002</v>
    <v>317.45</v>
    <v>326.58999999999997</v>
    <v>332.75</v>
    <v>325.27999999999997</v>
    <v>334.22</v>
    <v>334.74</v>
    <v>333.17</v>
    <v>334.92</v>
    <v>344.62</v>
    <v>350.36</v>
    <v>349.28</v>
    <v>354.09</v>
    <v>353.39</v>
    <v>354.83</v>
    <v>357.83</v>
    <v>358.32</v>
    <v>353.96</v>
    <v>346.29</v>
    <v>344.47</v>
    <v>347.12</v>
    <v>351.95</v>
    <v>358.66</v>
    <v>357.43</v>
    <v>370.47</v>
    <v>369.67</v>
    <v>374.49</v>
    <v>367.46</v>
    <v>368.37</v>
    <v>376.13</v>
    <v>383.45</v>
    <v>381.78</v>
    <v>385.2</v>
    <v>390.7</v>
    <v>393.18</v>
    <v>394.14</v>
    <v>401.02</v>
    <v>400.06</v>
    <v>390.14</v>
    <v>394.78</v>
    <v>474.99</v>
    <v>459.41</v>
    <v>454.72</v>
    <v>469.59</v>
    <v>470</v>
    <v>468.11</v>
    <v>468.9</v>
    <v>460.12</v>
    <v>473.28</v>
    <v>484.03</v>
    <v>473.32</v>
    <v>471.75</v>
    <v>468.03</v>
    <v>486.13</v>
    <v>484.03</v>
    <v>481.74</v>
    <v>487.05</v>
    <v>484.02</v>
    <v>490.13</v>
    <v>502.3</v>
    <v>498.19</v>
    <v>490.22</v>
    <v>496.09</v>
    <v>512.19000000000005</v>
    <v>505.95</v>
    <v>483.59</v>
    <v>499.75</v>
    <v>495.57</v>
    <v>491.83</v>
    <v>484.1</v>
    <v>496.98</v>
    <v>496.24</v>
    <v>505.52</v>
    <v>507.76</v>
    <v>509.58</v>
    <v>503.02</v>
    <v>495.89</v>
    <v>493.86</v>
    <v>485.58</v>
    <v>491.35</v>
    <v>497.37</v>
    <v>506.74</v>
    <v>510.92</v>
    <v>527.34</v>
    <v>519.25</v>
    <v>516.9</v>
    <v>519.83000000000004</v>
    <v>523.16</v>
    <v>511.9</v>
    <v>500.23</v>
    <v>499.76</v>
    <v>494.17</v>
    <v>501.8</v>
    <v>481.07</v>
    <v>481.73</v>
    <v>496.1</v>
    <v>493.5</v>
    <v>441.38</v>
    <v>443.29</v>
    <v>432.62</v>
    <v>430.17</v>
    <v>439.19</v>
    <v>441.68</v>
    <v>451.96</v>
    <v>465.68</v>
    <v>468.24</v>
    <v>472.6</v>
    <v>475.42</v>
    <v>476.2</v>
    <v>468.01</v>
    <v>471.85</v>
    <v>481.54</v>
    <v>473.23</v>
    <v>471.91</v>
    <v>468.84</v>
    <v>464.63</v>
    <v>467.78</v>
    <v>465.78</v>
    <v>478.22</v>
    <v>479.92</v>
    <v>474.36</v>
    <v>467.05</v>
    <v>466.83</v>
    <v>477.49</v>
    <v>476.99</v>
    <v>495.06</v>
    <v>493.76</v>
    <v>492.96</v>
    <v>502.6</v>
    <v>507.47</v>
    <v>508.84</v>
    <v>504.1</v>
    <v>504.16</v>
    <v>506.63</v>
    <v>499.49</v>
    <v>501.7</v>
    <v>494.78</v>
    <v>498.91</v>
    <v>510.6</v>
    <v>513.12</v>
    <v>519.55999999999995</v>
    <v>504.22</v>
    <v>504.68</v>
    <v>509.5</v>
    <v>509.96</v>
    <v>539.91</v>
    <v>529.32000000000005</v>
    <v>530</v>
    <v>534.69000000000005</v>
    <v>512.70000000000005</v>
    <v>498.87</v>
    <v>496.16</v>
    <v>489.79</v>
    <v>461.99</v>
    <v>475.85</v>
    <v>476.79</v>
    <v>487.4</v>
    <v>488.69</v>
    <v>461.27</v>
    <v>453.41</v>
    <v>465.7</v>
    <v>465.71</v>
    <v>463.19</v>
    <v>474.83</v>
    <v>497.74</v>
    <v>488.14</v>
    <v>475.73</v>
    <v>494.09</v>
    <v>488.92</v>
    <v>509.63</v>
    <v>517.77</v>
    <v>515.95000000000005</v>
    <v>528.54</v>
    <v>526.76</v>
    <v>537.33000000000004</v>
    <v>527.41999999999996</v>
    <v>529.28</v>
    <v>526.73</v>
    <v>535.16</v>
    <v>531.92999999999995</v>
    <v>528</v>
    <v>521.12</v>
    <v>519.1</v>
    <v>516.78</v>
    <v>518.22</v>
    <v>521.30999999999995</v>
    <v>511.76</v>
    <v>512.74</v>
    <v>516.86</v>
    <v>500.27</v>
    <v>504.79</v>
    <v>504.79</v>
    <v>511.83</v>
    <v>525.6</v>
    <v>524.62</v>
    <v>533.28</v>
    <v>536.31500000000005</v>
    <v>537.95000000000005</v>
    <v>559.1</v>
    <v>561.35</v>
    <v>564.41</v>
    <v>563.33000000000004</v>
    <v>568.30999999999995</v>
    <v>567.84</v>
    <v>567.36</v>
    <v>572.44000000000005</v>
    <v>576.47</v>
    <v>572.80999999999995</v>
    <v>582.77</v>
    <v>595.94000000000005</v>
    <v>584.78</v>
    <v>592.89</v>
    <v>590.51</v>
    <v>583.83000000000004</v>
    <v>589.95000000000005</v>
    <v>590.41999999999996</v>
    <v>586.27</v>
    <v>576.79</v>
    <v>576.92999999999995</v>
    <v>576.47</v>
    <v>575.16</v>
    <v>582.01</v>
    <v>563.69000000000005</v>
    <v>567.78</v>
    <v>573.25</v>
    <v>578.16</v>
    <v>593.28</v>
    <v>591.79999999999995</v>
    <v>567.58000000000004</v>
    <v>567.16</v>
    <v>560.67999999999995</v>
    <v>572.42999999999995</v>
    <v>572.04999999999995</v>
    <v>591.70000000000005</v>
    <v>589.34</v>
    <v>583.16999999999996</v>
    <v>584.82000000000005</v>
    <v>580</v>
    <v>577.16</v>
    <v>554.08000000000004</v>
    <v>554.4</v>
    <v>561.09</v>
    <v>565.52</v>
    <v>563.09</v>
    <v>559.14</v>
    <v>565.11</v>
    <v>573.54</v>
    <v>569.20000000000005</v>
    <v>574.32000000000005</v>
    <v>592.83000000000004</v>
    <v>613.65</v>
    <v>613.78</v>
    <v>608.92999999999995</v>
    <v>623.77</v>
    <v>613.57000000000005</v>
    <v>619.32000000000005</v>
    <v>632.67999999999995</v>
    <v>630.79</v>
    <v>620.35</v>
    <v>624.24</v>
    <v>619.44000000000005</v>
    <v>597.19000000000005</v>
    <v>595.57000000000005</v>
    <v>585.25</v>
    <v>599.85</v>
    <v>607.75</v>
    <v>603.35</v>
    <v>599.80999999999995</v>
    <v>591.24</v>
    <v>585.51</v>
    <v>599.24</v>
    <v>604.63</v>
    <v>630.20000000000005</v>
    <v>617.89</v>
    <v>610.72</v>
    <v>615.86</v>
    <v>608.33000000000004</v>
    <v>594.25</v>
    <v>617.12</v>
    <v>611.29999999999995</v>
    <v>612.77</v>
    <v>616.46</v>
    <v>623.5</v>
    <v>636.45000000000005</v>
    <v>647.49</v>
    <v>659.88</v>
    <v>674.33</v>
    <v>676.49</v>
    <v>687</v>
    <v>689.18</v>
    <v>697.46</v>
    <v>704.19</v>
    <v>704.87</v>
    <v>711.99</v>
    <v>714.52</v>
    <v>717.4</v>
    <v>719.8</v>
    <v>725.38</v>
    <v>728.56</v>
    <v>736.67</v>
    <v>716.37</v>
    <v>703.77</v>
    <v>694.84</v>
    <v>683.55</v>
    <v>668.13</v>
    <v>657.5</v>
    <v>673.7</v>
    <v>658.24</v>
    <v>668.2</v>
    <v>655.04999999999995</v>
    <v>640</v>
    <v>656.47</v>
    <v>627.92999999999995</v>
    <v>625.66</v>
    <v>597.99</v>
    <v>605.71</v>
    <v>619.55999999999995</v>
    <v>590.64</v>
    <v>607.6</v>
    <v>604.9</v>
    <v>582.36</v>
    <v>584.05999999999995</v>
    <v>586</v>
    <v>596.25</v>
    <v>618.85</v>
    <v>626.30999999999995</v>
    <v>610.98</v>
    <v>602.58000000000004</v>
    <v>576.74</v>
    <v>576.36</v>
    <v>586</v>
    <v>583.92999999999995</v>
    <v>531.62</v>
    <v>504.73</v>
    <v>516.25</v>
    <v>510.45</v>
    <v>585.77</v>
    <v>546.29</v>
    <v>543.57000000000005</v>
    <v>531.48</v>
    <v>521.52</v>
    <v>502.31</v>
    <v>501.48</v>
    <v>484.66</v>
    <v>500.28</v>
    <v>520.27</v>
    <v>533.15</v>
    <v>547.27</v>
    <v>549.74</v>
    <v>554.44000000000005</v>
    <v>549</v>
    <v>572.21</v>
    <v>597.02</v>
    <v>599.27</v>
    <v>587.30999999999995</v>
    <v>596.80999999999995</v>
    <v>598.01</v>
    <v>592.49</v>
    <v>639.42999999999995</v>
    <v>656.03</v>
    <v>659.36</v>
    <v>643.88</v>
    <v>640.34</v>
    <v>640.42999999999995</v>
    <v>637.1</v>
    <v>635.5</v>
    <v>636.57000000000005</v>
    <v>627.05999999999995</v>
    <v>642.32000000000005</v>
    <v>643.58000000000004</v>
    <v>645.04999999999995</v>
    <v>647.49</v>
    <v>670.9</v>
    <v>666.85</v>
    <v>687.95</v>
    <v>684.62</v>
    <v>697.71</v>
    <v>694.06</v>
    <v>702.4</v>
    <v>694.14</v>
    <v>693.36</v>
    <v>682.87</v>
    <v>702.12</v>
    <v>697.23</v>
    <v>695.77</v>
    <v>682.35</v>
    <v>698.53</v>
    <v>712.2</v>
    <v>708.68</v>
    <v>726.09</v>
    <v>733.63</v>
    <v>738.09</v>
    <v>719.22</v>
    <v>713.57</v>
    <v>719.01</v>
    <v>718.35</v>
    <v>720.67</v>
    <v>732.78</v>
    <v>727.24</v>
    <v>717.51</v>
    <v>720.92</v>
    <v>710.39</v>
    <v>702.91</v>
    <v>701.41</v>
    <v>704.28</v>
    <v>712.96500000000003</v>
    <v>704.81</v>
    <v>713.58</v>
    <v>714.8</v>
    <v>712.68</v>
    <v>717.63</v>
    <v>700</v>
    <v>695.21</v>
    <v>773.44</v>
    <v>750.01</v>
    <v>776.37</v>
    <v>763.46</v>
    <v>771.99</v>
    <v>761.83</v>
    <v>769.3</v>
    <v>765.87</v>
    <v>790</v>
    <v>780.08</v>
    <v>782.13</v>
    <v>785.23</v>
    <v>767.37</v>
    <v>751.48</v>
    <v>747.72</v>
    <v>739.1</v>
    <v>754.79</v>
    <v>753.3</v>
    <v>754.1</v>
    <v>747.38</v>
    <v>751.11</v>
    <v>738.7</v>
    <v>735.11</v>
    <v>737.05</v>
    <v>748.65</v>
    <v>752.45</v>
    <v>752.3</v>
    <v>765.7</v>
    <v>751.98</v>
    <v>750.9</v>
    <v>755.59</v>
    <v>764.7</v>
    <v>779</v>
    <v>775.71500000000003</v>
    <v>780.25</v>
    <v>778.38</v>
    <v>765.16</v>
    <v>755.4</v>
    <v>760.66</v>
    <v>748.91</v>
    <v>743.75</v>
    <v>743.4</v>
    <v>734.38</v>
    <v>717.34</v>
    <v>727.05</v>
    <v>710.56</v>
    <v>715.66</v>
    <v>713.08</v>
    <v>717.84</v>
    <v>733.51</v>
    <v>705.3</v>
    <v>715.7</v>
    <v>708.65</v>
    <v>717.55</v>
    <v>712.07</v>
    <v>716.91499999999996</v>
    <v>732.17</v>
    <v>733.27</v>
    <v>733.41</v>
    <v>734</v>
    <v>738.36</v>
    <v>750.82</v>
    <v>751.44</v>
    <v>751.67</v>
    <v>666.47</v>
    <v>648.35</v>
    <v>637.71</v>
    <v>627.32000000000005</v>
    <v>635.95000000000005</v>
    <v>618.94000000000005</v>
    <v>621.71</v>
    <v>631.76</v>
    <v>627.08000000000004</v>
    <v>609.01</v>
    <v>609.89</v>
    <v>609.46</v>
    <v>602.01</v>
    <v>597.69000000000005</v>
    <v>590.32000000000005</v>
    <v>589.15</v>
    <v>594.25</v>
    <v>613.04999999999995</v>
    <v>636.22</v>
    <v>633.61</v>
    <v>647.95000000000005</v>
    <v>640.87</v>
    <v>647.1</v>
    <v>639.6</v>
    <v>661.53</v>
    <v>673.42</v>
    <v>666.8</v>
    <v>656.96</v>
    <v>650.13</v>
    <v>652.71</v>
    <v>644.23</v>
    <v>647.51</v>
    <v>657.15</v>
    <v>649.5</v>
    <v>664.45</v>
    <v>658.77</v>
    <v>661.5</v>
    <v>664.94</v>
    <v>667.55</v>
    <v>663.29</v>
    <v>658.69</v>
    <v>665.95</v>
    <v>660.09</v>
    <v>650.41</v>
    <v>658.79</v>
    <v>660.62</v>
    <v>648.69000000000005</v>
    <v>646.05999999999995</v>
    <v>653.05999999999995</v>
    <v>641.97</v>
    <v>631.09</v>
    <v>615.52</v>
    <v>620.79999999999995</v>
    <v>620.25</v>
    <v>604.12</v>
    <v>612.96</v>
    <v>647.63</v>
    <v>658.76</v>
    <v>672.36</v>
    <v>672.97</v>
    <v>668.73</v>
    <v>738.31</v>
    <v>716.5</v>
    <v>706.41</v>
    <v>691.7</v>
    <v>668.99</v>
    <v>670.21</v>
    <v>661.46</v>
    <v>677.22</v>
    <v>670.72</v>
    <v>668.69</v>
    <v>649.80999999999995</v>
    <v>639.77</v>
    <v>639.29</v>
    <v>643.22</v>
    <v>644.78</v>
    <v>655.66</v>
    <v>637.25</v>
    <v>639.29999999999995</v>
    <v>653.69000000000005</v>
    <v>657.01</v>
    <v>648.17999999999995</v>
    <v>653.55999999999995</v>
    <v>655.08000000000004</v>
    <v>667.73</v>
    <v>660.57</v>
    <v>644.86</v>
    <v>647.39</v>
    <v>654.07000000000005</v>
    <v>654.86</v>
    <v>638.17999999999995</v>
    <v>613.71</v>
    <v>627.45000000000005</v>
    <v>622.66</v>
    <v>615.67999999999995</v>
    <v>606.70000000000005</v>
    <v>593.66</v>
    <v>604.05999999999995</v>
    <v>592.91999999999996</v>
    <v>594.89</v>
    <v>547.54</v>
    <v>525.72</v>
    <v>536.38</v>
    <v>572.13</v>
    <v>579.23</v>
    <v>574.46</v>
    <v>573.02</v>
    <v>575.04999999999995</v>
    <v>612.41999999999996</v>
    <v>628.39</v>
    <v>629.86</v>
    <v>634.53</v>
    <v>662.49</v>
    <v>671.58</v>
    <v>676.87</v>
    <v>688.55</v>
    <v>670.91</v>
    <v>668.84</v>
    <v>674.72</v>
    <v>659.15</v>
    <v>675.03</v>
    <v>678.62</v>
    <v>671.34</v>
    <v>669.12</v>
    <v>611.91</v>
    <v>608.745</v>
    <v>610.41</v>
    <v>604.96</v>
    <v>612.88</v>
    <v>616.80999999999995</v>
    <v>609.63</v>
    <v>598.86</v>
    <v>603</v>
    <v>616.63</v>
    <v>618.42999999999995</v>
    <v>614.23</v>
    <v>611.21</v>
    <v>602.61</v>
    <v>605.05999999999995</v>
    <v>607.38</v>
    <v>610.26</v>
    <v>612.34</v>
    <v>635.255</v>
    <v>635.29</v>
    <v>632.51</v>
    <v>600.47</v>
    <v>597.63</v>
    <v>622.98</v>
    <v>627.57000000000005</v>
    <v>593</v>
    <v>585.39</v>
    <v>584.59</v>
    <v>570.98</v>
    <v>568.42999999999995</v>
    <v>566.98</v>
    <v>593.48</v>
    <v>600.21</v>
    <v>567.58000000000004</v>
    <v>577.22</v>
    <v>563.85</v>
    <v>562.20000000000005</v>
    <v>557.66999999999996</v>
    <v>542.87</v>
    <v>550.25</v>
    <v>562.6</v>
    <v>563.29</v>
    <v>612.91</v>
    <v>582.9</v>
    <v>600.29</v>
    <v>615.58000000000004</v>
    <v>603.12</v>
    <v>631.48</v>
    <v>669.21</v>
    <v>656.73</v>
    <v>661.04</v>
    <v>681.31</v>
    <v>664.54</v>
    <v>646.01</v>
    <v>645.85</v>
    <v>643.80999999999995</v>
    <v>627.16999999999996</v>
    <v>606.1</v>
    <v>595.19000000000005</v>
    <v>593.87</v>
    <v>593.41</v>
    <v>585.61</v>
    <v>539.03</v>
    <v>556.71</v>
    <v>590.24</v>
    <v>587.94000000000005</v>
    <v>588.77</v>
    <v>589.9</v>
    <v>592.1</v>
    <v>594.91999999999996</v>
    <v>599.12</v>
    <v>578.85</v>
    <v>594.97</v>
    <v>589.85</v>
    <v>568.97</v>
    <v>543.66999999999996</v>
    <v>546.03</v>
    <v>545.83000000000004</v>
    <v>549.9</v>
    <v>559.02</v>
    <v>570.04999999999995</v>
    <v>576.14</v>
    <v>571.1</v>
    <v>578.02</v>
    <v>572.34</v>
    <v>578.54</v>
    <v>592.85</v>
    <v>610.67999999999995</v>
    <v>616.77</v>
    <v>613.48</v>
    <v>653.69000000000005</v>
    <v>644.38</v>
    <v>648.03</v>
    <v>665.6</v>
    <v>670.24</v>
    <v>673.31</v>
    <v>682.31</v>
    <v>665.75</v>
    <v>741.245</v>
    <v>736.59500000000003</v>
    <v>744.1</v>
    <v>777.59</v>
    <v>751.66</v>
    <v>715.62</v>
    <v>738.79</v>
    <v>725.18</v>
    <v>725.93</v>
    <v>728.08</v>
    <v>741.9</v>
    <v>738.88</v>
    <v>721.31</v>
    <v>720.89</v>
    <v>718.67</v>
    <v>742.96</v>
    <v>762.5</v>
    <v>737.54</v>
    <v>736.72</v>
    <v>709.32500000000005</v>
    <v>705.44</v>
    <v>694.25</v>
    <v>697.52</v>
    <v>648.85</v>
    <v>642.62</v>
  </a>
  <a r="1" c="252">
    <v>734</v>
    <v>738.36</v>
    <v>750.82</v>
    <v>751.44</v>
    <v>751.67</v>
    <v>666.47</v>
    <v>648.35</v>
    <v>637.71</v>
    <v>627.32000000000005</v>
    <v>635.95000000000005</v>
    <v>618.94000000000005</v>
    <v>621.71</v>
    <v>631.76</v>
    <v>627.08000000000004</v>
    <v>609.01</v>
    <v>609.89</v>
    <v>609.46</v>
    <v>602.01</v>
    <v>597.69000000000005</v>
    <v>590.32000000000005</v>
    <v>589.15</v>
    <v>594.25</v>
    <v>613.04999999999995</v>
    <v>636.22</v>
    <v>633.61</v>
    <v>647.95000000000005</v>
    <v>640.87</v>
    <v>647.1</v>
    <v>639.6</v>
    <v>661.53</v>
    <v>673.42</v>
    <v>666.8</v>
    <v>656.96</v>
    <v>650.13</v>
    <v>652.71</v>
    <v>644.23</v>
    <v>647.51</v>
    <v>657.15</v>
    <v>649.5</v>
    <v>664.45</v>
    <v>658.77</v>
    <v>661.5</v>
    <v>664.94</v>
    <v>667.55</v>
    <v>663.29</v>
    <v>658.69</v>
    <v>665.95</v>
    <v>660.09</v>
    <v>650.41</v>
    <v>658.79</v>
    <v>660.62</v>
    <v>648.69000000000005</v>
    <v>646.05999999999995</v>
    <v>653.05999999999995</v>
    <v>641.97</v>
    <v>631.09</v>
    <v>615.52</v>
    <v>620.79999999999995</v>
    <v>620.25</v>
    <v>604.12</v>
    <v>612.96</v>
    <v>647.63</v>
    <v>658.76</v>
    <v>672.36</v>
    <v>672.97</v>
    <v>668.73</v>
    <v>738.31</v>
    <v>716.5</v>
    <v>706.41</v>
    <v>691.7</v>
    <v>668.99</v>
    <v>670.21</v>
    <v>661.46</v>
    <v>677.22</v>
    <v>670.72</v>
    <v>668.69</v>
    <v>649.80999999999995</v>
    <v>639.77</v>
    <v>639.29</v>
    <v>643.22</v>
    <v>644.78</v>
    <v>655.66</v>
    <v>637.25</v>
    <v>639.29999999999995</v>
    <v>653.69000000000005</v>
    <v>657.01</v>
    <v>648.17999999999995</v>
    <v>653.55999999999995</v>
    <v>655.08000000000004</v>
    <v>667.73</v>
    <v>660.57</v>
    <v>644.86</v>
    <v>647.39</v>
    <v>654.07000000000005</v>
    <v>654.86</v>
    <v>638.17999999999995</v>
    <v>613.71</v>
    <v>627.45000000000005</v>
    <v>622.66</v>
    <v>615.67999999999995</v>
    <v>606.70000000000005</v>
    <v>593.66</v>
    <v>604.05999999999995</v>
    <v>592.91999999999996</v>
    <v>594.89</v>
    <v>547.54</v>
    <v>525.72</v>
    <v>536.38</v>
    <v>572.13</v>
    <v>579.23</v>
    <v>574.46</v>
    <v>573.02</v>
    <v>575.04999999999995</v>
    <v>612.41999999999996</v>
    <v>628.39</v>
    <v>629.86</v>
    <v>634.53</v>
    <v>662.49</v>
    <v>671.58</v>
    <v>676.87</v>
    <v>688.55</v>
    <v>670.91</v>
    <v>668.84</v>
    <v>674.72</v>
    <v>659.15</v>
    <v>675.03</v>
    <v>678.62</v>
    <v>671.34</v>
    <v>669.12</v>
    <v>611.91</v>
    <v>608.745</v>
    <v>610.41</v>
    <v>604.96</v>
    <v>612.88</v>
    <v>616.80999999999995</v>
    <v>609.63</v>
    <v>598.86</v>
    <v>603</v>
    <v>616.63</v>
    <v>618.42999999999995</v>
    <v>614.23</v>
    <v>611.21</v>
    <v>602.61</v>
    <v>605.05999999999995</v>
    <v>607.38</v>
    <v>610.26</v>
    <v>612.34</v>
    <v>635.255</v>
    <v>635.29</v>
    <v>632.51</v>
    <v>600.47</v>
    <v>597.63</v>
    <v>622.98</v>
    <v>627.57000000000005</v>
    <v>593</v>
    <v>585.39</v>
    <v>584.59</v>
    <v>570.98</v>
    <v>568.42999999999995</v>
    <v>566.98</v>
    <v>593.48</v>
    <v>600.21</v>
    <v>567.58000000000004</v>
    <v>577.22</v>
    <v>563.85</v>
    <v>562.20000000000005</v>
    <v>557.66999999999996</v>
    <v>542.87</v>
    <v>550.25</v>
    <v>562.6</v>
    <v>563.29</v>
    <v>612.91</v>
    <v>582.9</v>
    <v>600.29</v>
    <v>615.58000000000004</v>
    <v>603.12</v>
    <v>631.48</v>
    <v>669.21</v>
    <v>656.73</v>
    <v>661.04</v>
    <v>681.31</v>
    <v>664.54</v>
    <v>646.01</v>
    <v>645.85</v>
    <v>643.80999999999995</v>
    <v>627.16999999999996</v>
    <v>606.1</v>
    <v>595.19000000000005</v>
    <v>593.87</v>
    <v>593.41</v>
    <v>585.61</v>
    <v>539.03</v>
    <v>556.71</v>
    <v>590.24</v>
    <v>587.94000000000005</v>
    <v>588.77</v>
    <v>589.9</v>
    <v>592.1</v>
    <v>594.91999999999996</v>
    <v>599.12</v>
    <v>578.85</v>
    <v>594.97</v>
    <v>589.85</v>
    <v>568.97</v>
    <v>543.66999999999996</v>
    <v>546.03</v>
    <v>545.83000000000004</v>
    <v>549.9</v>
    <v>559.02</v>
    <v>570.04999999999995</v>
    <v>576.14</v>
    <v>571.1</v>
    <v>578.02</v>
    <v>572.34</v>
    <v>578.54</v>
    <v>592.85</v>
    <v>610.67999999999995</v>
    <v>616.77</v>
    <v>613.48</v>
    <v>653.69000000000005</v>
    <v>644.38</v>
    <v>648.03</v>
    <v>665.6</v>
    <v>670.24</v>
    <v>673.31</v>
    <v>682.31</v>
    <v>665.75</v>
    <v>741.245</v>
    <v>736.59500000000003</v>
    <v>744.1</v>
    <v>777.59</v>
    <v>751.66</v>
    <v>715.62</v>
    <v>738.79</v>
    <v>725.18</v>
    <v>725.93</v>
    <v>728.08</v>
    <v>741.9</v>
    <v>738.88</v>
    <v>721.31</v>
    <v>720.89</v>
    <v>718.67</v>
    <v>742.96</v>
    <v>762.5</v>
    <v>737.54</v>
    <v>736.72</v>
    <v>709.32500000000005</v>
    <v>705.44</v>
    <v>694.25</v>
    <v>697.52</v>
    <v>648.85</v>
    <v>642.62</v>
  </a>
  <a r="1" c="209">
    <v>55.59</v>
    <v>56.1</v>
    <v>55.79</v>
    <v>55.04</v>
    <v>53.51</v>
    <v>53.38</v>
    <v>55.12</v>
    <v>55.31</v>
    <v>56.53</v>
    <v>57.06</v>
    <v>56.74</v>
    <v>56.8</v>
    <v>56.11</v>
    <v>56.9</v>
    <v>57.75</v>
    <v>57.24</v>
    <v>57.98</v>
    <v>58.9</v>
    <v>59.34</v>
    <v>60</v>
    <v>60.82</v>
    <v>61.15</v>
    <v>60.63</v>
    <v>61.48</v>
    <v>62.56</v>
    <v>61.95</v>
    <v>62.58</v>
    <v>62.63</v>
    <v>62.51</v>
    <v>64.22</v>
    <v>64.3</v>
    <v>64.38</v>
    <v>64.16</v>
    <v>64.569999999999993</v>
    <v>65.34</v>
    <v>66.53</v>
    <v>65.44</v>
    <v>66.14</v>
    <v>66.72</v>
    <v>67.37</v>
    <v>67.55</v>
    <v>67.28</v>
    <v>69.36</v>
    <v>68.099999999999994</v>
    <v>66.86</v>
    <v>66.77</v>
    <v>68</v>
    <v>68.89</v>
    <v>68.739999999999995</v>
    <v>70</v>
    <v>70.400000000000006</v>
    <v>72.33</v>
    <v>72.400000000000006</v>
    <v>74.48</v>
    <v>75.42</v>
    <v>78.59</v>
    <v>76.959999999999994</v>
    <v>76</v>
    <v>77.209999999999994</v>
    <v>76.87</v>
    <v>79.09</v>
    <v>78.489999999999995</v>
    <v>81.02</v>
    <v>80.91</v>
    <v>77.56</v>
    <v>79.42</v>
    <v>79.260000000000005</v>
    <v>76.81</v>
    <v>78.87</v>
    <v>78.61</v>
    <v>79.66</v>
    <v>77.39</v>
    <v>76.680000000000007</v>
    <v>77.12</v>
    <v>73.069999999999993</v>
    <v>74.41</v>
    <v>75.03</v>
    <v>76.02</v>
    <v>76.599999999999994</v>
    <v>77</v>
    <v>76.81</v>
    <v>78.27</v>
    <v>78.23</v>
    <v>79.290000000000006</v>
    <v>78.650000000000006</v>
    <v>79.3</v>
    <v>76.75</v>
    <v>75.27</v>
    <v>75.8</v>
    <v>76.91</v>
    <v>78.3</v>
    <v>77.81</v>
    <v>78.28</v>
    <v>78.680000000000007</v>
    <v>80.27</v>
    <v>79.790000000000006</v>
    <v>79.61</v>
    <v>80.260000000000005</v>
    <v>78.650000000000006</v>
    <v>77.67</v>
    <v>78.22</v>
    <v>75.42</v>
    <v>75.42</v>
    <v>75.180000000000007</v>
    <v>76.38</v>
    <v>76.650000000000006</v>
    <v>77.58</v>
    <v>77.38</v>
    <v>77.37</v>
    <v>77.34</v>
    <v>76.47</v>
    <v>77.239999999999995</v>
    <v>78</v>
    <v>76.38</v>
    <v>73</v>
    <v>73.05</v>
    <v>72.209999999999994</v>
    <v>70.34</v>
    <v>71.069999999999993</v>
    <v>70.92</v>
    <v>70.81</v>
    <v>69.510000000000005</v>
    <v>69.27</v>
    <v>68.36</v>
    <v>68.98</v>
    <v>68.03</v>
    <v>65.92</v>
    <v>66.88</v>
    <v>66.94</v>
    <v>67.150000000000006</v>
    <v>67.78</v>
    <v>69.349999999999994</v>
    <v>68.819999999999993</v>
    <v>68.38</v>
    <v>70.42</v>
    <v>71.2</v>
    <v>70.64</v>
    <v>69.59</v>
    <v>70.510000000000005</v>
    <v>71.14</v>
    <v>72.81</v>
    <v>74.290000000000006</v>
    <v>76.180000000000007</v>
    <v>75.900000000000006</v>
    <v>74.38</v>
    <v>73.78</v>
    <v>75.83</v>
    <v>75.569999999999993</v>
    <v>76.42</v>
    <v>76.430000000000007</v>
    <v>74.25</v>
    <v>73.8</v>
    <v>74.540000000000006</v>
    <v>74.09</v>
    <v>75.540000000000006</v>
    <v>76.59</v>
    <v>75.53</v>
    <v>75.41</v>
    <v>75.78</v>
    <v>75.930000000000007</v>
    <v>76.900000000000006</v>
    <v>77.66</v>
    <v>78.319999999999993</v>
    <v>77.44</v>
    <v>75.98</v>
    <v>75.7</v>
    <v>75.28</v>
    <v>74.17</v>
    <v>74.67</v>
    <v>75.53</v>
    <v>77.61</v>
    <v>78.3</v>
    <v>78.02</v>
    <v>76.099999999999994</v>
    <v>77.3</v>
    <v>77.75</v>
    <v>78.209999999999994</v>
    <v>78.38</v>
    <v>78.77</v>
    <v>79.53</v>
    <v>80.489999999999995</v>
    <v>80.03</v>
    <v>79.63</v>
    <v>79.319999999999993</v>
    <v>78.56</v>
    <v>78.150000000000006</v>
    <v>79.62</v>
    <v>81.05</v>
    <v>79.989999999999995</v>
    <v>80</v>
    <v>78.099999999999994</v>
    <v>75.7</v>
    <v>74.510000000000005</v>
    <v>74.459999999999994</v>
    <v>75.8</v>
    <v>75.72</v>
    <v>75.42</v>
    <v>77.58</v>
    <v>78.53</v>
    <v>78.98</v>
    <v>79.89</v>
    <v>80.17</v>
    <v>80.209999999999994</v>
    <v>80.709999999999994</v>
    <v>80.53</v>
    <v>79.94</v>
    <v>80.900000000000006</v>
    <v>79.98</v>
    <v>83.45</v>
  </a>
  <a r="1" c="256">
    <v>54.1</v>
    <v>53.91</v>
    <v>53.77</v>
    <v>53.48</v>
    <v>54.14</v>
    <v>53.64</v>
    <v>53.95</v>
    <v>53.79</v>
    <v>53.6</v>
    <v>53.68</v>
    <v>53.24</v>
    <v>53.58</v>
    <v>54.04</v>
    <v>55.34</v>
    <v>55.3</v>
    <v>56.19</v>
    <v>56.23</v>
    <v>56.53</v>
    <v>55.47</v>
    <v>55.4</v>
    <v>55.67</v>
    <v>55.97</v>
    <v>55.89</v>
    <v>56.17</v>
    <v>56.66</v>
    <v>56.45</v>
    <v>56.8</v>
    <v>56.71</v>
    <v>56.52</v>
    <v>57.04</v>
    <v>57.18</v>
    <v>56.4</v>
    <v>56.32</v>
    <v>56.51</v>
    <v>55.82</v>
    <v>55.84</v>
    <v>55.59</v>
    <v>55.5</v>
    <v>54.5</v>
    <v>55.13</v>
    <v>55.43</v>
    <v>55.81</v>
    <v>55.94</v>
    <v>55.85</v>
    <v>55.61</v>
    <v>55.95</v>
    <v>56.4</v>
    <v>55.59</v>
    <v>56.1</v>
    <v>55.79</v>
    <v>55.04</v>
    <v>53.51</v>
    <v>53.38</v>
    <v>55.12</v>
    <v>55.31</v>
    <v>56.53</v>
    <v>57.06</v>
    <v>56.74</v>
    <v>56.8</v>
    <v>56.11</v>
    <v>56.9</v>
    <v>57.75</v>
    <v>57.24</v>
    <v>57.98</v>
    <v>58.9</v>
    <v>59.34</v>
    <v>60</v>
    <v>60.82</v>
    <v>61.15</v>
    <v>60.63</v>
    <v>61.48</v>
    <v>62.56</v>
    <v>61.95</v>
    <v>62.58</v>
    <v>62.63</v>
    <v>62.51</v>
    <v>64.22</v>
    <v>64.3</v>
    <v>64.38</v>
    <v>64.16</v>
    <v>64.569999999999993</v>
    <v>65.34</v>
    <v>66.53</v>
    <v>65.44</v>
    <v>66.14</v>
    <v>66.72</v>
    <v>67.37</v>
    <v>67.55</v>
    <v>67.28</v>
    <v>69.36</v>
    <v>68.099999999999994</v>
    <v>66.86</v>
    <v>66.77</v>
    <v>68</v>
    <v>68.89</v>
    <v>68.739999999999995</v>
    <v>70</v>
    <v>70.400000000000006</v>
    <v>72.33</v>
    <v>72.400000000000006</v>
    <v>74.48</v>
    <v>75.42</v>
    <v>78.59</v>
    <v>76.959999999999994</v>
    <v>76</v>
    <v>77.209999999999994</v>
    <v>76.87</v>
    <v>79.09</v>
    <v>78.489999999999995</v>
    <v>81.02</v>
    <v>80.91</v>
    <v>77.56</v>
    <v>79.42</v>
    <v>79.260000000000005</v>
    <v>76.81</v>
    <v>78.87</v>
    <v>78.61</v>
    <v>79.66</v>
    <v>77.39</v>
    <v>76.680000000000007</v>
    <v>77.12</v>
    <v>73.069999999999993</v>
    <v>74.41</v>
    <v>75.03</v>
    <v>76.02</v>
    <v>76.599999999999994</v>
    <v>77</v>
    <v>76.81</v>
    <v>78.27</v>
    <v>78.23</v>
    <v>79.290000000000006</v>
    <v>78.650000000000006</v>
    <v>79.3</v>
    <v>76.75</v>
    <v>75.27</v>
    <v>75.8</v>
    <v>76.91</v>
    <v>78.3</v>
    <v>77.81</v>
    <v>78.28</v>
    <v>78.680000000000007</v>
    <v>80.27</v>
    <v>79.790000000000006</v>
    <v>79.61</v>
    <v>80.260000000000005</v>
    <v>78.650000000000006</v>
    <v>77.67</v>
    <v>78.22</v>
    <v>75.42</v>
    <v>75.42</v>
    <v>75.180000000000007</v>
    <v>76.38</v>
    <v>76.650000000000006</v>
    <v>77.58</v>
    <v>77.38</v>
    <v>77.37</v>
    <v>77.34</v>
    <v>76.47</v>
    <v>77.239999999999995</v>
    <v>78</v>
    <v>76.38</v>
    <v>73</v>
    <v>73.05</v>
    <v>72.209999999999994</v>
    <v>70.34</v>
    <v>71.069999999999993</v>
    <v>70.92</v>
    <v>70.81</v>
    <v>69.510000000000005</v>
    <v>69.27</v>
    <v>68.36</v>
    <v>68.98</v>
    <v>68.03</v>
    <v>65.92</v>
    <v>66.88</v>
    <v>66.94</v>
    <v>67.150000000000006</v>
    <v>67.78</v>
    <v>69.349999999999994</v>
    <v>68.819999999999993</v>
    <v>68.38</v>
    <v>70.42</v>
    <v>71.2</v>
    <v>70.64</v>
    <v>69.59</v>
    <v>70.510000000000005</v>
    <v>71.14</v>
    <v>72.81</v>
    <v>74.290000000000006</v>
    <v>76.180000000000007</v>
    <v>75.900000000000006</v>
    <v>74.38</v>
    <v>73.78</v>
    <v>75.83</v>
    <v>75.569999999999993</v>
    <v>76.42</v>
    <v>76.430000000000007</v>
    <v>74.25</v>
    <v>73.8</v>
    <v>74.540000000000006</v>
    <v>74.09</v>
    <v>75.540000000000006</v>
    <v>76.59</v>
    <v>75.53</v>
    <v>75.41</v>
    <v>75.78</v>
    <v>75.930000000000007</v>
    <v>76.900000000000006</v>
    <v>77.66</v>
    <v>78.319999999999993</v>
    <v>77.44</v>
    <v>75.98</v>
    <v>75.7</v>
    <v>75.28</v>
    <v>74.17</v>
    <v>74.67</v>
    <v>75.53</v>
    <v>77.61</v>
    <v>78.3</v>
    <v>78.02</v>
    <v>76.099999999999994</v>
    <v>77.3</v>
    <v>77.75</v>
    <v>78.209999999999994</v>
    <v>78.38</v>
    <v>78.77</v>
    <v>79.53</v>
    <v>80.489999999999995</v>
    <v>80.03</v>
    <v>79.63</v>
    <v>79.319999999999993</v>
    <v>78.56</v>
    <v>78.150000000000006</v>
    <v>79.62</v>
    <v>81.05</v>
    <v>79.989999999999995</v>
    <v>80</v>
    <v>78.099999999999994</v>
    <v>75.7</v>
    <v>74.510000000000005</v>
    <v>74.459999999999994</v>
    <v>75.8</v>
    <v>75.72</v>
    <v>75.42</v>
    <v>77.58</v>
    <v>78.53</v>
    <v>78.98</v>
    <v>79.89</v>
    <v>80.17</v>
    <v>80.209999999999994</v>
    <v>80.709999999999994</v>
    <v>80.53</v>
    <v>79.94</v>
    <v>80.900000000000006</v>
    <v>79.98</v>
    <v>83.45</v>
  </a>
  <a r="1" c="767">
    <v>62.3</v>
    <v>62.03</v>
    <v>62.2</v>
    <v>62.48</v>
    <v>63</v>
    <v>62.99</v>
    <v>63.2</v>
    <v>63.63</v>
    <v>64.59</v>
    <v>62.33</v>
    <v>62.66</v>
    <v>61.24</v>
    <v>60.78</v>
    <v>61.36</v>
    <v>62.04</v>
    <v>62.79</v>
    <v>62.54</v>
    <v>62.61</v>
    <v>60.96</v>
    <v>61.81</v>
    <v>63</v>
    <v>62.95</v>
    <v>61.85</v>
    <v>62.81</v>
    <v>63.14</v>
    <v>62.86</v>
    <v>63.19</v>
    <v>61.68</v>
    <v>62.26</v>
    <v>62.36</v>
    <v>61.39</v>
    <v>61.37</v>
    <v>60.65</v>
    <v>60.67</v>
    <v>61.9</v>
    <v>61.97</v>
    <v>61.31</v>
    <v>61.36</v>
    <v>61.41</v>
    <v>61.63</v>
    <v>62.35</v>
    <v>61.99</v>
    <v>62.15</v>
    <v>62</v>
    <v>62.3</v>
    <v>62.47</v>
    <v>61.41</v>
    <v>61.6</v>
    <v>61.99</v>
    <v>61.74</v>
    <v>62.48</v>
    <v>62.5</v>
    <v>60.55</v>
    <v>60.12</v>
    <v>59.77</v>
    <v>59.48</v>
    <v>60.14</v>
    <v>59.94</v>
    <v>59.58</v>
    <v>58.26</v>
    <v>58.51</v>
    <v>58.28</v>
    <v>57.75</v>
    <v>58.12</v>
    <v>58.86</v>
    <v>58.94</v>
    <v>59.62</v>
    <v>60.21</v>
    <v>60.43</v>
    <v>60.1</v>
    <v>60.58</v>
    <v>59.8</v>
    <v>59.22</v>
    <v>60.3</v>
    <v>58.39</v>
    <v>59.18</v>
    <v>59.72</v>
    <v>59.82</v>
    <v>60.3</v>
    <v>60.42</v>
    <v>59.75</v>
    <v>59.89</v>
    <v>59.69</v>
    <v>58.6</v>
    <v>58.92</v>
    <v>59.13</v>
    <v>59.66</v>
    <v>59.19</v>
    <v>59.5</v>
    <v>59.4</v>
    <v>58.99</v>
    <v>59.8</v>
    <v>59.39</v>
    <v>59.16</v>
    <v>59.98</v>
    <v>59.92</v>
    <v>60.05</v>
    <v>60.13</v>
    <v>60.67</v>
    <v>61.74</v>
    <v>62.71</v>
    <v>62.48</v>
    <v>62.63</v>
    <v>64.3</v>
    <v>63.2</v>
    <v>62.92</v>
    <v>62.85</v>
    <v>63.23</v>
    <v>62.98</v>
    <v>63.04</v>
    <v>63.47</v>
    <v>65.959999999999994</v>
    <v>66.66</v>
    <v>67.05</v>
    <v>66.8</v>
    <v>67.930000000000007</v>
    <v>67.400000000000006</v>
    <v>68.08</v>
    <v>67.7</v>
    <v>69.09</v>
    <v>68.290000000000006</v>
    <v>67.25</v>
    <v>67.66</v>
    <v>67.42</v>
    <v>67.28</v>
    <v>67.900000000000006</v>
    <v>67.91</v>
    <v>67.91</v>
    <v>68.06</v>
    <v>69.48</v>
    <v>69.25</v>
    <v>68.59</v>
    <v>66.849999999999994</v>
    <v>66.36</v>
    <v>67.260000000000005</v>
    <v>67.069999999999993</v>
    <v>67.23</v>
    <v>68.349999999999994</v>
    <v>68.680000000000007</v>
    <v>68.75</v>
    <v>68.319999999999993</v>
    <v>67.47</v>
    <v>66.459999999999994</v>
    <v>66.95</v>
    <v>67</v>
    <v>66.400000000000006</v>
    <v>65.17</v>
    <v>65.7</v>
    <v>65.989999999999995</v>
    <v>66.400000000000006</v>
    <v>66.14</v>
    <v>65.63</v>
    <v>65.31</v>
    <v>67.010000000000005</v>
    <v>65.92</v>
    <v>64.33</v>
    <v>64.72</v>
    <v>64.97</v>
    <v>64.94</v>
    <v>65.209999999999994</v>
    <v>64.099999999999994</v>
    <v>63.94</v>
    <v>62.31</v>
    <v>61.42</v>
    <v>62</v>
    <v>62.86</v>
    <v>61.78</v>
    <v>62.31</v>
    <v>61.77</v>
    <v>62.51</v>
    <v>62.88</v>
    <v>62.04</v>
    <v>62.04</v>
    <v>62.33</v>
    <v>63.61</v>
    <v>64.010000000000005</v>
    <v>64.83</v>
    <v>65.790000000000006</v>
    <v>65.36</v>
    <v>64.680000000000007</v>
    <v>63.22</v>
    <v>63.04</v>
    <v>62.82</v>
    <v>63.5</v>
    <v>63.28</v>
    <v>62.3</v>
    <v>62.83</v>
    <v>63.8</v>
    <v>62.73</v>
    <v>63.14</v>
    <v>62.13</v>
    <v>62.46</v>
    <v>61.97</v>
    <v>62.13</v>
    <v>61.74</v>
    <v>62.08</v>
    <v>62.48</v>
    <v>61.91</v>
    <v>61.14</v>
    <v>59.5</v>
    <v>59.23</v>
    <v>60.92</v>
    <v>60.91</v>
    <v>61.35</v>
    <v>61.72</v>
    <v>61.34</v>
    <v>61.46</v>
    <v>62.48</v>
    <v>62.33</v>
    <v>62.92</v>
    <v>61.97</v>
    <v>62.13</v>
    <v>61.62</v>
    <v>62.16</v>
    <v>62.86</v>
    <v>62.72</v>
    <v>62.41</v>
    <v>62.71</v>
    <v>62.19</v>
    <v>62.48</v>
    <v>60.51</v>
    <v>60.17</v>
    <v>60.56</v>
    <v>59.86</v>
    <v>60.96</v>
    <v>59.87</v>
    <v>60.19</v>
    <v>60.91</v>
    <v>61.07</v>
    <v>61.22</v>
    <v>61.4</v>
    <v>61.23</v>
    <v>62.65</v>
    <v>61.99</v>
    <v>62.12</v>
    <v>62.7</v>
    <v>60.71</v>
    <v>59.3</v>
    <v>59.15</v>
    <v>58.5</v>
    <v>59.31</v>
    <v>60.64</v>
    <v>61.52</v>
    <v>62.65</v>
    <v>63.28</v>
    <v>62.08</v>
    <v>61.98</v>
    <v>62.41</v>
    <v>62.37</v>
    <v>62.49</v>
    <v>59.49</v>
    <v>59.41</v>
    <v>59.78</v>
    <v>59.66</v>
    <v>59.94</v>
    <v>60.25</v>
    <v>60.01</v>
    <v>60.08</v>
    <v>60.27</v>
    <v>59.73</v>
    <v>59.4</v>
    <v>59.14</v>
    <v>57.4</v>
    <v>57.9</v>
    <v>58.08</v>
    <v>58.29</v>
    <v>57.57</v>
    <v>57.74</v>
    <v>56.84</v>
    <v>57.16</v>
    <v>55.72</v>
    <v>55.84</v>
    <v>57.15</v>
    <v>57.51</v>
    <v>58.1</v>
    <v>57.47</v>
    <v>57.37</v>
    <v>57.18</v>
    <v>57.09</v>
    <v>55.88</v>
    <v>54.93</v>
    <v>54.1</v>
    <v>54.22</v>
    <v>54.97</v>
    <v>53.8</v>
    <v>54.14</v>
    <v>53.94</v>
    <v>54.06</v>
    <v>54.23</v>
    <v>54.96</v>
    <v>54.35</v>
    <v>53.48</v>
    <v>53.37</v>
    <v>53.36</v>
    <v>52.29</v>
    <v>51.68</v>
    <v>52.2</v>
    <v>51.93</v>
    <v>51.89</v>
    <v>51.85</v>
    <v>52.01</v>
    <v>52.75</v>
    <v>52.6</v>
    <v>53.37</v>
    <v>53.73</v>
    <v>54</v>
    <v>54.71</v>
    <v>54.98</v>
    <v>55.16</v>
    <v>55.3</v>
    <v>55.25</v>
    <v>55.92</v>
    <v>55.6</v>
    <v>55.93</v>
    <v>57.38</v>
    <v>57.47</v>
    <v>57.17</v>
    <v>56.64</v>
    <v>56.38</v>
    <v>56.14</v>
    <v>55.84</v>
    <v>55.69</v>
    <v>55.75</v>
    <v>55.8</v>
    <v>56.16</v>
    <v>56.39</v>
    <v>55.97</v>
    <v>57.02</v>
    <v>58.01</v>
    <v>58.61</v>
    <v>58.88</v>
    <v>58.62</v>
    <v>58.86</v>
    <v>59.01</v>
    <v>58.7</v>
    <v>58.88</v>
    <v>58.9</v>
    <v>59.09</v>
    <v>58.71</v>
    <v>58.82</v>
    <v>58.12</v>
    <v>58.06</v>
    <v>57.47</v>
    <v>57.76</v>
    <v>57.82</v>
    <v>57.78</v>
    <v>58.17</v>
    <v>56.61</v>
    <v>55.98</v>
    <v>56.32</v>
    <v>56.54</v>
    <v>56.4</v>
    <v>56.14</v>
    <v>56.63</v>
    <v>57.18</v>
    <v>57.49</v>
    <v>57.55</v>
    <v>57.97</v>
    <v>58.81</v>
    <v>58.87</v>
    <v>58.4</v>
    <v>57.96</v>
    <v>59.35</v>
    <v>60.41</v>
    <v>60.51</v>
    <v>59.21</v>
    <v>59.66</v>
    <v>59.49</v>
    <v>59.41</v>
    <v>56.6</v>
    <v>53.07</v>
    <v>50.29</v>
    <v>50.45</v>
    <v>48.255000000000003</v>
    <v>49.515000000000001</v>
    <v>48.664999999999999</v>
    <v>50.22</v>
    <v>50.61</v>
    <v>51.68</v>
    <v>51.65</v>
    <v>51.87</v>
    <v>51.99</v>
    <v>52.15</v>
    <v>52.76</v>
    <v>52.92</v>
    <v>52.35</v>
    <v>51.16</v>
    <v>50.86</v>
    <v>50.51</v>
    <v>51.06</v>
    <v>50.75</v>
    <v>51.05</v>
    <v>51.89</v>
    <v>53.07</v>
    <v>53.41</v>
    <v>53.11</v>
    <v>52.86</v>
    <v>53.23</v>
    <v>52.88</v>
    <v>53.01</v>
    <v>52.32</v>
    <v>51.5</v>
    <v>50.97</v>
    <v>51.78</v>
    <v>51.54</v>
    <v>51.64</v>
    <v>51.41</v>
    <v>51.66</v>
    <v>52.68</v>
    <v>53.03</v>
    <v>52.27</v>
    <v>51.87</v>
    <v>52.3</v>
    <v>52.33</v>
    <v>53.59</v>
    <v>53.55</v>
    <v>54.74</v>
    <v>54.8</v>
    <v>54.52</v>
    <v>55.51</v>
    <v>54.6</v>
    <v>54.9</v>
    <v>54.66</v>
    <v>54.28</v>
    <v>52.5</v>
    <v>52.28</v>
    <v>52.51</v>
    <v>52.52</v>
    <v>52.1</v>
    <v>52.35</v>
    <v>53.38</v>
    <v>53.37</v>
    <v>52.97</v>
    <v>51.79</v>
    <v>52.84</v>
    <v>53.28</v>
    <v>53.5</v>
    <v>53.87</v>
    <v>53.34</v>
    <v>53.48</v>
    <v>53.09</v>
    <v>52.97</v>
    <v>53.15</v>
    <v>52.86</v>
    <v>52.8</v>
    <v>53.34</v>
    <v>51.46</v>
    <v>51.33</v>
    <v>52.4</v>
    <v>52.53</v>
    <v>52.29</v>
    <v>52.02</v>
    <v>51.07</v>
    <v>51.58</v>
    <v>51.9</v>
    <v>52.5</v>
    <v>52.38</v>
    <v>52.71</v>
    <v>52.52</v>
    <v>53.17</v>
    <v>52.51</v>
    <v>52.57</v>
    <v>53.47</v>
    <v>53.02</v>
    <v>53.7</v>
    <v>54.01</v>
    <v>54.29</v>
    <v>54.63</v>
    <v>54.1</v>
    <v>52.91</v>
    <v>53.21</v>
    <v>53.1</v>
    <v>53.5</v>
    <v>53.45</v>
    <v>53.53</v>
    <v>52.78</v>
    <v>52.76</v>
    <v>51.82</v>
    <v>51.9</v>
    <v>52.74</v>
    <v>52.76</v>
    <v>52.19</v>
    <v>52.12</v>
    <v>52.58</v>
    <v>52.43</v>
    <v>51.73</v>
    <v>52.03</v>
    <v>51.57</v>
    <v>51.73</v>
    <v>52.39</v>
    <v>53.5</v>
    <v>53.38</v>
    <v>54.25</v>
    <v>53.05</v>
    <v>51.73</v>
    <v>51.59</v>
    <v>50.98</v>
    <v>51.06</v>
    <v>51.31</v>
    <v>50.87</v>
    <v>51.12</v>
    <v>51.14</v>
    <v>50</v>
    <v>49.844999999999999</v>
    <v>50.25</v>
    <v>52.11</v>
    <v>52.57</v>
    <v>52.71</v>
    <v>52.5</v>
    <v>52.65</v>
    <v>53.03</v>
    <v>54.1</v>
    <v>53.91</v>
    <v>53.77</v>
    <v>53.48</v>
    <v>54.14</v>
    <v>53.64</v>
    <v>53.95</v>
    <v>53.79</v>
    <v>53.6</v>
    <v>53.68</v>
    <v>53.24</v>
    <v>53.58</v>
    <v>54.04</v>
    <v>55.34</v>
    <v>55.3</v>
    <v>56.19</v>
    <v>56.23</v>
    <v>56.53</v>
    <v>55.47</v>
    <v>55.4</v>
    <v>55.67</v>
    <v>55.97</v>
    <v>55.89</v>
    <v>56.17</v>
    <v>56.66</v>
    <v>56.45</v>
    <v>56.8</v>
    <v>56.71</v>
    <v>56.52</v>
    <v>57.04</v>
    <v>57.18</v>
    <v>56.4</v>
    <v>56.32</v>
    <v>56.51</v>
    <v>55.82</v>
    <v>55.84</v>
    <v>55.59</v>
    <v>55.5</v>
    <v>54.5</v>
    <v>55.13</v>
    <v>55.43</v>
    <v>55.81</v>
    <v>55.94</v>
    <v>55.85</v>
    <v>55.61</v>
    <v>55.95</v>
    <v>56.4</v>
    <v>55.59</v>
    <v>56.1</v>
    <v>55.79</v>
    <v>55.04</v>
    <v>53.51</v>
    <v>53.38</v>
    <v>55.12</v>
    <v>55.31</v>
    <v>56.53</v>
    <v>57.06</v>
    <v>56.74</v>
    <v>56.8</v>
    <v>56.11</v>
    <v>56.9</v>
    <v>57.75</v>
    <v>57.24</v>
    <v>57.98</v>
    <v>58.9</v>
    <v>59.34</v>
    <v>60</v>
    <v>60.82</v>
    <v>61.15</v>
    <v>60.63</v>
    <v>61.48</v>
    <v>62.56</v>
    <v>61.95</v>
    <v>62.58</v>
    <v>62.63</v>
    <v>62.51</v>
    <v>64.22</v>
    <v>64.3</v>
    <v>64.38</v>
    <v>64.16</v>
    <v>64.569999999999993</v>
    <v>65.34</v>
    <v>66.53</v>
    <v>65.44</v>
    <v>66.14</v>
    <v>66.72</v>
    <v>67.37</v>
    <v>67.55</v>
    <v>67.28</v>
    <v>69.36</v>
    <v>68.099999999999994</v>
    <v>66.86</v>
    <v>66.77</v>
    <v>68</v>
    <v>68.89</v>
    <v>68.739999999999995</v>
    <v>70</v>
    <v>70.400000000000006</v>
    <v>72.33</v>
    <v>72.400000000000006</v>
    <v>74.48</v>
    <v>75.42</v>
    <v>78.59</v>
    <v>76.959999999999994</v>
    <v>76</v>
    <v>77.209999999999994</v>
    <v>76.87</v>
    <v>79.09</v>
    <v>78.489999999999995</v>
    <v>81.02</v>
    <v>80.91</v>
    <v>77.56</v>
    <v>79.42</v>
    <v>79.260000000000005</v>
    <v>76.81</v>
    <v>78.87</v>
    <v>78.61</v>
    <v>79.66</v>
    <v>77.39</v>
    <v>76.680000000000007</v>
    <v>77.12</v>
    <v>73.069999999999993</v>
    <v>74.41</v>
    <v>75.03</v>
    <v>76.02</v>
    <v>76.599999999999994</v>
    <v>77</v>
    <v>76.81</v>
    <v>78.27</v>
    <v>78.23</v>
    <v>79.290000000000006</v>
    <v>78.650000000000006</v>
    <v>79.3</v>
    <v>76.75</v>
    <v>75.27</v>
    <v>75.8</v>
    <v>76.91</v>
    <v>78.3</v>
    <v>77.81</v>
    <v>78.28</v>
    <v>78.680000000000007</v>
    <v>80.27</v>
    <v>79.790000000000006</v>
    <v>79.61</v>
    <v>80.260000000000005</v>
    <v>78.650000000000006</v>
    <v>77.67</v>
    <v>78.22</v>
    <v>75.42</v>
    <v>75.42</v>
    <v>75.180000000000007</v>
    <v>76.38</v>
    <v>76.650000000000006</v>
    <v>77.58</v>
    <v>77.38</v>
    <v>77.37</v>
    <v>77.34</v>
    <v>76.47</v>
    <v>77.239999999999995</v>
    <v>78</v>
    <v>76.38</v>
    <v>73</v>
    <v>73.05</v>
    <v>72.209999999999994</v>
    <v>70.34</v>
    <v>71.069999999999993</v>
    <v>70.92</v>
    <v>70.81</v>
    <v>69.510000000000005</v>
    <v>69.27</v>
    <v>68.36</v>
    <v>68.98</v>
    <v>68.03</v>
    <v>65.92</v>
    <v>66.88</v>
    <v>66.94</v>
    <v>67.150000000000006</v>
    <v>67.78</v>
    <v>69.349999999999994</v>
    <v>68.819999999999993</v>
    <v>68.38</v>
    <v>70.42</v>
    <v>71.2</v>
    <v>70.64</v>
    <v>69.59</v>
    <v>70.510000000000005</v>
    <v>71.14</v>
    <v>72.81</v>
    <v>74.290000000000006</v>
    <v>76.180000000000007</v>
    <v>75.900000000000006</v>
    <v>74.38</v>
    <v>73.78</v>
    <v>75.83</v>
    <v>75.569999999999993</v>
    <v>76.42</v>
    <v>76.430000000000007</v>
    <v>74.25</v>
    <v>73.8</v>
    <v>74.540000000000006</v>
    <v>74.09</v>
    <v>75.540000000000006</v>
    <v>76.59</v>
    <v>75.53</v>
    <v>75.41</v>
    <v>75.78</v>
    <v>75.930000000000007</v>
    <v>76.900000000000006</v>
    <v>77.66</v>
    <v>78.319999999999993</v>
    <v>77.44</v>
    <v>75.98</v>
    <v>75.7</v>
    <v>75.28</v>
    <v>74.17</v>
    <v>74.67</v>
    <v>75.53</v>
    <v>77.61</v>
    <v>78.3</v>
    <v>78.02</v>
    <v>76.099999999999994</v>
    <v>77.3</v>
    <v>77.75</v>
    <v>78.209999999999994</v>
    <v>78.38</v>
    <v>78.77</v>
    <v>79.53</v>
    <v>80.489999999999995</v>
    <v>80.03</v>
    <v>79.63</v>
    <v>79.319999999999993</v>
    <v>78.56</v>
    <v>78.150000000000006</v>
    <v>79.62</v>
    <v>81.05</v>
    <v>79.989999999999995</v>
    <v>80</v>
    <v>78.099999999999994</v>
    <v>75.7</v>
    <v>74.510000000000005</v>
    <v>74.459999999999994</v>
    <v>75.8</v>
    <v>75.72</v>
    <v>75.42</v>
    <v>77.58</v>
    <v>78.53</v>
    <v>78.98</v>
    <v>79.89</v>
    <v>80.17</v>
    <v>80.209999999999994</v>
    <v>80.709999999999994</v>
    <v>80.53</v>
    <v>79.94</v>
    <v>80.900000000000006</v>
    <v>79.98</v>
    <v>83.45</v>
  </a>
  <a r="1" c="208">
    <v>13.195</v>
    <v>12.975</v>
    <v>12.664999999999999</v>
    <v>12.625</v>
    <v>12.74</v>
    <v>12.66</v>
    <v>12.91</v>
    <v>12.86</v>
    <v>12.535</v>
    <v>12.805</v>
    <v>12.744999999999999</v>
    <v>12.715</v>
    <v>12.51</v>
    <v>12.475</v>
    <v>12.585000000000001</v>
    <v>12.404999999999999</v>
    <v>12.605</v>
    <v>12.77</v>
    <v>12.565</v>
    <v>12.475</v>
    <v>12.62</v>
    <v>13.04</v>
    <v>13.005000000000001</v>
    <v>13.175000000000001</v>
    <v>12.93</v>
    <v>12.84</v>
    <v>12.92</v>
    <v>12.66</v>
    <v>12.425000000000001</v>
    <v>12.295</v>
    <v>11.75</v>
    <v>11.895</v>
    <v>12.01</v>
    <v>12.32</v>
    <v>12.4</v>
    <v>12.89</v>
    <v>13</v>
    <v>12.654999999999999</v>
    <v>12.87</v>
    <v>12.925000000000001</v>
    <v>12.535</v>
    <v>12.18</v>
    <v>11.64</v>
    <v>11.904999999999999</v>
    <v>11.68</v>
    <v>11.46</v>
    <v>11.36</v>
    <v>11.715</v>
    <v>11.765000000000001</v>
    <v>11.414999999999999</v>
    <v>11.43</v>
    <v>11.484999999999999</v>
    <v>11.654999999999999</v>
    <v>11.9</v>
    <v>11.58</v>
    <v>11.244999999999999</v>
    <v>11.66</v>
    <v>11.654999999999999</v>
    <v>12.005000000000001</v>
    <v>11.91</v>
    <v>11.675000000000001</v>
    <v>11.675000000000001</v>
    <v>11.86</v>
    <v>12.255000000000001</v>
    <v>12.05</v>
    <v>12.07</v>
    <v>12.595000000000001</v>
    <v>12.625</v>
    <v>12.675000000000001</v>
    <v>12.54</v>
    <v>12.62</v>
    <v>12.99</v>
    <v>13.05</v>
    <v>13.48</v>
    <v>12.715</v>
    <v>12.51</v>
    <v>12.234999999999999</v>
    <v>12.13</v>
    <v>12.18</v>
    <v>12.365</v>
    <v>12.475</v>
    <v>12.375</v>
    <v>12.385</v>
    <v>12.145</v>
    <v>12.305</v>
    <v>12.78</v>
    <v>12.8</v>
    <v>12.87</v>
    <v>12.885</v>
    <v>13.135</v>
    <v>13.19</v>
    <v>13.33</v>
    <v>13.095000000000001</v>
    <v>13.09</v>
    <v>12.87</v>
    <v>13.2</v>
    <v>13.1</v>
    <v>13.3</v>
    <v>13.395</v>
    <v>13.3</v>
    <v>13.29</v>
    <v>13.4</v>
    <v>13.484999999999999</v>
    <v>13.425000000000001</v>
    <v>13.39</v>
    <v>13.26</v>
    <v>13.305</v>
    <v>13.21</v>
    <v>13.32</v>
    <v>13.525</v>
    <v>14.025</v>
    <v>14.074999999999999</v>
    <v>14.44</v>
    <v>14.8</v>
    <v>15.08</v>
    <v>15.52</v>
    <v>15.83</v>
    <v>15.7</v>
    <v>15.734999999999999</v>
    <v>15.64</v>
    <v>15.305</v>
    <v>15.31</v>
    <v>15.04</v>
    <v>14.945</v>
    <v>15.11</v>
    <v>15.1</v>
    <v>15.215</v>
    <v>15.324999999999999</v>
    <v>15.654999999999999</v>
    <v>15.585000000000001</v>
    <v>15.295</v>
    <v>15.475</v>
    <v>15.645</v>
    <v>15.65</v>
    <v>15.565</v>
    <v>15.53</v>
    <v>15.555</v>
    <v>15.41</v>
    <v>15.515000000000001</v>
    <v>15.725</v>
    <v>15.585000000000001</v>
    <v>15.345000000000001</v>
    <v>15.66</v>
    <v>15.785</v>
    <v>15.5</v>
    <v>15.345000000000001</v>
    <v>15.71</v>
    <v>15.775</v>
    <v>16.11</v>
    <v>16.445</v>
    <v>16.53</v>
    <v>17.18</v>
    <v>17.004999999999999</v>
    <v>17.105</v>
    <v>16.954999999999998</v>
    <v>16.975000000000001</v>
    <v>16.920000000000002</v>
    <v>17.03</v>
    <v>16.89</v>
    <v>16.725000000000001</v>
    <v>16.64</v>
    <v>16.75</v>
    <v>16.684999999999999</v>
    <v>16.3</v>
    <v>16.22</v>
    <v>16.27</v>
    <v>15.925000000000001</v>
    <v>15.98</v>
    <v>16.079999999999998</v>
    <v>16.015000000000001</v>
    <v>16.065000000000001</v>
    <v>16.295000000000002</v>
    <v>16.100000000000001</v>
    <v>16.149999999999999</v>
    <v>16.11</v>
    <v>16.11</v>
    <v>16.100000000000001</v>
    <v>16.25</v>
    <v>16.100000000000001</v>
    <v>16.03</v>
    <v>16.094999999999999</v>
    <v>16.024999999999999</v>
    <v>15.7</v>
    <v>16.375</v>
    <v>16.09</v>
    <v>16.285</v>
    <v>16.215</v>
    <v>16.399999999999999</v>
    <v>16.39</v>
    <v>16.254999999999999</v>
    <v>15.92</v>
    <v>15.34</v>
    <v>15.225</v>
    <v>15.27</v>
    <v>15.285</v>
    <v>14.9</v>
    <v>14.6</v>
    <v>14.734999999999999</v>
    <v>14.865</v>
    <v>14.65</v>
    <v>14.414999999999999</v>
    <v>14.03</v>
    <v>13.8</v>
    <v>13.29</v>
    <v>13.105</v>
    <v>13.51</v>
    <v>12.945</v>
    <v>13.085000000000001</v>
  </a>
  <a r="1" c="254">
    <v>12.16</v>
    <v>12.185</v>
    <v>12.39</v>
    <v>12.46</v>
    <v>12.61</v>
    <v>12.53</v>
    <v>12.605</v>
    <v>12.64</v>
    <v>12.605</v>
    <v>12.7</v>
    <v>12.64</v>
    <v>12.595000000000001</v>
    <v>13.19</v>
    <v>13.27</v>
    <v>13.265000000000001</v>
    <v>13.475</v>
    <v>13.035</v>
    <v>12.925000000000001</v>
    <v>12.58</v>
    <v>12.54</v>
    <v>12.6</v>
    <v>12.49</v>
    <v>12.065</v>
    <v>12.285</v>
    <v>12.46</v>
    <v>12.46</v>
    <v>12.414999999999999</v>
    <v>12.4</v>
    <v>12.44</v>
    <v>12.2</v>
    <v>12.074999999999999</v>
    <v>11.99</v>
    <v>12.23</v>
    <v>12.275</v>
    <v>12.345000000000001</v>
    <v>12.585000000000001</v>
    <v>12.375</v>
    <v>12.7</v>
    <v>12.515000000000001</v>
    <v>12.744999999999999</v>
    <v>12.76</v>
    <v>12.925000000000001</v>
    <v>12.805</v>
    <v>12.85</v>
    <v>12.815</v>
    <v>13.02</v>
    <v>13.195</v>
    <v>12.975</v>
    <v>12.664999999999999</v>
    <v>12.625</v>
    <v>12.74</v>
    <v>12.66</v>
    <v>12.91</v>
    <v>12.86</v>
    <v>12.535</v>
    <v>12.805</v>
    <v>12.744999999999999</v>
    <v>12.715</v>
    <v>12.51</v>
    <v>12.475</v>
    <v>12.585000000000001</v>
    <v>12.404999999999999</v>
    <v>12.605</v>
    <v>12.77</v>
    <v>12.565</v>
    <v>12.475</v>
    <v>12.62</v>
    <v>13.04</v>
    <v>13.005000000000001</v>
    <v>13.175000000000001</v>
    <v>12.93</v>
    <v>12.84</v>
    <v>12.92</v>
    <v>12.66</v>
    <v>12.425000000000001</v>
    <v>12.295</v>
    <v>11.75</v>
    <v>11.895</v>
    <v>12.01</v>
    <v>12.32</v>
    <v>12.4</v>
    <v>12.89</v>
    <v>13</v>
    <v>12.654999999999999</v>
    <v>12.87</v>
    <v>12.925000000000001</v>
    <v>12.535</v>
    <v>12.18</v>
    <v>11.64</v>
    <v>11.904999999999999</v>
    <v>11.68</v>
    <v>11.46</v>
    <v>11.36</v>
    <v>11.715</v>
    <v>11.765000000000001</v>
    <v>11.414999999999999</v>
    <v>11.43</v>
    <v>11.484999999999999</v>
    <v>11.654999999999999</v>
    <v>11.9</v>
    <v>11.58</v>
    <v>11.244999999999999</v>
    <v>11.66</v>
    <v>11.654999999999999</v>
    <v>12.005000000000001</v>
    <v>11.91</v>
    <v>11.675000000000001</v>
    <v>11.675000000000001</v>
    <v>11.86</v>
    <v>12.255000000000001</v>
    <v>12.05</v>
    <v>12.07</v>
    <v>12.595000000000001</v>
    <v>12.625</v>
    <v>12.675000000000001</v>
    <v>12.54</v>
    <v>12.62</v>
    <v>12.99</v>
    <v>13.05</v>
    <v>13.48</v>
    <v>12.715</v>
    <v>12.51</v>
    <v>12.234999999999999</v>
    <v>12.13</v>
    <v>12.18</v>
    <v>12.365</v>
    <v>12.475</v>
    <v>12.375</v>
    <v>12.385</v>
    <v>12.145</v>
    <v>12.305</v>
    <v>12.78</v>
    <v>12.8</v>
    <v>12.87</v>
    <v>12.885</v>
    <v>13.135</v>
    <v>13.19</v>
    <v>13.33</v>
    <v>13.095000000000001</v>
    <v>13.09</v>
    <v>12.87</v>
    <v>13.2</v>
    <v>13.1</v>
    <v>13.3</v>
    <v>13.395</v>
    <v>13.3</v>
    <v>13.29</v>
    <v>13.4</v>
    <v>13.484999999999999</v>
    <v>13.425000000000001</v>
    <v>13.39</v>
    <v>13.26</v>
    <v>13.305</v>
    <v>13.21</v>
    <v>13.32</v>
    <v>13.525</v>
    <v>14.025</v>
    <v>14.074999999999999</v>
    <v>14.44</v>
    <v>14.8</v>
    <v>15.08</v>
    <v>15.52</v>
    <v>15.83</v>
    <v>15.7</v>
    <v>15.734999999999999</v>
    <v>15.64</v>
    <v>15.305</v>
    <v>15.31</v>
    <v>15.04</v>
    <v>14.945</v>
    <v>15.11</v>
    <v>15.1</v>
    <v>15.215</v>
    <v>15.324999999999999</v>
    <v>15.654999999999999</v>
    <v>15.585000000000001</v>
    <v>15.295</v>
    <v>15.475</v>
    <v>15.645</v>
    <v>15.65</v>
    <v>15.565</v>
    <v>15.53</v>
    <v>15.555</v>
    <v>15.41</v>
    <v>15.515000000000001</v>
    <v>15.725</v>
    <v>15.585000000000001</v>
    <v>15.345000000000001</v>
    <v>15.66</v>
    <v>15.785</v>
    <v>15.5</v>
    <v>15.345000000000001</v>
    <v>15.71</v>
    <v>15.775</v>
    <v>16.11</v>
    <v>16.445</v>
    <v>16.53</v>
    <v>17.18</v>
    <v>17.004999999999999</v>
    <v>17.105</v>
    <v>16.954999999999998</v>
    <v>16.975000000000001</v>
    <v>16.920000000000002</v>
    <v>17.03</v>
    <v>16.89</v>
    <v>16.725000000000001</v>
    <v>16.64</v>
    <v>16.75</v>
    <v>16.684999999999999</v>
    <v>16.3</v>
    <v>16.22</v>
    <v>16.27</v>
    <v>15.925000000000001</v>
    <v>15.98</v>
    <v>16.079999999999998</v>
    <v>16.015000000000001</v>
    <v>16.065000000000001</v>
    <v>16.295000000000002</v>
    <v>16.100000000000001</v>
    <v>16.149999999999999</v>
    <v>16.11</v>
    <v>16.11</v>
    <v>16.100000000000001</v>
    <v>16.25</v>
    <v>16.100000000000001</v>
    <v>16.03</v>
    <v>16.094999999999999</v>
    <v>16.024999999999999</v>
    <v>15.7</v>
    <v>16.375</v>
    <v>16.09</v>
    <v>16.285</v>
    <v>16.215</v>
    <v>16.399999999999999</v>
    <v>16.39</v>
    <v>16.254999999999999</v>
    <v>15.92</v>
    <v>15.34</v>
    <v>15.225</v>
    <v>15.27</v>
    <v>15.285</v>
    <v>14.9</v>
    <v>14.6</v>
    <v>14.734999999999999</v>
    <v>14.865</v>
    <v>14.65</v>
    <v>14.414999999999999</v>
    <v>14.03</v>
    <v>13.8</v>
    <v>13.29</v>
    <v>13.105</v>
    <v>13.51</v>
    <v>12.945</v>
    <v>13.085000000000001</v>
  </a>
  <a r="1" c="761">
    <v>4.74</v>
    <v>4.6520000000000001</v>
    <v>4.6959999999999997</v>
    <v>4.7</v>
    <v>4.6829999999999998</v>
    <v>4.7229999999999999</v>
    <v>4.8230000000000004</v>
    <v>4.8860000000000001</v>
    <v>4.8659999999999997</v>
    <v>4.8719999999999999</v>
    <v>4.9039999999999999</v>
    <v>4.8639999999999999</v>
    <v>4.9269999999999996</v>
    <v>5.07</v>
    <v>5.0860000000000003</v>
    <v>5.32</v>
    <v>5.2880000000000003</v>
    <v>5.3220000000000001</v>
    <v>5.25</v>
    <v>5.274</v>
    <v>5.3239999999999998</v>
    <v>5.1100000000000003</v>
    <v>5.0780000000000003</v>
    <v>5.0999999999999996</v>
    <v>5.0940000000000003</v>
    <v>5.048</v>
    <v>5.0599999999999996</v>
    <v>5.09</v>
    <v>5.0739999999999998</v>
    <v>5.1680000000000001</v>
    <v>5.1120000000000001</v>
    <v>5.0999999999999996</v>
    <v>5.1319999999999997</v>
    <v>4.93</v>
    <v>4.9889999999999999</v>
    <v>5.0279999999999996</v>
    <v>5.09</v>
    <v>5.008</v>
    <v>4.8170000000000002</v>
    <v>4.734</v>
    <v>4.7779999999999996</v>
    <v>4.8140000000000001</v>
    <v>4.7439999999999998</v>
    <v>4.7110000000000003</v>
    <v>4.766</v>
    <v>4.7930000000000001</v>
    <v>4.7590000000000003</v>
    <v>4.7809999999999997</v>
    <v>4.8680000000000003</v>
    <v>4.8689999999999998</v>
    <v>5.0659999999999998</v>
    <v>5.1539999999999999</v>
    <v>5.12</v>
    <v>4.8710000000000004</v>
    <v>4.8769999999999998</v>
    <v>4.7949999999999999</v>
    <v>4.7969999999999997</v>
    <v>4.7460000000000004</v>
    <v>4.7320000000000002</v>
    <v>4.798</v>
    <v>4.8600000000000003</v>
    <v>4.9000000000000004</v>
    <v>4.9000000000000004</v>
    <v>4.8739999999999997</v>
    <v>4.9589999999999996</v>
    <v>4.8600000000000003</v>
    <v>4.8230000000000004</v>
    <v>4.7869999999999999</v>
    <v>4.9349999999999996</v>
    <v>5.01</v>
    <v>4.9450000000000003</v>
    <v>5.0179999999999998</v>
    <v>5.03</v>
    <v>5.0220000000000002</v>
    <v>5.0439999999999996</v>
    <v>5.0860000000000003</v>
    <v>5.1920000000000002</v>
    <v>5.3079999999999998</v>
    <v>5.1020000000000003</v>
    <v>5.1059999999999999</v>
    <v>4.9489999999999998</v>
    <v>4.9160000000000004</v>
    <v>4.92</v>
    <v>4.9329999999999998</v>
    <v>4.9800000000000004</v>
    <v>5.1840000000000002</v>
    <v>5.4640000000000004</v>
    <v>5.53</v>
    <v>5.44</v>
    <v>5.3920000000000003</v>
    <v>5.3739999999999997</v>
    <v>5.4539999999999997</v>
    <v>5.55</v>
    <v>5.5720000000000001</v>
    <v>5.5620000000000003</v>
    <v>5.5019999999999998</v>
    <v>5.5</v>
    <v>5.5220000000000002</v>
    <v>5.6139999999999999</v>
    <v>5.65</v>
    <v>5.6139999999999999</v>
    <v>5.6980000000000004</v>
    <v>5.8019999999999996</v>
    <v>5.9420000000000002</v>
    <v>5.992</v>
    <v>5.9859999999999998</v>
    <v>6.0279999999999996</v>
    <v>6.1219999999999999</v>
    <v>6.1859999999999999</v>
    <v>6.1260000000000003</v>
    <v>6.1680000000000001</v>
    <v>6.234</v>
    <v>6.3620000000000001</v>
    <v>6.3319999999999999</v>
    <v>6.26</v>
    <v>6.298</v>
    <v>6.2359999999999998</v>
    <v>6.3840000000000003</v>
    <v>6.1580000000000004</v>
    <v>6.0839999999999996</v>
    <v>6.1559999999999997</v>
    <v>6.13</v>
    <v>6.25</v>
    <v>6.3540000000000001</v>
    <v>6.39</v>
    <v>5.8920000000000003</v>
    <v>6.1159999999999997</v>
    <v>6.11</v>
    <v>6.1020000000000003</v>
    <v>6.2160000000000002</v>
    <v>6.1639999999999997</v>
    <v>6.1840000000000002</v>
    <v>6.298</v>
    <v>6.1159999999999997</v>
    <v>6.2220000000000004</v>
    <v>6.3440000000000003</v>
    <v>6.226</v>
    <v>6.1379999999999999</v>
    <v>6.2279999999999998</v>
    <v>6.226</v>
    <v>6.4020000000000001</v>
    <v>6.47</v>
    <v>6.5339999999999998</v>
    <v>6.72</v>
    <v>6.6</v>
    <v>6.5979999999999999</v>
    <v>6.532</v>
    <v>6.4820000000000002</v>
    <v>6.48</v>
    <v>6.4820000000000002</v>
    <v>6.5259999999999998</v>
    <v>6.4320000000000004</v>
    <v>6.6040000000000001</v>
    <v>6.6040000000000001</v>
    <v>6.5839999999999996</v>
    <v>6.4359999999999999</v>
    <v>6.3840000000000003</v>
    <v>6.49</v>
    <v>6.5060000000000002</v>
    <v>6.4379999999999997</v>
    <v>6.1580000000000004</v>
    <v>6.21</v>
    <v>6.0540000000000003</v>
    <v>5.88</v>
    <v>5.9359999999999999</v>
    <v>6.03</v>
    <v>6.0860000000000003</v>
    <v>6.1760000000000002</v>
    <v>6.0640000000000001</v>
    <v>6.2</v>
    <v>6.1239999999999997</v>
    <v>6.0919999999999996</v>
    <v>6.0259999999999998</v>
    <v>6.0140000000000002</v>
    <v>6.2160000000000002</v>
    <v>6.2060000000000004</v>
    <v>6.282</v>
    <v>6.3220000000000001</v>
    <v>6.2939999999999996</v>
    <v>6.37</v>
    <v>6.3440000000000003</v>
    <v>6.3120000000000003</v>
    <v>6.218</v>
    <v>6.218</v>
    <v>6.2359999999999998</v>
    <v>6.2839999999999998</v>
    <v>6.32</v>
    <v>6.3559999999999999</v>
    <v>6.3559999999999999</v>
    <v>6.5119999999999996</v>
    <v>6.5439999999999996</v>
    <v>6.55</v>
    <v>6.4880000000000004</v>
    <v>6.4020000000000001</v>
    <v>6.37</v>
    <v>6.48</v>
    <v>6.4</v>
    <v>6.0960000000000001</v>
    <v>5.85</v>
    <v>5.7279999999999998</v>
    <v>5.7279999999999998</v>
    <v>5.8460000000000001</v>
    <v>5.758</v>
    <v>5.798</v>
    <v>5.782</v>
    <v>5.8019999999999996</v>
    <v>5.8220000000000001</v>
    <v>5.9580000000000002</v>
    <v>6.0039999999999996</v>
    <v>5.9119999999999999</v>
    <v>6.0259999999999998</v>
    <v>6.0179999999999998</v>
    <v>6.0839999999999996</v>
    <v>6.0419999999999998</v>
    <v>6.0419999999999998</v>
    <v>5.9960000000000004</v>
    <v>6.05</v>
    <v>6.1440000000000001</v>
    <v>6.1559999999999997</v>
    <v>5.97</v>
    <v>5.952</v>
    <v>6.01</v>
    <v>5.9059999999999997</v>
    <v>5.95</v>
    <v>5.8339999999999996</v>
    <v>5.7880000000000003</v>
    <v>5.9580000000000002</v>
    <v>5.992</v>
    <v>5.9740000000000002</v>
    <v>6.0119999999999996</v>
    <v>6.1879999999999997</v>
    <v>6.1379999999999999</v>
    <v>6.11</v>
    <v>5.952</v>
    <v>6.0679999999999996</v>
    <v>6.08</v>
    <v>6.2759999999999998</v>
    <v>6.23</v>
    <v>6.0579999999999998</v>
    <v>5.7919999999999998</v>
    <v>5.8019999999999996</v>
    <v>5.798</v>
    <v>5.9059999999999997</v>
    <v>5.9560000000000004</v>
    <v>5.9279999999999999</v>
    <v>6</v>
    <v>6.16</v>
    <v>6.1639999999999997</v>
    <v>6.2119999999999997</v>
    <v>6.32</v>
    <v>6.3559999999999999</v>
    <v>6.4279999999999999</v>
    <v>6.4020000000000001</v>
    <v>6.2859999999999996</v>
    <v>6.2779999999999996</v>
    <v>6.2080000000000002</v>
    <v>6.0819999999999999</v>
    <v>6.0880000000000001</v>
    <v>6.1920000000000002</v>
    <v>6.1959999999999997</v>
    <v>6.1820000000000004</v>
    <v>6.1959999999999997</v>
    <v>6.3540000000000001</v>
    <v>6.4020000000000001</v>
    <v>6.51</v>
    <v>6.3120000000000003</v>
    <v>6.8780000000000001</v>
    <v>6.7160000000000002</v>
    <v>6.8259999999999996</v>
    <v>6.78</v>
    <v>6.76</v>
    <v>6.9660000000000002</v>
    <v>7.0439999999999996</v>
    <v>6.8680000000000003</v>
    <v>6.7240000000000002</v>
    <v>6.734</v>
    <v>6.73</v>
    <v>6.6440000000000001</v>
    <v>7.008</v>
    <v>6.9320000000000004</v>
    <v>7.01</v>
    <v>7.1479999999999997</v>
    <v>7.2039999999999997</v>
    <v>7.1639999999999997</v>
    <v>7.266</v>
    <v>7.2859999999999996</v>
    <v>7.4820000000000002</v>
    <v>7.51</v>
    <v>7.6779999999999999</v>
    <v>7.7720000000000002</v>
    <v>7.77</v>
    <v>7.86</v>
    <v>7.8460000000000001</v>
    <v>7.944</v>
    <v>7.96</v>
    <v>7.9039999999999999</v>
    <v>7.6859999999999999</v>
    <v>7.6840000000000002</v>
    <v>7.6840000000000002</v>
    <v>7.8319999999999999</v>
    <v>7.8120000000000003</v>
    <v>7.77</v>
    <v>7.694</v>
    <v>7.87</v>
    <v>7.8120000000000003</v>
    <v>7.8159999999999998</v>
    <v>7.91</v>
    <v>7.968</v>
    <v>7.992</v>
    <v>8.1219999999999999</v>
    <v>8.2560000000000002</v>
    <v>8.2200000000000006</v>
    <v>8.3239999999999998</v>
    <v>8.298</v>
    <v>8.3659999999999997</v>
    <v>8.23</v>
    <v>8.2620000000000005</v>
    <v>8.4179999999999993</v>
    <v>8.4</v>
    <v>8.39</v>
    <v>8.51</v>
    <v>8.52</v>
    <v>8.52</v>
    <v>8.4120000000000008</v>
    <v>8.56</v>
    <v>8.5399999999999991</v>
    <v>8.9580000000000002</v>
    <v>9.0419999999999998</v>
    <v>8.8719999999999999</v>
    <v>8.9160000000000004</v>
    <v>8.8620000000000001</v>
    <v>8.6980000000000004</v>
    <v>8.76</v>
    <v>8.8119999999999994</v>
    <v>9.0399999999999991</v>
    <v>8.9440000000000008</v>
    <v>9.0359999999999996</v>
    <v>9.0960000000000001</v>
    <v>9.1780000000000008</v>
    <v>9.3680000000000003</v>
    <v>9.6059999999999999</v>
    <v>9.5839999999999996</v>
    <v>9.6199999999999992</v>
    <v>9.7479999999999993</v>
    <v>9.3759999999999994</v>
    <v>9.8520000000000003</v>
    <v>9.9580000000000002</v>
    <v>9.86</v>
    <v>9.6379999999999999</v>
    <v>9.5640000000000001</v>
    <v>9.7639999999999993</v>
    <v>9.718</v>
    <v>9.9480000000000004</v>
    <v>10.085000000000001</v>
    <v>10.215</v>
    <v>10.215</v>
    <v>10</v>
    <v>10.145</v>
    <v>10.055</v>
    <v>10.27</v>
    <v>9.81</v>
    <v>9.7880000000000003</v>
    <v>9.59</v>
    <v>9.3460000000000001</v>
    <v>9.5440000000000005</v>
    <v>9.5579999999999998</v>
    <v>9.0239999999999991</v>
    <v>8.298</v>
    <v>8.016</v>
    <v>8.218</v>
    <v>8.0779999999999994</v>
    <v>8.69</v>
    <v>8.5519999999999996</v>
    <v>8.9960000000000004</v>
    <v>9.32</v>
    <v>9.4280000000000008</v>
    <v>9.2759999999999998</v>
    <v>9.2219999999999995</v>
    <v>9.4179999999999993</v>
    <v>9.5299999999999994</v>
    <v>9.7379999999999995</v>
    <v>9.8800000000000008</v>
    <v>9.98</v>
    <v>9.7940000000000005</v>
    <v>9.9939999999999998</v>
    <v>9.9499999999999993</v>
    <v>9.8460000000000001</v>
    <v>9.7579999999999991</v>
    <v>9.8539999999999992</v>
    <v>10.045</v>
    <v>10.375</v>
    <v>10.31</v>
    <v>10.305</v>
    <v>10.199999999999999</v>
    <v>10.225</v>
    <v>9.9120000000000008</v>
    <v>9.9719999999999995</v>
    <v>10.02</v>
    <v>10.015000000000001</v>
    <v>9.8000000000000007</v>
    <v>9.8239999999999998</v>
    <v>9.8559999999999999</v>
    <v>10.09</v>
    <v>10.119999999999999</v>
    <v>10.11</v>
    <v>10.119999999999999</v>
    <v>10.17</v>
    <v>10.14</v>
    <v>10.35</v>
    <v>10.33</v>
    <v>10.38</v>
    <v>10.11</v>
    <v>10.045</v>
    <v>10.06</v>
    <v>9.9160000000000004</v>
    <v>10.065</v>
    <v>10.025</v>
    <v>10.115</v>
    <v>9.81</v>
    <v>9.83</v>
    <v>9.6319999999999997</v>
    <v>9.9559999999999995</v>
    <v>9.8879999999999999</v>
    <v>9.8879999999999999</v>
    <v>9.9760000000000009</v>
    <v>9.9120000000000008</v>
    <v>9.8239999999999998</v>
    <v>10.005000000000001</v>
    <v>10.1</v>
    <v>10.005000000000001</v>
    <v>10.125</v>
    <v>10.49</v>
    <v>10.73</v>
    <v>10.414999999999999</v>
    <v>10.025</v>
    <v>10.545</v>
    <v>10.275</v>
    <v>10.28</v>
    <v>10.34</v>
    <v>10.365</v>
    <v>10.199999999999999</v>
    <v>10.324999999999999</v>
    <v>10.07</v>
    <v>10.205</v>
    <v>10.32</v>
    <v>10.5</v>
    <v>10.81</v>
    <v>10.955</v>
    <v>11.2</v>
    <v>10.86</v>
    <v>11.105</v>
    <v>11.03</v>
    <v>11.27</v>
    <v>11.29</v>
    <v>11.56</v>
    <v>11.645</v>
    <v>11.695</v>
    <v>11.85</v>
    <v>11.945</v>
    <v>11.914999999999999</v>
    <v>11.96</v>
    <v>11.92</v>
    <v>12.05</v>
    <v>12.065</v>
    <v>11.994999999999999</v>
    <v>11.9</v>
    <v>11.664999999999999</v>
    <v>11.71</v>
    <v>11.725</v>
    <v>11.71</v>
    <v>11.6</v>
    <v>11.625</v>
    <v>11.695</v>
    <v>11.494999999999999</v>
    <v>11.95</v>
    <v>12.21</v>
    <v>12.22</v>
    <v>12.305</v>
    <v>12.56</v>
    <v>12.755000000000001</v>
    <v>12.79</v>
    <v>12.61</v>
    <v>12.78</v>
    <v>12.675000000000001</v>
    <v>12.7</v>
    <v>12.46</v>
    <v>12.615</v>
    <v>12.845000000000001</v>
    <v>12.98</v>
    <v>12.62</v>
    <v>12.725</v>
    <v>12.9</v>
    <v>12.63</v>
    <v>12.815</v>
    <v>12.92</v>
    <v>12.695</v>
    <v>12.99</v>
    <v>12.935</v>
    <v>12.664999999999999</v>
    <v>12.675000000000001</v>
    <v>12.5</v>
    <v>12.15</v>
    <v>12.205</v>
    <v>12.01</v>
    <v>12.315</v>
    <v>12.21</v>
    <v>12.055</v>
    <v>12.16</v>
    <v>12.185</v>
    <v>12.39</v>
    <v>12.46</v>
    <v>12.61</v>
    <v>12.53</v>
    <v>12.605</v>
    <v>12.64</v>
    <v>12.605</v>
    <v>12.7</v>
    <v>12.64</v>
    <v>12.595000000000001</v>
    <v>13.19</v>
    <v>13.27</v>
    <v>13.265000000000001</v>
    <v>13.475</v>
    <v>13.035</v>
    <v>12.925000000000001</v>
    <v>12.58</v>
    <v>12.54</v>
    <v>12.6</v>
    <v>12.49</v>
    <v>12.065</v>
    <v>12.285</v>
    <v>12.46</v>
    <v>12.46</v>
    <v>12.414999999999999</v>
    <v>12.4</v>
    <v>12.44</v>
    <v>12.2</v>
    <v>12.074999999999999</v>
    <v>11.99</v>
    <v>12.23</v>
    <v>12.275</v>
    <v>12.345000000000001</v>
    <v>12.585000000000001</v>
    <v>12.375</v>
    <v>12.7</v>
    <v>12.515000000000001</v>
    <v>12.744999999999999</v>
    <v>12.76</v>
    <v>12.925000000000001</v>
    <v>12.805</v>
    <v>12.85</v>
    <v>12.815</v>
    <v>13.02</v>
    <v>13.195</v>
    <v>12.975</v>
    <v>12.664999999999999</v>
    <v>12.625</v>
    <v>12.74</v>
    <v>12.66</v>
    <v>12.91</v>
    <v>12.86</v>
    <v>12.535</v>
    <v>12.805</v>
    <v>12.744999999999999</v>
    <v>12.715</v>
    <v>12.51</v>
    <v>12.475</v>
    <v>12.585000000000001</v>
    <v>12.404999999999999</v>
    <v>12.605</v>
    <v>12.77</v>
    <v>12.565</v>
    <v>12.475</v>
    <v>12.62</v>
    <v>13.04</v>
    <v>13.005000000000001</v>
    <v>13.175000000000001</v>
    <v>12.93</v>
    <v>12.84</v>
    <v>12.92</v>
    <v>12.66</v>
    <v>12.425000000000001</v>
    <v>12.295</v>
    <v>11.75</v>
    <v>11.895</v>
    <v>12.01</v>
    <v>12.32</v>
    <v>12.4</v>
    <v>12.89</v>
    <v>13</v>
    <v>12.654999999999999</v>
    <v>12.87</v>
    <v>12.925000000000001</v>
    <v>12.535</v>
    <v>12.18</v>
    <v>11.64</v>
    <v>11.904999999999999</v>
    <v>11.68</v>
    <v>11.46</v>
    <v>11.36</v>
    <v>11.715</v>
    <v>11.765000000000001</v>
    <v>11.414999999999999</v>
    <v>11.43</v>
    <v>11.484999999999999</v>
    <v>11.654999999999999</v>
    <v>11.9</v>
    <v>11.58</v>
    <v>11.244999999999999</v>
    <v>11.66</v>
    <v>11.654999999999999</v>
    <v>12.005000000000001</v>
    <v>11.91</v>
    <v>11.675000000000001</v>
    <v>11.675000000000001</v>
    <v>11.86</v>
    <v>12.255000000000001</v>
    <v>12.05</v>
    <v>12.07</v>
    <v>12.595000000000001</v>
    <v>12.625</v>
    <v>12.675000000000001</v>
    <v>12.54</v>
    <v>12.62</v>
    <v>12.99</v>
    <v>13.05</v>
    <v>13.48</v>
    <v>12.715</v>
    <v>12.51</v>
    <v>12.234999999999999</v>
    <v>12.13</v>
    <v>12.18</v>
    <v>12.365</v>
    <v>12.475</v>
    <v>12.375</v>
    <v>12.385</v>
    <v>12.145</v>
    <v>12.305</v>
    <v>12.78</v>
    <v>12.8</v>
    <v>12.87</v>
    <v>12.885</v>
    <v>13.135</v>
    <v>13.19</v>
    <v>13.33</v>
    <v>13.095000000000001</v>
    <v>13.09</v>
    <v>12.87</v>
    <v>13.2</v>
    <v>13.1</v>
    <v>13.3</v>
    <v>13.395</v>
    <v>13.3</v>
    <v>13.29</v>
    <v>13.4</v>
    <v>13.484999999999999</v>
    <v>13.425000000000001</v>
    <v>13.39</v>
    <v>13.26</v>
    <v>13.305</v>
    <v>13.21</v>
    <v>13.32</v>
    <v>13.525</v>
    <v>14.025</v>
    <v>14.074999999999999</v>
    <v>14.44</v>
    <v>14.8</v>
    <v>15.08</v>
    <v>15.52</v>
    <v>15.83</v>
    <v>15.7</v>
    <v>15.734999999999999</v>
    <v>15.64</v>
    <v>15.305</v>
    <v>15.31</v>
    <v>15.04</v>
    <v>14.945</v>
    <v>15.11</v>
    <v>15.1</v>
    <v>15.215</v>
    <v>15.324999999999999</v>
    <v>15.654999999999999</v>
    <v>15.585000000000001</v>
    <v>15.295</v>
    <v>15.475</v>
    <v>15.645</v>
    <v>15.65</v>
    <v>15.565</v>
    <v>15.53</v>
    <v>15.555</v>
    <v>15.41</v>
    <v>15.515000000000001</v>
    <v>15.725</v>
    <v>15.585000000000001</v>
    <v>15.345000000000001</v>
    <v>15.66</v>
    <v>15.785</v>
    <v>15.5</v>
    <v>15.345000000000001</v>
    <v>15.71</v>
    <v>15.775</v>
    <v>16.11</v>
    <v>16.445</v>
    <v>16.53</v>
    <v>17.18</v>
    <v>17.004999999999999</v>
    <v>17.105</v>
    <v>16.954999999999998</v>
    <v>16.975000000000001</v>
    <v>16.920000000000002</v>
    <v>17.03</v>
    <v>16.89</v>
    <v>16.725000000000001</v>
    <v>16.64</v>
    <v>16.75</v>
    <v>16.684999999999999</v>
    <v>16.3</v>
    <v>16.22</v>
    <v>16.27</v>
    <v>15.925000000000001</v>
    <v>15.98</v>
    <v>16.079999999999998</v>
    <v>16.015000000000001</v>
    <v>16.065000000000001</v>
    <v>16.295000000000002</v>
    <v>16.100000000000001</v>
    <v>16.149999999999999</v>
    <v>16.11</v>
    <v>16.11</v>
    <v>16.100000000000001</v>
    <v>16.25</v>
    <v>16.100000000000001</v>
    <v>16.03</v>
    <v>16.094999999999999</v>
    <v>16.024999999999999</v>
    <v>15.7</v>
    <v>16.375</v>
    <v>16.09</v>
    <v>16.285</v>
    <v>16.215</v>
    <v>16.399999999999999</v>
    <v>16.39</v>
    <v>16.254999999999999</v>
    <v>15.92</v>
    <v>15.34</v>
    <v>15.225</v>
    <v>15.27</v>
    <v>15.285</v>
    <v>14.9</v>
    <v>14.6</v>
    <v>14.734999999999999</v>
    <v>14.865</v>
    <v>14.65</v>
    <v>14.414999999999999</v>
    <v>14.03</v>
    <v>13.8</v>
    <v>13.29</v>
    <v>13.105</v>
    <v>13.51</v>
    <v>12.945</v>
    <v>13.085000000000001</v>
  </a>
  <a r="1" c="208">
    <v>31.454999999999998</v>
    <v>31.69</v>
    <v>31.85</v>
    <v>31.89</v>
    <v>32.195</v>
    <v>32.299999999999997</v>
    <v>32.145000000000003</v>
    <v>32.104999999999997</v>
    <v>32.35</v>
    <v>32.795000000000002</v>
    <v>32.734999999999999</v>
    <v>32.445</v>
    <v>32.225000000000001</v>
    <v>32.46</v>
    <v>32.799999999999997</v>
    <v>32.43</v>
    <v>32.22</v>
    <v>32.32</v>
    <v>32.365000000000002</v>
    <v>32.33</v>
    <v>32.54</v>
    <v>32.655000000000001</v>
    <v>32.78</v>
    <v>33.305</v>
    <v>33.055</v>
    <v>33.4</v>
    <v>33.229999999999997</v>
    <v>33.44</v>
    <v>33.520000000000003</v>
    <v>33.700000000000003</v>
    <v>33.630000000000003</v>
    <v>33.825000000000003</v>
    <v>33.664999999999999</v>
    <v>33.725000000000001</v>
    <v>33.61</v>
    <v>33.729999999999997</v>
    <v>33.505000000000003</v>
    <v>33.75</v>
    <v>33.549999999999997</v>
    <v>33.700000000000003</v>
    <v>33.655000000000001</v>
    <v>33.58</v>
    <v>33.21</v>
    <v>33.29</v>
    <v>33.29</v>
    <v>32.884999999999998</v>
    <v>32.58</v>
    <v>32.71</v>
    <v>32.484999999999999</v>
    <v>32.46</v>
    <v>32.590000000000003</v>
    <v>32.729999999999997</v>
    <v>32.805</v>
    <v>32.54</v>
    <v>32.31</v>
    <v>31.96</v>
    <v>32.005000000000003</v>
    <v>32.159999999999997</v>
    <v>32.479999999999997</v>
    <v>32.344999999999999</v>
    <v>32.265000000000001</v>
    <v>32.58</v>
    <v>32.375</v>
    <v>32.534999999999997</v>
    <v>32.729999999999997</v>
    <v>32.585000000000001</v>
    <v>32.75</v>
    <v>32.905000000000001</v>
    <v>32.905000000000001</v>
    <v>32.700000000000003</v>
    <v>32.76</v>
    <v>32.74</v>
    <v>32.865000000000002</v>
    <v>33.08</v>
    <v>33.185000000000002</v>
    <v>33.07</v>
    <v>32.965000000000003</v>
    <v>33.19</v>
    <v>33.115000000000002</v>
    <v>33.094999999999999</v>
    <v>33.314999999999998</v>
    <v>33.07</v>
    <v>33.475000000000001</v>
    <v>33.414999999999999</v>
    <v>33.47</v>
    <v>33.409999999999997</v>
    <v>33.085000000000001</v>
    <v>32.905000000000001</v>
    <v>32.86</v>
    <v>32.755000000000003</v>
    <v>32.729999999999997</v>
    <v>33.075000000000003</v>
    <v>32.835000000000001</v>
    <v>32.994999999999997</v>
    <v>33.155000000000001</v>
    <v>33.270000000000003</v>
    <v>33.340000000000003</v>
    <v>33.49</v>
    <v>33.685000000000002</v>
    <v>33.56</v>
    <v>33.524999999999999</v>
    <v>33.29</v>
    <v>33.21</v>
    <v>33.164999999999999</v>
    <v>33.22</v>
    <v>33.08</v>
    <v>33.25</v>
    <v>33.465000000000003</v>
    <v>33.494999999999997</v>
    <v>33.47</v>
    <v>33.734999999999999</v>
    <v>33.725000000000001</v>
    <v>34.085000000000001</v>
    <v>33.935000000000002</v>
    <v>33.784999999999997</v>
    <v>33.619999999999997</v>
    <v>33.575000000000003</v>
    <v>33.655000000000001</v>
    <v>33.825000000000003</v>
    <v>33.935000000000002</v>
    <v>34.14</v>
    <v>34.255000000000003</v>
    <v>34.4</v>
    <v>34.159999999999997</v>
    <v>34.185000000000002</v>
    <v>34.454999999999998</v>
    <v>34.395000000000003</v>
    <v>34.674999999999997</v>
    <v>34.520000000000003</v>
    <v>34.795000000000002</v>
    <v>34.46</v>
    <v>34.49</v>
    <v>34.645000000000003</v>
    <v>34.844999999999999</v>
    <v>34.854999999999997</v>
    <v>35.049999999999997</v>
    <v>35.49</v>
    <v>35.545000000000002</v>
    <v>35.380000000000003</v>
    <v>35.270000000000003</v>
    <v>35.450000000000003</v>
    <v>35.380000000000003</v>
    <v>35.844999999999999</v>
    <v>35.914999999999999</v>
    <v>36.15</v>
    <v>36.145000000000003</v>
    <v>35.49</v>
    <v>35.369999999999997</v>
    <v>35.04</v>
    <v>35.085000000000001</v>
    <v>34.909999999999997</v>
    <v>34.954999999999998</v>
    <v>34.840000000000003</v>
    <v>34.725000000000001</v>
    <v>34.799999999999997</v>
    <v>34.805</v>
    <v>35.085000000000001</v>
    <v>35.204999999999998</v>
    <v>35</v>
    <v>35.04</v>
    <v>35.03</v>
    <v>35.045000000000002</v>
    <v>35.005000000000003</v>
    <v>35.049999999999997</v>
    <v>35.07</v>
    <v>35.265000000000001</v>
    <v>35.115000000000002</v>
    <v>35.270000000000003</v>
    <v>34.895000000000003</v>
    <v>34.909999999999997</v>
    <v>34.9</v>
    <v>34.89</v>
    <v>34.869999999999997</v>
    <v>34.75</v>
    <v>34.79</v>
    <v>34.42</v>
    <v>34.26</v>
    <v>34.270000000000003</v>
    <v>34.44</v>
    <v>34.35</v>
    <v>34.354999999999997</v>
    <v>34.56</v>
    <v>34.234999999999999</v>
    <v>34.32</v>
    <v>34.31</v>
    <v>34.204999999999998</v>
    <v>34.07</v>
    <v>34.01</v>
    <v>33.994999999999997</v>
    <v>33.924999999999997</v>
    <v>33.83</v>
    <v>33.68</v>
    <v>34.049999999999997</v>
    <v>34.1</v>
    <v>34.11</v>
    <v>33.994999999999997</v>
    <v>33.92</v>
    <v>34.19</v>
    <v>34.369999999999997</v>
    <v>34.375</v>
    <v>34.53</v>
    <v>34.659999999999997</v>
    <v>34.770000000000003</v>
    <v>34.549999999999997</v>
    <v>34.71</v>
    <v>34.725000000000001</v>
    <v>35.04</v>
    <v>35.185000000000002</v>
  </a>
  <a r="1" c="761">
    <v>25.64</v>
    <v>25.86</v>
    <v>25.75</v>
    <v>25.87</v>
    <v>25.61</v>
    <v>25.6</v>
    <v>25.87</v>
    <v>25.805</v>
    <v>26.305</v>
    <v>26.73</v>
    <v>26.45</v>
    <v>26.364999999999998</v>
    <v>26.06</v>
    <v>26.12</v>
    <v>25.96</v>
    <v>26.17</v>
    <v>26.72</v>
    <v>26.934999999999999</v>
    <v>26.62</v>
    <v>26.8</v>
    <v>26.74</v>
    <v>26.63</v>
    <v>26.795000000000002</v>
    <v>26.795000000000002</v>
    <v>26.84</v>
    <v>26.76</v>
    <v>26.754999999999999</v>
    <v>26.89</v>
    <v>27.105</v>
    <v>27.484999999999999</v>
    <v>27.785</v>
    <v>27.77</v>
    <v>28.015000000000001</v>
    <v>28.01</v>
    <v>28.125</v>
    <v>28.28</v>
    <v>28.055</v>
    <v>28.12</v>
    <v>28.76</v>
    <v>28.745000000000001</v>
    <v>28.515000000000001</v>
    <v>28.594999999999999</v>
    <v>28.69</v>
    <v>28.475000000000001</v>
    <v>28.53</v>
    <v>28.484999999999999</v>
    <v>28.645</v>
    <v>28.614999999999998</v>
    <v>28.84</v>
    <v>28.594999999999999</v>
    <v>28.66</v>
    <v>28.64</v>
    <v>28.68</v>
    <v>28.67</v>
    <v>28.61</v>
    <v>28.385000000000002</v>
    <v>28.535</v>
    <v>28.504999999999999</v>
    <v>28.414999999999999</v>
    <v>27.98</v>
    <v>27.89</v>
    <v>27.95</v>
    <v>28.42</v>
    <v>28.45</v>
    <v>28.555</v>
    <v>28.765000000000001</v>
    <v>28.82</v>
    <v>28.855</v>
    <v>28.765000000000001</v>
    <v>28.76</v>
    <v>28.03</v>
    <v>28.114999999999998</v>
    <v>27.855</v>
    <v>27.93</v>
    <v>27.754999999999999</v>
    <v>27.545000000000002</v>
    <v>27.465</v>
    <v>27.925000000000001</v>
    <v>27.545000000000002</v>
    <v>27.64</v>
    <v>27.945</v>
    <v>28.13</v>
    <v>28.045000000000002</v>
    <v>28.13</v>
    <v>28.21</v>
    <v>28.184999999999999</v>
    <v>28.274999999999999</v>
    <v>27.875</v>
    <v>27.98</v>
    <v>27.98</v>
    <v>28.155000000000001</v>
    <v>28.105</v>
    <v>28.145</v>
    <v>28.24</v>
    <v>28.22</v>
    <v>28.335000000000001</v>
    <v>28.39</v>
    <v>28.43</v>
    <v>28.434999999999999</v>
    <v>28.44</v>
    <v>28.15</v>
    <v>28.215</v>
    <v>28.234999999999999</v>
    <v>28.315000000000001</v>
    <v>28.364999999999998</v>
    <v>28.594999999999999</v>
    <v>28.61</v>
    <v>28.504999999999999</v>
    <v>28.43</v>
    <v>28.695</v>
    <v>29.03</v>
    <v>28.76</v>
    <v>28.645</v>
    <v>28.73</v>
    <v>28.37</v>
    <v>28.635000000000002</v>
    <v>28.71</v>
    <v>28.475000000000001</v>
    <v>28.395</v>
    <v>28.51</v>
    <v>28.32</v>
    <v>27.93</v>
    <v>27.91</v>
    <v>28.25</v>
    <v>28.52</v>
    <v>28.72</v>
    <v>28.92</v>
    <v>28.81</v>
    <v>28.614999999999998</v>
    <v>28.86</v>
    <v>29.004999999999999</v>
    <v>28.93</v>
    <v>28.69</v>
    <v>28.835000000000001</v>
    <v>28.995000000000001</v>
    <v>29.195</v>
    <v>29.195</v>
    <v>29.295000000000002</v>
    <v>29.46</v>
    <v>29.555</v>
    <v>29.48</v>
    <v>29.59</v>
    <v>29.64</v>
    <v>29.655000000000001</v>
    <v>29.725000000000001</v>
    <v>29.55</v>
    <v>29.515000000000001</v>
    <v>29.15</v>
    <v>29.03</v>
    <v>29.055</v>
    <v>28.945</v>
    <v>28.574999999999999</v>
    <v>28.855</v>
    <v>29.07</v>
    <v>29.145</v>
    <v>29.065000000000001</v>
    <v>29.09</v>
    <v>29.035</v>
    <v>28.98</v>
    <v>28.99</v>
    <v>28.885000000000002</v>
    <v>28.99</v>
    <v>28.71</v>
    <v>28.625</v>
    <v>28.664999999999999</v>
    <v>28.84</v>
    <v>28.83</v>
    <v>28.95</v>
    <v>28.925000000000001</v>
    <v>29.23</v>
    <v>29.004999999999999</v>
    <v>28.84</v>
    <v>28.855</v>
    <v>29.135000000000002</v>
    <v>29.21</v>
    <v>29.21</v>
    <v>29.184999999999999</v>
    <v>29.114999999999998</v>
    <v>28.984999999999999</v>
    <v>28.925000000000001</v>
    <v>28.89</v>
    <v>29.175000000000001</v>
    <v>29.68</v>
    <v>29.87</v>
    <v>29.85</v>
    <v>30.05</v>
    <v>30.35</v>
    <v>30.6</v>
    <v>30.065000000000001</v>
    <v>30.355</v>
    <v>30.46</v>
    <v>30.55</v>
    <v>30.625</v>
    <v>30.73</v>
    <v>30.815000000000001</v>
    <v>30.91</v>
    <v>30.92</v>
    <v>30.635000000000002</v>
    <v>29.484999999999999</v>
    <v>28.934999999999999</v>
    <v>29.1</v>
    <v>29.574999999999999</v>
    <v>29.594999999999999</v>
    <v>29.614999999999998</v>
    <v>29.59</v>
    <v>29.72</v>
    <v>29.73</v>
    <v>29.995000000000001</v>
    <v>30.16</v>
    <v>29.945</v>
    <v>29.934999999999999</v>
    <v>30.024999999999999</v>
    <v>30.535</v>
    <v>30.515000000000001</v>
    <v>30.5</v>
    <v>30.695</v>
    <v>30.82</v>
    <v>30.92</v>
    <v>31.035</v>
    <v>31.015000000000001</v>
    <v>30.92</v>
    <v>30.86</v>
    <v>30.56</v>
    <v>30.8</v>
    <v>30.745000000000001</v>
    <v>30.51</v>
    <v>30.675000000000001</v>
    <v>30.88</v>
    <v>31.015000000000001</v>
    <v>31.324999999999999</v>
    <v>31.16</v>
    <v>31.2</v>
    <v>31.085000000000001</v>
    <v>31.27</v>
    <v>31.364999999999998</v>
    <v>31.23</v>
    <v>31.335000000000001</v>
    <v>31.574999999999999</v>
    <v>31.5</v>
    <v>31.63</v>
    <v>31.63</v>
    <v>31.41</v>
    <v>31.58</v>
    <v>31.55</v>
    <v>31.364999999999998</v>
    <v>31.535</v>
    <v>31.695</v>
    <v>31.7</v>
    <v>31.965</v>
    <v>32.049999999999997</v>
    <v>32.515000000000001</v>
    <v>32.575000000000003</v>
    <v>32.56</v>
    <v>32.305</v>
    <v>32.215000000000003</v>
    <v>32.255000000000003</v>
    <v>32.244999999999997</v>
    <v>32.064999999999998</v>
    <v>32.195</v>
    <v>31.98</v>
    <v>31.815000000000001</v>
    <v>31.815000000000001</v>
    <v>31.364999999999998</v>
    <v>31.145</v>
    <v>31.14</v>
    <v>31.92</v>
    <v>31.905000000000001</v>
    <v>32.04</v>
    <v>32.545000000000002</v>
    <v>32.270000000000003</v>
    <v>32.295000000000002</v>
    <v>32.354999999999997</v>
    <v>32.32</v>
    <v>32.39</v>
    <v>32.284999999999997</v>
    <v>32.369999999999997</v>
    <v>32.86</v>
    <v>33.405000000000001</v>
    <v>33.340000000000003</v>
    <v>33.155000000000001</v>
    <v>33.200000000000003</v>
    <v>33.265000000000001</v>
    <v>33.204999999999998</v>
    <v>33.094999999999999</v>
    <v>32.86</v>
    <v>32.75</v>
    <v>32.79</v>
    <v>32.555</v>
    <v>32.655000000000001</v>
    <v>32.520000000000003</v>
    <v>32.409999999999997</v>
    <v>32.32</v>
    <v>32.07</v>
    <v>32.090000000000003</v>
    <v>31.864999999999998</v>
    <v>31.844999999999999</v>
    <v>31.38</v>
    <v>31.195</v>
    <v>31.36</v>
    <v>31.515000000000001</v>
    <v>31.454999999999998</v>
    <v>31.995000000000001</v>
    <v>31.864999999999998</v>
    <v>31.695</v>
    <v>31.555</v>
    <v>31.44</v>
    <v>31.504999999999999</v>
    <v>31.065000000000001</v>
    <v>31.114999999999998</v>
    <v>31.24</v>
    <v>31.69</v>
    <v>31.765000000000001</v>
    <v>32.075000000000003</v>
    <v>32.015000000000001</v>
    <v>32.07</v>
    <v>31.565000000000001</v>
    <v>31.56</v>
    <v>31.414999999999999</v>
    <v>31.46</v>
    <v>31.684999999999999</v>
    <v>31.645</v>
    <v>31.81</v>
    <v>31.9</v>
    <v>31.774999999999999</v>
    <v>31.745000000000001</v>
    <v>31.35</v>
    <v>31.545000000000002</v>
    <v>31.32</v>
    <v>31.48</v>
    <v>31.4</v>
    <v>31.305</v>
    <v>31.545000000000002</v>
    <v>31.355</v>
    <v>31.42</v>
    <v>31.48</v>
    <v>31.67</v>
    <v>31.69</v>
    <v>31.71</v>
    <v>31.524999999999999</v>
    <v>31.774999999999999</v>
    <v>31.975000000000001</v>
    <v>31.99</v>
    <v>32.130000000000003</v>
    <v>31.965</v>
    <v>31.27</v>
    <v>30.745000000000001</v>
    <v>30.94</v>
    <v>31.125</v>
    <v>31.4</v>
    <v>30.605</v>
    <v>30.454999999999998</v>
    <v>30.7</v>
    <v>30.86</v>
    <v>31.19</v>
    <v>31.13</v>
    <v>31.265000000000001</v>
    <v>31.285</v>
    <v>31.11</v>
    <v>31.28</v>
    <v>31.22</v>
    <v>31.32</v>
    <v>31.43</v>
    <v>31.155000000000001</v>
    <v>31.254999999999999</v>
    <v>31.364999999999998</v>
    <v>31.085000000000001</v>
    <v>30.35</v>
    <v>29.245000000000001</v>
    <v>28.23</v>
    <v>28.73</v>
    <v>27.565000000000001</v>
    <v>28.155000000000001</v>
    <v>27.89</v>
    <v>28.55</v>
    <v>29.03</v>
    <v>29.08</v>
    <v>29.035</v>
    <v>29.03</v>
    <v>29.315000000000001</v>
    <v>29.46</v>
    <v>29.405000000000001</v>
    <v>29.545000000000002</v>
    <v>29.61</v>
    <v>29.68</v>
    <v>29.574999999999999</v>
    <v>29.77</v>
    <v>29.754999999999999</v>
    <v>29.695</v>
    <v>29.87</v>
    <v>29.96</v>
    <v>30.475000000000001</v>
    <v>30.3</v>
    <v>30.08</v>
    <v>30.26</v>
    <v>30.47</v>
    <v>30.295000000000002</v>
    <v>30.454999999999998</v>
    <v>30.08</v>
    <v>29.78</v>
    <v>29.625</v>
    <v>29.875</v>
    <v>30.06</v>
    <v>30.004999999999999</v>
    <v>29.86</v>
    <v>30.06</v>
    <v>29.84</v>
    <v>30.04</v>
    <v>30.01</v>
    <v>29.954999999999998</v>
    <v>30.145</v>
    <v>30.1</v>
    <v>30.535</v>
    <v>30.46</v>
    <v>30.184999999999999</v>
    <v>30.105</v>
    <v>29.934999999999999</v>
    <v>30.04</v>
    <v>30.01</v>
    <v>29.81</v>
    <v>29.92</v>
    <v>29.895</v>
    <v>30.13</v>
    <v>29.864999999999998</v>
    <v>29.965</v>
    <v>30.01</v>
    <v>29.88</v>
    <v>30.265000000000001</v>
    <v>30.39</v>
    <v>30.594999999999999</v>
    <v>30.43</v>
    <v>30.515000000000001</v>
    <v>30.57</v>
    <v>30.635000000000002</v>
    <v>30.89</v>
    <v>30.605</v>
    <v>30.69</v>
    <v>30.684999999999999</v>
    <v>30.344999999999999</v>
    <v>30.66</v>
    <v>30.55</v>
    <v>30.59</v>
    <v>30.715</v>
    <v>30.875</v>
    <v>30.765000000000001</v>
    <v>30.72</v>
    <v>30.92</v>
    <v>30.984999999999999</v>
    <v>31.03</v>
    <v>30.774999999999999</v>
    <v>30.21</v>
    <v>30</v>
    <v>30.055</v>
    <v>29.975000000000001</v>
    <v>29.965</v>
    <v>30.05</v>
    <v>30.145</v>
    <v>30.245000000000001</v>
    <v>30.54</v>
    <v>30.545000000000002</v>
    <v>30.504999999999999</v>
    <v>30.69</v>
    <v>30.774999999999999</v>
    <v>30.85</v>
    <v>31.135000000000002</v>
    <v>31</v>
    <v>30.925000000000001</v>
    <v>31.015000000000001</v>
    <v>30.93</v>
    <v>30.79</v>
    <v>30.815000000000001</v>
    <v>30.545000000000002</v>
    <v>30.5</v>
    <v>30.614999999999998</v>
    <v>30.555</v>
    <v>30.535</v>
    <v>30.574999999999999</v>
    <v>30.5</v>
    <v>30.74</v>
    <v>30.77</v>
    <v>30.635000000000002</v>
    <v>30.3</v>
    <v>30.49</v>
    <v>30.484999999999999</v>
    <v>30.535</v>
    <v>30.405000000000001</v>
    <v>30.484999999999999</v>
    <v>30.54</v>
    <v>30.4</v>
    <v>30.54</v>
    <v>30.51</v>
    <v>30.52</v>
    <v>30.824999999999999</v>
    <v>30.785</v>
    <v>30.905000000000001</v>
    <v>31.055</v>
    <v>30.99</v>
    <v>31.14</v>
    <v>31.05</v>
    <v>30.62</v>
    <v>30.745000000000001</v>
    <v>30.81</v>
    <v>31</v>
    <v>30.87</v>
    <v>30.76</v>
    <v>30.975000000000001</v>
    <v>31.164999999999999</v>
    <v>31.254999999999999</v>
    <v>31.184999999999999</v>
    <v>31.385000000000002</v>
    <v>31.38</v>
    <v>31.225000000000001</v>
    <v>31.18</v>
    <v>30.89</v>
    <v>30.78</v>
    <v>30.66</v>
    <v>30.54</v>
    <v>30.9</v>
    <v>30.844999999999999</v>
    <v>30.765000000000001</v>
    <v>30.945</v>
    <v>31.28</v>
    <v>31.42</v>
    <v>31.3</v>
    <v>31.1</v>
    <v>31.09</v>
    <v>30.805</v>
    <v>30.774999999999999</v>
    <v>30.89</v>
    <v>30.984999999999999</v>
    <v>31.06</v>
    <v>31.32</v>
    <v>31.475000000000001</v>
    <v>31.515000000000001</v>
    <v>31.56</v>
    <v>31.414999999999999</v>
    <v>31.36</v>
    <v>31.28</v>
    <v>31.25</v>
    <v>31.295000000000002</v>
    <v>31.295000000000002</v>
    <v>31.27</v>
    <v>31.175000000000001</v>
    <v>31.3</v>
    <v>31.26</v>
    <v>31.3</v>
    <v>31.22</v>
    <v>31.32</v>
    <v>31.62</v>
    <v>31.454999999999998</v>
    <v>31.344999999999999</v>
    <v>31.335000000000001</v>
    <v>31.49</v>
    <v>31.465</v>
    <v>31.454999999999998</v>
    <v>31.69</v>
    <v>31.85</v>
    <v>31.89</v>
    <v>32.195</v>
    <v>32.299999999999997</v>
    <v>32.145000000000003</v>
    <v>32.104999999999997</v>
    <v>32.35</v>
    <v>32.795000000000002</v>
    <v>32.734999999999999</v>
    <v>32.445</v>
    <v>32.225000000000001</v>
    <v>32.46</v>
    <v>32.799999999999997</v>
    <v>32.43</v>
    <v>32.22</v>
    <v>32.32</v>
    <v>32.365000000000002</v>
    <v>32.33</v>
    <v>32.54</v>
    <v>32.655000000000001</v>
    <v>32.78</v>
    <v>33.305</v>
    <v>33.055</v>
    <v>33.4</v>
    <v>33.229999999999997</v>
    <v>33.44</v>
    <v>33.520000000000003</v>
    <v>33.700000000000003</v>
    <v>33.630000000000003</v>
    <v>33.825000000000003</v>
    <v>33.664999999999999</v>
    <v>33.725000000000001</v>
    <v>33.61</v>
    <v>33.729999999999997</v>
    <v>33.505000000000003</v>
    <v>33.75</v>
    <v>33.549999999999997</v>
    <v>33.700000000000003</v>
    <v>33.655000000000001</v>
    <v>33.58</v>
    <v>33.21</v>
    <v>33.29</v>
    <v>33.29</v>
    <v>32.884999999999998</v>
    <v>32.58</v>
    <v>32.71</v>
    <v>32.484999999999999</v>
    <v>32.46</v>
    <v>32.590000000000003</v>
    <v>32.729999999999997</v>
    <v>32.805</v>
    <v>32.54</v>
    <v>32.31</v>
    <v>31.96</v>
    <v>32.005000000000003</v>
    <v>32.159999999999997</v>
    <v>32.479999999999997</v>
    <v>32.344999999999999</v>
    <v>32.265000000000001</v>
    <v>32.58</v>
    <v>32.375</v>
    <v>32.534999999999997</v>
    <v>32.729999999999997</v>
    <v>32.585000000000001</v>
    <v>32.75</v>
    <v>32.905000000000001</v>
    <v>32.905000000000001</v>
    <v>32.700000000000003</v>
    <v>32.76</v>
    <v>32.74</v>
    <v>32.865000000000002</v>
    <v>33.08</v>
    <v>33.185000000000002</v>
    <v>33.07</v>
    <v>32.965000000000003</v>
    <v>33.19</v>
    <v>33.115000000000002</v>
    <v>33.094999999999999</v>
    <v>33.314999999999998</v>
    <v>33.07</v>
    <v>33.475000000000001</v>
    <v>33.414999999999999</v>
    <v>33.47</v>
    <v>33.409999999999997</v>
    <v>33.085000000000001</v>
    <v>32.905000000000001</v>
    <v>32.86</v>
    <v>32.755000000000003</v>
    <v>32.729999999999997</v>
    <v>33.075000000000003</v>
    <v>32.835000000000001</v>
    <v>32.994999999999997</v>
    <v>33.155000000000001</v>
    <v>33.270000000000003</v>
    <v>33.340000000000003</v>
    <v>33.49</v>
    <v>33.685000000000002</v>
    <v>33.56</v>
    <v>33.524999999999999</v>
    <v>33.29</v>
    <v>33.21</v>
    <v>33.164999999999999</v>
    <v>33.22</v>
    <v>33.08</v>
    <v>33.25</v>
    <v>33.465000000000003</v>
    <v>33.494999999999997</v>
    <v>33.47</v>
    <v>33.734999999999999</v>
    <v>33.725000000000001</v>
    <v>34.085000000000001</v>
    <v>33.935000000000002</v>
    <v>33.784999999999997</v>
    <v>33.619999999999997</v>
    <v>33.575000000000003</v>
    <v>33.655000000000001</v>
    <v>33.825000000000003</v>
    <v>33.935000000000002</v>
    <v>34.14</v>
    <v>34.255000000000003</v>
    <v>34.4</v>
    <v>34.159999999999997</v>
    <v>34.185000000000002</v>
    <v>34.454999999999998</v>
    <v>34.395000000000003</v>
    <v>34.674999999999997</v>
    <v>34.520000000000003</v>
    <v>34.795000000000002</v>
    <v>34.46</v>
    <v>34.49</v>
    <v>34.645000000000003</v>
    <v>34.844999999999999</v>
    <v>34.854999999999997</v>
    <v>35.049999999999997</v>
    <v>35.49</v>
    <v>35.545000000000002</v>
    <v>35.380000000000003</v>
    <v>35.270000000000003</v>
    <v>35.450000000000003</v>
    <v>35.380000000000003</v>
    <v>35.844999999999999</v>
    <v>35.914999999999999</v>
    <v>36.15</v>
    <v>36.145000000000003</v>
    <v>35.49</v>
    <v>35.369999999999997</v>
    <v>35.04</v>
    <v>35.085000000000001</v>
    <v>34.909999999999997</v>
    <v>34.954999999999998</v>
    <v>34.840000000000003</v>
    <v>34.725000000000001</v>
    <v>34.799999999999997</v>
    <v>34.805</v>
    <v>35.085000000000001</v>
    <v>35.204999999999998</v>
    <v>35</v>
    <v>35.04</v>
    <v>35.03</v>
    <v>35.045000000000002</v>
    <v>35.005000000000003</v>
    <v>35.049999999999997</v>
    <v>35.07</v>
    <v>35.265000000000001</v>
    <v>35.115000000000002</v>
    <v>35.270000000000003</v>
    <v>34.895000000000003</v>
    <v>34.909999999999997</v>
    <v>34.9</v>
    <v>34.89</v>
    <v>34.869999999999997</v>
    <v>34.75</v>
    <v>34.79</v>
    <v>34.42</v>
    <v>34.26</v>
    <v>34.270000000000003</v>
    <v>34.44</v>
    <v>34.35</v>
    <v>34.354999999999997</v>
    <v>34.56</v>
    <v>34.234999999999999</v>
    <v>34.32</v>
    <v>34.31</v>
    <v>34.204999999999998</v>
    <v>34.07</v>
    <v>34.01</v>
    <v>33.994999999999997</v>
    <v>33.924999999999997</v>
    <v>33.83</v>
    <v>33.68</v>
    <v>34.049999999999997</v>
    <v>34.1</v>
    <v>34.11</v>
    <v>33.994999999999997</v>
    <v>33.92</v>
    <v>34.19</v>
    <v>34.369999999999997</v>
    <v>34.375</v>
    <v>34.53</v>
    <v>34.659999999999997</v>
    <v>34.770000000000003</v>
    <v>34.549999999999997</v>
    <v>34.71</v>
    <v>34.725000000000001</v>
    <v>35.04</v>
    <v>35.185000000000002</v>
  </a>
  <a r="1" c="254">
    <v>31.184999999999999</v>
    <v>31.385000000000002</v>
    <v>31.38</v>
    <v>31.225000000000001</v>
    <v>31.18</v>
    <v>30.89</v>
    <v>30.78</v>
    <v>30.66</v>
    <v>30.54</v>
    <v>30.9</v>
    <v>30.844999999999999</v>
    <v>30.765000000000001</v>
    <v>30.945</v>
    <v>31.28</v>
    <v>31.42</v>
    <v>31.3</v>
    <v>31.1</v>
    <v>31.09</v>
    <v>30.805</v>
    <v>30.774999999999999</v>
    <v>30.89</v>
    <v>30.984999999999999</v>
    <v>31.06</v>
    <v>31.32</v>
    <v>31.475000000000001</v>
    <v>31.515000000000001</v>
    <v>31.56</v>
    <v>31.414999999999999</v>
    <v>31.36</v>
    <v>31.28</v>
    <v>31.25</v>
    <v>31.295000000000002</v>
    <v>31.295000000000002</v>
    <v>31.27</v>
    <v>31.175000000000001</v>
    <v>31.3</v>
    <v>31.26</v>
    <v>31.3</v>
    <v>31.22</v>
    <v>31.32</v>
    <v>31.62</v>
    <v>31.454999999999998</v>
    <v>31.344999999999999</v>
    <v>31.335000000000001</v>
    <v>31.49</v>
    <v>31.465</v>
    <v>31.454999999999998</v>
    <v>31.69</v>
    <v>31.85</v>
    <v>31.89</v>
    <v>32.195</v>
    <v>32.299999999999997</v>
    <v>32.145000000000003</v>
    <v>32.104999999999997</v>
    <v>32.35</v>
    <v>32.795000000000002</v>
    <v>32.734999999999999</v>
    <v>32.445</v>
    <v>32.225000000000001</v>
    <v>32.46</v>
    <v>32.799999999999997</v>
    <v>32.43</v>
    <v>32.22</v>
    <v>32.32</v>
    <v>32.365000000000002</v>
    <v>32.33</v>
    <v>32.54</v>
    <v>32.655000000000001</v>
    <v>32.78</v>
    <v>33.305</v>
    <v>33.055</v>
    <v>33.4</v>
    <v>33.229999999999997</v>
    <v>33.44</v>
    <v>33.520000000000003</v>
    <v>33.700000000000003</v>
    <v>33.630000000000003</v>
    <v>33.825000000000003</v>
    <v>33.664999999999999</v>
    <v>33.725000000000001</v>
    <v>33.61</v>
    <v>33.729999999999997</v>
    <v>33.505000000000003</v>
    <v>33.75</v>
    <v>33.549999999999997</v>
    <v>33.700000000000003</v>
    <v>33.655000000000001</v>
    <v>33.58</v>
    <v>33.21</v>
    <v>33.29</v>
    <v>33.29</v>
    <v>32.884999999999998</v>
    <v>32.58</v>
    <v>32.71</v>
    <v>32.484999999999999</v>
    <v>32.46</v>
    <v>32.590000000000003</v>
    <v>32.729999999999997</v>
    <v>32.805</v>
    <v>32.54</v>
    <v>32.31</v>
    <v>31.96</v>
    <v>32.005000000000003</v>
    <v>32.159999999999997</v>
    <v>32.479999999999997</v>
    <v>32.344999999999999</v>
    <v>32.265000000000001</v>
    <v>32.58</v>
    <v>32.375</v>
    <v>32.534999999999997</v>
    <v>32.729999999999997</v>
    <v>32.585000000000001</v>
    <v>32.75</v>
    <v>32.905000000000001</v>
    <v>32.905000000000001</v>
    <v>32.700000000000003</v>
    <v>32.76</v>
    <v>32.74</v>
    <v>32.865000000000002</v>
    <v>33.08</v>
    <v>33.185000000000002</v>
    <v>33.07</v>
    <v>32.965000000000003</v>
    <v>33.19</v>
    <v>33.115000000000002</v>
    <v>33.094999999999999</v>
    <v>33.314999999999998</v>
    <v>33.07</v>
    <v>33.475000000000001</v>
    <v>33.414999999999999</v>
    <v>33.47</v>
    <v>33.409999999999997</v>
    <v>33.085000000000001</v>
    <v>32.905000000000001</v>
    <v>32.86</v>
    <v>32.755000000000003</v>
    <v>32.729999999999997</v>
    <v>33.075000000000003</v>
    <v>32.835000000000001</v>
    <v>32.994999999999997</v>
    <v>33.155000000000001</v>
    <v>33.270000000000003</v>
    <v>33.340000000000003</v>
    <v>33.49</v>
    <v>33.685000000000002</v>
    <v>33.56</v>
    <v>33.524999999999999</v>
    <v>33.29</v>
    <v>33.21</v>
    <v>33.164999999999999</v>
    <v>33.22</v>
    <v>33.08</v>
    <v>33.25</v>
    <v>33.465000000000003</v>
    <v>33.494999999999997</v>
    <v>33.47</v>
    <v>33.734999999999999</v>
    <v>33.725000000000001</v>
    <v>34.085000000000001</v>
    <v>33.935000000000002</v>
    <v>33.784999999999997</v>
    <v>33.619999999999997</v>
    <v>33.575000000000003</v>
    <v>33.655000000000001</v>
    <v>33.825000000000003</v>
    <v>33.935000000000002</v>
    <v>34.14</v>
    <v>34.255000000000003</v>
    <v>34.4</v>
    <v>34.159999999999997</v>
    <v>34.185000000000002</v>
    <v>34.454999999999998</v>
    <v>34.395000000000003</v>
    <v>34.674999999999997</v>
    <v>34.520000000000003</v>
    <v>34.795000000000002</v>
    <v>34.46</v>
    <v>34.49</v>
    <v>34.645000000000003</v>
    <v>34.844999999999999</v>
    <v>34.854999999999997</v>
    <v>35.049999999999997</v>
    <v>35.49</v>
    <v>35.545000000000002</v>
    <v>35.380000000000003</v>
    <v>35.270000000000003</v>
    <v>35.450000000000003</v>
    <v>35.380000000000003</v>
    <v>35.844999999999999</v>
    <v>35.914999999999999</v>
    <v>36.15</v>
    <v>36.145000000000003</v>
    <v>35.49</v>
    <v>35.369999999999997</v>
    <v>35.04</v>
    <v>35.085000000000001</v>
    <v>34.909999999999997</v>
    <v>34.954999999999998</v>
    <v>34.840000000000003</v>
    <v>34.725000000000001</v>
    <v>34.799999999999997</v>
    <v>34.805</v>
    <v>35.085000000000001</v>
    <v>35.204999999999998</v>
    <v>35</v>
    <v>35.04</v>
    <v>35.03</v>
    <v>35.045000000000002</v>
    <v>35.005000000000003</v>
    <v>35.049999999999997</v>
    <v>35.07</v>
    <v>35.265000000000001</v>
    <v>35.115000000000002</v>
    <v>35.270000000000003</v>
    <v>34.895000000000003</v>
    <v>34.909999999999997</v>
    <v>34.9</v>
    <v>34.89</v>
    <v>34.869999999999997</v>
    <v>34.75</v>
    <v>34.79</v>
    <v>34.42</v>
    <v>34.26</v>
    <v>34.270000000000003</v>
    <v>34.44</v>
    <v>34.35</v>
    <v>34.354999999999997</v>
    <v>34.56</v>
    <v>34.234999999999999</v>
    <v>34.32</v>
    <v>34.31</v>
    <v>34.204999999999998</v>
    <v>34.07</v>
    <v>34.01</v>
    <v>33.994999999999997</v>
    <v>33.924999999999997</v>
    <v>33.83</v>
    <v>33.68</v>
    <v>34.049999999999997</v>
    <v>34.1</v>
    <v>34.11</v>
    <v>33.994999999999997</v>
    <v>33.92</v>
    <v>34.19</v>
    <v>34.369999999999997</v>
    <v>34.375</v>
    <v>34.53</v>
    <v>34.659999999999997</v>
    <v>34.770000000000003</v>
    <v>34.549999999999997</v>
    <v>34.71</v>
    <v>34.725000000000001</v>
    <v>35.04</v>
    <v>35.185000000000002</v>
  </a>
  <a r="1" c="772">
    <v>14.332000000000001</v>
    <v>14.364000000000001</v>
    <v>14.436999999999999</v>
    <v>14.179</v>
    <v>14.307</v>
    <v>14.217000000000001</v>
    <v>14.432</v>
    <v>14.62</v>
    <v>14.885999999999999</v>
    <v>15.246</v>
    <v>15.029</v>
    <v>14.891</v>
    <v>14.64</v>
    <v>14.849</v>
    <v>14.765000000000001</v>
    <v>14.845000000000001</v>
    <v>15.11</v>
    <v>15.086</v>
    <v>15.03</v>
    <v>15.268000000000001</v>
    <v>15.247999999999999</v>
    <v>15.225</v>
    <v>15.222</v>
    <v>15.25</v>
    <v>15.308</v>
    <v>15.315</v>
    <v>15.33</v>
    <v>15.278</v>
    <v>15.33</v>
    <v>15.443</v>
    <v>15.231</v>
    <v>15.224</v>
    <v>15.446999999999999</v>
    <v>15.414999999999999</v>
    <v>15.35</v>
    <v>15.455</v>
    <v>15.420999999999999</v>
    <v>15.398999999999999</v>
    <v>15.587999999999999</v>
    <v>15.477</v>
    <v>15.342000000000001</v>
    <v>15.379</v>
    <v>15.422000000000001</v>
    <v>15.457000000000001</v>
    <v>15.523</v>
    <v>-99999901</v>
    <v>15.641</v>
    <v>15.747999999999999</v>
    <v>15.786</v>
    <v>15.672000000000001</v>
    <v>15.542</v>
    <v>15.648</v>
    <v>15.836</v>
    <v>15.868</v>
    <v>15.797000000000001</v>
    <v>16.09</v>
    <v>16.184000000000001</v>
    <v>16.489999999999998</v>
    <v>16.664999999999999</v>
    <v>16.405999999999999</v>
    <v>16.087</v>
    <v>16.234000000000002</v>
    <v>16.248000000000001</v>
    <v>16.533999999999999</v>
    <v>16.318999999999999</v>
    <v>16.452000000000002</v>
    <v>16.334</v>
    <v>16.263999999999999</v>
    <v>16.335999999999999</v>
    <v>16.344000000000001</v>
    <v>16.591000000000001</v>
    <v>16.513999999999999</v>
    <v>16.439</v>
    <v>16.367999999999999</v>
    <v>16.411999999999999</v>
    <v>16.597999999999999</v>
    <v>16.454999999999998</v>
    <v>16.530999999999999</v>
    <v>16.696000000000002</v>
    <v>16.7</v>
    <v>16.62</v>
    <v>16.689</v>
    <v>16.782</v>
    <v>16.933</v>
    <v>16.786999999999999</v>
    <v>16.829000000000001</v>
    <v>17.033000000000001</v>
    <v>17.111000000000001</v>
    <v>17.132000000000001</v>
    <v>17.167999999999999</v>
    <v>17.027999999999999</v>
    <v>17.12</v>
    <v>17.398</v>
    <v>17.309999999999999</v>
    <v>17.449000000000002</v>
    <v>17.702999999999999</v>
    <v>17.745000000000001</v>
    <v>17.780999999999999</v>
    <v>17.286000000000001</v>
    <v>17.282</v>
    <v>17.169</v>
    <v>17.132000000000001</v>
    <v>17.274000000000001</v>
    <v>17.532</v>
    <v>17.638000000000002</v>
    <v>17.643999999999998</v>
    <v>17.864000000000001</v>
    <v>17.905000000000001</v>
    <v>17.715</v>
    <v>17.834</v>
    <v>17.78</v>
    <v>17.789000000000001</v>
    <v>17.366</v>
    <v>17.599</v>
    <v>17.643000000000001</v>
    <v>17.523</v>
    <v>17.684000000000001</v>
    <v>17.626000000000001</v>
    <v>17.399999999999999</v>
    <v>17.39</v>
    <v>17.376999999999999</v>
    <v>17.366</v>
    <v>16.975000000000001</v>
    <v>16.786000000000001</v>
    <v>16.812000000000001</v>
    <v>16.718</v>
    <v>16.739000000000001</v>
    <v>16.876000000000001</v>
    <v>16.905999999999999</v>
    <v>16.666</v>
    <v>16.786000000000001</v>
    <v>16.931999999999999</v>
    <v>17.013999999999999</v>
    <v>16.896000000000001</v>
    <v>17.177</v>
    <v>17.332999999999998</v>
    <v>-99999901</v>
    <v>17.347999999999999</v>
    <v>17.047999999999998</v>
    <v>17.108000000000001</v>
    <v>16.992000000000001</v>
    <v>16.934999999999999</v>
    <v>16.989000000000001</v>
    <v>17.282</v>
    <v>17.193999999999999</v>
    <v>17.260000000000002</v>
    <v>17.422999999999998</v>
    <v>17.327999999999999</v>
    <v>17.138000000000002</v>
    <v>17.082000000000001</v>
    <v>17.204999999999998</v>
    <v>-99999901</v>
    <v>17.36</v>
    <v>16.965</v>
    <v>17.132999999999999</v>
    <v>17.291</v>
    <v>17.481000000000002</v>
    <v>17.446999999999999</v>
    <v>17.359000000000002</v>
    <v>17.41</v>
    <v>17.352</v>
    <v>17.452999999999999</v>
    <v>17.210999999999999</v>
    <v>17.43</v>
    <v>16.962</v>
    <v>17.023</v>
    <v>16.835000000000001</v>
    <v>16.829999999999998</v>
    <v>16.835999999999999</v>
    <v>16.838000000000001</v>
    <v>16.696000000000002</v>
    <v>16.922999999999998</v>
    <v>17.138999999999999</v>
    <v>17.085999999999999</v>
    <v>17.196999999999999</v>
    <v>17.417999999999999</v>
    <v>17.253</v>
    <v>17.484999999999999</v>
    <v>17.622</v>
    <v>17.859000000000002</v>
    <v>17.814</v>
    <v>17.777000000000001</v>
    <v>17.739999999999998</v>
    <v>18.061</v>
    <v>18.114000000000001</v>
    <v>18.123999999999999</v>
    <v>18.103000000000002</v>
    <v>18.184999999999999</v>
    <v>18.233000000000001</v>
    <v>18.050999999999998</v>
    <v>17.888999999999999</v>
    <v>17.931000000000001</v>
    <v>17.977</v>
    <v>17.78</v>
    <v>17.38</v>
    <v>17.513999999999999</v>
    <v>17.553999999999998</v>
    <v>17.565999999999999</v>
    <v>18.071999999999999</v>
    <v>17.280999999999999</v>
    <v>16.257999999999999</v>
    <v>15.907</v>
    <v>15.811999999999999</v>
    <v>16.484999999999999</v>
    <v>16.462</v>
    <v>16.414999999999999</v>
    <v>16.582999999999998</v>
    <v>17.026</v>
    <v>17.07</v>
    <v>17.451000000000001</v>
    <v>17.538</v>
    <v>17.859000000000002</v>
    <v>17.754999999999999</v>
    <v>17.95</v>
    <v>17.939</v>
    <v>18.170999999999999</v>
    <v>-99999901</v>
    <v>18.158000000000001</v>
    <v>18.218</v>
    <v>18.277999999999999</v>
    <v>18.338999999999999</v>
    <v>18.324999999999999</v>
    <v>18.3</v>
    <v>18.047000000000001</v>
    <v>18.042000000000002</v>
    <v>17.542000000000002</v>
    <v>17.879000000000001</v>
    <v>17.673999999999999</v>
    <v>17.577000000000002</v>
    <v>17.869</v>
    <v>17.934000000000001</v>
    <v>17.957000000000001</v>
    <v>17.882999999999999</v>
    <v>17.709</v>
    <v>18.181000000000001</v>
    <v>18.167000000000002</v>
    <v>18.294</v>
    <v>18.158000000000001</v>
    <v>18.084</v>
    <v>18.492999999999999</v>
    <v>18.198</v>
    <v>18.155000000000001</v>
    <v>18.187000000000001</v>
    <v>18.087</v>
    <v>17.942</v>
    <v>18.126999999999999</v>
    <v>17.989999999999998</v>
    <v>18.023</v>
    <v>17.951000000000001</v>
    <v>17.911000000000001</v>
    <v>17.971</v>
    <v>17.963999999999999</v>
    <v>17.777999999999999</v>
    <v>17.744</v>
    <v>17.789000000000001</v>
    <v>17.736999999999998</v>
    <v>17.420999999999999</v>
    <v>17.239000000000001</v>
    <v>16.931000000000001</v>
    <v>17.071000000000002</v>
    <v>17.128</v>
    <v>17.312999999999999</v>
    <v>17.416</v>
    <v>17.393000000000001</v>
    <v>17.132999999999999</v>
    <v>17.277999999999999</v>
    <v>17.34</v>
    <v>17.495999999999999</v>
    <v>17.454999999999998</v>
    <v>17.638999999999999</v>
    <v>17.576000000000001</v>
    <v>17.646999999999998</v>
    <v>17.408999999999999</v>
    <v>17.364000000000001</v>
    <v>17.434000000000001</v>
    <v>17.308</v>
    <v>17.399000000000001</v>
    <v>17.382000000000001</v>
    <v>17.141999999999999</v>
    <v>17.356000000000002</v>
    <v>17.355</v>
    <v>17.443999999999999</v>
    <v>17.350000000000001</v>
    <v>17.411999999999999</v>
    <v>17.611000000000001</v>
    <v>17.768000000000001</v>
    <v>18.062999999999999</v>
    <v>18.268999999999998</v>
    <v>18.21</v>
    <v>18.167999999999999</v>
    <v>18.128</v>
    <v>18.088000000000001</v>
    <v>17.968</v>
    <v>18.201000000000001</v>
    <v>18.140999999999998</v>
    <v>17.809000000000001</v>
    <v>17.727</v>
    <v>17.722999999999999</v>
    <v>17.72</v>
    <v>17.379000000000001</v>
    <v>17.454999999999998</v>
    <v>17.356000000000002</v>
    <v>17.446999999999999</v>
    <v>-99999901</v>
    <v>17.885999999999999</v>
    <v>17.670999999999999</v>
    <v>17.706</v>
    <v>17.742000000000001</v>
    <v>17.652000000000001</v>
    <v>17.762</v>
    <v>17.702000000000002</v>
    <v>17.506</v>
    <v>17.349</v>
    <v>17.04</v>
    <v>16.954000000000001</v>
    <v>17.047000000000001</v>
    <v>17.266999999999999</v>
    <v>17.199000000000002</v>
    <v>17.248999999999999</v>
    <v>17.440999999999999</v>
    <v>17.524999999999999</v>
    <v>17.489000000000001</v>
    <v>17.53</v>
    <v>17.722000000000001</v>
    <v>17.643999999999998</v>
    <v>17.797000000000001</v>
    <v>17.917999999999999</v>
    <v>18.138999999999999</v>
    <v>18.212</v>
    <v>18.024999999999999</v>
    <v>18.084</v>
    <v>18.215</v>
    <v>18.329000000000001</v>
    <v>18.122</v>
    <v>18.097999999999999</v>
    <v>18.097999999999999</v>
    <v>17.759</v>
    <v>18.259</v>
    <v>18.329000000000001</v>
    <v>18.576000000000001</v>
    <v>18.54</v>
    <v>18.366</v>
    <v>18.411999999999999</v>
    <v>18.434000000000001</v>
    <v>18.257999999999999</v>
    <v>18.446999999999999</v>
    <v>18.632999999999999</v>
    <v>18.545999999999999</v>
    <v>18.268000000000001</v>
    <v>18.719000000000001</v>
    <v>18.195</v>
    <v>18.597000000000001</v>
    <v>18.710999999999999</v>
    <v>18.553000000000001</v>
    <v>18.367999999999999</v>
    <v>18.068999999999999</v>
    <v>18.416</v>
    <v>18.373999999999999</v>
    <v>18.588000000000001</v>
    <v>18.806000000000001</v>
    <v>18.79</v>
    <v>18.895</v>
    <v>18.904</v>
    <v>18.931000000000001</v>
    <v>18.896000000000001</v>
    <v>18.998999999999999</v>
    <v>18.835999999999999</v>
    <v>18.867000000000001</v>
    <v>18.440000000000001</v>
    <v>18.280999999999999</v>
    <v>18.295000000000002</v>
    <v>18.122</v>
    <v>17.478999999999999</v>
    <v>16.632999999999999</v>
    <v>16.329000000000001</v>
    <v>16.916</v>
    <v>16.510999999999999</v>
    <v>17.196000000000002</v>
    <v>17.196999999999999</v>
    <v>17.827999999999999</v>
    <v>18.068000000000001</v>
    <v>18.07</v>
    <v>18.323</v>
    <v>18.707999999999998</v>
    <v>18.805</v>
    <v>18.748999999999999</v>
    <v>18.768000000000001</v>
    <v>19.07</v>
    <v>19.221</v>
    <v>19.131</v>
    <v>19.167000000000002</v>
    <v>19.172000000000001</v>
    <v>-99999901</v>
    <v>19.352</v>
    <v>19.239999999999998</v>
    <v>19.271999999999998</v>
    <v>19.302</v>
    <v>19.425999999999998</v>
    <v>19.257999999999999</v>
    <v>19.074000000000002</v>
    <v>19.231000000000002</v>
    <v>19.222999999999999</v>
    <v>19.259</v>
    <v>19.454999999999998</v>
    <v>19.506</v>
    <v>19.347000000000001</v>
    <v>19.425000000000001</v>
    <v>-99999901</v>
    <v>19.914000000000001</v>
    <v>19.619</v>
    <v>19.699000000000002</v>
    <v>19.72</v>
    <v>19.914000000000001</v>
    <v>19.800999999999998</v>
    <v>19.725999999999999</v>
    <v>19.571000000000002</v>
    <v>19.638000000000002</v>
    <v>19.698</v>
    <v>19.626000000000001</v>
    <v>19.658999999999999</v>
    <v>19.689</v>
    <v>19.579999999999998</v>
    <v>19.666</v>
    <v>19.405999999999999</v>
    <v>19.591000000000001</v>
    <v>19.335999999999999</v>
    <v>19.202999999999999</v>
    <v>19.100000000000001</v>
    <v>19.332999999999998</v>
    <v>19.29</v>
    <v>19.489000000000001</v>
    <v>19.881</v>
    <v>19.751000000000001</v>
    <v>19.683</v>
    <v>19.704999999999998</v>
    <v>19.733000000000001</v>
    <v>19.606999999999999</v>
    <v>19.420000000000002</v>
    <v>19.268999999999998</v>
    <v>19.283000000000001</v>
    <v>19.228000000000002</v>
    <v>19.061</v>
    <v>19.137</v>
    <v>18.888000000000002</v>
    <v>18.91</v>
    <v>19.079000000000001</v>
    <v>18.975000000000001</v>
    <v>19.193999999999999</v>
    <v>19.199000000000002</v>
    <v>20.107500000000002</v>
    <v>20.27</v>
    <v>19.911999999999999</v>
    <v>19.608000000000001</v>
    <v>19.547000000000001</v>
    <v>19.702999999999999</v>
    <v>19.617999999999999</v>
    <v>19.654</v>
    <v>19.922999999999998</v>
    <v>19.928999999999998</v>
    <v>20.175000000000001</v>
    <v>20.274999999999999</v>
    <v>20.675000000000001</v>
    <v>20.655000000000001</v>
    <v>20.927499999999998</v>
    <v>20.934999999999999</v>
    <v>20.79</v>
    <v>21.164999999999999</v>
    <v>21.217500000000001</v>
    <v>21.23</v>
    <v>21.182500000000001</v>
    <v>20.954999999999998</v>
    <v>21.322500000000002</v>
    <v>-99999901</v>
    <v>20.885000000000002</v>
    <v>20.81</v>
    <v>21.05</v>
    <v>20.785</v>
    <v>20.872499999999999</v>
    <v>20.677499999999998</v>
    <v>20.675000000000001</v>
    <v>20.914999999999999</v>
    <v>21.052499999999998</v>
    <v>21.4725</v>
    <v>21.2225</v>
    <v>21.344999999999999</v>
    <v>21.452500000000001</v>
    <v>21.262499999999999</v>
    <v>21.4</v>
    <v>21.4</v>
    <v>21.487500000000001</v>
    <v>21.61</v>
    <v>21.387499999999999</v>
    <v>21.48</v>
    <v>21.57</v>
    <v>21.425000000000001</v>
    <v>21.247499999999999</v>
    <v>21.27</v>
    <v>21.197500000000002</v>
    <v>21.065000000000001</v>
    <v>21.1175</v>
    <v>21.024999999999999</v>
    <v>21.6</v>
    <v>21.835000000000001</v>
    <v>21.555</v>
    <v>21.425000000000001</v>
    <v>21.35</v>
    <v>20.692499999999999</v>
    <v>20.795000000000002</v>
    <v>20.932500000000001</v>
    <v>21.317499999999999</v>
    <v>21.387499999999999</v>
    <v>21.362500000000001</v>
    <v>21.885000000000002</v>
    <v>21.74</v>
    <v>21.6325</v>
    <v>21.557500000000001</v>
    <v>21.7</v>
    <v>21.914999999999999</v>
    <v>22.032499999999999</v>
    <v>21.9</v>
    <v>21.895</v>
    <v>21.797499999999999</v>
    <v>21.807500000000001</v>
    <v>21.754999999999999</v>
    <v>21.684999999999999</v>
    <v>21.762499999999999</v>
    <v>21.78</v>
    <v>21.914999999999999</v>
    <v>22.04</v>
    <v>22.357500000000002</v>
    <v>22.1175</v>
    <v>22.335000000000001</v>
    <v>21.965</v>
    <v>21.412500000000001</v>
    <v>21.434999999999999</v>
    <v>21.4375</v>
    <v>21.4925</v>
    <v>21.747499999999999</v>
    <v>21.82</v>
    <v>22.21</v>
    <v>22.07</v>
    <v>22.142499999999998</v>
    <v>22.04</v>
    <v>22</v>
    <v>21.952500000000001</v>
    <v>22.335000000000001</v>
    <v>22.234999999999999</v>
    <v>22.074999999999999</v>
    <v>22.2225</v>
    <v>22.202500000000001</v>
    <v>22.405000000000001</v>
    <v>22.425000000000001</v>
    <v>22.82</v>
    <v>22.532499999999999</v>
    <v>22.324999999999999</v>
    <v>22.315000000000001</v>
    <v>22.414999999999999</v>
    <v>22.335000000000001</v>
    <v>22.592500000000001</v>
    <v>22.405000000000001</v>
    <v>22.555</v>
    <v>22.614999999999998</v>
    <v>22.484999999999999</v>
    <v>22.592500000000001</v>
    <v>23.012499999999999</v>
    <v>23.01</v>
    <v>22.997499999999999</v>
    <v>22.995000000000001</v>
    <v>23.5425</v>
    <v>23.745000000000001</v>
    <v>23.594999999999999</v>
    <v>23.802499999999998</v>
    <v>23.907499999999999</v>
    <v>23.87</v>
    <v>23.785</v>
    <v>23.497499999999999</v>
    <v>23.497499999999999</v>
    <v>23.57</v>
    <v>23.364999999999998</v>
    <v>23.482500000000002</v>
    <v>23.68</v>
    <v>23.36</v>
    <v>23.547499999999999</v>
    <v>23.642499999999998</v>
    <v>23.737500000000001</v>
    <v>23.9175</v>
    <v>24.3825</v>
    <v>23.98</v>
    <v>24.62</v>
    <v>25.072500000000002</v>
    <v>25.5825</v>
    <v>25.65</v>
    <v>25.642499999999998</v>
    <v>25.8675</v>
    <v>25.0825</v>
    <v>25.23</v>
    <v>25.2925</v>
    <v>25.08</v>
    <v>24.977499999999999</v>
    <v>25.06</v>
    <v>24.84</v>
    <v>25.07</v>
    <v>25.29</v>
    <v>25.35</v>
    <v>24.4175</v>
    <v>23.0625</v>
    <v>23.785</v>
    <v>23.1525</v>
    <v>22.892499999999998</v>
    <v>22.875</v>
    <v>23.785</v>
    <v>23.024999999999999</v>
    <v>22.822500000000002</v>
    <v>22.592500000000001</v>
    <v>22.842500000000001</v>
    <v>23.067499999999999</v>
    <v>22.99</v>
    <v>22.532499999999999</v>
    <v>22.254999999999999</v>
    <v>22.445</v>
    <v>22.692499999999999</v>
    <v>22.95</v>
    <v>22.592500000000001</v>
    <v>22.184999999999999</v>
    <v>22.342500000000001</v>
    <v>22.405000000000001</v>
    <v>23.57</v>
    <v>23.1675</v>
    <v>22.925000000000001</v>
    <v>24.25</v>
    <v>23.725000000000001</v>
    <v>23.85</v>
    <v>23.585000000000001</v>
    <v>24.0425</v>
    <v>24.08</v>
    <v>24.182500000000001</v>
    <v>24.5275</v>
    <v>24.29</v>
    <v>23.78</v>
    <v>23.5975</v>
    <v>23.6325</v>
    <v>23.305</v>
    <v>23.3825</v>
    <v>23.425000000000001</v>
    <v>23.195</v>
    <v>23.73</v>
    <v>23.64</v>
    <v>-99999901</v>
    <v>23.73</v>
    <v>24.31</v>
    <v>24.267499999999998</v>
    <v>24.344999999999999</v>
    <v>24.49</v>
    <v>24.245000000000001</v>
    <v>24.647500000000001</v>
    <v>24.7575</v>
    <v>24.545000000000002</v>
    <v>24.27</v>
    <v>24.385000000000002</v>
    <v>24.585000000000001</v>
    <v>24.515000000000001</v>
    <v>24.855</v>
    <v>-99999901</v>
    <v>25.162500000000001</v>
    <v>24.98</v>
    <v>25.2225</v>
    <v>25.432500000000001</v>
    <v>25.195</v>
    <v>25.3675</v>
    <v>25.377500000000001</v>
    <v>25.427499999999998</v>
    <v>25.217500000000001</v>
    <v>25.085000000000001</v>
    <v>24.83</v>
    <v>24.55</v>
    <v>24.497499999999999</v>
    <v>25.047499999999999</v>
    <v>25.324999999999999</v>
    <v>25.4375</v>
    <v>25.672499999999999</v>
    <v>25.785</v>
    <v>25.557500000000001</v>
    <v>25.56</v>
    <v>24.83</v>
    <v>24.93</v>
    <v>25.074999999999999</v>
    <v>25.092500000000001</v>
    <v>24.975000000000001</v>
    <v>24.932500000000001</v>
    <v>25.285</v>
    <v>25.452500000000001</v>
    <v>25.64</v>
    <v>25.77</v>
    <v>25.58</v>
    <v>25.14</v>
    <v>25.567499999999999</v>
    <v>25.842500000000001</v>
    <v>25.557500000000001</v>
    <v>25.91</v>
    <v>25.594999999999999</v>
    <v>25.43</v>
    <v>24.932500000000001</v>
    <v>25.1</v>
    <v>25.6</v>
    <v>25.445</v>
    <v>25.15</v>
    <v>25.51</v>
    <v>25.5</v>
    <v>25.4</v>
    <v>25.23</v>
    <v>25.895</v>
    <v>25.4925</v>
    <v>25.79</v>
    <v>25.85</v>
    <v>26.182500000000001</v>
    <v>26.364999999999998</v>
    <v>26.692499999999999</v>
    <v>26.45</v>
    <v>26.535</v>
    <v>26.81</v>
    <v>26.912500000000001</v>
    <v>26.827500000000001</v>
    <v>26.635000000000002</v>
    <v>26.04</v>
    <v>26.024999999999999</v>
    <v>25.975000000000001</v>
    <v>26.11</v>
    <v>26.1</v>
    <v>26.234999999999999</v>
    <v>26.23</v>
    <v>26.272500000000001</v>
    <v>26.565000000000001</v>
    <v>-99999901</v>
    <v>26.565000000000001</v>
    <v>26.6</v>
    <v>27.16</v>
    <v>27.17</v>
    <v>27.254999999999999</v>
    <v>27.094999999999999</v>
    <v>26.81</v>
    <v>26.817499999999999</v>
    <v>27.422499999999999</v>
    <v>27.247499999999999</v>
    <v>27.02</v>
    <v>27.39</v>
    <v>27.28</v>
    <v>26.7925</v>
    <v>26.997499999999999</v>
    <v>27.175000000000001</v>
    <v>26.875</v>
    <v>26.302499999999998</v>
    <v>26.87</v>
    <v>26.715</v>
    <v>26.5075</v>
    <v>27.045000000000002</v>
    <v>26.6875</v>
    <v>26.905000000000001</v>
    <v>27.23</v>
    <v>27.372499999999999</v>
    <v>26.92</v>
    <v>26.594999999999999</v>
    <v>26.515000000000001</v>
    <v>26.57</v>
    <v>26.545000000000002</v>
    <v>26.28</v>
    <v>26.15</v>
    <v>26.33</v>
    <v>26.34</v>
    <v>26.274999999999999</v>
    <v>26.34</v>
    <v>26.02</v>
    <v>25.805</v>
  </a>
  <a r="1" c="257">
    <v>21.557500000000001</v>
    <v>21.7</v>
    <v>21.914999999999999</v>
    <v>22.032499999999999</v>
    <v>21.9</v>
    <v>21.895</v>
    <v>21.797499999999999</v>
    <v>21.807500000000001</v>
    <v>21.754999999999999</v>
    <v>21.684999999999999</v>
    <v>21.762499999999999</v>
    <v>21.78</v>
    <v>21.914999999999999</v>
    <v>22.04</v>
    <v>22.357500000000002</v>
    <v>22.1175</v>
    <v>22.335000000000001</v>
    <v>21.965</v>
    <v>21.412500000000001</v>
    <v>21.434999999999999</v>
    <v>21.4375</v>
    <v>21.4925</v>
    <v>21.747499999999999</v>
    <v>21.82</v>
    <v>22.21</v>
    <v>22.07</v>
    <v>22.142499999999998</v>
    <v>22.04</v>
    <v>22</v>
    <v>21.952500000000001</v>
    <v>22.335000000000001</v>
    <v>22.234999999999999</v>
    <v>22.074999999999999</v>
    <v>22.2225</v>
    <v>22.202500000000001</v>
    <v>22.405000000000001</v>
    <v>22.425000000000001</v>
    <v>22.82</v>
    <v>22.532499999999999</v>
    <v>22.324999999999999</v>
    <v>22.315000000000001</v>
    <v>22.414999999999999</v>
    <v>22.335000000000001</v>
    <v>22.592500000000001</v>
    <v>22.405000000000001</v>
    <v>22.555</v>
    <v>22.614999999999998</v>
    <v>22.484999999999999</v>
    <v>22.592500000000001</v>
    <v>23.012499999999999</v>
    <v>23.01</v>
    <v>22.997499999999999</v>
    <v>22.995000000000001</v>
    <v>23.5425</v>
    <v>23.745000000000001</v>
    <v>23.594999999999999</v>
    <v>23.802499999999998</v>
    <v>23.907499999999999</v>
    <v>23.87</v>
    <v>23.785</v>
    <v>23.497499999999999</v>
    <v>23.497499999999999</v>
    <v>23.57</v>
    <v>23.364999999999998</v>
    <v>23.482500000000002</v>
    <v>23.68</v>
    <v>23.36</v>
    <v>23.547499999999999</v>
    <v>23.642499999999998</v>
    <v>23.737500000000001</v>
    <v>23.9175</v>
    <v>24.3825</v>
    <v>23.98</v>
    <v>24.62</v>
    <v>25.072500000000002</v>
    <v>25.5825</v>
    <v>25.65</v>
    <v>25.642499999999998</v>
    <v>25.8675</v>
    <v>25.0825</v>
    <v>25.23</v>
    <v>25.2925</v>
    <v>25.08</v>
    <v>24.977499999999999</v>
    <v>25.06</v>
    <v>24.84</v>
    <v>25.07</v>
    <v>25.29</v>
    <v>25.35</v>
    <v>24.4175</v>
    <v>23.0625</v>
    <v>23.785</v>
    <v>23.1525</v>
    <v>22.892499999999998</v>
    <v>22.875</v>
    <v>23.785</v>
    <v>23.024999999999999</v>
    <v>22.822500000000002</v>
    <v>22.592500000000001</v>
    <v>22.842500000000001</v>
    <v>23.067499999999999</v>
    <v>22.99</v>
    <v>22.532499999999999</v>
    <v>22.254999999999999</v>
    <v>22.445</v>
    <v>22.692499999999999</v>
    <v>22.95</v>
    <v>22.592500000000001</v>
    <v>22.184999999999999</v>
    <v>22.342500000000001</v>
    <v>22.405000000000001</v>
    <v>23.57</v>
    <v>23.1675</v>
    <v>22.925000000000001</v>
    <v>24.25</v>
    <v>23.725000000000001</v>
    <v>23.85</v>
    <v>23.585000000000001</v>
    <v>24.0425</v>
    <v>24.08</v>
    <v>24.182500000000001</v>
    <v>24.5275</v>
    <v>24.29</v>
    <v>23.78</v>
    <v>23.5975</v>
    <v>23.6325</v>
    <v>23.305</v>
    <v>23.3825</v>
    <v>23.425000000000001</v>
    <v>23.195</v>
    <v>23.73</v>
    <v>23.64</v>
    <v>-99999901</v>
    <v>23.73</v>
    <v>24.31</v>
    <v>24.267499999999998</v>
    <v>24.344999999999999</v>
    <v>24.49</v>
    <v>24.245000000000001</v>
    <v>24.647500000000001</v>
    <v>24.7575</v>
    <v>24.545000000000002</v>
    <v>24.27</v>
    <v>24.385000000000002</v>
    <v>24.585000000000001</v>
    <v>24.515000000000001</v>
    <v>24.855</v>
    <v>-99999901</v>
    <v>25.162500000000001</v>
    <v>24.98</v>
    <v>25.2225</v>
    <v>25.432500000000001</v>
    <v>25.195</v>
    <v>25.3675</v>
    <v>25.377500000000001</v>
    <v>25.427499999999998</v>
    <v>25.217500000000001</v>
    <v>25.085000000000001</v>
    <v>24.83</v>
    <v>24.55</v>
    <v>24.497499999999999</v>
    <v>25.047499999999999</v>
    <v>25.324999999999999</v>
    <v>25.4375</v>
    <v>25.672499999999999</v>
    <v>25.785</v>
    <v>25.557500000000001</v>
    <v>25.56</v>
    <v>24.83</v>
    <v>24.93</v>
    <v>25.074999999999999</v>
    <v>25.092500000000001</v>
    <v>24.975000000000001</v>
    <v>24.932500000000001</v>
    <v>25.285</v>
    <v>25.452500000000001</v>
    <v>25.64</v>
    <v>25.77</v>
    <v>25.58</v>
    <v>25.14</v>
    <v>25.567499999999999</v>
    <v>25.842500000000001</v>
    <v>25.557500000000001</v>
    <v>25.91</v>
    <v>25.594999999999999</v>
    <v>25.43</v>
    <v>24.932500000000001</v>
    <v>25.1</v>
    <v>25.6</v>
    <v>25.445</v>
    <v>25.15</v>
    <v>25.51</v>
    <v>25.5</v>
    <v>25.4</v>
    <v>25.23</v>
    <v>25.895</v>
    <v>25.4925</v>
    <v>25.79</v>
    <v>25.85</v>
    <v>26.182500000000001</v>
    <v>26.364999999999998</v>
    <v>26.692499999999999</v>
    <v>26.45</v>
    <v>26.535</v>
    <v>26.81</v>
    <v>26.912500000000001</v>
    <v>26.827500000000001</v>
    <v>26.635000000000002</v>
    <v>26.04</v>
    <v>26.024999999999999</v>
    <v>25.975000000000001</v>
    <v>26.11</v>
    <v>26.1</v>
    <v>26.234999999999999</v>
    <v>26.23</v>
    <v>26.272500000000001</v>
    <v>26.565000000000001</v>
    <v>-99999901</v>
    <v>26.565000000000001</v>
    <v>26.6</v>
    <v>27.16</v>
    <v>27.17</v>
    <v>27.254999999999999</v>
    <v>27.094999999999999</v>
    <v>26.81</v>
    <v>26.817499999999999</v>
    <v>27.422499999999999</v>
    <v>27.247499999999999</v>
    <v>27.02</v>
    <v>27.39</v>
    <v>27.28</v>
    <v>26.7925</v>
    <v>26.997499999999999</v>
    <v>27.175000000000001</v>
    <v>26.875</v>
    <v>26.302499999999998</v>
    <v>26.87</v>
    <v>26.715</v>
    <v>26.5075</v>
    <v>27.045000000000002</v>
    <v>26.6875</v>
    <v>26.905000000000001</v>
    <v>27.23</v>
    <v>27.372499999999999</v>
    <v>26.92</v>
    <v>26.594999999999999</v>
    <v>26.515000000000001</v>
    <v>26.57</v>
    <v>26.545000000000002</v>
    <v>26.28</v>
    <v>26.15</v>
    <v>26.33</v>
    <v>26.34</v>
    <v>26.274999999999999</v>
    <v>26.34</v>
    <v>26.02</v>
    <v>25.805</v>
  </a>
  <a r="1" c="210">
    <v>22.484999999999999</v>
    <v>22.592500000000001</v>
    <v>23.012499999999999</v>
    <v>23.01</v>
    <v>22.997499999999999</v>
    <v>22.995000000000001</v>
    <v>23.5425</v>
    <v>23.745000000000001</v>
    <v>23.594999999999999</v>
    <v>23.802499999999998</v>
    <v>23.907499999999999</v>
    <v>23.87</v>
    <v>23.785</v>
    <v>23.497499999999999</v>
    <v>23.497499999999999</v>
    <v>23.57</v>
    <v>23.364999999999998</v>
    <v>23.482500000000002</v>
    <v>23.68</v>
    <v>23.36</v>
    <v>23.547499999999999</v>
    <v>23.642499999999998</v>
    <v>23.737500000000001</v>
    <v>23.9175</v>
    <v>24.3825</v>
    <v>23.98</v>
    <v>24.62</v>
    <v>25.072500000000002</v>
    <v>25.5825</v>
    <v>25.65</v>
    <v>25.642499999999998</v>
    <v>25.8675</v>
    <v>25.0825</v>
    <v>25.23</v>
    <v>25.2925</v>
    <v>25.08</v>
    <v>24.977499999999999</v>
    <v>25.06</v>
    <v>24.84</v>
    <v>25.07</v>
    <v>25.29</v>
    <v>25.35</v>
    <v>24.4175</v>
    <v>23.0625</v>
    <v>23.785</v>
    <v>23.1525</v>
    <v>22.892499999999998</v>
    <v>22.875</v>
    <v>23.785</v>
    <v>23.024999999999999</v>
    <v>22.822500000000002</v>
    <v>22.592500000000001</v>
    <v>22.842500000000001</v>
    <v>23.067499999999999</v>
    <v>22.99</v>
    <v>22.532499999999999</v>
    <v>22.254999999999999</v>
    <v>22.445</v>
    <v>22.692499999999999</v>
    <v>22.95</v>
    <v>22.592500000000001</v>
    <v>22.184999999999999</v>
    <v>22.342500000000001</v>
    <v>22.405000000000001</v>
    <v>23.57</v>
    <v>23.1675</v>
    <v>22.925000000000001</v>
    <v>24.25</v>
    <v>23.725000000000001</v>
    <v>23.85</v>
    <v>23.585000000000001</v>
    <v>24.0425</v>
    <v>24.08</v>
    <v>24.182500000000001</v>
    <v>24.5275</v>
    <v>24.29</v>
    <v>23.78</v>
    <v>23.5975</v>
    <v>23.6325</v>
    <v>23.305</v>
    <v>23.3825</v>
    <v>23.425000000000001</v>
    <v>23.195</v>
    <v>23.73</v>
    <v>23.64</v>
    <v>-99999901</v>
    <v>23.73</v>
    <v>24.31</v>
    <v>24.267499999999998</v>
    <v>24.344999999999999</v>
    <v>24.49</v>
    <v>24.245000000000001</v>
    <v>24.647500000000001</v>
    <v>24.7575</v>
    <v>24.545000000000002</v>
    <v>24.27</v>
    <v>24.385000000000002</v>
    <v>24.585000000000001</v>
    <v>24.515000000000001</v>
    <v>24.855</v>
    <v>-99999901</v>
    <v>25.162500000000001</v>
    <v>24.98</v>
    <v>25.2225</v>
    <v>25.432500000000001</v>
    <v>25.195</v>
    <v>25.3675</v>
    <v>25.377500000000001</v>
    <v>25.427499999999998</v>
    <v>25.217500000000001</v>
    <v>25.085000000000001</v>
    <v>24.83</v>
    <v>24.55</v>
    <v>24.497499999999999</v>
    <v>25.047499999999999</v>
    <v>25.324999999999999</v>
    <v>25.4375</v>
    <v>25.672499999999999</v>
    <v>25.785</v>
    <v>25.557500000000001</v>
    <v>25.56</v>
    <v>24.83</v>
    <v>24.93</v>
    <v>25.074999999999999</v>
    <v>25.092500000000001</v>
    <v>24.975000000000001</v>
    <v>24.932500000000001</v>
    <v>25.285</v>
    <v>25.452500000000001</v>
    <v>25.64</v>
    <v>25.77</v>
    <v>25.58</v>
    <v>25.14</v>
    <v>25.567499999999999</v>
    <v>25.842500000000001</v>
    <v>25.557500000000001</v>
    <v>25.91</v>
    <v>25.594999999999999</v>
    <v>25.43</v>
    <v>24.932500000000001</v>
    <v>25.1</v>
    <v>25.6</v>
    <v>25.445</v>
    <v>25.15</v>
    <v>25.51</v>
    <v>25.5</v>
    <v>25.4</v>
    <v>25.23</v>
    <v>25.895</v>
    <v>25.4925</v>
    <v>25.79</v>
    <v>25.85</v>
    <v>26.182500000000001</v>
    <v>26.364999999999998</v>
    <v>26.692499999999999</v>
    <v>26.45</v>
    <v>26.535</v>
    <v>26.81</v>
    <v>26.912500000000001</v>
    <v>26.827500000000001</v>
    <v>26.635000000000002</v>
    <v>26.04</v>
    <v>26.024999999999999</v>
    <v>25.975000000000001</v>
    <v>26.11</v>
    <v>26.1</v>
    <v>26.234999999999999</v>
    <v>26.23</v>
    <v>26.272500000000001</v>
    <v>26.565000000000001</v>
    <v>-99999901</v>
    <v>26.565000000000001</v>
    <v>26.6</v>
    <v>27.16</v>
    <v>27.17</v>
    <v>27.254999999999999</v>
    <v>27.094999999999999</v>
    <v>26.81</v>
    <v>26.817499999999999</v>
    <v>27.422499999999999</v>
    <v>27.247499999999999</v>
    <v>27.02</v>
    <v>27.39</v>
    <v>27.28</v>
    <v>26.7925</v>
    <v>26.997499999999999</v>
    <v>27.175000000000001</v>
    <v>26.875</v>
    <v>26.302499999999998</v>
    <v>26.87</v>
    <v>26.715</v>
    <v>26.5075</v>
    <v>27.045000000000002</v>
    <v>26.6875</v>
    <v>26.905000000000001</v>
    <v>27.23</v>
    <v>27.372499999999999</v>
    <v>26.92</v>
    <v>26.594999999999999</v>
    <v>26.515000000000001</v>
    <v>26.57</v>
    <v>26.545000000000002</v>
    <v>26.28</v>
    <v>26.15</v>
    <v>26.33</v>
    <v>26.34</v>
    <v>26.274999999999999</v>
    <v>26.34</v>
    <v>26.02</v>
    <v>25.805</v>
  </a>
  <a r="1" c="208">
    <v>30.52</v>
    <v>30.184999999999999</v>
    <v>30.37</v>
    <v>30.25</v>
    <v>30.434999999999999</v>
    <v>30.405000000000001</v>
    <v>30.3</v>
    <v>30.31</v>
    <v>30.684999999999999</v>
    <v>31</v>
    <v>31.14</v>
    <v>31.015000000000001</v>
    <v>30.62</v>
    <v>30.695</v>
    <v>30.945</v>
    <v>30.664999999999999</v>
    <v>30.64</v>
    <v>30.614999999999998</v>
    <v>30.885000000000002</v>
    <v>30.905000000000001</v>
    <v>30.895</v>
    <v>31.03</v>
    <v>31.44</v>
    <v>31.81</v>
    <v>31.945</v>
    <v>31.86</v>
    <v>31.92</v>
    <v>32.33</v>
    <v>32.64</v>
    <v>33.174999999999997</v>
    <v>33.465000000000003</v>
    <v>33.74</v>
    <v>33.634999999999998</v>
    <v>33.479999999999997</v>
    <v>33.369999999999997</v>
    <v>33.450000000000003</v>
    <v>33.604999999999997</v>
    <v>33.604999999999997</v>
    <v>33.645000000000003</v>
    <v>33.82</v>
    <v>33.965000000000003</v>
    <v>34.255000000000003</v>
    <v>34.005000000000003</v>
    <v>34.06</v>
    <v>33.94</v>
    <v>33.615000000000002</v>
    <v>33.72</v>
    <v>33.755000000000003</v>
    <v>33.704999999999998</v>
    <v>34.015000000000001</v>
    <v>34.164999999999999</v>
    <v>34.134999999999998</v>
    <v>34.26</v>
    <v>33.79</v>
    <v>33.39</v>
    <v>33.01</v>
    <v>32.905000000000001</v>
    <v>33.24</v>
    <v>33.33</v>
    <v>33.365000000000002</v>
    <v>33.53</v>
    <v>33.884999999999998</v>
    <v>33.475000000000001</v>
    <v>33.475000000000001</v>
    <v>33.994999999999997</v>
    <v>33.984999999999999</v>
    <v>33.854999999999997</v>
    <v>34.384999999999998</v>
    <v>34.174999999999997</v>
    <v>33.729999999999997</v>
    <v>33.445</v>
    <v>33.200000000000003</v>
    <v>33.265000000000001</v>
    <v>33.395000000000003</v>
    <v>33.49</v>
    <v>33.005000000000003</v>
    <v>33.445</v>
    <v>33.71</v>
    <v>33.744999999999997</v>
    <v>33.67</v>
    <v>33.965000000000003</v>
    <v>33.65</v>
    <v>34.090000000000003</v>
    <v>34.094999999999999</v>
    <v>34.215000000000003</v>
    <v>33.715000000000003</v>
    <v>33.354999999999997</v>
    <v>33.365000000000002</v>
    <v>33.380000000000003</v>
    <v>33.465000000000003</v>
    <v>33.435000000000002</v>
    <v>33.74</v>
    <v>33.555</v>
    <v>33.524999999999999</v>
    <v>33.965000000000003</v>
    <v>34.064999999999998</v>
    <v>34.11</v>
    <v>34</v>
    <v>34.125</v>
    <v>34.015000000000001</v>
    <v>34.015000000000001</v>
    <v>33.655000000000001</v>
    <v>33.125</v>
    <v>32.805</v>
    <v>33.200000000000003</v>
    <v>33.6</v>
    <v>33.130000000000003</v>
    <v>33.89</v>
    <v>33.65</v>
    <v>33.54</v>
    <v>33.774999999999999</v>
    <v>33.875</v>
    <v>33.954999999999998</v>
    <v>33.704999999999998</v>
    <v>33.76</v>
    <v>33.53</v>
    <v>33.645000000000003</v>
    <v>33.590000000000003</v>
    <v>33.825000000000003</v>
    <v>34.1</v>
    <v>34.384999999999998</v>
    <v>34.51</v>
    <v>34.69</v>
    <v>34.555</v>
    <v>34.54</v>
    <v>34.244999999999997</v>
    <v>34.44</v>
    <v>34.729999999999997</v>
    <v>34.49</v>
    <v>34.825000000000003</v>
    <v>34.765000000000001</v>
    <v>34.704999999999998</v>
    <v>34.674999999999997</v>
    <v>34.895000000000003</v>
    <v>34.965000000000003</v>
    <v>34.86</v>
    <v>34.935000000000002</v>
    <v>35.265000000000001</v>
    <v>35.04</v>
    <v>34.585000000000001</v>
    <v>34.93</v>
    <v>35.615000000000002</v>
    <v>35.57</v>
    <v>35.17</v>
    <v>35.32</v>
    <v>34.979999999999997</v>
    <v>33.984999999999999</v>
    <v>34.244999999999997</v>
    <v>34.200000000000003</v>
    <v>33.954999999999998</v>
    <v>33.630000000000003</v>
    <v>33.774999999999999</v>
    <v>33.755000000000003</v>
    <v>33.475000000000001</v>
    <v>33.545000000000002</v>
    <v>33.784999999999997</v>
    <v>33.94</v>
    <v>33.880000000000003</v>
    <v>33.869999999999997</v>
    <v>34.06</v>
    <v>33.729999999999997</v>
    <v>33.685000000000002</v>
    <v>33.26</v>
    <v>33.164999999999999</v>
    <v>33.424999999999997</v>
    <v>33.615000000000002</v>
    <v>33.174999999999997</v>
    <v>33.33</v>
    <v>33.094999999999999</v>
    <v>33.07</v>
    <v>33.024999999999999</v>
    <v>33.25</v>
    <v>33.11</v>
    <v>32.979999999999997</v>
    <v>33.335000000000001</v>
    <v>32.99</v>
    <v>32.774999999999999</v>
    <v>32.79</v>
    <v>32.75</v>
    <v>32.630000000000003</v>
    <v>32.755000000000003</v>
    <v>32.765000000000001</v>
    <v>32.72</v>
    <v>32.505000000000003</v>
    <v>32.6</v>
    <v>32.39</v>
    <v>32.119999999999997</v>
    <v>31.79</v>
    <v>31.805</v>
    <v>31.83</v>
    <v>31.98</v>
    <v>31.99</v>
    <v>32.35</v>
    <v>32.65</v>
    <v>32.645000000000003</v>
    <v>32.78</v>
    <v>32.68</v>
    <v>33.134999999999998</v>
    <v>33.46</v>
    <v>33.475000000000001</v>
    <v>33.655000000000001</v>
    <v>33.56</v>
    <v>33.78</v>
    <v>33.65</v>
    <v>33.880000000000003</v>
    <v>33.965000000000003</v>
    <v>34.25</v>
    <v>34.6</v>
  </a>
  <a r="1" c="761">
    <v>25.395</v>
    <v>25.58</v>
    <v>25.66</v>
    <v>25.975000000000001</v>
    <v>25.57</v>
    <v>25.5</v>
    <v>25.84</v>
    <v>26.145</v>
    <v>26.555</v>
    <v>26.734999999999999</v>
    <v>26.495000000000001</v>
    <v>26.445</v>
    <v>26.07</v>
    <v>26.16</v>
    <v>26.055</v>
    <v>25.975000000000001</v>
    <v>26.405000000000001</v>
    <v>26.47</v>
    <v>26.28</v>
    <v>26.35</v>
    <v>26.33</v>
    <v>26.31</v>
    <v>26.515000000000001</v>
    <v>26.5</v>
    <v>26.495000000000001</v>
    <v>26.47</v>
    <v>26.52</v>
    <v>26.545000000000002</v>
    <v>26.715</v>
    <v>27.19</v>
    <v>27.385000000000002</v>
    <v>27.28</v>
    <v>27.524999999999999</v>
    <v>27.61</v>
    <v>27.52</v>
    <v>27.695</v>
    <v>27.434999999999999</v>
    <v>27.56</v>
    <v>27.87</v>
    <v>27.66</v>
    <v>27.54</v>
    <v>27.545000000000002</v>
    <v>27.515000000000001</v>
    <v>27.285</v>
    <v>27.535</v>
    <v>27.335000000000001</v>
    <v>27.45</v>
    <v>27.46</v>
    <v>27.89</v>
    <v>27.95</v>
    <v>28.07</v>
    <v>27.97</v>
    <v>27.885000000000002</v>
    <v>27.99</v>
    <v>27.824999999999999</v>
    <v>27.495000000000001</v>
    <v>27.645</v>
    <v>27.704999999999998</v>
    <v>27.734999999999999</v>
    <v>27.36</v>
    <v>27.06</v>
    <v>27.004999999999999</v>
    <v>27.074999999999999</v>
    <v>27.1</v>
    <v>26.984999999999999</v>
    <v>27.12</v>
    <v>27.234999999999999</v>
    <v>27.385000000000002</v>
    <v>27.364999999999998</v>
    <v>27.585000000000001</v>
    <v>27.57</v>
    <v>27.565000000000001</v>
    <v>27.49</v>
    <v>27.524999999999999</v>
    <v>27.41</v>
    <v>27.164999999999999</v>
    <v>27.145</v>
    <v>27.414999999999999</v>
    <v>27.11</v>
    <v>27.27</v>
    <v>27.32</v>
    <v>27.405000000000001</v>
    <v>27.36</v>
    <v>27.405000000000001</v>
    <v>27.515000000000001</v>
    <v>27.48</v>
    <v>27.734999999999999</v>
    <v>27.34</v>
    <v>27.34</v>
    <v>27.35</v>
    <v>27.565000000000001</v>
    <v>27.465</v>
    <v>27.504999999999999</v>
    <v>27.79</v>
    <v>27.75</v>
    <v>27.785</v>
    <v>27.844999999999999</v>
    <v>27.844999999999999</v>
    <v>27.785</v>
    <v>27.835000000000001</v>
    <v>27.69</v>
    <v>27.75</v>
    <v>27.82</v>
    <v>27.824999999999999</v>
    <v>27.934999999999999</v>
    <v>28.06</v>
    <v>28.11</v>
    <v>28.03</v>
    <v>27.905000000000001</v>
    <v>28.08</v>
    <v>28.355</v>
    <v>28.3</v>
    <v>28.15</v>
    <v>28.125</v>
    <v>27.97</v>
    <v>28.04</v>
    <v>28.145</v>
    <v>28</v>
    <v>27.91</v>
    <v>28.094999999999999</v>
    <v>28</v>
    <v>27.54</v>
    <v>27.445</v>
    <v>27.745000000000001</v>
    <v>27.975000000000001</v>
    <v>28.184999999999999</v>
    <v>28.4</v>
    <v>28.125</v>
    <v>28.17</v>
    <v>28.25</v>
    <v>28.364999999999998</v>
    <v>28.234999999999999</v>
    <v>28.35</v>
    <v>28.465</v>
    <v>28.54</v>
    <v>28.765000000000001</v>
    <v>28.925000000000001</v>
    <v>29.05</v>
    <v>29.26</v>
    <v>29.11</v>
    <v>29.06</v>
    <v>29.31</v>
    <v>29.14</v>
    <v>29.16</v>
    <v>29.215</v>
    <v>29.085000000000001</v>
    <v>29.1</v>
    <v>28.64</v>
    <v>28.49</v>
    <v>28.504999999999999</v>
    <v>28.405000000000001</v>
    <v>28.08</v>
    <v>28.2</v>
    <v>28.555</v>
    <v>28.664999999999999</v>
    <v>28.44</v>
    <v>28.605</v>
    <v>28.605</v>
    <v>28.57</v>
    <v>28.63</v>
    <v>28.545000000000002</v>
    <v>28.305</v>
    <v>28.28</v>
    <v>28.395</v>
    <v>28.29</v>
    <v>28.22</v>
    <v>28.114999999999998</v>
    <v>28.305</v>
    <v>28.44</v>
    <v>28.62</v>
    <v>28.37</v>
    <v>28.36</v>
    <v>28.46</v>
    <v>28.355</v>
    <v>28.225000000000001</v>
    <v>28.19</v>
    <v>28.3</v>
    <v>28.32</v>
    <v>28.24</v>
    <v>28.114999999999998</v>
    <v>28.175000000000001</v>
    <v>28.315000000000001</v>
    <v>28.844999999999999</v>
    <v>29.055</v>
    <v>28.815000000000001</v>
    <v>28.97</v>
    <v>29.15</v>
    <v>29.42</v>
    <v>29.11</v>
    <v>29.355</v>
    <v>29.324999999999999</v>
    <v>29.295000000000002</v>
    <v>29.385000000000002</v>
    <v>29.47</v>
    <v>29.664999999999999</v>
    <v>29.835000000000001</v>
    <v>30.035</v>
    <v>30.234999999999999</v>
    <v>29.754999999999999</v>
    <v>29.35</v>
    <v>29.54</v>
    <v>29.99</v>
    <v>29.84</v>
    <v>29.72</v>
    <v>29.645</v>
    <v>29.754999999999999</v>
    <v>29.754999999999999</v>
    <v>29.695</v>
    <v>29.754999999999999</v>
    <v>29.62</v>
    <v>29.675000000000001</v>
    <v>29.67</v>
    <v>29.754999999999999</v>
    <v>29.87</v>
    <v>29.835000000000001</v>
    <v>30.05</v>
    <v>30.04</v>
    <v>30.19</v>
    <v>30.34</v>
    <v>30.565000000000001</v>
    <v>30.625</v>
    <v>30.57</v>
    <v>30.38</v>
    <v>30.635000000000002</v>
    <v>30.85</v>
    <v>30.52</v>
    <v>30.69</v>
    <v>30.84</v>
    <v>30.945</v>
    <v>31.085000000000001</v>
    <v>30.92</v>
    <v>30.53</v>
    <v>30.605</v>
    <v>30.9</v>
    <v>30.97</v>
    <v>30.78</v>
    <v>30.684999999999999</v>
    <v>30.84</v>
    <v>30.75</v>
    <v>31.254999999999999</v>
    <v>31.135000000000002</v>
    <v>31.094999999999999</v>
    <v>31.035</v>
    <v>30.864999999999998</v>
    <v>30.824999999999999</v>
    <v>30.785</v>
    <v>30.87</v>
    <v>30.91</v>
    <v>31.28</v>
    <v>31.614999999999998</v>
    <v>31.79</v>
    <v>31.87</v>
    <v>31.824999999999999</v>
    <v>31.635000000000002</v>
    <v>31.7</v>
    <v>31.774999999999999</v>
    <v>31.68</v>
    <v>31.45</v>
    <v>31.445</v>
    <v>31.135000000000002</v>
    <v>30.984999999999999</v>
    <v>31.09</v>
    <v>30.96</v>
    <v>30.54</v>
    <v>30.745000000000001</v>
    <v>31.324999999999999</v>
    <v>31.335000000000001</v>
    <v>31.59</v>
    <v>32.14</v>
    <v>31.855</v>
    <v>31.83</v>
    <v>31.64</v>
    <v>31.754999999999999</v>
    <v>31.96</v>
    <v>31.96</v>
    <v>32.125</v>
    <v>32.520000000000003</v>
    <v>33.049999999999997</v>
    <v>32.75</v>
    <v>32.74</v>
    <v>32.835000000000001</v>
    <v>32.81</v>
    <v>32.85</v>
    <v>32.645000000000003</v>
    <v>32.524999999999999</v>
    <v>32.159999999999997</v>
    <v>32.200000000000003</v>
    <v>31.914999999999999</v>
    <v>31.824999999999999</v>
    <v>31.71</v>
    <v>31.6</v>
    <v>31.49</v>
    <v>31.4</v>
    <v>31.175000000000001</v>
    <v>30.975000000000001</v>
    <v>30.895</v>
    <v>30.65</v>
    <v>30.75</v>
    <v>30.82</v>
    <v>31.074999999999999</v>
    <v>30.975000000000001</v>
    <v>31.67</v>
    <v>31.63</v>
    <v>31.195</v>
    <v>31.18</v>
    <v>31.24</v>
    <v>31.254999999999999</v>
    <v>30.914999999999999</v>
    <v>30.78</v>
    <v>30.875</v>
    <v>31.38</v>
    <v>31.56</v>
    <v>32.08</v>
    <v>31.79</v>
    <v>32.024999999999999</v>
    <v>31.495000000000001</v>
    <v>31.515000000000001</v>
    <v>31.3</v>
    <v>31.155000000000001</v>
    <v>31.295000000000002</v>
    <v>31.37</v>
    <v>31.515000000000001</v>
    <v>31.594999999999999</v>
    <v>31.655000000000001</v>
    <v>31.414999999999999</v>
    <v>31.484999999999999</v>
    <v>31.5</v>
    <v>31.524999999999999</v>
    <v>31.75</v>
    <v>31.77</v>
    <v>31.655000000000001</v>
    <v>31.465</v>
    <v>31.38</v>
    <v>31.26</v>
    <v>31.414999999999999</v>
    <v>31.6</v>
    <v>31.38</v>
    <v>31.65</v>
    <v>31.684999999999999</v>
    <v>31.41</v>
    <v>31.574999999999999</v>
    <v>31.68</v>
    <v>31.81</v>
    <v>31.914999999999999</v>
    <v>31.49</v>
    <v>30.48</v>
    <v>30.3</v>
    <v>30.274999999999999</v>
    <v>30.754999999999999</v>
    <v>30.17</v>
    <v>30.125</v>
    <v>30.215</v>
    <v>30.614999999999998</v>
    <v>30.9</v>
    <v>30.734999999999999</v>
    <v>30.885000000000002</v>
    <v>31.085000000000001</v>
    <v>31.02</v>
    <v>31.24</v>
    <v>30.85</v>
    <v>31.06</v>
    <v>31.145</v>
    <v>31.085000000000001</v>
    <v>31.31</v>
    <v>31.475000000000001</v>
    <v>31.465</v>
    <v>31.035</v>
    <v>30.094999999999999</v>
    <v>29.01</v>
    <v>29.39</v>
    <v>28.045000000000002</v>
    <v>28.76</v>
    <v>28.5</v>
    <v>29.285</v>
    <v>29.745000000000001</v>
    <v>29.72</v>
    <v>29.844999999999999</v>
    <v>29.59</v>
    <v>29.785</v>
    <v>29.795000000000002</v>
    <v>29.675000000000001</v>
    <v>29.81</v>
    <v>29.94</v>
    <v>30</v>
    <v>30.18</v>
    <v>30.23</v>
    <v>30.285</v>
    <v>30.305</v>
    <v>30.405000000000001</v>
    <v>30.234999999999999</v>
    <v>30.414999999999999</v>
    <v>30.254999999999999</v>
    <v>29.984999999999999</v>
    <v>30.364999999999998</v>
    <v>30.715</v>
    <v>30.585000000000001</v>
    <v>30.71</v>
    <v>30.3</v>
    <v>29.92</v>
    <v>29.92</v>
    <v>30.16</v>
    <v>30.245000000000001</v>
    <v>30.074999999999999</v>
    <v>29.94</v>
    <v>30.15</v>
    <v>30.03</v>
    <v>30.225000000000001</v>
    <v>30.145</v>
    <v>29.925000000000001</v>
    <v>30.09</v>
    <v>29.97</v>
    <v>30.01</v>
    <v>29.81</v>
    <v>29.655000000000001</v>
    <v>29.835000000000001</v>
    <v>29.675000000000001</v>
    <v>29.53</v>
    <v>29.45</v>
    <v>29.475000000000001</v>
    <v>29.62</v>
    <v>29.645</v>
    <v>29.59</v>
    <v>29.274999999999999</v>
    <v>29.35</v>
    <v>29.47</v>
    <v>29.36</v>
    <v>29.55</v>
    <v>29.405000000000001</v>
    <v>29.58</v>
    <v>29.46</v>
    <v>29.48</v>
    <v>29.4</v>
    <v>29.4</v>
    <v>29.625</v>
    <v>29.49</v>
    <v>29.67</v>
    <v>29.655000000000001</v>
    <v>29.45</v>
    <v>29.83</v>
    <v>29.94</v>
    <v>29.934999999999999</v>
    <v>30.04</v>
    <v>29.93</v>
    <v>29.81</v>
    <v>29.734999999999999</v>
    <v>29.97</v>
    <v>30.12</v>
    <v>30.36</v>
    <v>30.305</v>
    <v>30.155000000000001</v>
    <v>30.475000000000001</v>
    <v>30.32</v>
    <v>30.324999999999999</v>
    <v>30.28</v>
    <v>30.24</v>
    <v>30.265000000000001</v>
    <v>30</v>
    <v>30.094999999999999</v>
    <v>30.024999999999999</v>
    <v>29.91</v>
    <v>29.984999999999999</v>
    <v>30.26</v>
    <v>30.34</v>
    <v>30.225000000000001</v>
    <v>30.055</v>
    <v>29.875</v>
    <v>30.074999999999999</v>
    <v>29.895</v>
    <v>29.78</v>
    <v>29.824999999999999</v>
    <v>29.704999999999998</v>
    <v>29.61</v>
    <v>29.625</v>
    <v>29.37</v>
    <v>29.234999999999999</v>
    <v>29.32</v>
    <v>29.38</v>
    <v>29.61</v>
    <v>29.785</v>
    <v>29.704999999999998</v>
    <v>29.35</v>
    <v>29.454999999999998</v>
    <v>29.46</v>
    <v>29.535</v>
    <v>29.524999999999999</v>
    <v>29.68</v>
    <v>29.965</v>
    <v>30.13</v>
    <v>30.234999999999999</v>
    <v>30.254999999999999</v>
    <v>30.285</v>
    <v>30.475000000000001</v>
    <v>30.44</v>
    <v>30.605</v>
    <v>30.7</v>
    <v>30.96</v>
    <v>31.035</v>
    <v>31.125</v>
    <v>30.86</v>
    <v>30.88</v>
    <v>30.914999999999999</v>
    <v>31.15</v>
    <v>31.135000000000002</v>
    <v>30.895</v>
    <v>31.094999999999999</v>
    <v>31.135000000000002</v>
    <v>31.195</v>
    <v>31.055</v>
    <v>30.875</v>
    <v>30.8</v>
    <v>30.51</v>
    <v>30.484999999999999</v>
    <v>30.63</v>
    <v>30.57</v>
    <v>30.61</v>
    <v>30.68</v>
    <v>30.83</v>
    <v>30.745000000000001</v>
    <v>30.684999999999999</v>
    <v>30.97</v>
    <v>31.094999999999999</v>
    <v>31.164999999999999</v>
    <v>30.844999999999999</v>
    <v>30.81</v>
    <v>31.04</v>
    <v>30.96</v>
    <v>30.614999999999998</v>
    <v>30.824999999999999</v>
    <v>30.76</v>
    <v>30.81</v>
    <v>30.83</v>
    <v>31.05</v>
    <v>31.094999999999999</v>
    <v>31.15</v>
    <v>30.97</v>
    <v>30.774999999999999</v>
    <v>30.585000000000001</v>
    <v>30.72</v>
    <v>30.6</v>
    <v>30.59</v>
    <v>30.445</v>
    <v>30.26</v>
    <v>30.14</v>
    <v>30.125</v>
    <v>30.145</v>
    <v>30.01</v>
    <v>30.135000000000002</v>
    <v>30.215</v>
    <v>30.234999999999999</v>
    <v>29.925000000000001</v>
    <v>30.065000000000001</v>
    <v>30.37</v>
    <v>30.344999999999999</v>
    <v>30.52</v>
    <v>30.184999999999999</v>
    <v>30.37</v>
    <v>30.25</v>
    <v>30.434999999999999</v>
    <v>30.405000000000001</v>
    <v>30.3</v>
    <v>30.31</v>
    <v>30.684999999999999</v>
    <v>31</v>
    <v>31.14</v>
    <v>31.015000000000001</v>
    <v>30.62</v>
    <v>30.695</v>
    <v>30.945</v>
    <v>30.664999999999999</v>
    <v>30.64</v>
    <v>30.614999999999998</v>
    <v>30.885000000000002</v>
    <v>30.905000000000001</v>
    <v>30.895</v>
    <v>31.03</v>
    <v>31.44</v>
    <v>31.81</v>
    <v>31.945</v>
    <v>31.86</v>
    <v>31.92</v>
    <v>32.33</v>
    <v>32.64</v>
    <v>33.174999999999997</v>
    <v>33.465000000000003</v>
    <v>33.74</v>
    <v>33.634999999999998</v>
    <v>33.479999999999997</v>
    <v>33.369999999999997</v>
    <v>33.450000000000003</v>
    <v>33.604999999999997</v>
    <v>33.604999999999997</v>
    <v>33.645000000000003</v>
    <v>33.82</v>
    <v>33.965000000000003</v>
    <v>34.255000000000003</v>
    <v>34.005000000000003</v>
    <v>34.06</v>
    <v>33.94</v>
    <v>33.615000000000002</v>
    <v>33.72</v>
    <v>33.755000000000003</v>
    <v>33.704999999999998</v>
    <v>34.015000000000001</v>
    <v>34.164999999999999</v>
    <v>34.134999999999998</v>
    <v>34.26</v>
    <v>33.79</v>
    <v>33.39</v>
    <v>33.01</v>
    <v>32.905000000000001</v>
    <v>33.24</v>
    <v>33.33</v>
    <v>33.365000000000002</v>
    <v>33.53</v>
    <v>33.884999999999998</v>
    <v>33.475000000000001</v>
    <v>33.475000000000001</v>
    <v>33.994999999999997</v>
    <v>33.984999999999999</v>
    <v>33.854999999999997</v>
    <v>34.384999999999998</v>
    <v>34.174999999999997</v>
    <v>33.729999999999997</v>
    <v>33.445</v>
    <v>33.200000000000003</v>
    <v>33.265000000000001</v>
    <v>33.395000000000003</v>
    <v>33.49</v>
    <v>33.005000000000003</v>
    <v>33.445</v>
    <v>33.71</v>
    <v>33.744999999999997</v>
    <v>33.67</v>
    <v>33.965000000000003</v>
    <v>33.65</v>
    <v>34.090000000000003</v>
    <v>34.094999999999999</v>
    <v>34.215000000000003</v>
    <v>33.715000000000003</v>
    <v>33.354999999999997</v>
    <v>33.365000000000002</v>
    <v>33.380000000000003</v>
    <v>33.465000000000003</v>
    <v>33.435000000000002</v>
    <v>33.74</v>
    <v>33.555</v>
    <v>33.524999999999999</v>
    <v>33.965000000000003</v>
    <v>34.064999999999998</v>
    <v>34.11</v>
    <v>34</v>
    <v>34.125</v>
    <v>34.015000000000001</v>
    <v>34.015000000000001</v>
    <v>33.655000000000001</v>
    <v>33.125</v>
    <v>32.805</v>
    <v>33.200000000000003</v>
    <v>33.6</v>
    <v>33.130000000000003</v>
    <v>33.89</v>
    <v>33.65</v>
    <v>33.54</v>
    <v>33.774999999999999</v>
    <v>33.875</v>
    <v>33.954999999999998</v>
    <v>33.704999999999998</v>
    <v>33.76</v>
    <v>33.53</v>
    <v>33.645000000000003</v>
    <v>33.590000000000003</v>
    <v>33.825000000000003</v>
    <v>34.1</v>
    <v>34.384999999999998</v>
    <v>34.51</v>
    <v>34.69</v>
    <v>34.555</v>
    <v>34.54</v>
    <v>34.244999999999997</v>
    <v>34.44</v>
    <v>34.729999999999997</v>
    <v>34.49</v>
    <v>34.825000000000003</v>
    <v>34.765000000000001</v>
    <v>34.704999999999998</v>
    <v>34.674999999999997</v>
    <v>34.895000000000003</v>
    <v>34.965000000000003</v>
    <v>34.86</v>
    <v>34.935000000000002</v>
    <v>35.265000000000001</v>
    <v>35.04</v>
    <v>34.585000000000001</v>
    <v>34.93</v>
    <v>35.615000000000002</v>
    <v>35.57</v>
    <v>35.17</v>
    <v>35.32</v>
    <v>34.979999999999997</v>
    <v>33.984999999999999</v>
    <v>34.244999999999997</v>
    <v>34.200000000000003</v>
    <v>33.954999999999998</v>
    <v>33.630000000000003</v>
    <v>33.774999999999999</v>
    <v>33.755000000000003</v>
    <v>33.475000000000001</v>
    <v>33.545000000000002</v>
    <v>33.784999999999997</v>
    <v>33.94</v>
    <v>33.880000000000003</v>
    <v>33.869999999999997</v>
    <v>34.06</v>
    <v>33.729999999999997</v>
    <v>33.685000000000002</v>
    <v>33.26</v>
    <v>33.164999999999999</v>
    <v>33.424999999999997</v>
    <v>33.615000000000002</v>
    <v>33.174999999999997</v>
    <v>33.33</v>
    <v>33.094999999999999</v>
    <v>33.07</v>
    <v>33.024999999999999</v>
    <v>33.25</v>
    <v>33.11</v>
    <v>32.979999999999997</v>
    <v>33.335000000000001</v>
    <v>32.99</v>
    <v>32.774999999999999</v>
    <v>32.79</v>
    <v>32.75</v>
    <v>32.630000000000003</v>
    <v>32.755000000000003</v>
    <v>32.765000000000001</v>
    <v>32.72</v>
    <v>32.505000000000003</v>
    <v>32.6</v>
    <v>32.39</v>
    <v>32.119999999999997</v>
    <v>31.79</v>
    <v>31.805</v>
    <v>31.83</v>
    <v>31.98</v>
    <v>31.99</v>
    <v>32.35</v>
    <v>32.65</v>
    <v>32.645000000000003</v>
    <v>32.78</v>
    <v>32.68</v>
    <v>33.134999999999998</v>
    <v>33.46</v>
    <v>33.475000000000001</v>
    <v>33.655000000000001</v>
    <v>33.56</v>
    <v>33.78</v>
    <v>33.65</v>
    <v>33.880000000000003</v>
    <v>33.965000000000003</v>
    <v>34.25</v>
    <v>34.6</v>
  </a>
  <a r="1" c="254">
    <v>31.055</v>
    <v>30.875</v>
    <v>30.8</v>
    <v>30.51</v>
    <v>30.484999999999999</v>
    <v>30.63</v>
    <v>30.57</v>
    <v>30.61</v>
    <v>30.68</v>
    <v>30.83</v>
    <v>30.745000000000001</v>
    <v>30.684999999999999</v>
    <v>30.97</v>
    <v>31.094999999999999</v>
    <v>31.164999999999999</v>
    <v>30.844999999999999</v>
    <v>30.81</v>
    <v>31.04</v>
    <v>30.96</v>
    <v>30.614999999999998</v>
    <v>30.824999999999999</v>
    <v>30.76</v>
    <v>30.81</v>
    <v>30.83</v>
    <v>31.05</v>
    <v>31.094999999999999</v>
    <v>31.15</v>
    <v>30.97</v>
    <v>30.774999999999999</v>
    <v>30.585000000000001</v>
    <v>30.72</v>
    <v>30.6</v>
    <v>30.59</v>
    <v>30.445</v>
    <v>30.26</v>
    <v>30.14</v>
    <v>30.125</v>
    <v>30.145</v>
    <v>30.01</v>
    <v>30.135000000000002</v>
    <v>30.215</v>
    <v>30.234999999999999</v>
    <v>29.925000000000001</v>
    <v>30.065000000000001</v>
    <v>30.37</v>
    <v>30.344999999999999</v>
    <v>30.52</v>
    <v>30.184999999999999</v>
    <v>30.37</v>
    <v>30.25</v>
    <v>30.434999999999999</v>
    <v>30.405000000000001</v>
    <v>30.3</v>
    <v>30.31</v>
    <v>30.684999999999999</v>
    <v>31</v>
    <v>31.14</v>
    <v>31.015000000000001</v>
    <v>30.62</v>
    <v>30.695</v>
    <v>30.945</v>
    <v>30.664999999999999</v>
    <v>30.64</v>
    <v>30.614999999999998</v>
    <v>30.885000000000002</v>
    <v>30.905000000000001</v>
    <v>30.895</v>
    <v>31.03</v>
    <v>31.44</v>
    <v>31.81</v>
    <v>31.945</v>
    <v>31.86</v>
    <v>31.92</v>
    <v>32.33</v>
    <v>32.64</v>
    <v>33.174999999999997</v>
    <v>33.465000000000003</v>
    <v>33.74</v>
    <v>33.634999999999998</v>
    <v>33.479999999999997</v>
    <v>33.369999999999997</v>
    <v>33.450000000000003</v>
    <v>33.604999999999997</v>
    <v>33.604999999999997</v>
    <v>33.645000000000003</v>
    <v>33.82</v>
    <v>33.965000000000003</v>
    <v>34.255000000000003</v>
    <v>34.005000000000003</v>
    <v>34.06</v>
    <v>33.94</v>
    <v>33.615000000000002</v>
    <v>33.72</v>
    <v>33.755000000000003</v>
    <v>33.704999999999998</v>
    <v>34.015000000000001</v>
    <v>34.164999999999999</v>
    <v>34.134999999999998</v>
    <v>34.26</v>
    <v>33.79</v>
    <v>33.39</v>
    <v>33.01</v>
    <v>32.905000000000001</v>
    <v>33.24</v>
    <v>33.33</v>
    <v>33.365000000000002</v>
    <v>33.53</v>
    <v>33.884999999999998</v>
    <v>33.475000000000001</v>
    <v>33.475000000000001</v>
    <v>33.994999999999997</v>
    <v>33.984999999999999</v>
    <v>33.854999999999997</v>
    <v>34.384999999999998</v>
    <v>34.174999999999997</v>
    <v>33.729999999999997</v>
    <v>33.445</v>
    <v>33.200000000000003</v>
    <v>33.265000000000001</v>
    <v>33.395000000000003</v>
    <v>33.49</v>
    <v>33.005000000000003</v>
    <v>33.445</v>
    <v>33.71</v>
    <v>33.744999999999997</v>
    <v>33.67</v>
    <v>33.965000000000003</v>
    <v>33.65</v>
    <v>34.090000000000003</v>
    <v>34.094999999999999</v>
    <v>34.215000000000003</v>
    <v>33.715000000000003</v>
    <v>33.354999999999997</v>
    <v>33.365000000000002</v>
    <v>33.380000000000003</v>
    <v>33.465000000000003</v>
    <v>33.435000000000002</v>
    <v>33.74</v>
    <v>33.555</v>
    <v>33.524999999999999</v>
    <v>33.965000000000003</v>
    <v>34.064999999999998</v>
    <v>34.11</v>
    <v>34</v>
    <v>34.125</v>
    <v>34.015000000000001</v>
    <v>34.015000000000001</v>
    <v>33.655000000000001</v>
    <v>33.125</v>
    <v>32.805</v>
    <v>33.200000000000003</v>
    <v>33.6</v>
    <v>33.130000000000003</v>
    <v>33.89</v>
    <v>33.65</v>
    <v>33.54</v>
    <v>33.774999999999999</v>
    <v>33.875</v>
    <v>33.954999999999998</v>
    <v>33.704999999999998</v>
    <v>33.76</v>
    <v>33.53</v>
    <v>33.645000000000003</v>
    <v>33.590000000000003</v>
    <v>33.825000000000003</v>
    <v>34.1</v>
    <v>34.384999999999998</v>
    <v>34.51</v>
    <v>34.69</v>
    <v>34.555</v>
    <v>34.54</v>
    <v>34.244999999999997</v>
    <v>34.44</v>
    <v>34.729999999999997</v>
    <v>34.49</v>
    <v>34.825000000000003</v>
    <v>34.765000000000001</v>
    <v>34.704999999999998</v>
    <v>34.674999999999997</v>
    <v>34.895000000000003</v>
    <v>34.965000000000003</v>
    <v>34.86</v>
    <v>34.935000000000002</v>
    <v>35.265000000000001</v>
    <v>35.04</v>
    <v>34.585000000000001</v>
    <v>34.93</v>
    <v>35.615000000000002</v>
    <v>35.57</v>
    <v>35.17</v>
    <v>35.32</v>
    <v>34.979999999999997</v>
    <v>33.984999999999999</v>
    <v>34.244999999999997</v>
    <v>34.200000000000003</v>
    <v>33.954999999999998</v>
    <v>33.630000000000003</v>
    <v>33.774999999999999</v>
    <v>33.755000000000003</v>
    <v>33.475000000000001</v>
    <v>33.545000000000002</v>
    <v>33.784999999999997</v>
    <v>33.94</v>
    <v>33.880000000000003</v>
    <v>33.869999999999997</v>
    <v>34.06</v>
    <v>33.729999999999997</v>
    <v>33.685000000000002</v>
    <v>33.26</v>
    <v>33.164999999999999</v>
    <v>33.424999999999997</v>
    <v>33.615000000000002</v>
    <v>33.174999999999997</v>
    <v>33.33</v>
    <v>33.094999999999999</v>
    <v>33.07</v>
    <v>33.024999999999999</v>
    <v>33.25</v>
    <v>33.11</v>
    <v>32.979999999999997</v>
    <v>33.335000000000001</v>
    <v>32.99</v>
    <v>32.774999999999999</v>
    <v>32.79</v>
    <v>32.75</v>
    <v>32.630000000000003</v>
    <v>32.755000000000003</v>
    <v>32.765000000000001</v>
    <v>32.72</v>
    <v>32.505000000000003</v>
    <v>32.6</v>
    <v>32.39</v>
    <v>32.119999999999997</v>
    <v>31.79</v>
    <v>31.805</v>
    <v>31.83</v>
    <v>31.98</v>
    <v>31.99</v>
    <v>32.35</v>
    <v>32.65</v>
    <v>32.645000000000003</v>
    <v>32.78</v>
    <v>32.68</v>
    <v>33.134999999999998</v>
    <v>33.46</v>
    <v>33.475000000000001</v>
    <v>33.655000000000001</v>
    <v>33.56</v>
    <v>33.78</v>
    <v>33.65</v>
    <v>33.880000000000003</v>
    <v>33.965000000000003</v>
    <v>34.25</v>
    <v>34.6</v>
  </a>
  <a r="1" c="205">
    <v>22.28</v>
    <v>22.12</v>
    <v>21.66</v>
    <v>22.15</v>
    <v>21.09</v>
    <v>21.39</v>
    <v>21.47</v>
    <v>21.18</v>
    <v>21.08</v>
    <v>20.77</v>
    <v>20.61</v>
    <v>20.37</v>
    <v>19.8</v>
    <v>19.53</v>
    <v>19.829999999999998</v>
    <v>19.43</v>
    <v>19.46</v>
    <v>19.37</v>
    <v>19.05</v>
    <v>19.39</v>
    <v>19.440000000000001</v>
    <v>19.809999999999999</v>
    <v>19</v>
    <v>19.82</v>
    <v>19.149999999999999</v>
    <v>19.649999999999999</v>
    <v>19.43</v>
    <v>19.809999999999999</v>
    <v>19.760000000000002</v>
    <v>18.87</v>
    <v>19.260000000000002</v>
    <v>18.489999999999998</v>
    <v>18.350000000000001</v>
    <v>18.34</v>
    <v>18.59</v>
    <v>18.350000000000001</v>
    <v>18.2</v>
    <v>18.21</v>
    <v>18.809999999999999</v>
    <v>18.989999999999998</v>
    <v>18.7</v>
    <v>19.010000000000002</v>
    <v>19.18</v>
    <v>19.34</v>
    <v>19.46</v>
    <v>18.93</v>
    <v>18.79</v>
    <v>18.46</v>
    <v>18.95</v>
    <v>18.93</v>
    <v>18.68</v>
    <v>18.75</v>
    <v>18.22</v>
    <v>18.48</v>
    <v>18.27</v>
    <v>18.53</v>
    <v>18.89</v>
    <v>19.46</v>
    <v>19.32</v>
    <v>19.440000000000001</v>
    <v>19.05</v>
    <v>19.21</v>
    <v>18.95</v>
    <v>19.510000000000002</v>
    <v>18.940000000000001</v>
    <v>18.61</v>
    <v>18.89</v>
    <v>18.38</v>
    <v>18.260000000000002</v>
    <v>19.23</v>
    <v>18.989999999999998</v>
    <v>19.23</v>
    <v>19.72</v>
    <v>19.88</v>
    <v>19.59</v>
    <v>21.09</v>
    <v>20.440000000000001</v>
    <v>20.14</v>
    <v>19.79</v>
    <v>19.760000000000002</v>
    <v>19.73</v>
    <v>20.14</v>
    <v>20.86</v>
    <v>20.83</v>
    <v>20.8</v>
    <v>21.15</v>
    <v>21.41</v>
    <v>20.99</v>
    <v>22.68</v>
    <v>21.67</v>
    <v>21.08</v>
    <v>21.26</v>
    <v>20.77</v>
    <v>20.81</v>
    <v>20.92</v>
    <v>20.97</v>
    <v>21.07</v>
    <v>21.9</v>
    <v>25.24</v>
    <v>24.43</v>
    <v>25.49</v>
    <v>25.01</v>
    <v>27.04</v>
    <v>29.34</v>
    <v>27.29</v>
    <v>26.04</v>
    <v>26.3</v>
    <v>25.58</v>
    <v>25.38</v>
    <v>24.94</v>
    <v>24.69</v>
    <v>24.68</v>
    <v>25.24</v>
    <v>24.6</v>
    <v>24.29</v>
    <v>23.18</v>
    <v>23.5</v>
    <v>23.54</v>
    <v>23.67</v>
    <v>23.29</v>
    <v>22.92</v>
    <v>22.88</v>
    <v>22.64</v>
    <v>21.94</v>
    <v>22.02</v>
    <v>21.93</v>
    <v>22.6</v>
    <v>22.96</v>
    <v>23.78</v>
    <v>24.13</v>
    <v>24.22</v>
    <v>24.77</v>
    <v>24.63</v>
    <v>23.75</v>
    <v>24.14</v>
    <v>24.84</v>
    <v>24.22</v>
    <v>24.81</v>
    <v>25.1</v>
    <v>24.51</v>
    <v>25.75</v>
    <v>26.55</v>
    <v>28.29</v>
    <v>28.41</v>
    <v>26.86</v>
    <v>27.27</v>
    <v>27.12</v>
    <v>28.82</v>
    <v>28.52</v>
    <v>28.18</v>
    <v>30.05</v>
    <v>29.8</v>
    <v>29.07</v>
    <v>29.28</v>
    <v>31.3</v>
    <v>30.11</v>
    <v>29.4</v>
    <v>29.96</v>
    <v>29.94</v>
    <v>29.47</v>
    <v>29.71</v>
    <v>28.58</v>
    <v>29.52</v>
    <v>30.52</v>
    <v>29.63</v>
    <v>30.52</v>
    <v>30.02</v>
    <v>31.32</v>
    <v>31.99</v>
    <v>31.93</v>
    <v>32.64</v>
    <v>31.17</v>
    <v>32.39</v>
    <v>32.729999999999997</v>
    <v>35.479999999999997</v>
    <v>34.020000000000003</v>
    <v>33.82</v>
    <v>32.700000000000003</v>
    <v>34.659999999999997</v>
    <v>34.4</v>
    <v>32.950000000000003</v>
    <v>32.04</v>
    <v>32.159999999999997</v>
    <v>31.14</v>
    <v>31.3</v>
    <v>31.32</v>
    <v>30.73</v>
    <v>31.28</v>
    <v>32.15</v>
    <v>32.119999999999997</v>
    <v>31.47</v>
    <v>31.73</v>
    <v>32.24</v>
    <v>32.44</v>
    <v>30.2</v>
    <v>29.87</v>
    <v>30.63</v>
    <v>30.46</v>
    <v>30.85</v>
    <v>30.01</v>
    <v>30.24</v>
    <v>31.21</v>
    <v>31.32</v>
    <v>33.76</v>
    <v>33.64</v>
  </a>
  <a r="1" c="754">
    <v>25.88</v>
    <v>26.16</v>
    <v>26.03</v>
    <v>26.17</v>
    <v>25.84</v>
    <v>26.16</v>
    <v>26.33</v>
    <v>26.48</v>
    <v>26.84</v>
    <v>27.42</v>
    <v>27.33</v>
    <v>27.33</v>
    <v>27.21</v>
    <v>27.02</v>
    <v>27.62</v>
    <v>27.78</v>
    <v>28.28</v>
    <v>28.47</v>
    <v>28.21</v>
    <v>28.31</v>
    <v>27.99</v>
    <v>27.87</v>
    <v>28.66</v>
    <v>28.64</v>
    <v>28.52</v>
    <v>28.64</v>
    <v>29.07</v>
    <v>29.34</v>
    <v>29.5</v>
    <v>29.04</v>
    <v>28.86</v>
    <v>28.49</v>
    <v>29.41</v>
    <v>29.46</v>
    <v>30.37</v>
    <v>30.23</v>
    <v>30.15</v>
    <v>30.93</v>
    <v>30.78</v>
    <v>30.26</v>
    <v>30.28</v>
    <v>29.79</v>
    <v>30.14</v>
    <v>30.18</v>
    <v>30.41</v>
    <v>30.24</v>
    <v>30.18</v>
    <v>30.09</v>
    <v>29.83</v>
    <v>29.9</v>
    <v>29.68</v>
    <v>29.95</v>
    <v>31</v>
    <v>30.16</v>
    <v>30.34</v>
    <v>30</v>
    <v>29.81</v>
    <v>29.09</v>
    <v>28.65</v>
    <v>28.65</v>
    <v>29.12</v>
    <v>29.18</v>
    <v>29.57</v>
    <v>29.56</v>
    <v>29.71</v>
    <v>30</v>
    <v>29.24</v>
    <v>29.15</v>
    <v>28.71</v>
    <v>28.94</v>
    <v>28.68</v>
    <v>28.33</v>
    <v>28.29</v>
    <v>27.95</v>
    <v>28.29</v>
    <v>28.42</v>
    <v>28.69</v>
    <v>28.14</v>
    <v>28.58</v>
    <v>29.03</v>
    <v>28.58</v>
    <v>28.63</v>
    <v>28.43</v>
    <v>28.95</v>
    <v>29.27</v>
    <v>28.8</v>
    <v>28.83</v>
    <v>28.72</v>
    <v>28.33</v>
    <v>29.41</v>
    <v>29.06</v>
    <v>29.13</v>
    <v>30.23</v>
    <v>30.56</v>
    <v>30.74</v>
    <v>30.86</v>
    <v>30.5</v>
    <v>30.75</v>
    <v>30.61</v>
    <v>30.42</v>
    <v>29.94</v>
    <v>29.82</v>
    <v>29.68</v>
    <v>30.08</v>
    <v>30.05</v>
    <v>29.88</v>
    <v>29.99</v>
    <v>30.12</v>
    <v>30.22</v>
    <v>30.38</v>
    <v>29.56</v>
    <v>29.66</v>
    <v>29.64</v>
    <v>29.11</v>
    <v>29.31</v>
    <v>29.97</v>
    <v>28.95</v>
    <v>29.23</v>
    <v>28.53</v>
    <v>27.96</v>
    <v>27.79</v>
    <v>27.69</v>
    <v>27.62</v>
    <v>27.81</v>
    <v>27.7</v>
    <v>27.67</v>
    <v>28.1</v>
    <v>28.13</v>
    <v>28</v>
    <v>28.27</v>
    <v>28.09</v>
    <v>27.75</v>
    <v>27.94</v>
    <v>28.18</v>
    <v>28.42</v>
    <v>28.41</v>
    <v>29.44</v>
    <v>29.65</v>
    <v>29.72</v>
    <v>29.94</v>
    <v>30.76</v>
    <v>31.36</v>
    <v>31.07</v>
    <v>31.19</v>
    <v>31.82</v>
    <v>32.69</v>
    <v>33.01</v>
    <v>32.65</v>
    <v>32.75</v>
    <v>33.14</v>
    <v>32.799999999999997</v>
    <v>38.36</v>
    <v>36.5</v>
    <v>35.32</v>
    <v>35.35</v>
    <v>35.630000000000003</v>
    <v>36.18</v>
    <v>36.450000000000003</v>
    <v>36.18</v>
    <v>36.32</v>
    <v>36.299999999999997</v>
    <v>36.450000000000003</v>
    <v>35.51</v>
    <v>35.93</v>
    <v>36.75</v>
    <v>36.24</v>
    <v>36.369999999999997</v>
    <v>36.299999999999997</v>
    <v>36.270000000000003</v>
    <v>35.090000000000003</v>
    <v>34.71</v>
    <v>35.020000000000003</v>
    <v>34.97</v>
    <v>34.799999999999997</v>
    <v>34.85</v>
    <v>34.630000000000003</v>
    <v>35.32</v>
    <v>35.42</v>
    <v>36.07</v>
    <v>36.1</v>
    <v>36.729999999999997</v>
    <v>37.340000000000003</v>
    <v>38</v>
    <v>38.11</v>
    <v>37.380000000000003</v>
    <v>37.15</v>
    <v>38.020000000000003</v>
    <v>37.71</v>
    <v>37.82</v>
    <v>36.25</v>
    <v>36.340000000000003</v>
    <v>36.130000000000003</v>
    <v>35.520000000000003</v>
    <v>36.090000000000003</v>
    <v>35.17</v>
    <v>33.72</v>
    <v>32.75</v>
    <v>32.72</v>
    <v>32.020000000000003</v>
    <v>33.020000000000003</v>
    <v>33.54</v>
    <v>33.78</v>
    <v>34.76</v>
    <v>34.75</v>
    <v>35.49</v>
    <v>35.909999999999997</v>
    <v>34.6</v>
    <v>34.81</v>
    <v>35.270000000000003</v>
    <v>35.08</v>
    <v>35.659999999999997</v>
    <v>35.57</v>
    <v>35.6</v>
    <v>34.76</v>
    <v>35.46</v>
    <v>36.18</v>
    <v>35.380000000000003</v>
    <v>35.33</v>
    <v>34.4</v>
    <v>33.82</v>
    <v>34.18</v>
    <v>33.47</v>
    <v>33.369999999999997</v>
    <v>33.1</v>
    <v>33.32</v>
    <v>33.76</v>
    <v>34.43</v>
    <v>34.53</v>
    <v>34.82</v>
    <v>34.76</v>
    <v>35.11</v>
    <v>35.840000000000003</v>
    <v>36.049999999999997</v>
    <v>36.85</v>
    <v>35.409999999999997</v>
    <v>35.869999999999997</v>
    <v>34.76</v>
    <v>35.18</v>
    <v>35.6</v>
    <v>35.99</v>
    <v>35.909999999999997</v>
    <v>36</v>
    <v>36.58</v>
    <v>36.75</v>
    <v>37.01</v>
    <v>37.44</v>
    <v>36.97</v>
    <v>37.18</v>
    <v>37.58</v>
    <v>37.28</v>
    <v>36.46</v>
    <v>36.229999999999997</v>
    <v>35.85</v>
    <v>36.47</v>
    <v>36.880000000000003</v>
    <v>37.42</v>
    <v>37.06</v>
    <v>36.54</v>
    <v>35.520000000000003</v>
    <v>36.28</v>
    <v>35.99</v>
    <v>36.64</v>
    <v>36.909999999999997</v>
    <v>37.340000000000003</v>
    <v>36.82</v>
    <v>37.67</v>
    <v>37.11</v>
    <v>36.81</v>
    <v>36.49</v>
    <v>36.72</v>
    <v>37.43</v>
    <v>36.869999999999997</v>
    <v>36.68</v>
    <v>37.909999999999997</v>
    <v>38.130000000000003</v>
    <v>39.299999999999997</v>
    <v>39.1</v>
    <v>34.659999999999997</v>
    <v>35.43</v>
    <v>36.450000000000003</v>
    <v>36.79</v>
    <v>36.36</v>
    <v>36.17</v>
    <v>36.200000000000003</v>
    <v>36.450000000000003</v>
    <v>34.94</v>
    <v>34.549999999999997</v>
    <v>34.979999999999997</v>
    <v>34.549999999999997</v>
    <v>34.19</v>
    <v>33.840000000000003</v>
    <v>32.49</v>
    <v>32.46</v>
    <v>32.94</v>
    <v>33.229999999999997</v>
    <v>33.44</v>
    <v>33.43</v>
    <v>33.28</v>
    <v>32.630000000000003</v>
    <v>32.630000000000003</v>
    <v>32.47</v>
    <v>33.14</v>
    <v>33.869999999999997</v>
    <v>33.67</v>
    <v>33.450000000000003</v>
    <v>33.200000000000003</v>
    <v>32.619999999999997</v>
    <v>32.67</v>
    <v>32.79</v>
    <v>32.35</v>
    <v>32.51</v>
    <v>32.950000000000003</v>
    <v>33.130000000000003</v>
    <v>33.380000000000003</v>
    <v>32.729999999999997</v>
    <v>33.33</v>
    <v>32.74</v>
    <v>32.61</v>
    <v>32.799999999999997</v>
    <v>32.5</v>
    <v>32</v>
    <v>32.01</v>
    <v>32.57</v>
    <v>32.6</v>
    <v>32.270000000000003</v>
    <v>32.82</v>
    <v>33.15</v>
    <v>33.04</v>
    <v>33.299999999999997</v>
    <v>33.64</v>
    <v>34.200000000000003</v>
    <v>34.68</v>
    <v>34.72</v>
    <v>34.630000000000003</v>
    <v>34.67</v>
    <v>34.1</v>
    <v>33.83</v>
    <v>33.130000000000003</v>
    <v>30.87</v>
    <v>30.04</v>
    <v>29.29</v>
    <v>29.52</v>
    <v>29.97</v>
    <v>30.54</v>
    <v>29.98</v>
    <v>28.62</v>
    <v>28.47</v>
    <v>27.91</v>
    <v>28.41</v>
    <v>28.91</v>
    <v>28.7</v>
    <v>28.76</v>
    <v>28.51</v>
    <v>28.68</v>
    <v>29</v>
    <v>28.81</v>
    <v>28.71</v>
    <v>28.65</v>
    <v>27.9</v>
    <v>27.69</v>
    <v>27.79</v>
    <v>27.88</v>
    <v>23.78</v>
    <v>22.61</v>
    <v>23.38</v>
    <v>21.88</v>
    <v>24.28</v>
    <v>22.87</v>
    <v>23.44</v>
    <v>24.04</v>
    <v>23.74</v>
    <v>23.47</v>
    <v>23.83</v>
    <v>23.75</v>
    <v>24.18</v>
    <v>24.63</v>
    <v>25.33</v>
    <v>25.28</v>
    <v>25.39</v>
    <v>25.52</v>
    <v>25.57</v>
    <v>25.39</v>
    <v>25.95</v>
    <v>25.9</v>
    <v>25.63</v>
    <v>25.85</v>
    <v>26.33</v>
    <v>26.46</v>
    <v>28.26</v>
    <v>28.78</v>
    <v>28.65</v>
    <v>28.78</v>
    <v>29.32</v>
    <v>29.1</v>
    <v>28.98</v>
    <v>28.61</v>
    <v>28.5</v>
    <v>27.98</v>
    <v>28.34</v>
    <v>27.2</v>
    <v>24.95</v>
    <v>24.9</v>
    <v>24.91</v>
    <v>25.38</v>
    <v>25.18</v>
    <v>24.7</v>
    <v>25.18</v>
    <v>25.12</v>
    <v>25.56</v>
    <v>24.82</v>
    <v>24.74</v>
    <v>23.84</v>
    <v>24.52</v>
    <v>24.29</v>
    <v>24.18</v>
    <v>24.11</v>
    <v>23.91</v>
    <v>24.54</v>
    <v>24.53</v>
    <v>24.71</v>
    <v>24.77</v>
    <v>24.46</v>
    <v>25.5</v>
    <v>25.85</v>
    <v>26</v>
    <v>25.34</v>
    <v>25.8</v>
    <v>25.62</v>
    <v>25.73</v>
    <v>25.42</v>
    <v>24.83</v>
    <v>24.52</v>
    <v>24.56</v>
    <v>24.75</v>
    <v>25.06</v>
    <v>24.83</v>
    <v>25.41</v>
    <v>25.88</v>
    <v>25.69</v>
    <v>25.68</v>
    <v>25.85</v>
    <v>25.67</v>
    <v>25.1</v>
    <v>24.8</v>
    <v>24.45</v>
    <v>24.97</v>
    <v>25.05</v>
    <v>25.01</v>
    <v>25.35</v>
    <v>26.11</v>
    <v>25.51</v>
    <v>26.6</v>
    <v>27.14</v>
    <v>26.93</v>
    <v>26.74</v>
    <v>26.83</v>
    <v>27</v>
    <v>26.47</v>
    <v>26.58</v>
    <v>27.74</v>
    <v>27.5</v>
    <v>27.01</v>
    <v>27.11</v>
    <v>28.35</v>
    <v>28.54</v>
    <v>28.94</v>
    <v>28.7</v>
    <v>28.92</v>
    <v>29.34</v>
    <v>29.35</v>
    <v>29.04</v>
    <v>28.37</v>
    <v>28.34</v>
    <v>27.97</v>
    <v>27.75</v>
    <v>27.72</v>
    <v>27.9</v>
    <v>28.24</v>
    <v>28.16</v>
    <v>28.26</v>
    <v>28.53</v>
    <v>27.5</v>
    <v>26.85</v>
    <v>26.71</v>
    <v>26.89</v>
    <v>27.23</v>
    <v>26.7</v>
    <v>26.48</v>
    <v>26.64</v>
    <v>26.61</v>
    <v>26.55</v>
    <v>27.03</v>
    <v>26.97</v>
    <v>25.55</v>
    <v>27.35</v>
    <v>28.54</v>
    <v>28.61</v>
    <v>27.2</v>
    <v>27.37</v>
    <v>27.66</v>
    <v>28.16</v>
    <v>27.66</v>
    <v>27.83</v>
    <v>27.66</v>
    <v>27.92</v>
    <v>28.07</v>
    <v>27.7</v>
    <v>27.51</v>
    <v>27.67</v>
    <v>27.01</v>
    <v>25.94</v>
    <v>26.64</v>
    <v>26.17</v>
    <v>26.28</v>
    <v>25.29</v>
    <v>24.73</v>
    <v>25.21</v>
    <v>24.98</v>
    <v>24.53</v>
    <v>22.87</v>
    <v>22.71</v>
    <v>22.47</v>
    <v>22.61</v>
    <v>23.96</v>
    <v>24.38</v>
    <v>24.32</v>
    <v>23.98</v>
    <v>24.42</v>
    <v>24.39</v>
    <v>25.15</v>
    <v>25.19</v>
    <v>25.9</v>
    <v>25.91</v>
    <v>25.07</v>
    <v>25.38</v>
    <v>25.49</v>
    <v>25.41</v>
    <v>24.74</v>
    <v>24.49</v>
    <v>24.83</v>
    <v>24.43</v>
    <v>23.45</v>
    <v>23.26</v>
    <v>23.17</v>
    <v>22.93</v>
    <v>23.16</v>
    <v>23.26</v>
    <v>22.73</v>
    <v>22.9</v>
    <v>22.28</v>
    <v>22.12</v>
    <v>21.66</v>
    <v>22.15</v>
    <v>21.09</v>
    <v>21.39</v>
    <v>21.47</v>
    <v>21.18</v>
    <v>21.08</v>
    <v>20.77</v>
    <v>20.61</v>
    <v>20.37</v>
    <v>19.8</v>
    <v>19.53</v>
    <v>19.829999999999998</v>
    <v>19.43</v>
    <v>19.46</v>
    <v>19.37</v>
    <v>19.05</v>
    <v>19.39</v>
    <v>19.440000000000001</v>
    <v>19.809999999999999</v>
    <v>19</v>
    <v>19.82</v>
    <v>19.149999999999999</v>
    <v>19.649999999999999</v>
    <v>19.43</v>
    <v>19.809999999999999</v>
    <v>19.760000000000002</v>
    <v>18.87</v>
    <v>19.260000000000002</v>
    <v>18.489999999999998</v>
    <v>18.350000000000001</v>
    <v>18.34</v>
    <v>18.59</v>
    <v>18.350000000000001</v>
    <v>18.2</v>
    <v>18.21</v>
    <v>18.809999999999999</v>
    <v>18.989999999999998</v>
    <v>18.7</v>
    <v>19.010000000000002</v>
    <v>19.18</v>
    <v>19.34</v>
    <v>19.46</v>
    <v>18.93</v>
    <v>18.79</v>
    <v>18.46</v>
    <v>18.95</v>
    <v>18.93</v>
    <v>18.68</v>
    <v>18.75</v>
    <v>18.22</v>
    <v>18.48</v>
    <v>18.27</v>
    <v>18.53</v>
    <v>18.89</v>
    <v>19.46</v>
    <v>19.32</v>
    <v>19.440000000000001</v>
    <v>19.05</v>
    <v>19.21</v>
    <v>18.95</v>
    <v>19.510000000000002</v>
    <v>18.940000000000001</v>
    <v>18.61</v>
    <v>18.89</v>
    <v>18.38</v>
    <v>18.260000000000002</v>
    <v>19.23</v>
    <v>18.989999999999998</v>
    <v>19.23</v>
    <v>19.72</v>
    <v>19.88</v>
    <v>19.59</v>
    <v>21.09</v>
    <v>20.440000000000001</v>
    <v>20.14</v>
    <v>19.79</v>
    <v>19.760000000000002</v>
    <v>19.73</v>
    <v>20.14</v>
    <v>20.86</v>
    <v>20.83</v>
    <v>20.8</v>
    <v>21.15</v>
    <v>21.41</v>
    <v>20.99</v>
    <v>22.68</v>
    <v>21.67</v>
    <v>21.08</v>
    <v>21.26</v>
    <v>20.77</v>
    <v>20.81</v>
    <v>20.92</v>
    <v>20.97</v>
    <v>21.07</v>
    <v>21.9</v>
    <v>25.24</v>
    <v>24.43</v>
    <v>25.49</v>
    <v>25.01</v>
    <v>27.04</v>
    <v>29.34</v>
    <v>27.29</v>
    <v>26.04</v>
    <v>26.3</v>
    <v>25.58</v>
    <v>25.38</v>
    <v>24.94</v>
    <v>24.69</v>
    <v>24.68</v>
    <v>25.24</v>
    <v>24.6</v>
    <v>24.29</v>
    <v>23.18</v>
    <v>23.5</v>
    <v>23.54</v>
    <v>23.67</v>
    <v>23.29</v>
    <v>22.92</v>
    <v>22.88</v>
    <v>22.64</v>
    <v>21.94</v>
    <v>22.02</v>
    <v>21.93</v>
    <v>22.6</v>
    <v>22.96</v>
    <v>23.78</v>
    <v>24.13</v>
    <v>24.22</v>
    <v>24.77</v>
    <v>24.63</v>
    <v>23.75</v>
    <v>24.14</v>
    <v>24.84</v>
    <v>24.22</v>
    <v>24.81</v>
    <v>25.1</v>
    <v>24.51</v>
    <v>25.75</v>
    <v>26.55</v>
    <v>28.29</v>
    <v>28.41</v>
    <v>26.86</v>
    <v>27.27</v>
    <v>27.12</v>
    <v>28.82</v>
    <v>28.52</v>
    <v>28.18</v>
    <v>30.05</v>
    <v>29.8</v>
    <v>29.07</v>
    <v>29.28</v>
    <v>31.3</v>
    <v>30.11</v>
    <v>29.4</v>
    <v>29.96</v>
    <v>29.94</v>
    <v>29.47</v>
    <v>29.71</v>
    <v>28.58</v>
    <v>29.52</v>
    <v>30.52</v>
    <v>29.63</v>
    <v>30.52</v>
    <v>30.02</v>
    <v>31.32</v>
    <v>31.99</v>
    <v>31.93</v>
    <v>32.64</v>
    <v>31.17</v>
    <v>32.39</v>
    <v>32.729999999999997</v>
    <v>35.479999999999997</v>
    <v>34.020000000000003</v>
    <v>33.82</v>
    <v>32.700000000000003</v>
    <v>34.659999999999997</v>
    <v>34.4</v>
    <v>32.950000000000003</v>
    <v>32.04</v>
    <v>32.159999999999997</v>
    <v>31.14</v>
    <v>31.3</v>
    <v>31.32</v>
    <v>30.73</v>
    <v>31.28</v>
    <v>32.15</v>
    <v>32.119999999999997</v>
    <v>31.47</v>
    <v>31.73</v>
    <v>32.24</v>
    <v>32.44</v>
    <v>30.2</v>
    <v>29.87</v>
    <v>30.63</v>
    <v>30.46</v>
    <v>30.85</v>
    <v>30.01</v>
    <v>30.24</v>
    <v>31.21</v>
    <v>31.32</v>
    <v>33.76</v>
    <v>33.64</v>
  </a>
  <a r="1" c="252">
    <v>27.83</v>
    <v>27.66</v>
    <v>27.92</v>
    <v>28.07</v>
    <v>27.7</v>
    <v>27.51</v>
    <v>27.67</v>
    <v>27.01</v>
    <v>25.94</v>
    <v>26.64</v>
    <v>26.17</v>
    <v>26.28</v>
    <v>25.29</v>
    <v>24.73</v>
    <v>25.21</v>
    <v>24.98</v>
    <v>24.53</v>
    <v>22.87</v>
    <v>22.71</v>
    <v>22.47</v>
    <v>22.61</v>
    <v>23.96</v>
    <v>24.38</v>
    <v>24.32</v>
    <v>23.98</v>
    <v>24.42</v>
    <v>24.39</v>
    <v>25.15</v>
    <v>25.19</v>
    <v>25.9</v>
    <v>25.91</v>
    <v>25.07</v>
    <v>25.38</v>
    <v>25.49</v>
    <v>25.41</v>
    <v>24.74</v>
    <v>24.49</v>
    <v>24.83</v>
    <v>24.43</v>
    <v>23.45</v>
    <v>23.26</v>
    <v>23.17</v>
    <v>22.93</v>
    <v>23.16</v>
    <v>23.26</v>
    <v>22.73</v>
    <v>22.9</v>
    <v>22.28</v>
    <v>22.12</v>
    <v>21.66</v>
    <v>22.15</v>
    <v>21.09</v>
    <v>21.39</v>
    <v>21.47</v>
    <v>21.18</v>
    <v>21.08</v>
    <v>20.77</v>
    <v>20.61</v>
    <v>20.37</v>
    <v>19.8</v>
    <v>19.53</v>
    <v>19.829999999999998</v>
    <v>19.43</v>
    <v>19.46</v>
    <v>19.37</v>
    <v>19.05</v>
    <v>19.39</v>
    <v>19.440000000000001</v>
    <v>19.809999999999999</v>
    <v>19</v>
    <v>19.82</v>
    <v>19.149999999999999</v>
    <v>19.649999999999999</v>
    <v>19.43</v>
    <v>19.809999999999999</v>
    <v>19.760000000000002</v>
    <v>18.87</v>
    <v>19.260000000000002</v>
    <v>18.489999999999998</v>
    <v>18.350000000000001</v>
    <v>18.34</v>
    <v>18.59</v>
    <v>18.350000000000001</v>
    <v>18.2</v>
    <v>18.21</v>
    <v>18.809999999999999</v>
    <v>18.989999999999998</v>
    <v>18.7</v>
    <v>19.010000000000002</v>
    <v>19.18</v>
    <v>19.34</v>
    <v>19.46</v>
    <v>18.93</v>
    <v>18.79</v>
    <v>18.46</v>
    <v>18.95</v>
    <v>18.93</v>
    <v>18.68</v>
    <v>18.75</v>
    <v>18.22</v>
    <v>18.48</v>
    <v>18.27</v>
    <v>18.53</v>
    <v>18.89</v>
    <v>19.46</v>
    <v>19.32</v>
    <v>19.440000000000001</v>
    <v>19.05</v>
    <v>19.21</v>
    <v>18.95</v>
    <v>19.510000000000002</v>
    <v>18.940000000000001</v>
    <v>18.61</v>
    <v>18.89</v>
    <v>18.38</v>
    <v>18.260000000000002</v>
    <v>19.23</v>
    <v>18.989999999999998</v>
    <v>19.23</v>
    <v>19.72</v>
    <v>19.88</v>
    <v>19.59</v>
    <v>21.09</v>
    <v>20.440000000000001</v>
    <v>20.14</v>
    <v>19.79</v>
    <v>19.760000000000002</v>
    <v>19.73</v>
    <v>20.14</v>
    <v>20.86</v>
    <v>20.83</v>
    <v>20.8</v>
    <v>21.15</v>
    <v>21.41</v>
    <v>20.99</v>
    <v>22.68</v>
    <v>21.67</v>
    <v>21.08</v>
    <v>21.26</v>
    <v>20.77</v>
    <v>20.81</v>
    <v>20.92</v>
    <v>20.97</v>
    <v>21.07</v>
    <v>21.9</v>
    <v>25.24</v>
    <v>24.43</v>
    <v>25.49</v>
    <v>25.01</v>
    <v>27.04</v>
    <v>29.34</v>
    <v>27.29</v>
    <v>26.04</v>
    <v>26.3</v>
    <v>25.58</v>
    <v>25.38</v>
    <v>24.94</v>
    <v>24.69</v>
    <v>24.68</v>
    <v>25.24</v>
    <v>24.6</v>
    <v>24.29</v>
    <v>23.18</v>
    <v>23.5</v>
    <v>23.54</v>
    <v>23.67</v>
    <v>23.29</v>
    <v>22.92</v>
    <v>22.88</v>
    <v>22.64</v>
    <v>21.94</v>
    <v>22.02</v>
    <v>21.93</v>
    <v>22.6</v>
    <v>22.96</v>
    <v>23.78</v>
    <v>24.13</v>
    <v>24.22</v>
    <v>24.77</v>
    <v>24.63</v>
    <v>23.75</v>
    <v>24.14</v>
    <v>24.84</v>
    <v>24.22</v>
    <v>24.81</v>
    <v>25.1</v>
    <v>24.51</v>
    <v>25.75</v>
    <v>26.55</v>
    <v>28.29</v>
    <v>28.41</v>
    <v>26.86</v>
    <v>27.27</v>
    <v>27.12</v>
    <v>28.82</v>
    <v>28.52</v>
    <v>28.18</v>
    <v>30.05</v>
    <v>29.8</v>
    <v>29.07</v>
    <v>29.28</v>
    <v>31.3</v>
    <v>30.11</v>
    <v>29.4</v>
    <v>29.96</v>
    <v>29.94</v>
    <v>29.47</v>
    <v>29.71</v>
    <v>28.58</v>
    <v>29.52</v>
    <v>30.52</v>
    <v>29.63</v>
    <v>30.52</v>
    <v>30.02</v>
    <v>31.32</v>
    <v>31.99</v>
    <v>31.93</v>
    <v>32.64</v>
    <v>31.17</v>
    <v>32.39</v>
    <v>32.729999999999997</v>
    <v>35.479999999999997</v>
    <v>34.020000000000003</v>
    <v>33.82</v>
    <v>32.700000000000003</v>
    <v>34.659999999999997</v>
    <v>34.4</v>
    <v>32.950000000000003</v>
    <v>32.04</v>
    <v>32.159999999999997</v>
    <v>31.14</v>
    <v>31.3</v>
    <v>31.32</v>
    <v>30.73</v>
    <v>31.28</v>
    <v>32.15</v>
    <v>32.119999999999997</v>
    <v>31.47</v>
    <v>31.73</v>
    <v>32.24</v>
    <v>32.44</v>
    <v>30.2</v>
    <v>29.87</v>
    <v>30.63</v>
    <v>30.46</v>
    <v>30.85</v>
    <v>30.01</v>
    <v>30.24</v>
    <v>31.21</v>
    <v>31.32</v>
    <v>33.76</v>
    <v>33.64</v>
  </a>
  <a r="1" c="209">
    <v>22.1556</v>
    <v>22.709299999999999</v>
    <v>22.6401</v>
    <v>23.0059</v>
    <v>23.421099999999999</v>
    <v>23.450800000000001</v>
    <v>23.5398</v>
    <v>23.5398</v>
    <v>23.134399999999999</v>
    <v>23.470600000000001</v>
    <v>23.628699999999998</v>
    <v>23.569400000000002</v>
    <v>23.668299999999999</v>
    <v>23.569400000000002</v>
    <v>23.549600000000002</v>
    <v>23.628699999999998</v>
    <v>23.826499999999999</v>
    <v>24.182400000000001</v>
    <v>24.399899999999999</v>
    <v>24.449300000000001</v>
    <v>24.587700000000002</v>
    <v>24.815100000000001</v>
    <v>24.775600000000001</v>
    <v>25.339099999999998</v>
    <v>25.704899999999999</v>
    <v>25.180900000000001</v>
    <v>25.408300000000001</v>
    <v>25.843299999999999</v>
    <v>25.793900000000001</v>
    <v>26.3871</v>
    <v>26.090499999999999</v>
    <v>25.793900000000001</v>
    <v>25.991599999999998</v>
    <v>26.238800000000001</v>
    <v>26.515599999999999</v>
    <v>26.120100000000001</v>
    <v>26.0015</v>
    <v>26.219000000000001</v>
    <v>26.6738</v>
    <v>27.227399999999999</v>
    <v>29.194800000000001</v>
    <v>28.601600000000001</v>
    <v>28.275400000000001</v>
    <v>26.703399999999998</v>
    <v>26.950600000000001</v>
    <v>26.219000000000001</v>
    <v>26.050899999999999</v>
    <v>25.991599999999998</v>
    <v>26.7331</v>
    <v>26.644100000000002</v>
    <v>27.049499999999998</v>
    <v>27.3263</v>
    <v>27.415299999999998</v>
    <v>27.889800000000001</v>
    <v>27.3658</v>
    <v>26.9803</v>
    <v>26.209099999999999</v>
    <v>26.041</v>
    <v>26.396999999999998</v>
    <v>26.822099999999999</v>
    <v>26.683700000000002</v>
    <v>26.525500000000001</v>
    <v>27.543800000000001</v>
    <v>27.395499999999998</v>
    <v>28.0777</v>
    <v>28.641200000000001</v>
    <v>28.700500000000002</v>
    <v>28.571999999999999</v>
    <v>28.868600000000001</v>
    <v>28.799399999999999</v>
    <v>28.641200000000001</v>
    <v>28.453299999999999</v>
    <v>28.453299999999999</v>
    <v>27.959</v>
    <v>27.6525</v>
    <v>27.830500000000001</v>
    <v>27.6525</v>
    <v>28.146899999999999</v>
    <v>28.354500000000002</v>
    <v>27.959</v>
    <v>27.959</v>
    <v>28.196300000000001</v>
    <v>27.781099999999999</v>
    <v>28.07</v>
    <v>27.79</v>
    <v>27.73</v>
    <v>27.57</v>
    <v>26.86</v>
    <v>26.99</v>
    <v>27.46</v>
    <v>27.16</v>
    <v>27.4</v>
    <v>27.34</v>
    <v>26.6</v>
    <v>26.94</v>
    <v>27.03</v>
    <v>27.33</v>
    <v>27.2</v>
    <v>27.17</v>
    <v>27.28</v>
    <v>27.43</v>
    <v>26.87</v>
    <v>26.59</v>
    <v>26.47</v>
    <v>26.66</v>
    <v>26.61</v>
    <v>26.84</v>
    <v>26.6</v>
    <v>26.94</v>
    <v>26.72</v>
    <v>26.76</v>
    <v>26.94</v>
    <v>27.41</v>
    <v>27.51</v>
    <v>27.3</v>
    <v>26.9</v>
    <v>26.96</v>
    <v>26.8</v>
    <v>26.83</v>
    <v>27.18</v>
    <v>26.96</v>
    <v>26.5</v>
    <v>27.06</v>
    <v>27.31</v>
    <v>27.4</v>
    <v>27.59</v>
    <v>26.55</v>
    <v>27.17</v>
    <v>27.73</v>
    <v>27.21</v>
    <v>27.38</v>
    <v>26.78</v>
    <v>27.1</v>
    <v>26.88</v>
    <v>27.16</v>
    <v>27.41</v>
    <v>27.04</v>
    <v>26.65</v>
    <v>26.86</v>
    <v>26.89</v>
    <v>27.03</v>
    <v>27.56</v>
    <v>27.72</v>
    <v>27.79</v>
    <v>27</v>
    <v>26.16</v>
    <v>25.97</v>
    <v>26.07</v>
    <v>27.11</v>
    <v>26.87</v>
    <v>26.82</v>
    <v>26.46</v>
    <v>26.56</v>
    <v>26.72</v>
    <v>26.44</v>
    <v>26.26</v>
    <v>25.97</v>
    <v>26.13</v>
    <v>25.72</v>
    <v>25.62</v>
    <v>25.65</v>
    <v>25.36</v>
    <v>25.57</v>
    <v>25.29</v>
    <v>25.13</v>
    <v>25.33</v>
    <v>24.96</v>
    <v>24.1</v>
    <v>24.5</v>
    <v>24.6</v>
    <v>24.4</v>
    <v>23.91</v>
    <v>23.79</v>
    <v>24.01</v>
    <v>24.18</v>
    <v>24.12</v>
    <v>24.05</v>
    <v>24.3</v>
    <v>23.98</v>
    <v>23.55</v>
    <v>23.61</v>
    <v>24.07</v>
    <v>24.25</v>
    <v>24.03</v>
    <v>23.69</v>
    <v>23.8</v>
    <v>23.64</v>
    <v>23.42</v>
    <v>23.35</v>
    <v>23.2</v>
    <v>23.02</v>
    <v>22.81</v>
    <v>22.52</v>
    <v>22.78</v>
    <v>22.87</v>
    <v>23.45</v>
    <v>22.74</v>
    <v>22.71</v>
    <v>22.75</v>
    <v>22.94</v>
    <v>23.02</v>
    <v>23.3</v>
    <v>23.21</v>
    <v>23.42</v>
    <v>22.77</v>
    <v>22.83</v>
    <v>23.1</v>
    <v>23.11</v>
    <v>22.81</v>
  </a>
  <a r="1" c="256">
    <v>19.575299999999999</v>
    <v>19.471499999999999</v>
    <v>19.417100000000001</v>
    <v>19.580200000000001</v>
    <v>19.8916</v>
    <v>20.119</v>
    <v>20.069600000000001</v>
    <v>20.366199999999999</v>
    <v>20.5837</v>
    <v>20.712199999999999</v>
    <v>21.107700000000001</v>
    <v>20.9297</v>
    <v>20.939599999999999</v>
    <v>21.028600000000001</v>
    <v>21.423999999999999</v>
    <v>21.681100000000001</v>
    <v>21.552600000000002</v>
    <v>21.8096</v>
    <v>21.700900000000001</v>
    <v>21.335100000000001</v>
    <v>21.5229</v>
    <v>21.374600000000001</v>
    <v>21.344999999999999</v>
    <v>21.404299999999999</v>
    <v>21.5822</v>
    <v>21.5031</v>
    <v>21.651399999999999</v>
    <v>21.453700000000001</v>
    <v>21.374600000000001</v>
    <v>21.532800000000002</v>
    <v>21.423999999999999</v>
    <v>21.167000000000002</v>
    <v>21.423999999999999</v>
    <v>21.404299999999999</v>
    <v>21.2164</v>
    <v>21.2164</v>
    <v>21.453700000000001</v>
    <v>21.5031</v>
    <v>21.4834</v>
    <v>21.5427</v>
    <v>21.750299999999999</v>
    <v>22.027100000000001</v>
    <v>21.839300000000001</v>
    <v>21.9876</v>
    <v>21.9085</v>
    <v>22.046900000000001</v>
    <v>22.1556</v>
    <v>22.1556</v>
    <v>22.709299999999999</v>
    <v>22.6401</v>
    <v>23.0059</v>
    <v>23.421099999999999</v>
    <v>23.450800000000001</v>
    <v>23.5398</v>
    <v>23.5398</v>
    <v>23.134399999999999</v>
    <v>23.470600000000001</v>
    <v>23.628699999999998</v>
    <v>23.569400000000002</v>
    <v>23.668299999999999</v>
    <v>23.569400000000002</v>
    <v>23.549600000000002</v>
    <v>23.628699999999998</v>
    <v>23.826499999999999</v>
    <v>24.182400000000001</v>
    <v>24.399899999999999</v>
    <v>24.449300000000001</v>
    <v>24.587700000000002</v>
    <v>24.815100000000001</v>
    <v>24.775600000000001</v>
    <v>25.339099999999998</v>
    <v>25.704899999999999</v>
    <v>25.180900000000001</v>
    <v>25.408300000000001</v>
    <v>25.843299999999999</v>
    <v>25.793900000000001</v>
    <v>26.3871</v>
    <v>26.090499999999999</v>
    <v>25.793900000000001</v>
    <v>25.991599999999998</v>
    <v>26.238800000000001</v>
    <v>26.515599999999999</v>
    <v>26.120100000000001</v>
    <v>26.0015</v>
    <v>26.219000000000001</v>
    <v>26.6738</v>
    <v>27.227399999999999</v>
    <v>29.194800000000001</v>
    <v>28.601600000000001</v>
    <v>28.275400000000001</v>
    <v>26.703399999999998</v>
    <v>26.950600000000001</v>
    <v>26.219000000000001</v>
    <v>26.050899999999999</v>
    <v>25.991599999999998</v>
    <v>26.7331</v>
    <v>26.644100000000002</v>
    <v>27.049499999999998</v>
    <v>27.3263</v>
    <v>27.415299999999998</v>
    <v>27.889800000000001</v>
    <v>27.3658</v>
    <v>26.9803</v>
    <v>26.209099999999999</v>
    <v>26.041</v>
    <v>26.396999999999998</v>
    <v>26.822099999999999</v>
    <v>26.683700000000002</v>
    <v>26.525500000000001</v>
    <v>27.543800000000001</v>
    <v>27.395499999999998</v>
    <v>28.0777</v>
    <v>28.641200000000001</v>
    <v>28.700500000000002</v>
    <v>28.571999999999999</v>
    <v>28.868600000000001</v>
    <v>28.799399999999999</v>
    <v>28.641200000000001</v>
    <v>28.453299999999999</v>
    <v>28.453299999999999</v>
    <v>27.959</v>
    <v>27.6525</v>
    <v>27.830500000000001</v>
    <v>27.6525</v>
    <v>28.146899999999999</v>
    <v>28.354500000000002</v>
    <v>27.959</v>
    <v>27.959</v>
    <v>28.196300000000001</v>
    <v>27.781099999999999</v>
    <v>28.07</v>
    <v>27.79</v>
    <v>27.73</v>
    <v>27.57</v>
    <v>26.86</v>
    <v>26.99</v>
    <v>27.46</v>
    <v>27.16</v>
    <v>27.4</v>
    <v>27.34</v>
    <v>26.6</v>
    <v>26.94</v>
    <v>27.03</v>
    <v>27.33</v>
    <v>27.2</v>
    <v>27.17</v>
    <v>27.28</v>
    <v>27.43</v>
    <v>26.87</v>
    <v>26.59</v>
    <v>26.47</v>
    <v>26.66</v>
    <v>26.61</v>
    <v>26.84</v>
    <v>26.6</v>
    <v>26.94</v>
    <v>26.72</v>
    <v>26.76</v>
    <v>26.94</v>
    <v>27.41</v>
    <v>27.51</v>
    <v>27.3</v>
    <v>26.9</v>
    <v>26.96</v>
    <v>26.8</v>
    <v>26.83</v>
    <v>27.18</v>
    <v>26.96</v>
    <v>26.5</v>
    <v>27.06</v>
    <v>27.31</v>
    <v>27.4</v>
    <v>27.59</v>
    <v>26.55</v>
    <v>27.17</v>
    <v>27.73</v>
    <v>27.21</v>
    <v>27.38</v>
    <v>26.78</v>
    <v>27.1</v>
    <v>26.88</v>
    <v>27.16</v>
    <v>27.41</v>
    <v>27.04</v>
    <v>26.65</v>
    <v>26.86</v>
    <v>26.89</v>
    <v>27.03</v>
    <v>27.56</v>
    <v>27.72</v>
    <v>27.79</v>
    <v>27</v>
    <v>26.16</v>
    <v>25.97</v>
    <v>26.07</v>
    <v>27.11</v>
    <v>26.87</v>
    <v>26.82</v>
    <v>26.46</v>
    <v>26.56</v>
    <v>26.72</v>
    <v>26.44</v>
    <v>26.26</v>
    <v>25.97</v>
    <v>26.13</v>
    <v>25.72</v>
    <v>25.62</v>
    <v>25.65</v>
    <v>25.36</v>
    <v>25.57</v>
    <v>25.29</v>
    <v>25.13</v>
    <v>25.33</v>
    <v>24.96</v>
    <v>24.1</v>
    <v>24.5</v>
    <v>24.6</v>
    <v>24.4</v>
    <v>23.91</v>
    <v>23.79</v>
    <v>24.01</v>
    <v>24.18</v>
    <v>24.12</v>
    <v>24.05</v>
    <v>24.3</v>
    <v>23.98</v>
    <v>23.55</v>
    <v>23.61</v>
    <v>24.07</v>
    <v>24.25</v>
    <v>24.03</v>
    <v>23.69</v>
    <v>23.8</v>
    <v>23.64</v>
    <v>23.42</v>
    <v>23.35</v>
    <v>23.2</v>
    <v>23.02</v>
    <v>22.81</v>
    <v>22.52</v>
    <v>22.78</v>
    <v>22.87</v>
    <v>23.45</v>
    <v>22.74</v>
    <v>22.71</v>
    <v>22.75</v>
    <v>22.94</v>
    <v>23.02</v>
    <v>23.3</v>
    <v>23.21</v>
    <v>23.42</v>
    <v>22.77</v>
    <v>22.83</v>
    <v>23.1</v>
    <v>23.11</v>
    <v>22.81</v>
  </a>
  <a r="1" c="767">
    <v>14.337400000000001</v>
    <v>14.566800000000001</v>
    <v>14.6854</v>
    <v>14.726900000000001</v>
    <v>14.752599999999999</v>
    <v>14.815899999999999</v>
    <v>14.8337</v>
    <v>15.1797</v>
    <v>14.984</v>
    <v>14.981999999999999</v>
    <v>14.9682</v>
    <v>15.128299999999999</v>
    <v>14.9642</v>
    <v>15.132300000000001</v>
    <v>15.1244</v>
    <v>15.148099999999999</v>
    <v>15.1797</v>
    <v>15.1441</v>
    <v>15.341900000000001</v>
    <v>15.4229</v>
    <v>15.4308</v>
    <v>15.3597</v>
    <v>15.4091</v>
    <v>15.541600000000001</v>
    <v>15.575200000000001</v>
    <v>15.6563</v>
    <v>15.737299999999999</v>
    <v>15.6919</v>
    <v>15.737299999999999</v>
    <v>15.863899999999999</v>
    <v>15.863899999999999</v>
    <v>15.8085</v>
    <v>15.9054</v>
    <v>15.984500000000001</v>
    <v>16.049700000000001</v>
    <v>15.944900000000001</v>
    <v>15.8085</v>
    <v>15.976599999999999</v>
    <v>16.0853</v>
    <v>16.03</v>
    <v>15.9034</v>
    <v>15.8659</v>
    <v>16.035900000000002</v>
    <v>16.0596</v>
    <v>15.976599999999999</v>
    <v>15.986499999999999</v>
    <v>15.7789</v>
    <v>15.737299999999999</v>
    <v>15.769</v>
    <v>15.6602</v>
    <v>15.9983</v>
    <v>16.1585</v>
    <v>16.227699999999999</v>
    <v>16.362200000000001</v>
    <v>16.314699999999998</v>
    <v>16.095199999999998</v>
    <v>16.010200000000001</v>
    <v>15.887600000000001</v>
    <v>15.5791</v>
    <v>15.351800000000001</v>
    <v>15.385400000000001</v>
    <v>15.375500000000001</v>
    <v>15.448600000000001</v>
    <v>15.126300000000001</v>
    <v>15.0947</v>
    <v>14.991899999999999</v>
    <v>14.4916</v>
    <v>14.5351</v>
    <v>14.632</v>
    <v>14.6419</v>
    <v>14.523300000000001</v>
    <v>14.4877</v>
    <v>14.542999999999999</v>
    <v>14.458</v>
    <v>14.317600000000001</v>
    <v>14.2247</v>
    <v>13.94</v>
    <v>14.119899999999999</v>
    <v>14.1555</v>
    <v>14.2128</v>
    <v>14.307700000000001</v>
    <v>14.1594</v>
    <v>14.157500000000001</v>
    <v>14.282</v>
    <v>14.3651</v>
    <v>14.586499999999999</v>
    <v>14.6716</v>
    <v>14.4817</v>
    <v>14.517300000000001</v>
    <v>14.6716</v>
    <v>14.6676</v>
    <v>14.529199999999999</v>
    <v>14.5055</v>
    <v>14.8179</v>
    <v>15.001799999999999</v>
    <v>15.092700000000001</v>
    <v>15.0749</v>
    <v>15.055199999999999</v>
    <v>14.984</v>
    <v>14.952299999999999</v>
    <v>15.1165</v>
    <v>15.205399999999999</v>
    <v>15.1501</v>
    <v>15.2035</v>
    <v>15.258800000000001</v>
    <v>15.171799999999999</v>
    <v>15.254899999999999</v>
    <v>15.3399</v>
    <v>15.337899999999999</v>
    <v>15.4566</v>
    <v>15.334</v>
    <v>15.4032</v>
    <v>15.378500000000001</v>
    <v>15.4131</v>
    <v>15.225199999999999</v>
    <v>15.388299999999999</v>
    <v>15.551500000000001</v>
    <v>15.511900000000001</v>
    <v>15.437799999999999</v>
    <v>15.6998</v>
    <v>15.561400000000001</v>
    <v>15.531700000000001</v>
    <v>15.551500000000001</v>
    <v>15.6404</v>
    <v>15.7492</v>
    <v>15.793699999999999</v>
    <v>15.8332</v>
    <v>15.9024</v>
    <v>15.897500000000001</v>
    <v>15.917299999999999</v>
    <v>16.0656</v>
    <v>16.0853</v>
    <v>15.042299999999999</v>
    <v>15.0176</v>
    <v>15.1066</v>
    <v>15.2796</v>
    <v>15.4674</v>
    <v>15.511900000000001</v>
    <v>15.6602</v>
    <v>15.5267</v>
    <v>15.6058</v>
    <v>15.684900000000001</v>
    <v>15.600899999999999</v>
    <v>15.590999999999999</v>
    <v>15.4427</v>
    <v>15.4427</v>
    <v>15.502000000000001</v>
    <v>15.3043</v>
    <v>15.2845</v>
    <v>15.309200000000001</v>
    <v>15.2994</v>
    <v>15.2302</v>
    <v>15.185700000000001</v>
    <v>15.358700000000001</v>
    <v>15.3537</v>
    <v>15.3142</v>
    <v>15.334</v>
    <v>15.2697</v>
    <v>14.829800000000001</v>
    <v>14.3552</v>
    <v>14.083299999999999</v>
    <v>13.841100000000001</v>
    <v>13.475300000000001</v>
    <v>13.119400000000001</v>
    <v>13.055099999999999</v>
    <v>13.148999999999999</v>
    <v>13.0601</v>
    <v>13.3764</v>
    <v>13.5692</v>
    <v>13.574199999999999</v>
    <v>13.5198</v>
    <v>13.4901</v>
    <v>13.262700000000001</v>
    <v>13.1836</v>
    <v>13.574199999999999</v>
    <v>13.707599999999999</v>
    <v>13.821300000000001</v>
    <v>13.94</v>
    <v>14.127800000000001</v>
    <v>14.053699999999999</v>
    <v>13.944900000000001</v>
    <v>13.920199999999999</v>
    <v>13.9993</v>
    <v>13.8856</v>
    <v>13.7422</v>
    <v>13.766999999999999</v>
    <v>13.8164</v>
    <v>13.9894</v>
    <v>14.043799999999999</v>
    <v>13.994300000000001</v>
    <v>14.0487</v>
    <v>14.098100000000001</v>
    <v>14.098100000000001</v>
    <v>14.2712</v>
    <v>14.2514</v>
    <v>14.3157</v>
    <v>14.375</v>
    <v>14.350300000000001</v>
    <v>14.7507</v>
    <v>14.6617</v>
    <v>14.706200000000001</v>
    <v>14.8001</v>
    <v>14.9682</v>
    <v>15.0868</v>
    <v>15.1609</v>
    <v>15.235099999999999</v>
    <v>15.2302</v>
    <v>15.244999999999999</v>
    <v>15.388299999999999</v>
    <v>15.358700000000001</v>
    <v>15.2994</v>
    <v>15.3043</v>
    <v>15.309200000000001</v>
    <v>15.334</v>
    <v>15.408099999999999</v>
    <v>15.4823</v>
    <v>15.5465</v>
    <v>15.590999999999999</v>
    <v>15.7492</v>
    <v>15.6998</v>
    <v>15.541600000000001</v>
    <v>15.6157</v>
    <v>15.848100000000001</v>
    <v>15.9321</v>
    <v>15.7986</v>
    <v>15.783799999999999</v>
    <v>15.8431</v>
    <v>15.675000000000001</v>
    <v>15.68</v>
    <v>15.7887</v>
    <v>15.8431</v>
    <v>15.744300000000001</v>
    <v>15.3933</v>
    <v>15.6157</v>
    <v>15.6157</v>
    <v>15.6058</v>
    <v>15.6157</v>
    <v>15.398199999999999</v>
    <v>15.4526</v>
    <v>15.338900000000001</v>
    <v>15.4427</v>
    <v>15.2994</v>
    <v>15.1708</v>
    <v>15.244999999999999</v>
    <v>15.1511</v>
    <v>15.156000000000001</v>
    <v>15.215299999999999</v>
    <v>15.388299999999999</v>
    <v>15.6256</v>
    <v>15.7393</v>
    <v>15.9024</v>
    <v>15.956799999999999</v>
    <v>15.8431</v>
    <v>15.7492</v>
    <v>15.6503</v>
    <v>15.4872</v>
    <v>15.571199999999999</v>
    <v>15.571199999999999</v>
    <v>15.4724</v>
    <v>15.561400000000001</v>
    <v>15.4032</v>
    <v>15.338900000000001</v>
    <v>15.24</v>
    <v>15.244999999999999</v>
    <v>15.1708</v>
    <v>15.0967</v>
    <v>14.978</v>
    <v>15.071999999999999</v>
    <v>15.012700000000001</v>
    <v>15.175800000000001</v>
    <v>15.042299999999999</v>
    <v>15.0374</v>
    <v>15.1313</v>
    <v>15.225199999999999</v>
    <v>15.2895</v>
    <v>15.264799999999999</v>
    <v>15.2746</v>
    <v>15.2944</v>
    <v>15.215299999999999</v>
    <v>15.002800000000001</v>
    <v>14.8149</v>
    <v>14.7012</v>
    <v>14.908799999999999</v>
    <v>14.9138</v>
    <v>14.7902</v>
    <v>14.775399999999999</v>
    <v>14.8347</v>
    <v>15.091699999999999</v>
    <v>15.0769</v>
    <v>15.111499999999999</v>
    <v>14.983000000000001</v>
    <v>15.022500000000001</v>
    <v>14.918699999999999</v>
    <v>15.052199999999999</v>
    <v>14.7704</v>
    <v>14.706200000000001</v>
    <v>14.6716</v>
    <v>14.6518</v>
    <v>14.7408</v>
    <v>14.8149</v>
    <v>14.775399999999999</v>
    <v>14.9682</v>
    <v>15.062099999999999</v>
    <v>15.136200000000001</v>
    <v>15.348800000000001</v>
    <v>15.4427</v>
    <v>15.4674</v>
    <v>15.541600000000001</v>
    <v>15.5366</v>
    <v>15.600899999999999</v>
    <v>15.4625</v>
    <v>15.6157</v>
    <v>15.541600000000001</v>
    <v>15.6256</v>
    <v>15.6553</v>
    <v>15.897500000000001</v>
    <v>15.620699999999999</v>
    <v>15.5169</v>
    <v>15.348800000000001</v>
    <v>15.3241</v>
    <v>15.3241</v>
    <v>15.235099999999999</v>
    <v>15.3241</v>
    <v>15.3933</v>
    <v>15.492100000000001</v>
    <v>15.734400000000001</v>
    <v>15.7393</v>
    <v>15.956799999999999</v>
    <v>15.9519</v>
    <v>15.5663</v>
    <v>15.6701</v>
    <v>15.7789</v>
    <v>15.7789</v>
    <v>15.581099999999999</v>
    <v>15.4229</v>
    <v>15.3735</v>
    <v>15.4131</v>
    <v>15.3834</v>
    <v>15.6553</v>
    <v>15.7393</v>
    <v>15.8728</v>
    <v>16.1891</v>
    <v>16.278099999999998</v>
    <v>16.3325</v>
    <v>17.192599999999999</v>
    <v>17.0443</v>
    <v>16.935600000000001</v>
    <v>17.029499999999999</v>
    <v>16.708200000000001</v>
    <v>16.5945</v>
    <v>16.703199999999999</v>
    <v>16.876300000000001</v>
    <v>16.851500000000001</v>
    <v>17.004799999999999</v>
    <v>17.113499999999998</v>
    <v>17.039400000000001</v>
    <v>16.9801</v>
    <v>17.068999999999999</v>
    <v>17.0839</v>
    <v>17.340900000000001</v>
    <v>17.3508</v>
    <v>17.335999999999999</v>
    <v>17.518899999999999</v>
    <v>17.607900000000001</v>
    <v>17.7166</v>
    <v>17.855</v>
    <v>17.830300000000001</v>
    <v>17.963799999999999</v>
    <v>18.2258</v>
    <v>18.705300000000001</v>
    <v>18.240600000000001</v>
    <v>17.2668</v>
    <v>17.578199999999999</v>
    <v>17.311299999999999</v>
    <v>17.761099999999999</v>
    <v>17.855</v>
    <v>17.8748</v>
    <v>18.201000000000001</v>
    <v>18.492699999999999</v>
    <v>18.458100000000002</v>
    <v>18.680499999999999</v>
    <v>18.556999999999999</v>
    <v>18.492699999999999</v>
    <v>17.2272</v>
    <v>17.355799999999999</v>
    <v>17.642499999999998</v>
    <v>17.9786</v>
    <v>17.909400000000002</v>
    <v>17.9391</v>
    <v>18.107099999999999</v>
    <v>18.186199999999999</v>
    <v>17.830300000000001</v>
    <v>17.790800000000001</v>
    <v>17.474399999999999</v>
    <v>17.425000000000001</v>
    <v>17.4694</v>
    <v>18.092300000000002</v>
    <v>18.1615</v>
    <v>18.235600000000002</v>
    <v>18.601400000000002</v>
    <v>18.606400000000001</v>
    <v>18.725000000000001</v>
    <v>18.7547</v>
    <v>18.828800000000001</v>
    <v>18.700299999999999</v>
    <v>18.7745</v>
    <v>18.680499999999999</v>
    <v>18.769500000000001</v>
    <v>18.922799999999999</v>
    <v>18.848600000000001</v>
    <v>18.720099999999999</v>
    <v>19.076000000000001</v>
    <v>18.927700000000002</v>
    <v>18.922799999999999</v>
    <v>18.898</v>
    <v>19.115500000000001</v>
    <v>19.4023</v>
    <v>19.6494</v>
    <v>19.560400000000001</v>
    <v>19.293500000000002</v>
    <v>19.427</v>
    <v>19.298400000000001</v>
    <v>19.328099999999999</v>
    <v>19.510999999999999</v>
    <v>19.481300000000001</v>
    <v>19.520900000000001</v>
    <v>19.594999999999999</v>
    <v>19.594999999999999</v>
    <v>19.698899999999998</v>
    <v>19.7681</v>
    <v>19.713699999999999</v>
    <v>19.268799999999999</v>
    <v>19.6099</v>
    <v>19.510999999999999</v>
    <v>19.436900000000001</v>
    <v>19.555499999999999</v>
    <v>19.254000000000001</v>
    <v>19.4467</v>
    <v>19.501100000000001</v>
    <v>19.268799999999999</v>
    <v>19.169899999999998</v>
    <v>19.155100000000001</v>
    <v>19.254000000000001</v>
    <v>19.417100000000001</v>
    <v>19.7928</v>
    <v>19.367699999999999</v>
    <v>19.422000000000001</v>
    <v>19.441800000000001</v>
    <v>19.377500000000001</v>
    <v>19.347899999999999</v>
    <v>19.431899999999999</v>
    <v>19.397300000000001</v>
    <v>18.922799999999999</v>
    <v>18.838699999999999</v>
    <v>18.828800000000001</v>
    <v>18.9574</v>
    <v>18.621200000000002</v>
    <v>18.438300000000002</v>
    <v>18.581700000000001</v>
    <v>18.453199999999999</v>
    <v>18.4878</v>
    <v>18.433399999999999</v>
    <v>18.695399999999999</v>
    <v>18.4087</v>
    <v>18.4087</v>
    <v>18.6904</v>
    <v>18.680499999999999</v>
    <v>18.556999999999999</v>
    <v>18.117000000000001</v>
    <v>17.7759</v>
    <v>17.657299999999999</v>
    <v>17.597999999999999</v>
    <v>17.4892</v>
    <v>17.415099999999999</v>
    <v>17.158000000000001</v>
    <v>17.3706</v>
    <v>17.439800000000002</v>
    <v>17.439800000000002</v>
    <v>17.5733</v>
    <v>17.578199999999999</v>
    <v>17.726500000000001</v>
    <v>17.884699999999999</v>
    <v>17.993400000000001</v>
    <v>18.196100000000001</v>
    <v>17.8352</v>
    <v>17.6721</v>
    <v>17.637499999999999</v>
    <v>17.677099999999999</v>
    <v>17.948899999999998</v>
    <v>17.850100000000001</v>
    <v>17.889600000000002</v>
    <v>17.953900000000001</v>
    <v>18.0824</v>
    <v>18.0181</v>
    <v>18.047799999999999</v>
    <v>18.443300000000001</v>
    <v>18.383900000000001</v>
    <v>18.502600000000001</v>
    <v>18.126899999999999</v>
    <v>18.255400000000002</v>
    <v>18.319700000000001</v>
    <v>18.665700000000001</v>
    <v>18.705300000000001</v>
    <v>18.789300000000001</v>
    <v>18.888200000000001</v>
    <v>19.095800000000001</v>
    <v>19.501100000000001</v>
    <v>19.431899999999999</v>
    <v>19.352799999999998</v>
    <v>19.308299999999999</v>
    <v>19.338000000000001</v>
    <v>19.575299999999999</v>
    <v>19.471499999999999</v>
    <v>19.417100000000001</v>
    <v>19.580200000000001</v>
    <v>19.8916</v>
    <v>20.119</v>
    <v>20.069600000000001</v>
    <v>20.366199999999999</v>
    <v>20.5837</v>
    <v>20.712199999999999</v>
    <v>21.107700000000001</v>
    <v>20.9297</v>
    <v>20.939599999999999</v>
    <v>21.028600000000001</v>
    <v>21.423999999999999</v>
    <v>21.681100000000001</v>
    <v>21.552600000000002</v>
    <v>21.8096</v>
    <v>21.700900000000001</v>
    <v>21.335100000000001</v>
    <v>21.5229</v>
    <v>21.374600000000001</v>
    <v>21.344999999999999</v>
    <v>21.404299999999999</v>
    <v>21.5822</v>
    <v>21.5031</v>
    <v>21.651399999999999</v>
    <v>21.453700000000001</v>
    <v>21.374600000000001</v>
    <v>21.532800000000002</v>
    <v>21.423999999999999</v>
    <v>21.167000000000002</v>
    <v>21.423999999999999</v>
    <v>21.404299999999999</v>
    <v>21.2164</v>
    <v>21.2164</v>
    <v>21.453700000000001</v>
    <v>21.5031</v>
    <v>21.4834</v>
    <v>21.5427</v>
    <v>21.750299999999999</v>
    <v>22.027100000000001</v>
    <v>21.839300000000001</v>
    <v>21.9876</v>
    <v>21.9085</v>
    <v>22.046900000000001</v>
    <v>22.1556</v>
    <v>22.1556</v>
    <v>22.709299999999999</v>
    <v>22.6401</v>
    <v>23.0059</v>
    <v>23.421099999999999</v>
    <v>23.450800000000001</v>
    <v>23.5398</v>
    <v>23.5398</v>
    <v>23.134399999999999</v>
    <v>23.470600000000001</v>
    <v>23.628699999999998</v>
    <v>23.569400000000002</v>
    <v>23.668299999999999</v>
    <v>23.569400000000002</v>
    <v>23.549600000000002</v>
    <v>23.628699999999998</v>
    <v>23.826499999999999</v>
    <v>24.182400000000001</v>
    <v>24.399899999999999</v>
    <v>24.449300000000001</v>
    <v>24.587700000000002</v>
    <v>24.815100000000001</v>
    <v>24.775600000000001</v>
    <v>25.339099999999998</v>
    <v>25.704899999999999</v>
    <v>25.180900000000001</v>
    <v>25.408300000000001</v>
    <v>25.843299999999999</v>
    <v>25.793900000000001</v>
    <v>26.3871</v>
    <v>26.090499999999999</v>
    <v>25.793900000000001</v>
    <v>25.991599999999998</v>
    <v>26.238800000000001</v>
    <v>26.515599999999999</v>
    <v>26.120100000000001</v>
    <v>26.0015</v>
    <v>26.219000000000001</v>
    <v>26.6738</v>
    <v>27.227399999999999</v>
    <v>29.194800000000001</v>
    <v>28.601600000000001</v>
    <v>28.275400000000001</v>
    <v>26.703399999999998</v>
    <v>26.950600000000001</v>
    <v>26.219000000000001</v>
    <v>26.050899999999999</v>
    <v>25.991599999999998</v>
    <v>26.7331</v>
    <v>26.644100000000002</v>
    <v>27.049499999999998</v>
    <v>27.3263</v>
    <v>27.415299999999998</v>
    <v>27.889800000000001</v>
    <v>27.3658</v>
    <v>26.9803</v>
    <v>26.209099999999999</v>
    <v>26.041</v>
    <v>26.396999999999998</v>
    <v>26.822099999999999</v>
    <v>26.683700000000002</v>
    <v>26.525500000000001</v>
    <v>27.543800000000001</v>
    <v>27.395499999999998</v>
    <v>28.0777</v>
    <v>28.641200000000001</v>
    <v>28.700500000000002</v>
    <v>28.571999999999999</v>
    <v>28.868600000000001</v>
    <v>28.799399999999999</v>
    <v>28.641200000000001</v>
    <v>28.453299999999999</v>
    <v>28.453299999999999</v>
    <v>27.959</v>
    <v>27.6525</v>
    <v>27.830500000000001</v>
    <v>27.6525</v>
    <v>28.146899999999999</v>
    <v>28.354500000000002</v>
    <v>27.959</v>
    <v>27.959</v>
    <v>28.196300000000001</v>
    <v>27.781099999999999</v>
    <v>28.07</v>
    <v>27.79</v>
    <v>27.73</v>
    <v>27.57</v>
    <v>26.86</v>
    <v>26.99</v>
    <v>27.46</v>
    <v>27.16</v>
    <v>27.4</v>
    <v>27.34</v>
    <v>26.6</v>
    <v>26.94</v>
    <v>27.03</v>
    <v>27.33</v>
    <v>27.2</v>
    <v>27.17</v>
    <v>27.28</v>
    <v>27.43</v>
    <v>26.87</v>
    <v>26.59</v>
    <v>26.47</v>
    <v>26.66</v>
    <v>26.61</v>
    <v>26.84</v>
    <v>26.6</v>
    <v>26.94</v>
    <v>26.72</v>
    <v>26.76</v>
    <v>26.94</v>
    <v>27.41</v>
    <v>27.51</v>
    <v>27.3</v>
    <v>26.9</v>
    <v>26.96</v>
    <v>26.8</v>
    <v>26.83</v>
    <v>27.18</v>
    <v>26.96</v>
    <v>26.5</v>
    <v>27.06</v>
    <v>27.31</v>
    <v>27.4</v>
    <v>27.59</v>
    <v>26.55</v>
    <v>27.17</v>
    <v>27.73</v>
    <v>27.21</v>
    <v>27.38</v>
    <v>26.78</v>
    <v>27.1</v>
    <v>26.88</v>
    <v>27.16</v>
    <v>27.41</v>
    <v>27.04</v>
    <v>26.65</v>
    <v>26.86</v>
    <v>26.89</v>
    <v>27.03</v>
    <v>27.56</v>
    <v>27.72</v>
    <v>27.79</v>
    <v>27</v>
    <v>26.16</v>
    <v>25.97</v>
    <v>26.07</v>
    <v>27.11</v>
    <v>26.87</v>
    <v>26.82</v>
    <v>26.46</v>
    <v>26.56</v>
    <v>26.72</v>
    <v>26.44</v>
    <v>26.26</v>
    <v>25.97</v>
    <v>26.13</v>
    <v>25.72</v>
    <v>25.62</v>
    <v>25.65</v>
    <v>25.36</v>
    <v>25.57</v>
    <v>25.29</v>
    <v>25.13</v>
    <v>25.33</v>
    <v>24.96</v>
    <v>24.1</v>
    <v>24.5</v>
    <v>24.6</v>
    <v>24.4</v>
    <v>23.91</v>
    <v>23.79</v>
    <v>24.01</v>
    <v>24.18</v>
    <v>24.12</v>
    <v>24.05</v>
    <v>24.3</v>
    <v>23.98</v>
    <v>23.55</v>
    <v>23.61</v>
    <v>24.07</v>
    <v>24.25</v>
    <v>24.03</v>
    <v>23.69</v>
    <v>23.8</v>
    <v>23.64</v>
    <v>23.42</v>
    <v>23.35</v>
    <v>23.2</v>
    <v>23.02</v>
    <v>22.81</v>
    <v>22.52</v>
    <v>22.78</v>
    <v>22.87</v>
    <v>23.45</v>
    <v>22.74</v>
    <v>22.71</v>
    <v>22.75</v>
    <v>22.94</v>
    <v>23.02</v>
    <v>23.3</v>
    <v>23.21</v>
    <v>23.42</v>
    <v>22.77</v>
    <v>22.83</v>
    <v>23.1</v>
    <v>23.11</v>
    <v>22.81</v>
  </a>
  <a r="1" c="761">
    <v>9.8569999999999993</v>
    <v>9.5530000000000008</v>
    <v>9.641</v>
    <v>9.7070000000000007</v>
    <v>9.6340000000000003</v>
    <v>9.5449999999999999</v>
    <v>9.5530000000000008</v>
    <v>9.5649999999999995</v>
    <v>9.51</v>
    <v>9.3109999999999999</v>
    <v>9.3829999999999991</v>
    <v>9.0540000000000003</v>
    <v>8.8000000000000007</v>
    <v>8.8420000000000005</v>
    <v>8.9550000000000001</v>
    <v>9.0449999999999999</v>
    <v>9.0370000000000008</v>
    <v>8.8409999999999993</v>
    <v>8.4640000000000004</v>
    <v>8.6170000000000009</v>
    <v>8.9039999999999999</v>
    <v>8.827</v>
    <v>8.6080000000000005</v>
    <v>8.7230000000000008</v>
    <v>8.8179999999999996</v>
    <v>8.6470000000000002</v>
    <v>8.7449999999999992</v>
    <v>8.7629999999999999</v>
    <v>8.641</v>
    <v>8.7759999999999998</v>
    <v>8.5359999999999996</v>
    <v>8.5440000000000005</v>
    <v>8.1280000000000001</v>
    <v>8.0980000000000008</v>
    <v>8.3230000000000004</v>
    <v>8.2919999999999998</v>
    <v>8.0440000000000005</v>
    <v>8.0950000000000006</v>
    <v>8.2530000000000001</v>
    <v>8.27</v>
    <v>8.4749999999999996</v>
    <v>8.5</v>
    <v>8.5760000000000005</v>
    <v>8.4019999999999992</v>
    <v>8.4179999999999993</v>
    <v>8.4309999999999992</v>
    <v>8.3290000000000006</v>
    <v>8.2089999999999996</v>
    <v>8.1240000000000006</v>
    <v>8.3439999999999994</v>
    <v>8.157</v>
    <v>8.4489999999999998</v>
    <v>8.0709999999999997</v>
    <v>8.3249999999999993</v>
    <v>8.2539999999999996</v>
    <v>8.4209999999999994</v>
    <v>8.3620000000000001</v>
    <v>8.2889999999999997</v>
    <v>8.3339999999999996</v>
    <v>8.3290000000000006</v>
    <v>8.452</v>
    <v>8.4469999999999992</v>
    <v>8.5440000000000005</v>
    <v>8.6319999999999997</v>
    <v>8.65</v>
    <v>8.7929999999999993</v>
    <v>8.8019999999999996</v>
    <v>8.92</v>
    <v>8.9499999999999993</v>
    <v>8.8079999999999998</v>
    <v>8.8339999999999996</v>
    <v>8.4209999999999994</v>
    <v>8.4269999999999996</v>
    <v>8.57</v>
    <v>8.6140000000000008</v>
    <v>8.8260000000000005</v>
    <v>8.8670000000000009</v>
    <v>8.9290000000000003</v>
    <v>9.0660000000000007</v>
    <v>8.9949999999999992</v>
    <v>9.0050000000000008</v>
    <v>9.0169999999999995</v>
    <v>9.0709999999999997</v>
    <v>8.8879999999999999</v>
    <v>8.9559999999999995</v>
    <v>9.0009999999999994</v>
    <v>8.891</v>
    <v>8.8800000000000008</v>
    <v>8.9849999999999994</v>
    <v>8.9710000000000001</v>
    <v>9.0350000000000001</v>
    <v>9.2140000000000004</v>
    <v>9.0790000000000006</v>
    <v>9.0269999999999992</v>
    <v>9.1159999999999997</v>
    <v>8.98</v>
    <v>8.9019999999999992</v>
    <v>8.9629999999999992</v>
    <v>8.9849999999999994</v>
    <v>9.07</v>
    <v>9.2739999999999991</v>
    <v>9.3230000000000004</v>
    <v>9.4450000000000003</v>
    <v>9.5470000000000006</v>
    <v>9.3970000000000002</v>
    <v>9.3699999999999992</v>
    <v>9.4060000000000006</v>
    <v>9.5150000000000006</v>
    <v>9.5109999999999992</v>
    <v>9.4510000000000005</v>
    <v>9.6050000000000004</v>
    <v>9.8740000000000006</v>
    <v>9.9179999999999993</v>
    <v>9.8309999999999995</v>
    <v>10.074</v>
    <v>9.9179999999999993</v>
    <v>9.891</v>
    <v>9.9649999999999999</v>
    <v>10.039999999999999</v>
    <v>10.28</v>
    <v>10.032</v>
    <v>10.167999999999999</v>
    <v>10.007999999999999</v>
    <v>9.81</v>
    <v>9.798</v>
    <v>9.7729999999999997</v>
    <v>9.7919999999999998</v>
    <v>9.8610000000000007</v>
    <v>9.7460000000000004</v>
    <v>9.9849999999999994</v>
    <v>9.8230000000000004</v>
    <v>9.7799999999999994</v>
    <v>9.4260000000000002</v>
    <v>9.3450000000000006</v>
    <v>9.3569999999999993</v>
    <v>9.3230000000000004</v>
    <v>9.391</v>
    <v>9.3949999999999996</v>
    <v>9.3960000000000008</v>
    <v>9.3510000000000009</v>
    <v>9.2539999999999996</v>
    <v>9.23</v>
    <v>9.3010000000000002</v>
    <v>9.4</v>
    <v>9.4369999999999994</v>
    <v>9.3770000000000007</v>
    <v>9.2910000000000004</v>
    <v>9.202</v>
    <v>9.2070000000000007</v>
    <v>9.3379999999999992</v>
    <v>9.4429999999999996</v>
    <v>9.4760000000000009</v>
    <v>9.3629999999999995</v>
    <v>9.2420000000000009</v>
    <v>8.8640000000000008</v>
    <v>8.76</v>
    <v>8.7690000000000001</v>
    <v>8.9700000000000006</v>
    <v>9.0470000000000006</v>
    <v>9.2899999999999991</v>
    <v>9.4109999999999996</v>
    <v>9.3170000000000002</v>
    <v>9.4459999999999997</v>
    <v>9.5</v>
    <v>9.5579999999999998</v>
    <v>9.6950000000000003</v>
    <v>9.7460000000000004</v>
    <v>9.7810000000000006</v>
    <v>9.8510000000000009</v>
    <v>9.8320000000000007</v>
    <v>9.8309999999999995</v>
    <v>9.7439999999999998</v>
    <v>9.8859999999999992</v>
    <v>9.8190000000000008</v>
    <v>9.9640000000000004</v>
    <v>10.039999999999999</v>
    <v>9.9190000000000005</v>
    <v>10.052</v>
    <v>10.066000000000001</v>
    <v>9.8539999999999992</v>
    <v>9.7810000000000006</v>
    <v>9.8179999999999996</v>
    <v>9.7829999999999995</v>
    <v>9.77</v>
    <v>9.6769999999999996</v>
    <v>9.5920000000000005</v>
    <v>9.6319999999999997</v>
    <v>9.6950000000000003</v>
    <v>9.5779999999999994</v>
    <v>9.3559999999999999</v>
    <v>9.2539999999999996</v>
    <v>9.359</v>
    <v>9.3390000000000004</v>
    <v>9.2059999999999995</v>
    <v>9.1839999999999993</v>
    <v>9.0909999999999993</v>
    <v>9.3610000000000007</v>
    <v>9.3870000000000005</v>
    <v>8.8390000000000004</v>
    <v>8.7550000000000008</v>
    <v>8.8160000000000007</v>
    <v>9.0510000000000002</v>
    <v>9.0990000000000002</v>
    <v>9.1549999999999994</v>
    <v>9.34</v>
    <v>9.3040000000000003</v>
    <v>9.1890000000000001</v>
    <v>9.1489999999999991</v>
    <v>9.0500000000000007</v>
    <v>8.8190000000000008</v>
    <v>8.7680000000000007</v>
    <v>8.7729999999999997</v>
    <v>8.8710000000000004</v>
    <v>9.1120000000000001</v>
    <v>9.0150000000000006</v>
    <v>8.9160000000000004</v>
    <v>9.0660000000000007</v>
    <v>8.8640000000000008</v>
    <v>8.83</v>
    <v>8.5389999999999997</v>
    <v>8.4120000000000008</v>
    <v>8.4030000000000005</v>
    <v>8.1880000000000006</v>
    <v>8.2159999999999993</v>
    <v>7.9930000000000003</v>
    <v>8.0860000000000003</v>
    <v>8.375</v>
    <v>8.3339999999999996</v>
    <v>8.3219999999999992</v>
    <v>8.4410000000000007</v>
    <v>8.3979999999999997</v>
    <v>8.59</v>
    <v>8.56</v>
    <v>8.5259999999999998</v>
    <v>8.6110000000000007</v>
    <v>8.5370000000000008</v>
    <v>8.2490000000000006</v>
    <v>8.1890000000000001</v>
    <v>8.3719999999999999</v>
    <v>8.7059999999999995</v>
    <v>8.6270000000000007</v>
    <v>8.9559999999999995</v>
    <v>9.1489999999999991</v>
    <v>9.4139999999999997</v>
    <v>9.0440000000000005</v>
    <v>9.0329999999999995</v>
    <v>9.2149999999999999</v>
    <v>9.3140000000000001</v>
    <v>9.1349999999999998</v>
    <v>8.7189999999999994</v>
    <v>8.7270000000000003</v>
    <v>8.8109999999999999</v>
    <v>8.61</v>
    <v>8.7750000000000004</v>
    <v>9.06</v>
    <v>8.9610000000000003</v>
    <v>8.91</v>
    <v>9.0660000000000007</v>
    <v>8.5719999999999992</v>
    <v>8.5239999999999991</v>
    <v>8.6530000000000005</v>
    <v>8.7129999999999992</v>
    <v>8.8140000000000001</v>
    <v>8.9469999999999992</v>
    <v>9.07</v>
    <v>9.2089999999999996</v>
    <v>9.1140000000000008</v>
    <v>8.98</v>
    <v>8.8219999999999992</v>
    <v>8.9</v>
    <v>8.8789999999999996</v>
    <v>8.9179999999999993</v>
    <v>8.9160000000000004</v>
    <v>9.0129999999999999</v>
    <v>9.02</v>
    <v>9.0969999999999995</v>
    <v>9.1739999999999995</v>
    <v>9.3699999999999992</v>
    <v>9.0809999999999995</v>
    <v>9.1280000000000001</v>
    <v>8.98</v>
    <v>8.9719999999999995</v>
    <v>9.0440000000000005</v>
    <v>8.952</v>
    <v>9.1850000000000005</v>
    <v>9.1039999999999992</v>
    <v>8.9179999999999993</v>
    <v>8.7989999999999995</v>
    <v>8.9730000000000008</v>
    <v>9.048</v>
    <v>9.15</v>
    <v>9.09</v>
    <v>9.2880000000000003</v>
    <v>9.2349999999999994</v>
    <v>9.109</v>
    <v>9.3160000000000007</v>
    <v>9.2379999999999995</v>
    <v>9.18</v>
    <v>9.1460000000000008</v>
    <v>9.3390000000000004</v>
    <v>9.4339999999999993</v>
    <v>9.8870000000000005</v>
    <v>9.8539999999999992</v>
    <v>9.798</v>
    <v>9.8439999999999994</v>
    <v>9.8000000000000007</v>
    <v>9.9179999999999993</v>
    <v>10.144</v>
    <v>10.398</v>
    <v>10.215999999999999</v>
    <v>10.42</v>
    <v>10.246</v>
    <v>10.327999999999999</v>
    <v>10.118</v>
    <v>10.1</v>
    <v>10.064</v>
    <v>9.9870000000000001</v>
    <v>9.8610000000000007</v>
    <v>9.69</v>
    <v>9.75</v>
    <v>9.7750000000000004</v>
    <v>9.7739999999999991</v>
    <v>9.7590000000000003</v>
    <v>9.8040000000000003</v>
    <v>9.8140000000000001</v>
    <v>9.5660000000000007</v>
    <v>9.6170000000000009</v>
    <v>9.6479999999999997</v>
    <v>9.84</v>
    <v>9.9329999999999998</v>
    <v>9.81</v>
    <v>9.6430000000000007</v>
    <v>9.5299999999999994</v>
    <v>9.6080000000000005</v>
    <v>9.6850000000000005</v>
    <v>9.8320000000000007</v>
    <v>9.8320000000000007</v>
    <v>9.6150000000000002</v>
    <v>9.5619999999999994</v>
    <v>9.2669999999999995</v>
    <v>9.2579999999999991</v>
    <v>9.49</v>
    <v>9.4239999999999995</v>
    <v>9.3219999999999992</v>
    <v>9.016</v>
    <v>8.5640000000000001</v>
    <v>8.5830000000000002</v>
    <v>8.7850000000000001</v>
    <v>8.64</v>
    <v>8.5990000000000002</v>
    <v>8.76</v>
    <v>8.6869999999999994</v>
    <v>8.7040000000000006</v>
    <v>8.7390000000000008</v>
    <v>8.7050000000000001</v>
    <v>8.7579999999999991</v>
    <v>8.8879999999999999</v>
    <v>8.9580000000000002</v>
    <v>9.09</v>
    <v>9.0359999999999996</v>
    <v>9.1929999999999996</v>
    <v>9.1739999999999995</v>
    <v>9.0449999999999999</v>
    <v>9.3160000000000007</v>
    <v>9.3870000000000005</v>
    <v>9.3170000000000002</v>
    <v>8.532</v>
    <v>8.0289999999999999</v>
    <v>7.9580000000000002</v>
    <v>7.899</v>
    <v>7.3410000000000002</v>
    <v>7.6219999999999999</v>
    <v>7.5140000000000002</v>
    <v>7.6509999999999998</v>
    <v>7.6630000000000003</v>
    <v>7.7619999999999996</v>
    <v>7.952</v>
    <v>7.8869999999999996</v>
    <v>7.7519999999999998</v>
    <v>7.8369999999999997</v>
    <v>7.8650000000000002</v>
    <v>7.742</v>
    <v>7.6379999999999999</v>
    <v>7.5670000000000002</v>
    <v>7.3529999999999998</v>
    <v>7.1929999999999996</v>
    <v>7.5229999999999997</v>
    <v>7.4</v>
    <v>7.6139999999999999</v>
    <v>7.7309999999999999</v>
    <v>8.0380000000000003</v>
    <v>8.1199999999999992</v>
    <v>8.0589999999999993</v>
    <v>7.8570000000000002</v>
    <v>7.968</v>
    <v>7.91</v>
    <v>7.8840000000000003</v>
    <v>7.8440000000000003</v>
    <v>7.77</v>
    <v>7.835</v>
    <v>7.7750000000000004</v>
    <v>7.6829999999999998</v>
    <v>7.899</v>
    <v>7.6970000000000001</v>
    <v>7.5810000000000004</v>
    <v>7.8</v>
    <v>7.9939999999999998</v>
    <v>7.8159999999999998</v>
    <v>7.9349999999999996</v>
    <v>8.0709999999999997</v>
    <v>8.1150000000000002</v>
    <v>8.2240000000000002</v>
    <v>8.2189999999999994</v>
    <v>8.3089999999999993</v>
    <v>8.68</v>
    <v>8.5039999999999996</v>
    <v>8.9339999999999993</v>
    <v>8.9499999999999993</v>
    <v>9.3179999999999996</v>
    <v>9.0730000000000004</v>
    <v>9.0549999999999997</v>
    <v>8.0960000000000001</v>
    <v>8.077</v>
    <v>8.1039999999999992</v>
    <v>7.9749999999999996</v>
    <v>7.92</v>
    <v>7.9589999999999996</v>
    <v>8.0259999999999998</v>
    <v>8.1170000000000009</v>
    <v>8.0860000000000003</v>
    <v>8.2249999999999996</v>
    <v>8.3569999999999993</v>
    <v>8.3840000000000003</v>
    <v>8.2270000000000003</v>
    <v>8.4</v>
    <v>8.2910000000000004</v>
    <v>8.3439999999999994</v>
    <v>8.1669999999999998</v>
    <v>8.3520000000000003</v>
    <v>8.3620000000000001</v>
    <v>8.2940000000000005</v>
    <v>8.2010000000000005</v>
    <v>8.1920000000000002</v>
    <v>8.3170000000000002</v>
    <v>8.2539999999999996</v>
    <v>8.4659999999999993</v>
    <v>8.657</v>
    <v>8.9489999999999998</v>
    <v>8.85</v>
    <v>8.5459999999999994</v>
    <v>8.4939999999999998</v>
    <v>8.3539999999999992</v>
    <v>8.3390000000000004</v>
    <v>8.1509999999999998</v>
    <v>8.1170000000000009</v>
    <v>8.1679999999999993</v>
    <v>8.0640000000000001</v>
    <v>7.9080000000000004</v>
    <v>8.0990000000000002</v>
    <v>8.0169999999999995</v>
    <v>8.0109999999999992</v>
    <v>8.1</v>
    <v>8.1959999999999997</v>
    <v>8.1630000000000003</v>
    <v>8.35</v>
    <v>8.1959999999999997</v>
    <v>8.2360000000000007</v>
    <v>8.19</v>
    <v>8.2210000000000001</v>
    <v>8.2919999999999998</v>
    <v>8.43</v>
    <v>8.2420000000000009</v>
    <v>8.2289999999999992</v>
    <v>7.9130000000000003</v>
    <v>8.0359999999999996</v>
    <v>8.1419999999999995</v>
    <v>8.1859999999999999</v>
    <v>8.0530000000000008</v>
    <v>8.1769999999999996</v>
    <v>8.1349999999999998</v>
    <v>8.2070000000000007</v>
    <v>8.1579999999999995</v>
    <v>8.1430000000000007</v>
    <v>8.0440000000000005</v>
    <v>8.016</v>
    <v>8.173</v>
    <v>8.3000000000000007</v>
    <v>8.3840000000000003</v>
    <v>8.5449999999999999</v>
    <v>8.1780000000000008</v>
    <v>8.0679999999999996</v>
    <v>8.0269999999999992</v>
    <v>7.91</v>
    <v>7.883</v>
    <v>8.0169999999999995</v>
    <v>8.0069999999999997</v>
    <v>8.1669999999999998</v>
    <v>8.1430000000000007</v>
    <v>7.7359999999999998</v>
    <v>7.8330000000000002</v>
    <v>7.6349999999999998</v>
    <v>7.633</v>
    <v>7.5860000000000003</v>
    <v>7.5030000000000001</v>
    <v>7.5019999999999998</v>
    <v>7.5810000000000004</v>
    <v>7.7439999999999998</v>
    <v>8.0419999999999998</v>
    <v>8.1050000000000004</v>
    <v>8.0389999999999997</v>
    <v>7.859</v>
    <v>7.9340000000000002</v>
    <v>7.9829999999999997</v>
    <v>8.0109999999999992</v>
    <v>8.11</v>
    <v>8.0609999999999999</v>
    <v>8.0619999999999994</v>
    <v>7.8630000000000004</v>
    <v>7.8979999999999997</v>
    <v>7.9</v>
    <v>8.0980000000000008</v>
    <v>7.7839999999999998</v>
    <v>7.7850000000000001</v>
    <v>7.9349999999999996</v>
    <v>7.9320000000000004</v>
    <v>7.9290000000000003</v>
    <v>7.859</v>
    <v>7.8220000000000001</v>
    <v>7.7</v>
    <v>7.766</v>
    <v>7.6379999999999999</v>
    <v>7.673</v>
    <v>7.7850000000000001</v>
    <v>7.8440000000000003</v>
    <v>7.82</v>
    <v>7.7910000000000004</v>
    <v>7.8010000000000002</v>
    <v>7.8689999999999998</v>
    <v>7.9059999999999997</v>
    <v>7.8010000000000002</v>
    <v>7.6980000000000004</v>
    <v>7.64</v>
    <v>7.5039999999999996</v>
    <v>7.5229999999999997</v>
    <v>7.4130000000000003</v>
    <v>7.27</v>
    <v>7.3360000000000003</v>
    <v>7.4089999999999998</v>
    <v>7.4420000000000002</v>
    <v>7.5759999999999996</v>
    <v>7.6040000000000001</v>
    <v>7.6059999999999999</v>
    <v>7.61</v>
    <v>7.4429999999999996</v>
    <v>7.633</v>
    <v>7.6509999999999998</v>
    <v>7.468</v>
    <v>7.5629999999999997</v>
    <v>7.8879999999999999</v>
    <v>7.8179999999999996</v>
    <v>8.0760000000000005</v>
    <v>8.1150000000000002</v>
    <v>7.8739999999999997</v>
    <v>7.9660000000000002</v>
    <v>7.8920000000000003</v>
    <v>7.9329999999999998</v>
    <v>7.9820000000000002</v>
    <v>7.8520000000000003</v>
    <v>8.0109999999999992</v>
    <v>7.883</v>
    <v>7.9790000000000001</v>
    <v>8.1300000000000008</v>
    <v>8.4269999999999996</v>
    <v>8.532</v>
    <v>8.0719999999999992</v>
    <v>8.19</v>
    <v>8.2490000000000006</v>
    <v>8.2669999999999995</v>
    <v>8.3810000000000002</v>
    <v>8.3780000000000001</v>
    <v>8.3360000000000003</v>
    <v>8.49</v>
    <v>8.2669999999999995</v>
    <v>8.2140000000000004</v>
    <v>8.3239999999999998</v>
    <v>8.1760000000000002</v>
    <v>8.468</v>
    <v>8.7669999999999995</v>
    <v>8.7040000000000006</v>
    <v>8.7609999999999992</v>
    <v>8.7159999999999993</v>
    <v>8.6489999999999991</v>
    <v>8.7799999999999994</v>
    <v>8.76</v>
    <v>9.3550000000000004</v>
    <v>9.9169999999999998</v>
    <v>9.5990000000000002</v>
    <v>10.151999999999999</v>
    <v>10.86</v>
    <v>11.664</v>
    <v>10.702</v>
    <v>11.262</v>
    <v>12.124000000000001</v>
    <v>12.454000000000001</v>
    <v>12.417999999999999</v>
    <v>12.272</v>
    <v>12.742000000000001</v>
    <v>12.946</v>
    <v>12.744</v>
    <v>11.88</v>
    <v>12.173999999999999</v>
    <v>11.904</v>
    <v>12.51</v>
    <v>12.715999999999999</v>
    <v>12.956</v>
    <v>12.874000000000001</v>
    <v>11.944000000000001</v>
    <v>12.372</v>
    <v>12.97</v>
    <v>11.648</v>
    <v>11.928000000000001</v>
    <v>12</v>
    <v>12.507999999999999</v>
    <v>11.944000000000001</v>
    <v>12.045999999999999</v>
    <v>12.15</v>
    <v>11.166</v>
    <v>11.768000000000001</v>
    <v>12.03</v>
    <v>12.302</v>
    <v>12.496</v>
    <v>12.592000000000001</v>
    <v>12.786</v>
    <v>13.054</v>
    <v>13.696</v>
    <v>13.522</v>
    <v>13.964</v>
    <v>13.66</v>
    <v>12.73</v>
    <v>12.414</v>
    <v>12.794</v>
    <v>13.116</v>
    <v>13.66</v>
    <v>13.57</v>
    <v>13.422000000000001</v>
    <v>13.917999999999999</v>
    <v>14.263999999999999</v>
    <v>14.36</v>
    <v>13.81</v>
    <v>14.321999999999999</v>
    <v>13.816000000000001</v>
    <v>13</v>
    <v>13.407999999999999</v>
    <v>12.952</v>
    <v>12.962</v>
    <v>12.593999999999999</v>
    <v>13.336</v>
    <v>13.178000000000001</v>
    <v>13.62</v>
    <v>13.25</v>
    <v>13.14</v>
    <v>13.417999999999999</v>
    <v>12.954000000000001</v>
    <v>13.24</v>
    <v>13.428000000000001</v>
    <v>12.57</v>
    <v>12.004</v>
    <v>11.635999999999999</v>
    <v>11.618</v>
    <v>11.404</v>
    <v>11.85</v>
    <v>11.464</v>
    <v>11.428000000000001</v>
    <v>11.096</v>
    <v>11.236000000000001</v>
    <v>10.872</v>
    <v>11.092000000000001</v>
    <v>11.066000000000001</v>
    <v>10.84</v>
    <v>10.72</v>
    <v>10.875999999999999</v>
    <v>10.944000000000001</v>
    <v>11.128</v>
    <v>11.884</v>
    <v>11.407999999999999</v>
    <v>11.27</v>
    <v>11.805999999999999</v>
    <v>12.183999999999999</v>
    <v>12.196</v>
    <v>12.332000000000001</v>
    <v>12.548</v>
    <v>12.616</v>
    <v>12.9</v>
    <v>12.974</v>
    <v>13.49</v>
    <v>13.114000000000001</v>
    <v>12.64</v>
    <v>12.178000000000001</v>
    <v>12.834</v>
    <v>12.561999999999999</v>
    <v>12.624000000000001</v>
    <v>12.093999999999999</v>
    <v>11.678000000000001</v>
    <v>11.582000000000001</v>
    <v>11.824</v>
    <v>12.042</v>
    <v>12.555999999999999</v>
    <v>12.768000000000001</v>
    <v>12.731999999999999</v>
    <v>12.72</v>
    <v>12.598000000000001</v>
    <v>12.78</v>
    <v>13.257999999999999</v>
    <v>13.162000000000001</v>
    <v>13.222</v>
    <v>13.28</v>
    <v>12.997999999999999</v>
    <v>12.694000000000001</v>
    <v>12.786</v>
    <v>12.714</v>
    <v>12.885999999999999</v>
    <v>13.212</v>
    <v>13.507999999999999</v>
    <v>13.747999999999999</v>
    <v>13.724</v>
    <v>13.708</v>
    <v>13.974</v>
    <v>14.054</v>
    <v>14.426</v>
    <v>14.875999999999999</v>
    <v>14.635999999999999</v>
    <v>15.058</v>
    <v>15.356</v>
    <v>15.038</v>
    <v>15.084</v>
    <v>15.176</v>
    <v>14.704000000000001</v>
    <v>14.673999999999999</v>
    <v>15.01</v>
    <v>15.452</v>
    <v>14.996</v>
    <v>15.16</v>
    <v>14.906000000000001</v>
    <v>15.06</v>
    <v>15.398</v>
    <v>15.022</v>
    <v>15.284000000000001</v>
    <v>14.956</v>
    <v>15.295999999999999</v>
    <v>15.843999999999999</v>
    <v>15.704000000000001</v>
    <v>16.082000000000001</v>
    <v>16.11</v>
    <v>16.312000000000001</v>
    <v>16.385999999999999</v>
    <v>16.294</v>
    <v>16.649999999999999</v>
    <v>16.489999999999998</v>
    <v>16.501999999999999</v>
    <v>16.702000000000002</v>
    <v>17.309999999999999</v>
  </a>
  <a r="1" c="208">
    <v>7.4429999999999996</v>
    <v>7.633</v>
    <v>7.6509999999999998</v>
    <v>7.468</v>
    <v>7.5629999999999997</v>
    <v>7.8879999999999999</v>
    <v>7.8179999999999996</v>
    <v>8.0760000000000005</v>
    <v>8.1150000000000002</v>
    <v>7.8739999999999997</v>
    <v>7.9660000000000002</v>
    <v>7.8920000000000003</v>
    <v>7.9329999999999998</v>
    <v>7.9820000000000002</v>
    <v>7.8520000000000003</v>
    <v>8.0109999999999992</v>
    <v>7.883</v>
    <v>7.9790000000000001</v>
    <v>8.1300000000000008</v>
    <v>8.4269999999999996</v>
    <v>8.532</v>
    <v>8.0719999999999992</v>
    <v>8.19</v>
    <v>8.2490000000000006</v>
    <v>8.2669999999999995</v>
    <v>8.3810000000000002</v>
    <v>8.3780000000000001</v>
    <v>8.3360000000000003</v>
    <v>8.49</v>
    <v>8.2669999999999995</v>
    <v>8.2140000000000004</v>
    <v>8.3239999999999998</v>
    <v>8.1760000000000002</v>
    <v>8.468</v>
    <v>8.7669999999999995</v>
    <v>8.7040000000000006</v>
    <v>8.7609999999999992</v>
    <v>8.7159999999999993</v>
    <v>8.6489999999999991</v>
    <v>8.7799999999999994</v>
    <v>8.76</v>
    <v>9.3550000000000004</v>
    <v>9.9169999999999998</v>
    <v>9.5990000000000002</v>
    <v>10.151999999999999</v>
    <v>10.86</v>
    <v>11.664</v>
    <v>10.702</v>
    <v>11.262</v>
    <v>12.124000000000001</v>
    <v>12.454000000000001</v>
    <v>12.417999999999999</v>
    <v>12.272</v>
    <v>12.742000000000001</v>
    <v>12.946</v>
    <v>12.744</v>
    <v>11.88</v>
    <v>12.173999999999999</v>
    <v>11.904</v>
    <v>12.51</v>
    <v>12.715999999999999</v>
    <v>12.956</v>
    <v>12.874000000000001</v>
    <v>11.944000000000001</v>
    <v>12.372</v>
    <v>12.97</v>
    <v>11.648</v>
    <v>11.928000000000001</v>
    <v>12</v>
    <v>12.507999999999999</v>
    <v>11.944000000000001</v>
    <v>12.045999999999999</v>
    <v>12.15</v>
    <v>11.166</v>
    <v>11.768000000000001</v>
    <v>12.03</v>
    <v>12.302</v>
    <v>12.496</v>
    <v>12.592000000000001</v>
    <v>12.786</v>
    <v>13.054</v>
    <v>13.696</v>
    <v>13.522</v>
    <v>13.964</v>
    <v>13.66</v>
    <v>12.73</v>
    <v>12.414</v>
    <v>12.794</v>
    <v>13.116</v>
    <v>13.66</v>
    <v>13.57</v>
    <v>13.422000000000001</v>
    <v>13.917999999999999</v>
    <v>14.263999999999999</v>
    <v>14.36</v>
    <v>13.81</v>
    <v>14.321999999999999</v>
    <v>13.816000000000001</v>
    <v>13</v>
    <v>13.407999999999999</v>
    <v>12.952</v>
    <v>12.962</v>
    <v>12.593999999999999</v>
    <v>13.336</v>
    <v>13.178000000000001</v>
    <v>13.62</v>
    <v>13.25</v>
    <v>13.14</v>
    <v>13.417999999999999</v>
    <v>12.954000000000001</v>
    <v>13.24</v>
    <v>13.428000000000001</v>
    <v>12.57</v>
    <v>12.004</v>
    <v>11.635999999999999</v>
    <v>11.618</v>
    <v>11.404</v>
    <v>11.85</v>
    <v>11.464</v>
    <v>11.428000000000001</v>
    <v>11.096</v>
    <v>11.236000000000001</v>
    <v>10.872</v>
    <v>11.092000000000001</v>
    <v>11.066000000000001</v>
    <v>10.84</v>
    <v>10.72</v>
    <v>10.875999999999999</v>
    <v>10.944000000000001</v>
    <v>11.128</v>
    <v>11.884</v>
    <v>11.407999999999999</v>
    <v>11.27</v>
    <v>11.805999999999999</v>
    <v>12.183999999999999</v>
    <v>12.196</v>
    <v>12.332000000000001</v>
    <v>12.548</v>
    <v>12.616</v>
    <v>12.9</v>
    <v>12.974</v>
    <v>13.49</v>
    <v>13.114000000000001</v>
    <v>12.64</v>
    <v>12.178000000000001</v>
    <v>12.834</v>
    <v>12.561999999999999</v>
    <v>12.624000000000001</v>
    <v>12.093999999999999</v>
    <v>11.678000000000001</v>
    <v>11.582000000000001</v>
    <v>11.824</v>
    <v>12.042</v>
    <v>12.555999999999999</v>
    <v>12.768000000000001</v>
    <v>12.731999999999999</v>
    <v>12.72</v>
    <v>12.598000000000001</v>
    <v>12.78</v>
    <v>13.257999999999999</v>
    <v>13.162000000000001</v>
    <v>13.222</v>
    <v>13.28</v>
    <v>12.997999999999999</v>
    <v>12.694000000000001</v>
    <v>12.786</v>
    <v>12.714</v>
    <v>12.885999999999999</v>
    <v>13.212</v>
    <v>13.507999999999999</v>
    <v>13.747999999999999</v>
    <v>13.724</v>
    <v>13.708</v>
    <v>13.974</v>
    <v>14.054</v>
    <v>14.426</v>
    <v>14.875999999999999</v>
    <v>14.635999999999999</v>
    <v>15.058</v>
    <v>15.356</v>
    <v>15.038</v>
    <v>15.084</v>
    <v>15.176</v>
    <v>14.704000000000001</v>
    <v>14.673999999999999</v>
    <v>15.01</v>
    <v>15.452</v>
    <v>14.996</v>
    <v>15.16</v>
    <v>14.906000000000001</v>
    <v>15.06</v>
    <v>15.398</v>
    <v>15.022</v>
    <v>15.284000000000001</v>
    <v>14.956</v>
    <v>15.295999999999999</v>
    <v>15.843999999999999</v>
    <v>15.704000000000001</v>
    <v>16.082000000000001</v>
    <v>16.11</v>
    <v>16.312000000000001</v>
    <v>16.385999999999999</v>
    <v>16.294</v>
    <v>16.649999999999999</v>
    <v>16.489999999999998</v>
    <v>16.501999999999999</v>
    <v>16.702000000000002</v>
    <v>17.309999999999999</v>
  </a>
  <a r="1" c="254">
    <v>8.0419999999999998</v>
    <v>8.1050000000000004</v>
    <v>8.0389999999999997</v>
    <v>7.859</v>
    <v>7.9340000000000002</v>
    <v>7.9829999999999997</v>
    <v>8.0109999999999992</v>
    <v>8.11</v>
    <v>8.0609999999999999</v>
    <v>8.0619999999999994</v>
    <v>7.8630000000000004</v>
    <v>7.8979999999999997</v>
    <v>7.9</v>
    <v>8.0980000000000008</v>
    <v>7.7839999999999998</v>
    <v>7.7850000000000001</v>
    <v>7.9349999999999996</v>
    <v>7.9320000000000004</v>
    <v>7.9290000000000003</v>
    <v>7.859</v>
    <v>7.8220000000000001</v>
    <v>7.7</v>
    <v>7.766</v>
    <v>7.6379999999999999</v>
    <v>7.673</v>
    <v>7.7850000000000001</v>
    <v>7.8440000000000003</v>
    <v>7.82</v>
    <v>7.7910000000000004</v>
    <v>7.8010000000000002</v>
    <v>7.8689999999999998</v>
    <v>7.9059999999999997</v>
    <v>7.8010000000000002</v>
    <v>7.6980000000000004</v>
    <v>7.64</v>
    <v>7.5039999999999996</v>
    <v>7.5229999999999997</v>
    <v>7.4130000000000003</v>
    <v>7.27</v>
    <v>7.3360000000000003</v>
    <v>7.4089999999999998</v>
    <v>7.4420000000000002</v>
    <v>7.5759999999999996</v>
    <v>7.6040000000000001</v>
    <v>7.6059999999999999</v>
    <v>7.61</v>
    <v>7.4429999999999996</v>
    <v>7.633</v>
    <v>7.6509999999999998</v>
    <v>7.468</v>
    <v>7.5629999999999997</v>
    <v>7.8879999999999999</v>
    <v>7.8179999999999996</v>
    <v>8.0760000000000005</v>
    <v>8.1150000000000002</v>
    <v>7.8739999999999997</v>
    <v>7.9660000000000002</v>
    <v>7.8920000000000003</v>
    <v>7.9329999999999998</v>
    <v>7.9820000000000002</v>
    <v>7.8520000000000003</v>
    <v>8.0109999999999992</v>
    <v>7.883</v>
    <v>7.9790000000000001</v>
    <v>8.1300000000000008</v>
    <v>8.4269999999999996</v>
    <v>8.532</v>
    <v>8.0719999999999992</v>
    <v>8.19</v>
    <v>8.2490000000000006</v>
    <v>8.2669999999999995</v>
    <v>8.3810000000000002</v>
    <v>8.3780000000000001</v>
    <v>8.3360000000000003</v>
    <v>8.49</v>
    <v>8.2669999999999995</v>
    <v>8.2140000000000004</v>
    <v>8.3239999999999998</v>
    <v>8.1760000000000002</v>
    <v>8.468</v>
    <v>8.7669999999999995</v>
    <v>8.7040000000000006</v>
    <v>8.7609999999999992</v>
    <v>8.7159999999999993</v>
    <v>8.6489999999999991</v>
    <v>8.7799999999999994</v>
    <v>8.76</v>
    <v>9.3550000000000004</v>
    <v>9.9169999999999998</v>
    <v>9.5990000000000002</v>
    <v>10.151999999999999</v>
    <v>10.86</v>
    <v>11.664</v>
    <v>10.702</v>
    <v>11.262</v>
    <v>12.124000000000001</v>
    <v>12.454000000000001</v>
    <v>12.417999999999999</v>
    <v>12.272</v>
    <v>12.742000000000001</v>
    <v>12.946</v>
    <v>12.744</v>
    <v>11.88</v>
    <v>12.173999999999999</v>
    <v>11.904</v>
    <v>12.51</v>
    <v>12.715999999999999</v>
    <v>12.956</v>
    <v>12.874000000000001</v>
    <v>11.944000000000001</v>
    <v>12.372</v>
    <v>12.97</v>
    <v>11.648</v>
    <v>11.928000000000001</v>
    <v>12</v>
    <v>12.507999999999999</v>
    <v>11.944000000000001</v>
    <v>12.045999999999999</v>
    <v>12.15</v>
    <v>11.166</v>
    <v>11.768000000000001</v>
    <v>12.03</v>
    <v>12.302</v>
    <v>12.496</v>
    <v>12.592000000000001</v>
    <v>12.786</v>
    <v>13.054</v>
    <v>13.696</v>
    <v>13.522</v>
    <v>13.964</v>
    <v>13.66</v>
    <v>12.73</v>
    <v>12.414</v>
    <v>12.794</v>
    <v>13.116</v>
    <v>13.66</v>
    <v>13.57</v>
    <v>13.422000000000001</v>
    <v>13.917999999999999</v>
    <v>14.263999999999999</v>
    <v>14.36</v>
    <v>13.81</v>
    <v>14.321999999999999</v>
    <v>13.816000000000001</v>
    <v>13</v>
    <v>13.407999999999999</v>
    <v>12.952</v>
    <v>12.962</v>
    <v>12.593999999999999</v>
    <v>13.336</v>
    <v>13.178000000000001</v>
    <v>13.62</v>
    <v>13.25</v>
    <v>13.14</v>
    <v>13.417999999999999</v>
    <v>12.954000000000001</v>
    <v>13.24</v>
    <v>13.428000000000001</v>
    <v>12.57</v>
    <v>12.004</v>
    <v>11.635999999999999</v>
    <v>11.618</v>
    <v>11.404</v>
    <v>11.85</v>
    <v>11.464</v>
    <v>11.428000000000001</v>
    <v>11.096</v>
    <v>11.236000000000001</v>
    <v>10.872</v>
    <v>11.092000000000001</v>
    <v>11.066000000000001</v>
    <v>10.84</v>
    <v>10.72</v>
    <v>10.875999999999999</v>
    <v>10.944000000000001</v>
    <v>11.128</v>
    <v>11.884</v>
    <v>11.407999999999999</v>
    <v>11.27</v>
    <v>11.805999999999999</v>
    <v>12.183999999999999</v>
    <v>12.196</v>
    <v>12.332000000000001</v>
    <v>12.548</v>
    <v>12.616</v>
    <v>12.9</v>
    <v>12.974</v>
    <v>13.49</v>
    <v>13.114000000000001</v>
    <v>12.64</v>
    <v>12.178000000000001</v>
    <v>12.834</v>
    <v>12.561999999999999</v>
    <v>12.624000000000001</v>
    <v>12.093999999999999</v>
    <v>11.678000000000001</v>
    <v>11.582000000000001</v>
    <v>11.824</v>
    <v>12.042</v>
    <v>12.555999999999999</v>
    <v>12.768000000000001</v>
    <v>12.731999999999999</v>
    <v>12.72</v>
    <v>12.598000000000001</v>
    <v>12.78</v>
    <v>13.257999999999999</v>
    <v>13.162000000000001</v>
    <v>13.222</v>
    <v>13.28</v>
    <v>12.997999999999999</v>
    <v>12.694000000000001</v>
    <v>12.786</v>
    <v>12.714</v>
    <v>12.885999999999999</v>
    <v>13.212</v>
    <v>13.507999999999999</v>
    <v>13.747999999999999</v>
    <v>13.724</v>
    <v>13.708</v>
    <v>13.974</v>
    <v>14.054</v>
    <v>14.426</v>
    <v>14.875999999999999</v>
    <v>14.635999999999999</v>
    <v>15.058</v>
    <v>15.356</v>
    <v>15.038</v>
    <v>15.084</v>
    <v>15.176</v>
    <v>14.704000000000001</v>
    <v>14.673999999999999</v>
    <v>15.01</v>
    <v>15.452</v>
    <v>14.996</v>
    <v>15.16</v>
    <v>14.906000000000001</v>
    <v>15.06</v>
    <v>15.398</v>
    <v>15.022</v>
    <v>15.284000000000001</v>
    <v>14.956</v>
    <v>15.295999999999999</v>
    <v>15.843999999999999</v>
    <v>15.704000000000001</v>
    <v>16.082000000000001</v>
    <v>16.11</v>
    <v>16.312000000000001</v>
    <v>16.385999999999999</v>
    <v>16.294</v>
    <v>16.649999999999999</v>
    <v>16.489999999999998</v>
    <v>16.501999999999999</v>
    <v>16.702000000000002</v>
    <v>17.309999999999999</v>
  </a>
  <a r="1" c="205">
    <v>152.41</v>
    <v>155.9</v>
    <v>163.85</v>
    <v>156.54</v>
    <v>155.19999999999999</v>
    <v>159.25</v>
    <v>162.11000000000001</v>
    <v>162.34</v>
    <v>163.87</v>
    <v>167.24</v>
    <v>166.16</v>
    <v>166.26</v>
    <v>165.3</v>
    <v>166.73</v>
    <v>166.66</v>
    <v>166.72</v>
    <v>167.5</v>
    <v>169.05</v>
    <v>169.93</v>
    <v>171.19</v>
    <v>176.9</v>
    <v>174.03</v>
    <v>178.04</v>
    <v>181.23</v>
    <v>179.23</v>
    <v>180.86</v>
    <v>182.6</v>
    <v>182.26</v>
    <v>185.82</v>
    <v>182.4</v>
    <v>183.74</v>
    <v>180.55</v>
    <v>183.87</v>
    <v>184.78</v>
    <v>183.93</v>
    <v>184.91</v>
    <v>185.34</v>
    <v>184.22</v>
    <v>184.16</v>
    <v>186.76</v>
    <v>189.6</v>
    <v>188.77</v>
    <v>186.03</v>
    <v>189.9</v>
    <v>189.94</v>
    <v>189.44</v>
    <v>186.29</v>
    <v>191.79</v>
    <v>196.97</v>
    <v>196.82</v>
    <v>196.84</v>
    <v>197.97</v>
    <v>198.61</v>
    <v>201.44</v>
    <v>201.73</v>
    <v>205.21</v>
    <v>206.79</v>
    <v>205.15</v>
    <v>207.79</v>
    <v>211.15</v>
    <v>210.71</v>
    <v>206.9</v>
    <v>197.41</v>
    <v>198.97</v>
    <v>198.86</v>
    <v>201.54</v>
    <v>192.89</v>
    <v>190.36</v>
    <v>188.55</v>
    <v>191.78</v>
    <v>187.02</v>
    <v>184.91</v>
    <v>188.15</v>
    <v>183.99</v>
    <v>183.25</v>
    <v>185.98</v>
    <v>186.32</v>
    <v>187.6</v>
    <v>185.21</v>
    <v>184.78</v>
    <v>188.36</v>
    <v>192.22</v>
    <v>193.31</v>
    <v>190.63</v>
    <v>192.28</v>
    <v>192.64</v>
    <v>185.16</v>
    <v>182.5</v>
    <v>181.62</v>
    <v>184.74</v>
    <v>185.95</v>
    <v>186</v>
    <v>186.64</v>
    <v>191.1</v>
    <v>196.12</v>
    <v>197.25</v>
    <v>191.33</v>
    <v>191.01</v>
    <v>191.43</v>
    <v>184.71</v>
    <v>182.4</v>
    <v>183.03</v>
    <v>182.46</v>
    <v>185.83</v>
    <v>187.55</v>
    <v>189.71</v>
    <v>188.35</v>
    <v>187.31</v>
    <v>189.24</v>
    <v>186.76</v>
    <v>189.8</v>
    <v>185.82</v>
    <v>187.22</v>
    <v>180.4</v>
    <v>180.11</v>
    <v>177.58</v>
    <v>173.63</v>
    <v>175.06</v>
    <v>175.98</v>
    <v>171.45</v>
    <v>172.24</v>
    <v>171.06</v>
    <v>168.47</v>
    <v>165.76</v>
    <v>165.69</v>
    <v>169.2</v>
    <v>168.1</v>
    <v>174.01</v>
    <v>175.97</v>
    <v>174.05</v>
    <v>176.4</v>
    <v>182.2</v>
    <v>181.76</v>
    <v>181.6</v>
    <v>183.86</v>
    <v>187.38</v>
    <v>189.71</v>
    <v>191.07</v>
    <v>192.98</v>
    <v>194.42</v>
    <v>194.79</v>
    <v>190</v>
    <v>187.58</v>
    <v>191.86</v>
    <v>192.31</v>
    <v>196.83</v>
    <v>193.18</v>
    <v>190.4</v>
    <v>186.41</v>
    <v>189.23</v>
    <v>186.56</v>
    <v>194.91</v>
    <v>196.66</v>
    <v>196.6</v>
    <v>197.7</v>
    <v>200</v>
    <v>202.7</v>
    <v>205.74</v>
    <v>205.76</v>
    <v>205.77</v>
    <v>205.27</v>
    <v>203.09</v>
    <v>199.89</v>
    <v>200.21</v>
    <v>199.77</v>
    <v>201.86</v>
    <v>206.14</v>
    <v>211.05</v>
    <v>211.78</v>
    <v>211.32</v>
    <v>208.6</v>
    <v>209.8</v>
    <v>213.81</v>
    <v>212.76</v>
    <v>214.06</v>
    <v>212.17</v>
    <v>217.77</v>
    <v>211.54</v>
    <v>211.57</v>
    <v>209.51</v>
    <v>203.67</v>
    <v>202.41</v>
    <v>205.51</v>
    <v>205.65</v>
    <v>204.45</v>
    <v>206.37</v>
    <v>204.38</v>
    <v>204.21</v>
    <v>207.1</v>
    <v>206.69</v>
    <v>206.47</v>
    <v>207.58</v>
    <v>205.15</v>
    <v>211.55</v>
    <v>211.98</v>
    <v>215</v>
    <v>217.73</v>
    <v>222.04</v>
    <v>219.32</v>
    <v>224.99</v>
    <v>224.37</v>
    <v>225.71</v>
    <v>226.78</v>
    <v>226.68</v>
    <v>233.21</v>
  </a>
  <a r="1" c="754">
    <v>160.68</v>
    <v>156.65</v>
    <v>155.87</v>
    <v>154.75</v>
    <v>144.35</v>
    <v>146.09</v>
    <v>145.72999999999999</v>
    <v>143.97999999999999</v>
    <v>148.76</v>
    <v>147.61000000000001</v>
    <v>147</v>
    <v>144.41</v>
    <v>142.4</v>
    <v>141.94</v>
    <v>142.94999999999999</v>
    <v>144</v>
    <v>145.05000000000001</v>
    <v>145.56</v>
    <v>141.77000000000001</v>
    <v>144.46</v>
    <v>144.38</v>
    <v>144.04</v>
    <v>144.33000000000001</v>
    <v>144.9</v>
    <v>144.36000000000001</v>
    <v>145.51</v>
    <v>143.91</v>
    <v>143.6</v>
    <v>144.81</v>
    <v>144.87</v>
    <v>142.86000000000001</v>
    <v>142.53</v>
    <v>142.41999999999999</v>
    <v>144.31</v>
    <v>144.35</v>
    <v>142.5</v>
    <v>144.61000000000001</v>
    <v>149.93</v>
    <v>149.35</v>
    <v>149.68</v>
    <v>151.63999999999999</v>
    <v>150.25</v>
    <v>150.71</v>
    <v>151.05000000000001</v>
    <v>152.41</v>
    <v>151.91</v>
    <v>149.77000000000001</v>
    <v>149.16</v>
    <v>149.47999999999999</v>
    <v>152.33000000000001</v>
    <v>150.66</v>
    <v>150.4</v>
    <v>149.5</v>
    <v>145.69999999999999</v>
    <v>144.5</v>
    <v>145.28</v>
    <v>147.27000000000001</v>
    <v>143.69</v>
    <v>143.12</v>
    <v>141.82</v>
    <v>142.24</v>
    <v>142.49</v>
    <v>142.09</v>
    <v>144.91999999999999</v>
    <v>148.57</v>
    <v>149.13999999999999</v>
    <v>149.08000000000001</v>
    <v>150.12</v>
    <v>147.43</v>
    <v>147.88999999999999</v>
    <v>152.24</v>
    <v>152.33000000000001</v>
    <v>152.35</v>
    <v>152.13</v>
    <v>154.06</v>
    <v>151.04</v>
    <v>152.08000000000001</v>
    <v>150.6</v>
    <v>151.01</v>
    <v>154.46</v>
    <v>154.63</v>
    <v>154</v>
    <v>155.44</v>
    <v>155.43</v>
    <v>154.66</v>
    <v>154.44999999999999</v>
    <v>152.16</v>
    <v>152.34</v>
    <v>152.01</v>
    <v>152.81</v>
    <v>148.88</v>
    <v>149.59</v>
    <v>148.33000000000001</v>
    <v>149.37</v>
    <v>149.88</v>
    <v>152</v>
    <v>151.88999999999999</v>
    <v>153.88999999999999</v>
    <v>155.69999999999999</v>
    <v>155.55000000000001</v>
    <v>155.41</v>
    <v>156.62</v>
    <v>154.55000000000001</v>
    <v>154.86000000000001</v>
    <v>154.66</v>
    <v>156.47</v>
    <v>155.27000000000001</v>
    <v>156.35</v>
    <v>157.74</v>
    <v>159.08000000000001</v>
    <v>159.78</v>
    <v>160.44</v>
    <v>160.69</v>
    <v>161.6</v>
    <v>161.27000000000001</v>
    <v>162</v>
    <v>162.66999999999999</v>
    <v>161.88999999999999</v>
    <v>158.96</v>
    <v>157.59</v>
    <v>156.28</v>
    <v>156.4</v>
    <v>157.57</v>
    <v>160</v>
    <v>161.91999999999999</v>
    <v>162.85</v>
    <v>163.57</v>
    <v>165.28</v>
    <v>165.89</v>
    <v>166.33</v>
    <v>161.27000000000001</v>
    <v>159.63</v>
    <v>160.72999999999999</v>
    <v>160.25</v>
    <v>162.30000000000001</v>
    <v>162.66999999999999</v>
    <v>162.54</v>
    <v>165.45</v>
    <v>165.82</v>
    <v>164.53</v>
    <v>163.61000000000001</v>
    <v>163.05000000000001</v>
    <v>161.09</v>
    <v>162.66999999999999</v>
    <v>161.13999999999999</v>
    <v>159.97</v>
    <v>157.57</v>
    <v>156.94</v>
    <v>157.75</v>
    <v>159.04</v>
    <v>156.9</v>
    <v>158.26</v>
    <v>162.30000000000001</v>
    <v>157.46</v>
    <v>156.13</v>
    <v>154.97999999999999</v>
    <v>155.93</v>
    <v>156.08000000000001</v>
    <v>156.74</v>
    <v>156.49</v>
    <v>154.22</v>
    <v>152.84</v>
    <v>152.57</v>
    <v>153.19</v>
    <v>153.33000000000001</v>
    <v>156.63999999999999</v>
    <v>155.28</v>
    <v>159.31</v>
    <v>158.46</v>
    <v>155.94999999999999</v>
    <v>156.32</v>
    <v>156.41999999999999</v>
    <v>156.52000000000001</v>
    <v>156.75</v>
    <v>156.71</v>
    <v>154.31</v>
    <v>154.33000000000001</v>
    <v>152.97999999999999</v>
    <v>155.13</v>
    <v>155.26</v>
    <v>155.59</v>
    <v>158.04</v>
    <v>157.77000000000001</v>
    <v>161.22999999999999</v>
    <v>161.97</v>
    <v>159.15</v>
    <v>156.99</v>
    <v>154.09</v>
    <v>155.07</v>
    <v>157.54</v>
    <v>157.84</v>
    <v>156.6</v>
    <v>159.57</v>
    <v>160.47</v>
    <v>152.62</v>
    <v>148.55000000000001</v>
    <v>144.66</v>
    <v>143.22999999999999</v>
    <v>142.41</v>
    <v>144.49</v>
    <v>144.99</v>
    <v>145.02000000000001</v>
    <v>144.15</v>
    <v>144.66999999999999</v>
    <v>146.80000000000001</v>
    <v>147.27000000000001</v>
    <v>146.83000000000001</v>
    <v>144.69</v>
    <v>145.32</v>
    <v>145.72999999999999</v>
    <v>147.62</v>
    <v>148.5</v>
    <v>146.94999999999999</v>
    <v>146</v>
    <v>147.41999999999999</v>
    <v>147.94999999999999</v>
    <v>144.66</v>
    <v>142.07</v>
    <v>140.93</v>
    <v>138.56</v>
    <v>140.30000000000001</v>
    <v>138.22999999999999</v>
    <v>137.88</v>
    <v>139.21</v>
    <v>140.61000000000001</v>
    <v>142.09</v>
    <v>143.41</v>
    <v>143.96</v>
    <v>144.99</v>
    <v>145.68</v>
    <v>147.54</v>
    <v>147.44999999999999</v>
    <v>143.97</v>
    <v>141.99</v>
    <v>145.49</v>
    <v>147.27000000000001</v>
    <v>149.69999999999999</v>
    <v>150.94999999999999</v>
    <v>151.25</v>
    <v>150.74</v>
    <v>151.12</v>
    <v>148.75</v>
    <v>149.65</v>
    <v>150.62</v>
    <v>151.41999999999999</v>
    <v>151.78</v>
    <v>147.72999999999999</v>
    <v>148.72999999999999</v>
    <v>151.19999999999999</v>
    <v>150.75</v>
    <v>150.88</v>
    <v>150.91999999999999</v>
    <v>150.47999999999999</v>
    <v>150.44999999999999</v>
    <v>150.81</v>
    <v>150.54</v>
    <v>148.52000000000001</v>
    <v>148.05000000000001</v>
    <v>148.82</v>
    <v>153.07</v>
    <v>153.97</v>
    <v>153.41</v>
    <v>157.72</v>
    <v>156.77000000000001</v>
    <v>156.93</v>
    <v>156.5</v>
    <v>155.29</v>
    <v>158.72</v>
    <v>161.80000000000001</v>
    <v>161.41999999999999</v>
    <v>160.76</v>
    <v>159.6</v>
    <v>161.33000000000001</v>
    <v>161.63</v>
    <v>162.36000000000001</v>
    <v>160.36000000000001</v>
    <v>162.53</v>
    <v>162.11000000000001</v>
    <v>161.93</v>
    <v>162.21</v>
    <v>161.91999999999999</v>
    <v>158.32</v>
    <v>159.33000000000001</v>
    <v>155.24</v>
    <v>157.08000000000001</v>
    <v>157</v>
    <v>156.21</v>
    <v>154.71</v>
    <v>153.87</v>
    <v>149.36000000000001</v>
    <v>148.11000000000001</v>
    <v>144.08000000000001</v>
    <v>141.15</v>
    <v>142.85</v>
    <v>142.97</v>
    <v>143.84</v>
    <v>143.97999999999999</v>
    <v>144</v>
    <v>143.07</v>
    <v>144.84</v>
    <v>146.71</v>
    <v>147.85</v>
    <v>147.26</v>
    <v>149.59</v>
    <v>150.30000000000001</v>
    <v>153.13999999999999</v>
    <v>155.35</v>
    <v>156.9</v>
    <v>158.33000000000001</v>
    <v>159.38</v>
    <v>161.47</v>
    <v>158.24</v>
    <v>156.41</v>
    <v>156.01</v>
    <v>155.65</v>
    <v>157.22999999999999</v>
    <v>156.21</v>
    <v>155.69</v>
    <v>156.32</v>
    <v>149.19</v>
    <v>149.34</v>
    <v>153.22</v>
    <v>152.99</v>
    <v>151.9</v>
    <v>152.62</v>
    <v>155.77000000000001</v>
    <v>157.44</v>
    <v>154.9</v>
    <v>155.88</v>
    <v>155.34</v>
    <v>156.16</v>
    <v>157.22999999999999</v>
    <v>158.79</v>
    <v>156.91999999999999</v>
    <v>157.88999999999999</v>
    <v>156.41999999999999</v>
    <v>155.13999999999999</v>
    <v>156.66999999999999</v>
    <v>158.62</v>
    <v>153.09</v>
    <v>152</v>
    <v>150.81</v>
    <v>152.94999999999999</v>
    <v>156.34</v>
    <v>157.57</v>
    <v>154.08000000000001</v>
    <v>152.66999999999999</v>
    <v>153.61000000000001</v>
    <v>157.02000000000001</v>
    <v>158.72</v>
    <v>160.81</v>
    <v>164.05</v>
    <v>164.77</v>
    <v>164.75</v>
    <v>165.02</v>
    <v>165.94</v>
    <v>167.97</v>
    <v>166.65</v>
    <v>166.09</v>
    <v>167.29</v>
    <v>168.51</v>
    <v>166.47</v>
    <v>156.12</v>
    <v>143.28</v>
    <v>140.15</v>
    <v>136.93</v>
    <v>146.03</v>
    <v>134.97999999999999</v>
    <v>135.63</v>
    <v>135.32</v>
    <v>134.54</v>
    <v>135.36000000000001</v>
    <v>137.87</v>
    <v>133.72999999999999</v>
    <v>137.30000000000001</v>
    <v>136.68</v>
    <v>139.07</v>
    <v>138.72999999999999</v>
    <v>140.1</v>
    <v>139.30000000000001</v>
    <v>136.06</v>
    <v>136.26</v>
    <v>138.5</v>
    <v>135.5</v>
    <v>135.6</v>
    <v>135.79</v>
    <v>137.04</v>
    <v>138.49</v>
    <v>141.62</v>
    <v>142.35</v>
    <v>141.66999999999999</v>
    <v>142.26</v>
    <v>142.1</v>
    <v>138.49</v>
    <v>137.27000000000001</v>
    <v>135.56</v>
    <v>135.29</v>
    <v>136.54</v>
    <v>137.83000000000001</v>
    <v>136.02000000000001</v>
    <v>137.91</v>
    <v>136.69999999999999</v>
    <v>137.84</v>
    <v>139.55000000000001</v>
    <v>137.37</v>
    <v>136.9</v>
    <v>140.21</v>
    <v>140.76</v>
    <v>143.35</v>
    <v>144.78</v>
    <v>144.97</v>
    <v>145.91</v>
    <v>146.03</v>
    <v>148.85</v>
    <v>148.19</v>
    <v>149.55000000000001</v>
    <v>146.86000000000001</v>
    <v>143.55000000000001</v>
    <v>143.22999999999999</v>
    <v>144.44</v>
    <v>143.79</v>
    <v>143.19</v>
    <v>145.57</v>
    <v>147.97999999999999</v>
    <v>148.37</v>
    <v>147.4</v>
    <v>153.24</v>
    <v>153.02000000000001</v>
    <v>154.16999999999999</v>
    <v>155.31</v>
    <v>151.65</v>
    <v>150.69</v>
    <v>149.91999999999999</v>
    <v>151.38</v>
    <v>150.04</v>
    <v>149.68</v>
    <v>150.04</v>
    <v>153.12</v>
    <v>155.83000000000001</v>
    <v>154.84</v>
    <v>156.28</v>
    <v>157.03</v>
    <v>153.56</v>
    <v>151.63999999999999</v>
    <v>151.4</v>
    <v>151.04</v>
    <v>153.04</v>
    <v>152.78</v>
    <v>153.16</v>
    <v>155.01</v>
    <v>153.44999999999999</v>
    <v>154.44</v>
    <v>155.87</v>
    <v>155.16</v>
    <v>156.55000000000001</v>
    <v>155.32</v>
    <v>152</v>
    <v>153.22</v>
    <v>155.55000000000001</v>
    <v>158.18</v>
    <v>158.19999999999999</v>
    <v>157.36000000000001</v>
    <v>159.24</v>
    <v>159.32</v>
    <v>160.6</v>
    <v>161.83000000000001</v>
    <v>158.06</v>
    <v>157.69</v>
    <v>153.66</v>
    <v>154</v>
    <v>154.85</v>
    <v>157.79</v>
    <v>158.25</v>
    <v>157.11000000000001</v>
    <v>157.31</v>
    <v>159.54</v>
    <v>160.09</v>
    <v>158.84</v>
    <v>156.21</v>
    <v>156.05000000000001</v>
    <v>157.41999999999999</v>
    <v>159.18</v>
    <v>160.72</v>
    <v>160.16</v>
    <v>156.1</v>
    <v>155.29</v>
    <v>154.58000000000001</v>
    <v>153.37</v>
    <v>153.55000000000001</v>
    <v>154.02000000000001</v>
    <v>154.91</v>
    <v>153.74</v>
    <v>151.63999999999999</v>
    <v>148.9</v>
    <v>151.94</v>
    <v>152.38999999999999</v>
    <v>152.11000000000001</v>
    <v>151.71</v>
    <v>153.08000000000001</v>
    <v>154.47999999999999</v>
    <v>153.79</v>
    <v>155.57</v>
    <v>156.56</v>
    <v>155.56</v>
    <v>155.28</v>
    <v>154.13</v>
    <v>155.1</v>
    <v>153.52000000000001</v>
    <v>157.72</v>
    <v>154.04</v>
    <v>153.38999999999999</v>
    <v>152.66</v>
    <v>152.94</v>
    <v>155.02000000000001</v>
    <v>155.65</v>
    <v>156.24</v>
    <v>153.32</v>
    <v>155.58000000000001</v>
    <v>157.62</v>
    <v>154.82</v>
    <v>153.62</v>
    <v>151.69999999999999</v>
    <v>150.31</v>
    <v>149.97999999999999</v>
    <v>149.75</v>
    <v>148.53</v>
    <v>149.51</v>
    <v>151.13</v>
    <v>152.54</v>
    <v>150.25</v>
    <v>151.59</v>
    <v>152.26</v>
    <v>150</v>
    <v>148.71</v>
    <v>148.49</v>
    <v>151.41</v>
    <v>150.72</v>
    <v>149.99</v>
    <v>149.80000000000001</v>
    <v>146.75</v>
    <v>149.52000000000001</v>
    <v>147.69</v>
    <v>147.75</v>
    <v>149.80000000000001</v>
    <v>150.51</v>
    <v>150.5</v>
    <v>150.02000000000001</v>
    <v>150.99</v>
    <v>152.31</v>
    <v>152.41</v>
    <v>155.9</v>
    <v>163.85</v>
    <v>156.54</v>
    <v>155.19999999999999</v>
    <v>159.25</v>
    <v>162.11000000000001</v>
    <v>162.34</v>
    <v>163.87</v>
    <v>167.24</v>
    <v>166.16</v>
    <v>166.26</v>
    <v>165.3</v>
    <v>166.73</v>
    <v>166.66</v>
    <v>166.72</v>
    <v>167.5</v>
    <v>169.05</v>
    <v>169.93</v>
    <v>171.19</v>
    <v>176.9</v>
    <v>174.03</v>
    <v>178.04</v>
    <v>181.23</v>
    <v>179.23</v>
    <v>180.86</v>
    <v>182.6</v>
    <v>182.26</v>
    <v>185.82</v>
    <v>182.4</v>
    <v>183.74</v>
    <v>180.55</v>
    <v>183.87</v>
    <v>184.78</v>
    <v>183.93</v>
    <v>184.91</v>
    <v>185.34</v>
    <v>184.22</v>
    <v>184.16</v>
    <v>186.76</v>
    <v>189.6</v>
    <v>188.77</v>
    <v>186.03</v>
    <v>189.9</v>
    <v>189.94</v>
    <v>189.44</v>
    <v>186.29</v>
    <v>191.79</v>
    <v>196.97</v>
    <v>196.82</v>
    <v>196.84</v>
    <v>197.97</v>
    <v>198.61</v>
    <v>201.44</v>
    <v>201.73</v>
    <v>205.21</v>
    <v>206.79</v>
    <v>205.15</v>
    <v>207.79</v>
    <v>211.15</v>
    <v>210.71</v>
    <v>206.9</v>
    <v>197.41</v>
    <v>198.97</v>
    <v>198.86</v>
    <v>201.54</v>
    <v>192.89</v>
    <v>190.36</v>
    <v>188.55</v>
    <v>191.78</v>
    <v>187.02</v>
    <v>184.91</v>
    <v>188.15</v>
    <v>183.99</v>
    <v>183.25</v>
    <v>185.98</v>
    <v>186.32</v>
    <v>187.6</v>
    <v>185.21</v>
    <v>184.78</v>
    <v>188.36</v>
    <v>192.22</v>
    <v>193.31</v>
    <v>190.63</v>
    <v>192.28</v>
    <v>192.64</v>
    <v>185.16</v>
    <v>182.5</v>
    <v>181.62</v>
    <v>184.74</v>
    <v>185.95</v>
    <v>186</v>
    <v>186.64</v>
    <v>191.1</v>
    <v>196.12</v>
    <v>197.25</v>
    <v>191.33</v>
    <v>191.01</v>
    <v>191.43</v>
    <v>184.71</v>
    <v>182.4</v>
    <v>183.03</v>
    <v>182.46</v>
    <v>185.83</v>
    <v>187.55</v>
    <v>189.71</v>
    <v>188.35</v>
    <v>187.31</v>
    <v>189.24</v>
    <v>186.76</v>
    <v>189.8</v>
    <v>185.82</v>
    <v>187.22</v>
    <v>180.4</v>
    <v>180.11</v>
    <v>177.58</v>
    <v>173.63</v>
    <v>175.06</v>
    <v>175.98</v>
    <v>171.45</v>
    <v>172.24</v>
    <v>171.06</v>
    <v>168.47</v>
    <v>165.76</v>
    <v>165.69</v>
    <v>169.2</v>
    <v>168.1</v>
    <v>174.01</v>
    <v>175.97</v>
    <v>174.05</v>
    <v>176.4</v>
    <v>182.2</v>
    <v>181.76</v>
    <v>181.6</v>
    <v>183.86</v>
    <v>187.38</v>
    <v>189.71</v>
    <v>191.07</v>
    <v>192.98</v>
    <v>194.42</v>
    <v>194.79</v>
    <v>190</v>
    <v>187.58</v>
    <v>191.86</v>
    <v>192.31</v>
    <v>196.83</v>
    <v>193.18</v>
    <v>190.4</v>
    <v>186.41</v>
    <v>189.23</v>
    <v>186.56</v>
    <v>194.91</v>
    <v>196.66</v>
    <v>196.6</v>
    <v>197.7</v>
    <v>200</v>
    <v>202.7</v>
    <v>205.74</v>
    <v>205.76</v>
    <v>205.77</v>
    <v>205.27</v>
    <v>203.09</v>
    <v>199.89</v>
    <v>200.21</v>
    <v>199.77</v>
    <v>201.86</v>
    <v>206.14</v>
    <v>211.05</v>
    <v>211.78</v>
    <v>211.32</v>
    <v>208.6</v>
    <v>209.8</v>
    <v>213.81</v>
    <v>212.76</v>
    <v>214.06</v>
    <v>212.17</v>
    <v>217.77</v>
    <v>211.54</v>
    <v>211.57</v>
    <v>209.51</v>
    <v>203.67</v>
    <v>202.41</v>
    <v>205.51</v>
    <v>205.65</v>
    <v>204.45</v>
    <v>206.37</v>
    <v>204.38</v>
    <v>204.21</v>
    <v>207.1</v>
    <v>206.69</v>
    <v>206.47</v>
    <v>207.58</v>
    <v>205.15</v>
    <v>211.55</v>
    <v>211.98</v>
    <v>215</v>
    <v>217.73</v>
    <v>222.04</v>
    <v>219.32</v>
    <v>224.99</v>
    <v>224.37</v>
    <v>225.71</v>
    <v>226.78</v>
    <v>226.68</v>
    <v>233.21</v>
  </a>
  <a r="1" c="252">
    <v>156.56</v>
    <v>155.56</v>
    <v>155.28</v>
    <v>154.13</v>
    <v>155.1</v>
    <v>153.52000000000001</v>
    <v>157.72</v>
    <v>154.04</v>
    <v>153.38999999999999</v>
    <v>152.66</v>
    <v>152.94</v>
    <v>155.02000000000001</v>
    <v>155.65</v>
    <v>156.24</v>
    <v>153.32</v>
    <v>155.58000000000001</v>
    <v>157.62</v>
    <v>154.82</v>
    <v>153.62</v>
    <v>151.69999999999999</v>
    <v>150.31</v>
    <v>149.97999999999999</v>
    <v>149.75</v>
    <v>148.53</v>
    <v>149.51</v>
    <v>151.13</v>
    <v>152.54</v>
    <v>150.25</v>
    <v>151.59</v>
    <v>152.26</v>
    <v>150</v>
    <v>148.71</v>
    <v>148.49</v>
    <v>151.41</v>
    <v>150.72</v>
    <v>149.99</v>
    <v>149.80000000000001</v>
    <v>146.75</v>
    <v>149.52000000000001</v>
    <v>147.69</v>
    <v>147.75</v>
    <v>149.80000000000001</v>
    <v>150.51</v>
    <v>150.5</v>
    <v>150.02000000000001</v>
    <v>150.99</v>
    <v>152.31</v>
    <v>152.41</v>
    <v>155.9</v>
    <v>163.85</v>
    <v>156.54</v>
    <v>155.19999999999999</v>
    <v>159.25</v>
    <v>162.11000000000001</v>
    <v>162.34</v>
    <v>163.87</v>
    <v>167.24</v>
    <v>166.16</v>
    <v>166.26</v>
    <v>165.3</v>
    <v>166.73</v>
    <v>166.66</v>
    <v>166.72</v>
    <v>167.5</v>
    <v>169.05</v>
    <v>169.93</v>
    <v>171.19</v>
    <v>176.9</v>
    <v>174.03</v>
    <v>178.04</v>
    <v>181.23</v>
    <v>179.23</v>
    <v>180.86</v>
    <v>182.6</v>
    <v>182.26</v>
    <v>185.82</v>
    <v>182.4</v>
    <v>183.74</v>
    <v>180.55</v>
    <v>183.87</v>
    <v>184.78</v>
    <v>183.93</v>
    <v>184.91</v>
    <v>185.34</v>
    <v>184.22</v>
    <v>184.16</v>
    <v>186.76</v>
    <v>189.6</v>
    <v>188.77</v>
    <v>186.03</v>
    <v>189.9</v>
    <v>189.94</v>
    <v>189.44</v>
    <v>186.29</v>
    <v>191.79</v>
    <v>196.97</v>
    <v>196.82</v>
    <v>196.84</v>
    <v>197.97</v>
    <v>198.61</v>
    <v>201.44</v>
    <v>201.73</v>
    <v>205.21</v>
    <v>206.79</v>
    <v>205.15</v>
    <v>207.79</v>
    <v>211.15</v>
    <v>210.71</v>
    <v>206.9</v>
    <v>197.41</v>
    <v>198.97</v>
    <v>198.86</v>
    <v>201.54</v>
    <v>192.89</v>
    <v>190.36</v>
    <v>188.55</v>
    <v>191.78</v>
    <v>187.02</v>
    <v>184.91</v>
    <v>188.15</v>
    <v>183.99</v>
    <v>183.25</v>
    <v>185.98</v>
    <v>186.32</v>
    <v>187.6</v>
    <v>185.21</v>
    <v>184.78</v>
    <v>188.36</v>
    <v>192.22</v>
    <v>193.31</v>
    <v>190.63</v>
    <v>192.28</v>
    <v>192.64</v>
    <v>185.16</v>
    <v>182.5</v>
    <v>181.62</v>
    <v>184.74</v>
    <v>185.95</v>
    <v>186</v>
    <v>186.64</v>
    <v>191.1</v>
    <v>196.12</v>
    <v>197.25</v>
    <v>191.33</v>
    <v>191.01</v>
    <v>191.43</v>
    <v>184.71</v>
    <v>182.4</v>
    <v>183.03</v>
    <v>182.46</v>
    <v>185.83</v>
    <v>187.55</v>
    <v>189.71</v>
    <v>188.35</v>
    <v>187.31</v>
    <v>189.24</v>
    <v>186.76</v>
    <v>189.8</v>
    <v>185.82</v>
    <v>187.22</v>
    <v>180.4</v>
    <v>180.11</v>
    <v>177.58</v>
    <v>173.63</v>
    <v>175.06</v>
    <v>175.98</v>
    <v>171.45</v>
    <v>172.24</v>
    <v>171.06</v>
    <v>168.47</v>
    <v>165.76</v>
    <v>165.69</v>
    <v>169.2</v>
    <v>168.1</v>
    <v>174.01</v>
    <v>175.97</v>
    <v>174.05</v>
    <v>176.4</v>
    <v>182.2</v>
    <v>181.76</v>
    <v>181.6</v>
    <v>183.86</v>
    <v>187.38</v>
    <v>189.71</v>
    <v>191.07</v>
    <v>192.98</v>
    <v>194.42</v>
    <v>194.79</v>
    <v>190</v>
    <v>187.58</v>
    <v>191.86</v>
    <v>192.31</v>
    <v>196.83</v>
    <v>193.18</v>
    <v>190.4</v>
    <v>186.41</v>
    <v>189.23</v>
    <v>186.56</v>
    <v>194.91</v>
    <v>196.66</v>
    <v>196.6</v>
    <v>197.7</v>
    <v>200</v>
    <v>202.7</v>
    <v>205.74</v>
    <v>205.76</v>
    <v>205.77</v>
    <v>205.27</v>
    <v>203.09</v>
    <v>199.89</v>
    <v>200.21</v>
    <v>199.77</v>
    <v>201.86</v>
    <v>206.14</v>
    <v>211.05</v>
    <v>211.78</v>
    <v>211.32</v>
    <v>208.6</v>
    <v>209.8</v>
    <v>213.81</v>
    <v>212.76</v>
    <v>214.06</v>
    <v>212.17</v>
    <v>217.77</v>
    <v>211.54</v>
    <v>211.57</v>
    <v>209.51</v>
    <v>203.67</v>
    <v>202.41</v>
    <v>205.51</v>
    <v>205.65</v>
    <v>204.45</v>
    <v>206.37</v>
    <v>204.38</v>
    <v>204.21</v>
    <v>207.1</v>
    <v>206.69</v>
    <v>206.47</v>
    <v>207.58</v>
    <v>205.15</v>
    <v>211.55</v>
    <v>211.98</v>
    <v>215</v>
    <v>217.73</v>
    <v>222.04</v>
    <v>219.32</v>
    <v>224.99</v>
    <v>224.37</v>
    <v>225.71</v>
    <v>226.78</v>
    <v>226.68</v>
    <v>233.21</v>
  </a>
  <a r="1" c="209">
    <v>142.25</v>
    <v>140.75</v>
    <v>143.85</v>
    <v>143.19999999999999</v>
    <v>147.1</v>
    <v>147.44999999999999</v>
    <v>150.85</v>
    <v>144.44999999999999</v>
    <v>146.9</v>
    <v>147.6</v>
    <v>143.44999999999999</v>
    <v>141.6</v>
    <v>137.1</v>
    <v>133.30000000000001</v>
    <v>133.55000000000001</v>
    <v>136</v>
    <v>136.35</v>
    <v>136.4</v>
    <v>134.15</v>
    <v>131.5</v>
    <v>127.85</v>
    <v>131.19999999999999</v>
    <v>134.30000000000001</v>
    <v>121.95</v>
    <v>119.1</v>
    <v>118.05</v>
    <v>115.4</v>
    <v>113.7</v>
    <v>113.6</v>
    <v>104.3</v>
    <v>99.74</v>
    <v>104.85</v>
    <v>101.7</v>
    <v>103.7</v>
    <v>105.3</v>
    <v>103.95</v>
    <v>104.5</v>
    <v>101.9</v>
    <v>102.45</v>
    <v>101.25</v>
    <v>104.7</v>
    <v>106.95</v>
    <v>103.85</v>
    <v>106.8</v>
    <v>107.1</v>
    <v>109.65</v>
    <v>109.75</v>
    <v>107.95</v>
    <v>105.35</v>
    <v>107.5</v>
    <v>107.65</v>
    <v>107.8</v>
    <v>105.05</v>
    <v>105.05</v>
    <v>104</v>
    <v>101.1</v>
    <v>98.58</v>
    <v>98.24</v>
    <v>96.36</v>
    <v>97.26</v>
    <v>96.2</v>
    <v>96.2</v>
    <v>97.88</v>
    <v>100.5</v>
    <v>101.6</v>
    <v>102.85</v>
    <v>101.75</v>
    <v>103.2</v>
    <v>98.42</v>
    <v>100.3</v>
    <v>102.45</v>
    <v>104.7</v>
    <v>106.3</v>
    <v>108.95</v>
    <v>110.6</v>
    <v>108.9</v>
    <v>109.5</v>
    <v>106.75</v>
    <v>100.65</v>
    <v>99.1</v>
    <v>101.6</v>
    <v>99.28</v>
    <v>102.7</v>
    <v>103</v>
    <v>106.1</v>
    <v>105.45</v>
    <v>104.95</v>
    <v>104.9</v>
    <v>103.45</v>
    <v>101.75</v>
    <v>99.2</v>
    <v>96.74</v>
    <v>96.7</v>
    <v>100</v>
    <v>100.9</v>
    <v>105.3</v>
    <v>101.9</v>
    <v>102.45</v>
    <v>103.1</v>
    <v>104.25</v>
    <v>104.3</v>
    <v>100.65</v>
    <v>101.25</v>
    <v>101.95</v>
    <v>109.1</v>
    <v>100.8</v>
    <v>97.74</v>
    <v>104.2</v>
    <v>101.8</v>
    <v>102.4</v>
    <v>100.5</v>
    <v>99.6</v>
    <v>95.46</v>
    <v>96.72</v>
    <v>96.46</v>
    <v>97.6</v>
    <v>97.66</v>
    <v>89</v>
    <v>89.52</v>
    <v>87.82</v>
    <v>88.66</v>
    <v>89</v>
    <v>88.5</v>
    <v>89.68</v>
    <v>90.54</v>
    <v>87.96</v>
    <v>90.72</v>
    <v>91.56</v>
    <v>91.9</v>
    <v>92.8</v>
    <v>93.82</v>
    <v>90.9</v>
    <v>89</v>
    <v>88.96</v>
    <v>91.62</v>
    <v>90.14</v>
    <v>92.92</v>
    <v>91.22</v>
    <v>91.32</v>
    <v>91.58</v>
    <v>90.02</v>
    <v>88.54</v>
    <v>86.06</v>
    <v>89.88</v>
    <v>95.12</v>
    <v>101.7</v>
    <v>107.1</v>
    <v>102</v>
    <v>102.5</v>
    <v>107.2</v>
    <v>107.4</v>
    <v>109</v>
    <v>109.25</v>
    <v>109.25</v>
    <v>108</v>
    <v>109.5</v>
    <v>105.65</v>
    <v>106</v>
    <v>108.3</v>
    <v>106.15</v>
    <v>107.3</v>
    <v>110.35</v>
    <v>109.55</v>
    <v>111.15</v>
    <v>111.4</v>
    <v>109.4</v>
    <v>106.5</v>
    <v>109.5</v>
    <v>109.45</v>
    <v>107.25</v>
    <v>106.6</v>
    <v>105.1</v>
    <v>110</v>
    <v>106.4</v>
    <v>105.1</v>
    <v>105.55</v>
    <v>101.15</v>
    <v>101.5</v>
    <v>102.9</v>
    <v>109.7</v>
    <v>108.7</v>
    <v>105.65</v>
    <v>107.1</v>
    <v>104.35</v>
    <v>105.5</v>
    <v>106.3</v>
    <v>106.1</v>
    <v>103.75</v>
    <v>104.5</v>
    <v>102.95</v>
    <v>103.5</v>
    <v>104.4</v>
    <v>112.1</v>
    <v>108.9</v>
    <v>108.4</v>
    <v>109.95</v>
    <v>110.9</v>
    <v>110.85</v>
    <v>115.05</v>
    <v>115.35</v>
    <v>119.3</v>
    <v>118</v>
    <v>122.1</v>
    <v>121.35</v>
    <v>123.15</v>
    <v>123</v>
    <v>125.05</v>
    <v>126.8</v>
    <v>123.95</v>
  </a>
  <a r="1" c="256">
    <v>126.5</v>
    <v>127.1</v>
    <v>128.15</v>
    <v>130.05000000000001</v>
    <v>132.6</v>
    <v>130.5</v>
    <v>133.5</v>
    <v>129.69999999999999</v>
    <v>127.95</v>
    <v>128.30000000000001</v>
    <v>124.75</v>
    <v>123.35</v>
    <v>128.44999999999999</v>
    <v>131.65</v>
    <v>134.9</v>
    <v>134.65</v>
    <v>133.5</v>
    <v>131.69999999999999</v>
    <v>127.5</v>
    <v>127.45</v>
    <v>127.05</v>
    <v>131.5</v>
    <v>133.19999999999999</v>
    <v>133.30000000000001</v>
    <v>132.9</v>
    <v>133.85</v>
    <v>134.80000000000001</v>
    <v>136.30000000000001</v>
    <v>137.75</v>
    <v>137</v>
    <v>142.69999999999999</v>
    <v>144.5</v>
    <v>145.1</v>
    <v>147.19999999999999</v>
    <v>146.1</v>
    <v>151.85</v>
    <v>147.6</v>
    <v>148.69999999999999</v>
    <v>147.69999999999999</v>
    <v>147.85</v>
    <v>147.44999999999999</v>
    <v>145.6</v>
    <v>144.44999999999999</v>
    <v>141.4</v>
    <v>141.65</v>
    <v>142.5</v>
    <v>143.1</v>
    <v>142.25</v>
    <v>140.75</v>
    <v>143.85</v>
    <v>143.19999999999999</v>
    <v>147.1</v>
    <v>147.44999999999999</v>
    <v>150.85</v>
    <v>144.44999999999999</v>
    <v>146.9</v>
    <v>147.6</v>
    <v>143.44999999999999</v>
    <v>141.6</v>
    <v>137.1</v>
    <v>133.30000000000001</v>
    <v>133.55000000000001</v>
    <v>136</v>
    <v>136.35</v>
    <v>136.4</v>
    <v>134.15</v>
    <v>131.5</v>
    <v>127.85</v>
    <v>131.19999999999999</v>
    <v>134.30000000000001</v>
    <v>121.95</v>
    <v>119.1</v>
    <v>118.05</v>
    <v>115.4</v>
    <v>113.7</v>
    <v>113.6</v>
    <v>104.3</v>
    <v>99.74</v>
    <v>104.85</v>
    <v>101.7</v>
    <v>103.7</v>
    <v>105.3</v>
    <v>103.95</v>
    <v>104.5</v>
    <v>101.9</v>
    <v>102.45</v>
    <v>101.25</v>
    <v>104.7</v>
    <v>106.95</v>
    <v>103.85</v>
    <v>106.8</v>
    <v>107.1</v>
    <v>109.65</v>
    <v>109.75</v>
    <v>107.95</v>
    <v>105.35</v>
    <v>107.5</v>
    <v>107.65</v>
    <v>107.8</v>
    <v>105.05</v>
    <v>105.05</v>
    <v>104</v>
    <v>101.1</v>
    <v>98.58</v>
    <v>98.24</v>
    <v>96.36</v>
    <v>97.26</v>
    <v>96.2</v>
    <v>96.2</v>
    <v>97.88</v>
    <v>100.5</v>
    <v>101.6</v>
    <v>102.85</v>
    <v>101.75</v>
    <v>103.2</v>
    <v>98.42</v>
    <v>100.3</v>
    <v>102.45</v>
    <v>104.7</v>
    <v>106.3</v>
    <v>108.95</v>
    <v>110.6</v>
    <v>108.9</v>
    <v>109.5</v>
    <v>106.75</v>
    <v>100.65</v>
    <v>99.1</v>
    <v>101.6</v>
    <v>99.28</v>
    <v>102.7</v>
    <v>103</v>
    <v>106.1</v>
    <v>105.45</v>
    <v>104.95</v>
    <v>104.9</v>
    <v>103.45</v>
    <v>101.75</v>
    <v>99.2</v>
    <v>96.74</v>
    <v>96.7</v>
    <v>100</v>
    <v>100.9</v>
    <v>105.3</v>
    <v>101.9</v>
    <v>102.45</v>
    <v>103.1</v>
    <v>104.25</v>
    <v>104.3</v>
    <v>100.65</v>
    <v>101.25</v>
    <v>101.95</v>
    <v>109.1</v>
    <v>100.8</v>
    <v>97.74</v>
    <v>104.2</v>
    <v>101.8</v>
    <v>102.4</v>
    <v>100.5</v>
    <v>99.6</v>
    <v>95.46</v>
    <v>96.72</v>
    <v>96.46</v>
    <v>97.6</v>
    <v>97.66</v>
    <v>89</v>
    <v>89.52</v>
    <v>87.82</v>
    <v>88.66</v>
    <v>89</v>
    <v>88.5</v>
    <v>89.68</v>
    <v>90.54</v>
    <v>87.96</v>
    <v>90.72</v>
    <v>91.56</v>
    <v>91.9</v>
    <v>92.8</v>
    <v>93.82</v>
    <v>90.9</v>
    <v>89</v>
    <v>88.96</v>
    <v>91.62</v>
    <v>90.14</v>
    <v>92.92</v>
    <v>91.22</v>
    <v>91.32</v>
    <v>91.58</v>
    <v>90.02</v>
    <v>88.54</v>
    <v>86.06</v>
    <v>89.88</v>
    <v>95.12</v>
    <v>101.7</v>
    <v>107.1</v>
    <v>102</v>
    <v>102.5</v>
    <v>107.2</v>
    <v>107.4</v>
    <v>109</v>
    <v>109.25</v>
    <v>109.25</v>
    <v>108</v>
    <v>109.5</v>
    <v>105.65</v>
    <v>106</v>
    <v>108.3</v>
    <v>106.15</v>
    <v>107.3</v>
    <v>110.35</v>
    <v>109.55</v>
    <v>111.15</v>
    <v>111.4</v>
    <v>109.4</v>
    <v>106.5</v>
    <v>109.5</v>
    <v>109.45</v>
    <v>107.25</v>
    <v>106.6</v>
    <v>105.1</v>
    <v>110</v>
    <v>106.4</v>
    <v>105.1</v>
    <v>105.55</v>
    <v>101.15</v>
    <v>101.5</v>
    <v>102.9</v>
    <v>109.7</v>
    <v>108.7</v>
    <v>105.65</v>
    <v>107.1</v>
    <v>104.35</v>
    <v>105.5</v>
    <v>106.3</v>
    <v>106.1</v>
    <v>103.75</v>
    <v>104.5</v>
    <v>102.95</v>
    <v>103.5</v>
    <v>104.4</v>
    <v>112.1</v>
    <v>108.9</v>
    <v>108.4</v>
    <v>109.95</v>
    <v>110.9</v>
    <v>110.85</v>
    <v>115.05</v>
    <v>115.35</v>
    <v>119.3</v>
    <v>118</v>
    <v>122.1</v>
    <v>121.35</v>
    <v>123.15</v>
    <v>123</v>
    <v>125.05</v>
    <v>126.8</v>
    <v>123.95</v>
  </a>
  <a r="1" c="767">
    <v>164.1</v>
    <v>165.2</v>
    <v>165.05</v>
    <v>163.35</v>
    <v>160.69999999999999</v>
    <v>161.69999999999999</v>
    <v>166.5</v>
    <v>167.65</v>
    <v>171.5</v>
    <v>173.55</v>
    <v>168.75</v>
    <v>173</v>
    <v>171.6</v>
    <v>173.25</v>
    <v>171.85</v>
    <v>172.45</v>
    <v>172.3</v>
    <v>175</v>
    <v>177.75</v>
    <v>177.9</v>
    <v>179.3</v>
    <v>177.75</v>
    <v>183.2</v>
    <v>182.55</v>
    <v>182.05</v>
    <v>181.2</v>
    <v>182.6</v>
    <v>188.55</v>
    <v>188</v>
    <v>187</v>
    <v>186.9</v>
    <v>189.05</v>
    <v>190.35</v>
    <v>190.5</v>
    <v>192.15</v>
    <v>192.9</v>
    <v>193.05</v>
    <v>191.9</v>
    <v>193.15</v>
    <v>195.9</v>
    <v>192.45</v>
    <v>191</v>
    <v>190.05</v>
    <v>189.1</v>
    <v>188.45</v>
    <v>191.1</v>
    <v>189.8</v>
    <v>188.75</v>
    <v>189.45</v>
    <v>186.5</v>
    <v>187.85</v>
    <v>184.5</v>
    <v>186.75</v>
    <v>184.5</v>
    <v>182.45</v>
    <v>185.05</v>
    <v>192.25</v>
    <v>194.65</v>
    <v>193.25</v>
    <v>192.65</v>
    <v>197.35</v>
    <v>197.05</v>
    <v>202</v>
    <v>201.3</v>
    <v>203.8</v>
    <v>206</v>
    <v>205.9</v>
    <v>206.4</v>
    <v>208.5</v>
    <v>207.2</v>
    <v>206.8</v>
    <v>205.5</v>
    <v>204.1</v>
    <v>204.8</v>
    <v>206.1</v>
    <v>208.5</v>
    <v>210</v>
    <v>208.2</v>
    <v>205.9</v>
    <v>220</v>
    <v>219.7</v>
    <v>219.7</v>
    <v>221.5</v>
    <v>218.8</v>
    <v>217.7</v>
    <v>221.5</v>
    <v>225.9</v>
    <v>223.5</v>
    <v>223.3</v>
    <v>223.3</v>
    <v>224.7</v>
    <v>225</v>
    <v>225.6</v>
    <v>221.2</v>
    <v>222</v>
    <v>226.8</v>
    <v>225.8</v>
    <v>224.3</v>
    <v>225.5</v>
    <v>225.4</v>
    <v>224.5</v>
    <v>223</v>
    <v>222.5</v>
    <v>222.9</v>
    <v>221.5</v>
    <v>215.6</v>
    <v>215.7</v>
    <v>214</v>
    <v>214.1</v>
    <v>214.7</v>
    <v>213.3</v>
    <v>209.9</v>
    <v>209.7</v>
    <v>209.1</v>
    <v>211.4</v>
    <v>211.2</v>
    <v>210.9</v>
    <v>206.5</v>
    <v>208.6</v>
    <v>207.5</v>
    <v>205.4</v>
    <v>204.9</v>
    <v>202.4</v>
    <v>200.5</v>
    <v>200.1</v>
    <v>201.5</v>
    <v>204.4</v>
    <v>205.6</v>
    <v>201.1</v>
    <v>203.1</v>
    <v>205.5</v>
    <v>197.9</v>
    <v>199.25</v>
    <v>202.6</v>
    <v>203</v>
    <v>205.1</v>
    <v>206.6</v>
    <v>205.5</v>
    <v>205.4</v>
    <v>205.8</v>
    <v>207.1</v>
    <v>209</v>
    <v>207</v>
    <v>207.4</v>
    <v>208.1</v>
    <v>209.6</v>
    <v>207.6</v>
    <v>213.3</v>
    <v>213</v>
    <v>213.9</v>
    <v>210.1</v>
    <v>203.2</v>
    <v>194.3</v>
    <v>185.6</v>
    <v>185.65</v>
    <v>188.95</v>
    <v>191.95</v>
    <v>193.5</v>
    <v>195.25</v>
    <v>193.05</v>
    <v>189.9</v>
    <v>191.45</v>
    <v>186.05</v>
    <v>182.3</v>
    <v>182.8</v>
    <v>183.75</v>
    <v>183.3</v>
    <v>188.85</v>
    <v>186.45</v>
    <v>187.05</v>
    <v>189.5</v>
    <v>188.55</v>
    <v>187.95</v>
    <v>185.7</v>
    <v>189.7</v>
    <v>190.3</v>
    <v>192.1</v>
    <v>191.5</v>
    <v>191.15</v>
    <v>189.55</v>
    <v>185.05</v>
    <v>186.8</v>
    <v>187.85</v>
    <v>192.5</v>
    <v>191.9</v>
    <v>192.45</v>
    <v>193.4</v>
    <v>195.3</v>
    <v>194.4</v>
    <v>195.15</v>
    <v>196.85</v>
    <v>196.45</v>
    <v>193.6</v>
    <v>188.85</v>
    <v>185.8</v>
    <v>184.8</v>
    <v>183.6</v>
    <v>181.15</v>
    <v>179.35</v>
    <v>175</v>
    <v>176.2</v>
    <v>177.5</v>
    <v>176.3</v>
    <v>176.25</v>
    <v>175.55</v>
    <v>177.3</v>
    <v>177.25</v>
    <v>180.3</v>
    <v>180.5</v>
    <v>181.75</v>
    <v>181.25</v>
    <v>182.75</v>
    <v>183.05</v>
    <v>182.55</v>
    <v>183.25</v>
    <v>184.85</v>
    <v>185.05</v>
    <v>186</v>
    <v>187.5</v>
    <v>187.2</v>
    <v>186.9</v>
    <v>183.25</v>
    <v>183.65</v>
    <v>180.05</v>
    <v>180.45</v>
    <v>190</v>
    <v>190.4</v>
    <v>193.5</v>
    <v>193.15</v>
    <v>190.15</v>
    <v>192.25</v>
    <v>192</v>
    <v>195.1</v>
    <v>188.05</v>
    <v>188.6</v>
    <v>189.5</v>
    <v>189.65</v>
    <v>195.5</v>
    <v>199.9</v>
    <v>193.95</v>
    <v>192.15</v>
    <v>191.85</v>
    <v>188</v>
    <v>189</v>
    <v>183.85</v>
    <v>183.4</v>
    <v>184.05</v>
    <v>182.35</v>
    <v>181.7</v>
    <v>183.75</v>
    <v>182.05</v>
    <v>182.1</v>
    <v>182.85</v>
    <v>184.55</v>
    <v>181.1</v>
    <v>183.15</v>
    <v>180.7</v>
    <v>180</v>
    <v>175.05</v>
    <v>176.75</v>
    <v>176.05</v>
    <v>164.8</v>
    <v>159.19999999999999</v>
    <v>164</v>
    <v>162</v>
    <v>159.80000000000001</v>
    <v>159</v>
    <v>161.5</v>
    <v>162.1</v>
    <v>164.55</v>
    <v>164.35</v>
    <v>157.94999999999999</v>
    <v>161.25</v>
    <v>154.35</v>
    <v>155.80000000000001</v>
    <v>156.69999999999999</v>
    <v>154.1</v>
    <v>153.25</v>
    <v>154.55000000000001</v>
    <v>153.19999999999999</v>
    <v>152.75</v>
    <v>150.94999999999999</v>
    <v>151.65</v>
    <v>151.9</v>
    <v>150.85</v>
    <v>152.1</v>
    <v>153.9</v>
    <v>155</v>
    <v>157.44999999999999</v>
    <v>160.05000000000001</v>
    <v>159.94999999999999</v>
    <v>159.35</v>
    <v>157</v>
    <v>156</v>
    <v>154.05000000000001</v>
    <v>153.65</v>
    <v>154.15</v>
    <v>156.55000000000001</v>
    <v>155.25</v>
    <v>155.44999999999999</v>
    <v>156</v>
    <v>157.05000000000001</v>
    <v>155.19999999999999</v>
    <v>158.15</v>
    <v>156.65</v>
    <v>155</v>
    <v>159.55000000000001</v>
    <v>160.4</v>
    <v>157.75</v>
    <v>156.94999999999999</v>
    <v>157.05000000000001</v>
    <v>156.05000000000001</v>
    <v>155.05000000000001</v>
    <v>157.15</v>
    <v>160.25</v>
    <v>160.30000000000001</v>
    <v>161.9</v>
    <v>163.4</v>
    <v>162.5</v>
    <v>164.1</v>
    <v>167.5</v>
    <v>164.75</v>
    <v>170.9</v>
    <v>172.35</v>
    <v>175.35</v>
    <v>175.95</v>
    <v>174.4</v>
    <v>177.35</v>
    <v>178.5</v>
    <v>178.5</v>
    <v>174.6</v>
    <v>176.75</v>
    <v>179.45</v>
    <v>182.2</v>
    <v>184.9</v>
    <v>185.25</v>
    <v>185.45</v>
    <v>166.5</v>
    <v>162.1</v>
    <v>159.9</v>
    <v>164</v>
    <v>163.1</v>
    <v>159</v>
    <v>155.30000000000001</v>
    <v>150.55000000000001</v>
    <v>149.15</v>
    <v>148.19999999999999</v>
    <v>143.25</v>
    <v>150.69999999999999</v>
    <v>157.15</v>
    <v>153.75</v>
    <v>152.80000000000001</v>
    <v>146.94999999999999</v>
    <v>148.30000000000001</v>
    <v>145.69999999999999</v>
    <v>146.9</v>
    <v>145.19999999999999</v>
    <v>146.19999999999999</v>
    <v>146.85</v>
    <v>147.05000000000001</v>
    <v>146.05000000000001</v>
    <v>146.44999999999999</v>
    <v>147.6</v>
    <v>148</v>
    <v>147.1</v>
    <v>145.30000000000001</v>
    <v>138.05000000000001</v>
    <v>139.30000000000001</v>
    <v>140</v>
    <v>135.15</v>
    <v>128.35</v>
    <v>120.4</v>
    <v>126.55</v>
    <v>122.8</v>
    <v>125.25</v>
    <v>124.6</v>
    <v>128.44999999999999</v>
    <v>130.30000000000001</v>
    <v>128.65</v>
    <v>126.9</v>
    <v>127.85</v>
    <v>132.19999999999999</v>
    <v>132</v>
    <v>130.05000000000001</v>
    <v>130.6</v>
    <v>138</v>
    <v>139.85</v>
    <v>142.55000000000001</v>
    <v>141.85</v>
    <v>143.44999999999999</v>
    <v>143.25</v>
    <v>144.55000000000001</v>
    <v>149.35</v>
    <v>155.15</v>
    <v>155.9</v>
    <v>152.69999999999999</v>
    <v>152.69999999999999</v>
    <v>150.65</v>
    <v>150.94999999999999</v>
    <v>148.65</v>
    <v>150.35</v>
    <v>147.9</v>
    <v>146.9</v>
    <v>149.30000000000001</v>
    <v>149.19999999999999</v>
    <v>148.05000000000001</v>
    <v>147.6</v>
    <v>146.25</v>
    <v>145.25</v>
    <v>146</v>
    <v>147.25</v>
    <v>147.44999999999999</v>
    <v>150.5</v>
    <v>150.6</v>
    <v>154.30000000000001</v>
    <v>153.55000000000001</v>
    <v>152.75</v>
    <v>150.4</v>
    <v>153.19999999999999</v>
    <v>150.19999999999999</v>
    <v>147.75</v>
    <v>145.15</v>
    <v>141.65</v>
    <v>141.94999999999999</v>
    <v>144.15</v>
    <v>142.19999999999999</v>
    <v>141.80000000000001</v>
    <v>145.25</v>
    <v>145.05000000000001</v>
    <v>145.19999999999999</v>
    <v>145.30000000000001</v>
    <v>146.44999999999999</v>
    <v>145.25</v>
    <v>137.15</v>
    <v>143.05000000000001</v>
    <v>145.25</v>
    <v>145.4</v>
    <v>140.4</v>
    <v>137.1</v>
    <v>136.9</v>
    <v>136.65</v>
    <v>137.75</v>
    <v>137.94999999999999</v>
    <v>136.5</v>
    <v>135.1</v>
    <v>136.19999999999999</v>
    <v>135.35</v>
    <v>134.05000000000001</v>
    <v>135</v>
    <v>134</v>
    <v>132.5</v>
    <v>130.9</v>
    <v>124.45</v>
    <v>123.9</v>
    <v>124.3</v>
    <v>121.5</v>
    <v>123.8</v>
    <v>125.6</v>
    <v>123.35</v>
    <v>121.3</v>
    <v>123.45</v>
    <v>121.95</v>
    <v>123.05</v>
    <v>122.5</v>
    <v>126.7</v>
    <v>126.5</v>
    <v>124.95</v>
    <v>126.6</v>
    <v>123.9</v>
    <v>122.4</v>
    <v>124.05</v>
    <v>124.05</v>
    <v>121.45</v>
    <v>120.4</v>
    <v>118.1</v>
    <v>121.7</v>
    <v>122.15</v>
    <v>125</v>
    <v>127.15</v>
    <v>125.1</v>
    <v>122.45</v>
    <v>121.8</v>
    <v>123.8</v>
    <v>121.05</v>
    <v>123.05</v>
    <v>123.15</v>
    <v>127.05</v>
    <v>124.25</v>
    <v>121.95</v>
    <v>123.6</v>
    <v>122.25</v>
    <v>121.9</v>
    <v>119.15</v>
    <v>121.3</v>
    <v>123.55</v>
    <v>123.5</v>
    <v>124.85</v>
    <v>124.35</v>
    <v>124.6</v>
    <v>125</v>
    <v>122.05</v>
    <v>122.05</v>
    <v>119.7</v>
    <v>120.3</v>
    <v>118.9</v>
    <v>122.35</v>
    <v>122.55</v>
    <v>121.7</v>
    <v>123.4</v>
    <v>130.05000000000001</v>
    <v>128.94999999999999</v>
    <v>126.5</v>
    <v>127.1</v>
    <v>128.15</v>
    <v>130.05000000000001</v>
    <v>132.6</v>
    <v>130.5</v>
    <v>133.5</v>
    <v>129.69999999999999</v>
    <v>127.95</v>
    <v>128.30000000000001</v>
    <v>124.75</v>
    <v>123.35</v>
    <v>128.44999999999999</v>
    <v>131.65</v>
    <v>134.9</v>
    <v>134.65</v>
    <v>133.5</v>
    <v>131.69999999999999</v>
    <v>127.5</v>
    <v>127.45</v>
    <v>127.05</v>
    <v>131.5</v>
    <v>133.19999999999999</v>
    <v>133.30000000000001</v>
    <v>132.9</v>
    <v>133.85</v>
    <v>134.80000000000001</v>
    <v>136.30000000000001</v>
    <v>137.75</v>
    <v>137</v>
    <v>142.69999999999999</v>
    <v>144.5</v>
    <v>145.1</v>
    <v>147.19999999999999</v>
    <v>146.1</v>
    <v>151.85</v>
    <v>147.6</v>
    <v>148.69999999999999</v>
    <v>147.69999999999999</v>
    <v>147.85</v>
    <v>147.44999999999999</v>
    <v>145.6</v>
    <v>144.44999999999999</v>
    <v>141.4</v>
    <v>141.65</v>
    <v>142.5</v>
    <v>143.1</v>
    <v>142.25</v>
    <v>140.75</v>
    <v>143.85</v>
    <v>143.19999999999999</v>
    <v>147.1</v>
    <v>147.44999999999999</v>
    <v>150.85</v>
    <v>144.44999999999999</v>
    <v>146.9</v>
    <v>147.6</v>
    <v>143.44999999999999</v>
    <v>141.6</v>
    <v>137.1</v>
    <v>133.30000000000001</v>
    <v>133.55000000000001</v>
    <v>136</v>
    <v>136.35</v>
    <v>136.4</v>
    <v>134.15</v>
    <v>131.5</v>
    <v>127.85</v>
    <v>131.19999999999999</v>
    <v>134.30000000000001</v>
    <v>121.95</v>
    <v>119.1</v>
    <v>118.05</v>
    <v>115.4</v>
    <v>113.7</v>
    <v>113.6</v>
    <v>104.3</v>
    <v>99.74</v>
    <v>104.85</v>
    <v>101.7</v>
    <v>103.7</v>
    <v>105.3</v>
    <v>103.95</v>
    <v>104.5</v>
    <v>101.9</v>
    <v>102.45</v>
    <v>101.25</v>
    <v>104.7</v>
    <v>106.95</v>
    <v>103.85</v>
    <v>106.8</v>
    <v>107.1</v>
    <v>109.65</v>
    <v>109.75</v>
    <v>107.95</v>
    <v>105.35</v>
    <v>107.5</v>
    <v>107.65</v>
    <v>107.8</v>
    <v>105.05</v>
    <v>105.05</v>
    <v>104</v>
    <v>101.1</v>
    <v>98.58</v>
    <v>98.24</v>
    <v>96.36</v>
    <v>97.26</v>
    <v>96.2</v>
    <v>96.2</v>
    <v>97.88</v>
    <v>100.5</v>
    <v>101.6</v>
    <v>102.85</v>
    <v>101.75</v>
    <v>103.2</v>
    <v>98.42</v>
    <v>100.3</v>
    <v>102.45</v>
    <v>104.7</v>
    <v>106.3</v>
    <v>108.95</v>
    <v>110.6</v>
    <v>108.9</v>
    <v>109.5</v>
    <v>106.75</v>
    <v>100.65</v>
    <v>99.1</v>
    <v>101.6</v>
    <v>99.28</v>
    <v>102.7</v>
    <v>103</v>
    <v>106.1</v>
    <v>105.45</v>
    <v>104.95</v>
    <v>104.9</v>
    <v>103.45</v>
    <v>101.75</v>
    <v>99.2</v>
    <v>96.74</v>
    <v>96.7</v>
    <v>100</v>
    <v>100.9</v>
    <v>105.3</v>
    <v>101.9</v>
    <v>102.45</v>
    <v>103.1</v>
    <v>104.25</v>
    <v>104.3</v>
    <v>100.65</v>
    <v>101.25</v>
    <v>101.95</v>
    <v>109.1</v>
    <v>100.8</v>
    <v>97.74</v>
    <v>104.2</v>
    <v>101.8</v>
    <v>102.4</v>
    <v>100.5</v>
    <v>99.6</v>
    <v>95.46</v>
    <v>96.72</v>
    <v>96.46</v>
    <v>97.6</v>
    <v>97.66</v>
    <v>89</v>
    <v>89.52</v>
    <v>87.82</v>
    <v>88.66</v>
    <v>89</v>
    <v>88.5</v>
    <v>89.68</v>
    <v>90.54</v>
    <v>87.96</v>
    <v>90.72</v>
    <v>91.56</v>
    <v>91.9</v>
    <v>92.8</v>
    <v>93.82</v>
    <v>90.9</v>
    <v>89</v>
    <v>88.96</v>
    <v>91.62</v>
    <v>90.14</v>
    <v>92.92</v>
    <v>91.22</v>
    <v>91.32</v>
    <v>91.58</v>
    <v>90.02</v>
    <v>88.54</v>
    <v>86.06</v>
    <v>89.88</v>
    <v>95.12</v>
    <v>101.7</v>
    <v>107.1</v>
    <v>102</v>
    <v>102.5</v>
    <v>107.2</v>
    <v>107.4</v>
    <v>109</v>
    <v>109.25</v>
    <v>109.25</v>
    <v>108</v>
    <v>109.5</v>
    <v>105.65</v>
    <v>106</v>
    <v>108.3</v>
    <v>106.15</v>
    <v>107.3</v>
    <v>110.35</v>
    <v>109.55</v>
    <v>111.15</v>
    <v>111.4</v>
    <v>109.4</v>
    <v>106.5</v>
    <v>109.5</v>
    <v>109.45</v>
    <v>107.25</v>
    <v>106.6</v>
    <v>105.1</v>
    <v>110</v>
    <v>106.4</v>
    <v>105.1</v>
    <v>105.55</v>
    <v>101.15</v>
    <v>101.5</v>
    <v>102.9</v>
    <v>109.7</v>
    <v>108.7</v>
    <v>105.65</v>
    <v>107.1</v>
    <v>104.35</v>
    <v>105.5</v>
    <v>106.3</v>
    <v>106.1</v>
    <v>103.75</v>
    <v>104.5</v>
    <v>102.95</v>
    <v>103.5</v>
    <v>104.4</v>
    <v>112.1</v>
    <v>108.9</v>
    <v>108.4</v>
    <v>109.95</v>
    <v>110.9</v>
    <v>110.85</v>
    <v>115.05</v>
    <v>115.35</v>
    <v>119.3</v>
    <v>118</v>
    <v>122.1</v>
    <v>121.35</v>
    <v>123.15</v>
    <v>123</v>
    <v>125.05</v>
    <v>126.8</v>
    <v>123.95</v>
  </a>
  <a r="1" c="209">
    <v>29.72</v>
    <v>30.14</v>
    <v>29.99</v>
    <v>29.94</v>
    <v>30.41</v>
    <v>30.77</v>
    <v>30.46</v>
    <v>30.33</v>
    <v>29.59</v>
    <v>29.87</v>
    <v>29.84</v>
    <v>29.82</v>
    <v>29.48</v>
    <v>28.93</v>
    <v>29.38</v>
    <v>29.96</v>
    <v>30.25</v>
    <v>30.72</v>
    <v>31.16</v>
    <v>31.41</v>
    <v>31.56</v>
    <v>31.63</v>
    <v>31.53</v>
    <v>31.96</v>
    <v>32.1</v>
    <v>31.85</v>
    <v>32.020000000000003</v>
    <v>32.04</v>
    <v>32.32</v>
    <v>32.99</v>
    <v>33.33</v>
    <v>33.450000000000003</v>
    <v>34.06</v>
    <v>33.71</v>
    <v>34.049999999999997</v>
    <v>34.17</v>
    <v>34.450000000000003</v>
    <v>34.56</v>
    <v>35.08</v>
    <v>35.36</v>
    <v>35.43</v>
    <v>35.96</v>
    <v>34.68</v>
    <v>33.25</v>
    <v>33.43</v>
    <v>33.19</v>
    <v>32.729999999999997</v>
    <v>32.4</v>
    <v>33.130000000000003</v>
    <v>32.909999999999997</v>
    <v>33.229999999999997</v>
    <v>32.92</v>
    <v>32.79</v>
    <v>33.19</v>
    <v>32.5</v>
    <v>31.62</v>
    <v>31.1</v>
    <v>31.41</v>
    <v>31.67</v>
    <v>32.340000000000003</v>
    <v>32.119999999999997</v>
    <v>31.88</v>
    <v>32.46</v>
    <v>32.659999999999997</v>
    <v>33.08</v>
    <v>33.46</v>
    <v>33.43</v>
    <v>34.58</v>
    <v>34.89</v>
    <v>35.1</v>
    <v>34.54</v>
    <v>35.36</v>
    <v>35.31</v>
    <v>35.24</v>
    <v>35.549999999999997</v>
    <v>35.51</v>
    <v>35.28</v>
    <v>35.28</v>
    <v>35.61</v>
    <v>35.56</v>
    <v>35.549999999999997</v>
    <v>35.659999999999997</v>
    <v>34.81</v>
    <v>35.94</v>
    <v>35.31</v>
    <v>35.67</v>
    <v>36.200000000000003</v>
    <v>35.909999999999997</v>
    <v>35.82</v>
    <v>34.630000000000003</v>
    <v>34.270000000000003</v>
    <v>34.46</v>
    <v>34.659999999999997</v>
    <v>33.619999999999997</v>
    <v>34.200000000000003</v>
    <v>34.270000000000003</v>
    <v>34.57</v>
    <v>34.51</v>
    <v>34.69</v>
    <v>35.33</v>
    <v>35.26</v>
    <v>34.92</v>
    <v>34.56</v>
    <v>34.729999999999997</v>
    <v>34.130000000000003</v>
    <v>34.299999999999997</v>
    <v>35.06</v>
    <v>34.58</v>
    <v>34.880000000000003</v>
    <v>34.67</v>
    <v>34.130000000000003</v>
    <v>34.700000000000003</v>
    <v>35.200000000000003</v>
    <v>35.46</v>
    <v>35.6</v>
    <v>35.880000000000003</v>
    <v>35.909999999999997</v>
    <v>35.950000000000003</v>
    <v>36.08</v>
    <v>36.020000000000003</v>
    <v>36.01</v>
    <v>35.630000000000003</v>
    <v>36.15</v>
    <v>36.229999999999997</v>
    <v>36.090000000000003</v>
    <v>36.44</v>
    <v>35.74</v>
    <v>36.49</v>
    <v>37.51</v>
    <v>37.08</v>
    <v>37.01</v>
    <v>36.700000000000003</v>
    <v>36.520000000000003</v>
    <v>36.28</v>
    <v>36.950000000000003</v>
    <v>37.46</v>
    <v>37.520000000000003</v>
    <v>37.22</v>
    <v>37.51</v>
    <v>37.18</v>
    <v>36.58</v>
    <v>37.25</v>
    <v>36.78</v>
    <v>36.590000000000003</v>
    <v>36.049999999999997</v>
    <v>35.68</v>
    <v>35.15</v>
    <v>35.799999999999997</v>
    <v>34.47</v>
    <v>34.299999999999997</v>
    <v>34.979999999999997</v>
    <v>35.29</v>
    <v>35.07</v>
    <v>35.19</v>
    <v>34.57</v>
    <v>34.409999999999997</v>
    <v>34.47</v>
    <v>34.22</v>
    <v>34.03</v>
    <v>33.840000000000003</v>
    <v>33.840000000000003</v>
    <v>34.07</v>
    <v>34.28</v>
    <v>34.090000000000003</v>
    <v>34.03</v>
    <v>34.049999999999997</v>
    <v>33.909999999999997</v>
    <v>32.58</v>
    <v>32.85</v>
    <v>32.6</v>
    <v>32.56</v>
    <v>31.88</v>
    <v>31.81</v>
    <v>31.9</v>
    <v>31.91</v>
    <v>31.95</v>
    <v>31.56</v>
    <v>31.44</v>
    <v>31.44</v>
    <v>31.35</v>
    <v>31.5</v>
    <v>31.86</v>
    <v>32.11</v>
    <v>31.74</v>
    <v>31.6</v>
    <v>31.56</v>
    <v>31.3</v>
    <v>31.31</v>
    <v>31.36</v>
    <v>31.09</v>
    <v>30.93</v>
    <v>30.81</v>
    <v>30.52</v>
    <v>30.73</v>
    <v>30.46</v>
    <v>31.34</v>
    <v>30.84</v>
    <v>30.89</v>
    <v>31.09</v>
    <v>31.28</v>
    <v>31.78</v>
    <v>32.090000000000003</v>
    <v>32.380000000000003</v>
    <v>32.4</v>
    <v>31.93</v>
    <v>32.020000000000003</v>
    <v>32.020000000000003</v>
    <v>31.82</v>
    <v>32.090000000000003</v>
  </a>
  <a r="1" c="767">
    <v>25.2</v>
    <v>25.68</v>
    <v>25.41</v>
    <v>25.58</v>
    <v>25.59</v>
    <v>25.52</v>
    <v>25.83</v>
    <v>26.2</v>
    <v>26.56</v>
    <v>26.85</v>
    <v>26.57</v>
    <v>26.59</v>
    <v>26.23</v>
    <v>26.9</v>
    <v>27.03</v>
    <v>26.82</v>
    <v>27.53</v>
    <v>27.55</v>
    <v>27.49</v>
    <v>28.07</v>
    <v>27.87</v>
    <v>27.83</v>
    <v>27.79</v>
    <v>28.06</v>
    <v>28.22</v>
    <v>28.25</v>
    <v>28.43</v>
    <v>28.68</v>
    <v>28.91</v>
    <v>28.96</v>
    <v>28.92</v>
    <v>29.12</v>
    <v>29.49</v>
    <v>29.21</v>
    <v>29.55</v>
    <v>29.39</v>
    <v>29.17</v>
    <v>29.13</v>
    <v>29.9</v>
    <v>29.73</v>
    <v>29.04</v>
    <v>29.28</v>
    <v>29.27</v>
    <v>29.08</v>
    <v>29.06</v>
    <v>28.72</v>
    <v>28.65</v>
    <v>28.56</v>
    <v>28.4</v>
    <v>28.27</v>
    <v>28.84</v>
    <v>28.85</v>
    <v>28.91</v>
    <v>28.99</v>
    <v>28.88</v>
    <v>28.54</v>
    <v>29.25</v>
    <v>29.11</v>
    <v>28.92</v>
    <v>28.41</v>
    <v>28.39</v>
    <v>28.59</v>
    <v>29.06</v>
    <v>29.05</v>
    <v>29.13</v>
    <v>29.29</v>
    <v>29.75</v>
    <v>29.86</v>
    <v>30.16</v>
    <v>30.27</v>
    <v>30.07</v>
    <v>30.02</v>
    <v>30.2</v>
    <v>29.94</v>
    <v>29.85</v>
    <v>29.9</v>
    <v>29.34</v>
    <v>29.25</v>
    <v>29.56</v>
    <v>29.48</v>
    <v>29.43</v>
    <v>29.24</v>
    <v>29</v>
    <v>29.75</v>
    <v>30.02</v>
    <v>30.35</v>
    <v>30.19</v>
    <v>29.52</v>
    <v>29.87</v>
    <v>29.7</v>
    <v>28.65</v>
    <v>29.01</v>
    <v>28.97</v>
    <v>28.82</v>
    <v>29.01</v>
    <v>29.35</v>
    <v>29.22</v>
    <v>29.15</v>
    <v>28.6</v>
    <v>28.79</v>
    <v>29.11</v>
    <v>29.25</v>
    <v>28.93</v>
    <v>28.85</v>
    <v>29.07</v>
    <v>29.25</v>
    <v>29.64</v>
    <v>29.65</v>
    <v>29.79</v>
    <v>30.37</v>
    <v>30.13</v>
    <v>29.97</v>
    <v>30.02</v>
    <v>30.21</v>
    <v>29.16</v>
    <v>28.84</v>
    <v>28.99</v>
    <v>28.59</v>
    <v>28.43</v>
    <v>28.45</v>
    <v>28.23</v>
    <v>27.65</v>
    <v>27.94</v>
    <v>28.63</v>
    <v>28.8</v>
    <v>28.86</v>
    <v>29</v>
    <v>28.92</v>
    <v>28.91</v>
    <v>29.04</v>
    <v>29.02</v>
    <v>29.19</v>
    <v>29.21</v>
    <v>29.39</v>
    <v>29.83</v>
    <v>30</v>
    <v>29.33</v>
    <v>29.18</v>
    <v>29.27</v>
    <v>29.04</v>
    <v>29.66</v>
    <v>30.54</v>
    <v>30.66</v>
    <v>30.62</v>
    <v>30.74</v>
    <v>30.89</v>
    <v>30.69</v>
    <v>30.55</v>
    <v>30.66</v>
    <v>31.27</v>
    <v>31.02</v>
    <v>30.57</v>
    <v>30.57</v>
    <v>30.7</v>
    <v>30.84</v>
    <v>30.69</v>
    <v>31.12</v>
    <v>31.51</v>
    <v>30.94</v>
    <v>30.4</v>
    <v>29.65</v>
    <v>29.88</v>
    <v>29.28</v>
    <v>27.92</v>
    <v>27.7</v>
    <v>28.38</v>
    <v>28.56</v>
    <v>29.17</v>
    <v>28.75</v>
    <v>29.16</v>
    <v>28.75</v>
    <v>28.65</v>
    <v>28.11</v>
    <v>27.92</v>
    <v>28.46</v>
    <v>28.3</v>
    <v>28.88</v>
    <v>29.27</v>
    <v>29.48</v>
    <v>29.08</v>
    <v>28.77</v>
    <v>28.62</v>
    <v>28.8</v>
    <v>28.84</v>
    <v>28.55</v>
    <v>28.49</v>
    <v>28.6</v>
    <v>29.11</v>
    <v>28.92</v>
    <v>28.89</v>
    <v>28.74</v>
    <v>28.56</v>
    <v>28.68</v>
    <v>28.9</v>
    <v>29.03</v>
    <v>29.07</v>
    <v>29.04</v>
    <v>28.17</v>
    <v>28.31</v>
    <v>27.23</v>
    <v>27.23</v>
    <v>27.82</v>
    <v>27.57</v>
    <v>27.8</v>
    <v>27.76</v>
    <v>27.96</v>
    <v>28.09</v>
    <v>28.12</v>
    <v>28.4</v>
    <v>28.71</v>
    <v>28.74</v>
    <v>29.09</v>
    <v>29</v>
    <v>29.51</v>
    <v>29.45</v>
    <v>29.34</v>
    <v>29.6</v>
    <v>29.78</v>
    <v>29.94</v>
    <v>29.84</v>
    <v>29.82</v>
    <v>29.57</v>
    <v>29.86</v>
    <v>29.6</v>
    <v>29.8</v>
    <v>29.51</v>
    <v>29.47</v>
    <v>29.7</v>
    <v>29.78</v>
    <v>30.12</v>
    <v>30.24</v>
    <v>30.13</v>
    <v>30.14</v>
    <v>30.18</v>
    <v>29.82</v>
    <v>29.92</v>
    <v>29.65</v>
    <v>29.94</v>
    <v>30.06</v>
    <v>29.52</v>
    <v>29.64</v>
    <v>29.31</v>
    <v>28.79</v>
    <v>29.39</v>
    <v>29.17</v>
    <v>29.28</v>
    <v>29.25</v>
    <v>29.49</v>
    <v>29.8</v>
    <v>30.07</v>
    <v>29.85</v>
    <v>30</v>
    <v>30.6</v>
    <v>30.57</v>
    <v>30.18</v>
    <v>29.99</v>
    <v>29.91</v>
    <v>29.39</v>
    <v>29.11</v>
    <v>29.76</v>
    <v>29.69</v>
    <v>29.41</v>
    <v>29.17</v>
    <v>29.29</v>
    <v>29.13</v>
    <v>29.47</v>
    <v>29.1</v>
    <v>28.55</v>
    <v>28.42</v>
    <v>28.86</v>
    <v>28.18</v>
    <v>28.11</v>
    <v>28.47</v>
    <v>28.58</v>
    <v>28.43</v>
    <v>28.18</v>
    <v>27.99</v>
    <v>27.91</v>
    <v>27.84</v>
    <v>27.79</v>
    <v>27.35</v>
    <v>27.03</v>
    <v>27.55</v>
    <v>27.57</v>
    <v>27.33</v>
    <v>27.4</v>
    <v>27.37</v>
    <v>28.11</v>
    <v>28.25</v>
    <v>28.33</v>
    <v>28.03</v>
    <v>28.03</v>
    <v>28.08</v>
    <v>27.86</v>
    <v>27.62</v>
    <v>27.28</v>
    <v>27.02</v>
    <v>26.83</v>
    <v>26.8</v>
    <v>26.73</v>
    <v>26.8</v>
    <v>26.94</v>
    <v>26.84</v>
    <v>27.11</v>
    <v>27.23</v>
    <v>26.72</v>
    <v>27.17</v>
    <v>27.17</v>
    <v>27</v>
    <v>26.96</v>
    <v>26.47</v>
    <v>26.38</v>
    <v>26.65</v>
    <v>26.89</v>
    <v>26.82</v>
    <v>27.42</v>
    <v>27.42</v>
    <v>27.7</v>
    <v>27.15</v>
    <v>27.18</v>
    <v>26.94</v>
    <v>27.13</v>
    <v>27.48</v>
    <v>27.38</v>
    <v>27.55</v>
    <v>27.55</v>
    <v>27.36</v>
    <v>27.75</v>
    <v>27.47</v>
    <v>27.76</v>
    <v>27.78</v>
    <v>27.64</v>
    <v>27.35</v>
    <v>26.78</v>
    <v>27.41</v>
    <v>27.63</v>
    <v>27.71</v>
    <v>27.37</v>
    <v>27.21</v>
    <v>27.18</v>
    <v>27.47</v>
    <v>28.23</v>
    <v>28.03</v>
    <v>28.31</v>
    <v>28.5</v>
    <v>28.76</v>
    <v>29.16</v>
    <v>29.34</v>
    <v>30.08</v>
    <v>30.47</v>
    <v>30.77</v>
    <v>30.43</v>
    <v>30.24</v>
    <v>30.38</v>
    <v>30.47</v>
    <v>30.59</v>
    <v>31.19</v>
    <v>31.71</v>
    <v>31.67</v>
    <v>31.46</v>
    <v>31.37</v>
    <v>31.5</v>
    <v>31.83</v>
    <v>31.79</v>
    <v>32.1</v>
    <v>32.15</v>
    <v>31.75</v>
    <v>32.380000000000003</v>
    <v>32.64</v>
    <v>32.6</v>
    <v>30.77</v>
    <v>28.27</v>
    <v>28.53</v>
    <v>28.31</v>
    <v>29.45</v>
    <v>29.73</v>
    <v>29.92</v>
    <v>30.9</v>
    <v>30.94</v>
    <v>30.99</v>
    <v>31.2</v>
    <v>31.26</v>
    <v>31.42</v>
    <v>31.56</v>
    <v>31.69</v>
    <v>31.83</v>
    <v>32.18</v>
    <v>32.24</v>
    <v>32.19</v>
    <v>32.43</v>
    <v>31.75</v>
    <v>31.66</v>
    <v>31.88</v>
    <v>30.36</v>
    <v>29.77</v>
    <v>29.82</v>
    <v>30.21</v>
    <v>30.39</v>
    <v>30.92</v>
    <v>31.23</v>
    <v>31.34</v>
    <v>30.89</v>
    <v>30.37</v>
    <v>30.42</v>
    <v>30.27</v>
    <v>29.96</v>
    <v>30.05</v>
    <v>30.28</v>
    <v>30.55</v>
    <v>30.11</v>
    <v>30.24</v>
    <v>30.24</v>
    <v>30.05</v>
    <v>30.07</v>
    <v>30.4</v>
    <v>30.65</v>
    <v>30.56</v>
    <v>30.2</v>
    <v>30.35</v>
    <v>29.91</v>
    <v>29.85</v>
    <v>29.58</v>
    <v>29.42</v>
    <v>29.52</v>
    <v>29.81</v>
    <v>29.95</v>
    <v>30.32</v>
    <v>30.58</v>
    <v>30.25</v>
    <v>30.48</v>
    <v>30.5</v>
    <v>30.47</v>
    <v>30.48</v>
    <v>30.51</v>
    <v>29.96</v>
    <v>30.61</v>
    <v>30.69</v>
    <v>30.8</v>
    <v>30.96</v>
    <v>30.24</v>
    <v>30.19</v>
    <v>29.95</v>
    <v>30.27</v>
    <v>30.62</v>
    <v>30.94</v>
    <v>30.62</v>
    <v>30.7</v>
    <v>30.71</v>
    <v>30.43</v>
    <v>30.56</v>
    <v>30.24</v>
    <v>29.7</v>
    <v>29.29</v>
    <v>29.55</v>
    <v>29.54</v>
    <v>29.66</v>
    <v>30.06</v>
    <v>29.95</v>
    <v>29.91</v>
    <v>29.83</v>
    <v>29.88</v>
    <v>30.55</v>
    <v>30.85</v>
    <v>30.16</v>
    <v>30.56</v>
    <v>30.66</v>
    <v>30.39</v>
    <v>30.37</v>
    <v>29.21</v>
    <v>28.67</v>
    <v>28.34</v>
    <v>28.3</v>
    <v>28.21</v>
    <v>27.89</v>
    <v>27.57</v>
    <v>28.01</v>
    <v>28.42</v>
    <v>28.42</v>
    <v>28.61</v>
    <v>28.82</v>
    <v>29</v>
    <v>29.08</v>
    <v>29.14</v>
    <v>29.2</v>
    <v>28.74</v>
    <v>28.62</v>
    <v>28.56</v>
    <v>28.8</v>
    <v>29.06</v>
    <v>29</v>
    <v>28.81</v>
    <v>28.73</v>
    <v>29.02</v>
    <v>28.8</v>
    <v>28.98</v>
    <v>28.95</v>
    <v>29.22</v>
    <v>29.16</v>
    <v>28.46</v>
    <v>28.44</v>
    <v>28.54</v>
    <v>29.01</v>
    <v>28.81</v>
    <v>28.92</v>
    <v>29.23</v>
    <v>29.57</v>
    <v>29.9</v>
    <v>29.97</v>
    <v>29.58</v>
    <v>29.74</v>
    <v>29.73</v>
    <v>29.65</v>
    <v>29.6</v>
    <v>29.47</v>
    <v>29.44</v>
    <v>29.18</v>
    <v>29.25</v>
    <v>28.65</v>
    <v>28.62</v>
    <v>28.72</v>
    <v>29.04</v>
    <v>29.43</v>
    <v>28.84</v>
    <v>28.93</v>
    <v>29.22</v>
    <v>29.25</v>
    <v>29.62</v>
    <v>29.07</v>
    <v>29</v>
    <v>28.61</v>
    <v>28.51</v>
    <v>28.4</v>
    <v>28.5</v>
    <v>28.73</v>
    <v>28.98</v>
    <v>29.35</v>
    <v>29.16</v>
    <v>29.29</v>
    <v>29.44</v>
    <v>29.17</v>
    <v>29.74</v>
    <v>29.43</v>
    <v>29.32</v>
    <v>29.26</v>
    <v>29.29</v>
    <v>28.86</v>
    <v>29.38</v>
    <v>29.14</v>
    <v>29.27</v>
    <v>29.52</v>
    <v>29.47</v>
    <v>29.32</v>
    <v>29.48</v>
    <v>29.23</v>
    <v>29.34</v>
    <v>29.28</v>
    <v>29.59</v>
    <v>29.75</v>
    <v>29.72</v>
    <v>30.14</v>
    <v>29.99</v>
    <v>29.94</v>
    <v>30.41</v>
    <v>30.77</v>
    <v>30.46</v>
    <v>30.33</v>
    <v>29.59</v>
    <v>29.87</v>
    <v>29.84</v>
    <v>29.82</v>
    <v>29.48</v>
    <v>28.93</v>
    <v>29.38</v>
    <v>29.96</v>
    <v>30.25</v>
    <v>30.72</v>
    <v>31.16</v>
    <v>31.41</v>
    <v>31.56</v>
    <v>31.63</v>
    <v>31.53</v>
    <v>31.96</v>
    <v>32.1</v>
    <v>31.85</v>
    <v>32.020000000000003</v>
    <v>32.04</v>
    <v>32.32</v>
    <v>32.99</v>
    <v>33.33</v>
    <v>33.450000000000003</v>
    <v>34.06</v>
    <v>33.71</v>
    <v>34.049999999999997</v>
    <v>34.17</v>
    <v>34.450000000000003</v>
    <v>34.56</v>
    <v>35.08</v>
    <v>35.36</v>
    <v>35.43</v>
    <v>35.96</v>
    <v>34.68</v>
    <v>33.25</v>
    <v>33.43</v>
    <v>33.19</v>
    <v>32.729999999999997</v>
    <v>32.4</v>
    <v>33.130000000000003</v>
    <v>32.909999999999997</v>
    <v>33.229999999999997</v>
    <v>32.92</v>
    <v>32.79</v>
    <v>33.19</v>
    <v>32.5</v>
    <v>31.62</v>
    <v>31.1</v>
    <v>31.41</v>
    <v>31.67</v>
    <v>32.340000000000003</v>
    <v>32.119999999999997</v>
    <v>31.88</v>
    <v>32.46</v>
    <v>32.659999999999997</v>
    <v>33.08</v>
    <v>33.46</v>
    <v>33.43</v>
    <v>34.58</v>
    <v>34.89</v>
    <v>35.1</v>
    <v>34.54</v>
    <v>35.36</v>
    <v>35.31</v>
    <v>35.24</v>
    <v>35.549999999999997</v>
    <v>35.51</v>
    <v>35.28</v>
    <v>35.28</v>
    <v>35.61</v>
    <v>35.56</v>
    <v>35.549999999999997</v>
    <v>35.659999999999997</v>
    <v>34.81</v>
    <v>35.94</v>
    <v>35.31</v>
    <v>35.67</v>
    <v>36.200000000000003</v>
    <v>35.909999999999997</v>
    <v>35.82</v>
    <v>34.630000000000003</v>
    <v>34.270000000000003</v>
    <v>34.46</v>
    <v>34.659999999999997</v>
    <v>33.619999999999997</v>
    <v>34.200000000000003</v>
    <v>34.270000000000003</v>
    <v>34.57</v>
    <v>34.51</v>
    <v>34.69</v>
    <v>35.33</v>
    <v>35.26</v>
    <v>34.92</v>
    <v>34.56</v>
    <v>34.729999999999997</v>
    <v>34.130000000000003</v>
    <v>34.299999999999997</v>
    <v>35.06</v>
    <v>34.58</v>
    <v>34.880000000000003</v>
    <v>34.67</v>
    <v>34.130000000000003</v>
    <v>34.700000000000003</v>
    <v>35.200000000000003</v>
    <v>35.46</v>
    <v>35.6</v>
    <v>35.880000000000003</v>
    <v>35.909999999999997</v>
    <v>35.950000000000003</v>
    <v>36.08</v>
    <v>36.020000000000003</v>
    <v>36.01</v>
    <v>35.630000000000003</v>
    <v>36.15</v>
    <v>36.229999999999997</v>
    <v>36.090000000000003</v>
    <v>36.44</v>
    <v>35.74</v>
    <v>36.49</v>
    <v>37.51</v>
    <v>37.08</v>
    <v>37.01</v>
    <v>36.700000000000003</v>
    <v>36.520000000000003</v>
    <v>36.28</v>
    <v>36.950000000000003</v>
    <v>37.46</v>
    <v>37.520000000000003</v>
    <v>37.22</v>
    <v>37.51</v>
    <v>37.18</v>
    <v>36.58</v>
    <v>37.25</v>
    <v>36.78</v>
    <v>36.590000000000003</v>
    <v>36.049999999999997</v>
    <v>35.68</v>
    <v>35.15</v>
    <v>35.799999999999997</v>
    <v>34.47</v>
    <v>34.299999999999997</v>
    <v>34.979999999999997</v>
    <v>35.29</v>
    <v>35.07</v>
    <v>35.19</v>
    <v>34.57</v>
    <v>34.409999999999997</v>
    <v>34.47</v>
    <v>34.22</v>
    <v>34.03</v>
    <v>33.840000000000003</v>
    <v>33.840000000000003</v>
    <v>34.07</v>
    <v>34.28</v>
    <v>34.090000000000003</v>
    <v>34.03</v>
    <v>34.049999999999997</v>
    <v>33.909999999999997</v>
    <v>32.58</v>
    <v>32.85</v>
    <v>32.6</v>
    <v>32.56</v>
    <v>31.88</v>
    <v>31.81</v>
    <v>31.9</v>
    <v>31.91</v>
    <v>31.95</v>
    <v>31.56</v>
    <v>31.44</v>
    <v>31.44</v>
    <v>31.35</v>
    <v>31.5</v>
    <v>31.86</v>
    <v>32.11</v>
    <v>31.74</v>
    <v>31.6</v>
    <v>31.56</v>
    <v>31.3</v>
    <v>31.31</v>
    <v>31.36</v>
    <v>31.09</v>
    <v>30.93</v>
    <v>30.81</v>
    <v>30.52</v>
    <v>30.73</v>
    <v>30.46</v>
    <v>31.34</v>
    <v>30.84</v>
    <v>30.89</v>
    <v>31.09</v>
    <v>31.28</v>
    <v>31.78</v>
    <v>32.090000000000003</v>
    <v>32.380000000000003</v>
    <v>32.4</v>
    <v>31.93</v>
    <v>32.020000000000003</v>
    <v>32.020000000000003</v>
    <v>31.82</v>
    <v>32.090000000000003</v>
  </a>
  <a r="1" c="256">
    <v>29.65</v>
    <v>29.6</v>
    <v>29.47</v>
    <v>29.44</v>
    <v>29.18</v>
    <v>29.25</v>
    <v>28.65</v>
    <v>28.62</v>
    <v>28.72</v>
    <v>29.04</v>
    <v>29.43</v>
    <v>28.84</v>
    <v>28.93</v>
    <v>29.22</v>
    <v>29.25</v>
    <v>29.62</v>
    <v>29.07</v>
    <v>29</v>
    <v>28.61</v>
    <v>28.51</v>
    <v>28.4</v>
    <v>28.5</v>
    <v>28.73</v>
    <v>28.98</v>
    <v>29.35</v>
    <v>29.16</v>
    <v>29.29</v>
    <v>29.44</v>
    <v>29.17</v>
    <v>29.74</v>
    <v>29.43</v>
    <v>29.32</v>
    <v>29.26</v>
    <v>29.29</v>
    <v>28.86</v>
    <v>29.38</v>
    <v>29.14</v>
    <v>29.27</v>
    <v>29.52</v>
    <v>29.47</v>
    <v>29.32</v>
    <v>29.48</v>
    <v>29.23</v>
    <v>29.34</v>
    <v>29.28</v>
    <v>29.59</v>
    <v>29.75</v>
    <v>29.72</v>
    <v>30.14</v>
    <v>29.99</v>
    <v>29.94</v>
    <v>30.41</v>
    <v>30.77</v>
    <v>30.46</v>
    <v>30.33</v>
    <v>29.59</v>
    <v>29.87</v>
    <v>29.84</v>
    <v>29.82</v>
    <v>29.48</v>
    <v>28.93</v>
    <v>29.38</v>
    <v>29.96</v>
    <v>30.25</v>
    <v>30.72</v>
    <v>31.16</v>
    <v>31.41</v>
    <v>31.56</v>
    <v>31.63</v>
    <v>31.53</v>
    <v>31.96</v>
    <v>32.1</v>
    <v>31.85</v>
    <v>32.020000000000003</v>
    <v>32.04</v>
    <v>32.32</v>
    <v>32.99</v>
    <v>33.33</v>
    <v>33.450000000000003</v>
    <v>34.06</v>
    <v>33.71</v>
    <v>34.049999999999997</v>
    <v>34.17</v>
    <v>34.450000000000003</v>
    <v>34.56</v>
    <v>35.08</v>
    <v>35.36</v>
    <v>35.43</v>
    <v>35.96</v>
    <v>34.68</v>
    <v>33.25</v>
    <v>33.43</v>
    <v>33.19</v>
    <v>32.729999999999997</v>
    <v>32.4</v>
    <v>33.130000000000003</v>
    <v>32.909999999999997</v>
    <v>33.229999999999997</v>
    <v>32.92</v>
    <v>32.79</v>
    <v>33.19</v>
    <v>32.5</v>
    <v>31.62</v>
    <v>31.1</v>
    <v>31.41</v>
    <v>31.67</v>
    <v>32.340000000000003</v>
    <v>32.119999999999997</v>
    <v>31.88</v>
    <v>32.46</v>
    <v>32.659999999999997</v>
    <v>33.08</v>
    <v>33.46</v>
    <v>33.43</v>
    <v>34.58</v>
    <v>34.89</v>
    <v>35.1</v>
    <v>34.54</v>
    <v>35.36</v>
    <v>35.31</v>
    <v>35.24</v>
    <v>35.549999999999997</v>
    <v>35.51</v>
    <v>35.28</v>
    <v>35.28</v>
    <v>35.61</v>
    <v>35.56</v>
    <v>35.549999999999997</v>
    <v>35.659999999999997</v>
    <v>34.81</v>
    <v>35.94</v>
    <v>35.31</v>
    <v>35.67</v>
    <v>36.200000000000003</v>
    <v>35.909999999999997</v>
    <v>35.82</v>
    <v>34.630000000000003</v>
    <v>34.270000000000003</v>
    <v>34.46</v>
    <v>34.659999999999997</v>
    <v>33.619999999999997</v>
    <v>34.200000000000003</v>
    <v>34.270000000000003</v>
    <v>34.57</v>
    <v>34.51</v>
    <v>34.69</v>
    <v>35.33</v>
    <v>35.26</v>
    <v>34.92</v>
    <v>34.56</v>
    <v>34.729999999999997</v>
    <v>34.130000000000003</v>
    <v>34.299999999999997</v>
    <v>35.06</v>
    <v>34.58</v>
    <v>34.880000000000003</v>
    <v>34.67</v>
    <v>34.130000000000003</v>
    <v>34.700000000000003</v>
    <v>35.200000000000003</v>
    <v>35.46</v>
    <v>35.6</v>
    <v>35.880000000000003</v>
    <v>35.909999999999997</v>
    <v>35.950000000000003</v>
    <v>36.08</v>
    <v>36.020000000000003</v>
    <v>36.01</v>
    <v>35.630000000000003</v>
    <v>36.15</v>
    <v>36.229999999999997</v>
    <v>36.090000000000003</v>
    <v>36.44</v>
    <v>35.74</v>
    <v>36.49</v>
    <v>37.51</v>
    <v>37.08</v>
    <v>37.01</v>
    <v>36.700000000000003</v>
    <v>36.520000000000003</v>
    <v>36.28</v>
    <v>36.950000000000003</v>
    <v>37.46</v>
    <v>37.520000000000003</v>
    <v>37.22</v>
    <v>37.51</v>
    <v>37.18</v>
    <v>36.58</v>
    <v>37.25</v>
    <v>36.78</v>
    <v>36.590000000000003</v>
    <v>36.049999999999997</v>
    <v>35.68</v>
    <v>35.15</v>
    <v>35.799999999999997</v>
    <v>34.47</v>
    <v>34.299999999999997</v>
    <v>34.979999999999997</v>
    <v>35.29</v>
    <v>35.07</v>
    <v>35.19</v>
    <v>34.57</v>
    <v>34.409999999999997</v>
    <v>34.47</v>
    <v>34.22</v>
    <v>34.03</v>
    <v>33.840000000000003</v>
    <v>33.840000000000003</v>
    <v>34.07</v>
    <v>34.28</v>
    <v>34.090000000000003</v>
    <v>34.03</v>
    <v>34.049999999999997</v>
    <v>33.909999999999997</v>
    <v>32.58</v>
    <v>32.85</v>
    <v>32.6</v>
    <v>32.56</v>
    <v>31.88</v>
    <v>31.81</v>
    <v>31.9</v>
    <v>31.91</v>
    <v>31.95</v>
    <v>31.56</v>
    <v>31.44</v>
    <v>31.44</v>
    <v>31.35</v>
    <v>31.5</v>
    <v>31.86</v>
    <v>32.11</v>
    <v>31.74</v>
    <v>31.6</v>
    <v>31.56</v>
    <v>31.3</v>
    <v>31.31</v>
    <v>31.36</v>
    <v>31.09</v>
    <v>30.93</v>
    <v>30.81</v>
    <v>30.52</v>
    <v>30.73</v>
    <v>30.46</v>
    <v>31.34</v>
    <v>30.84</v>
    <v>30.89</v>
    <v>31.09</v>
    <v>31.28</v>
    <v>31.78</v>
    <v>32.090000000000003</v>
    <v>32.380000000000003</v>
    <v>32.4</v>
    <v>31.93</v>
    <v>32.020000000000003</v>
    <v>32.020000000000003</v>
    <v>31.82</v>
    <v>32.090000000000003</v>
  </a>
  <a r="1" c="254">
    <v>52.37</v>
    <v>53.85</v>
    <v>52.64</v>
    <v>57.36</v>
    <v>58.35</v>
    <v>58.56</v>
    <v>57.43</v>
    <v>55.43</v>
    <v>54</v>
    <v>53.55</v>
    <v>50.54</v>
    <v>48.19</v>
    <v>50.87</v>
    <v>50.31</v>
    <v>50.3</v>
    <v>48.6</v>
    <v>48.094999999999999</v>
    <v>47.445</v>
    <v>46.21</v>
    <v>47.3</v>
    <v>46.73</v>
    <v>43.354999999999997</v>
    <v>45.064999999999998</v>
    <v>45.46</v>
    <v>46.704999999999998</v>
    <v>46.564999999999998</v>
    <v>47.47</v>
    <v>46.234999999999999</v>
    <v>46.9</v>
    <v>47.65</v>
    <v>49.92</v>
    <v>50.35</v>
    <v>49.795000000000002</v>
    <v>50.23</v>
    <v>48.744999999999997</v>
    <v>48.78</v>
    <v>47.034999999999997</v>
    <v>46.7</v>
    <v>45.42</v>
    <v>45.01</v>
    <v>44.86</v>
    <v>47.19</v>
    <v>47.414999999999999</v>
    <v>47.454999999999998</v>
    <v>46.784999999999997</v>
    <v>46.91</v>
    <v>48.395000000000003</v>
    <v>50.63</v>
    <v>51.86</v>
    <v>52.43</v>
    <v>52.96</v>
    <v>54.58</v>
    <v>53.82</v>
    <v>54.86</v>
    <v>54.84</v>
    <v>56.8</v>
    <v>56.6</v>
    <v>57.2</v>
    <v>56.85</v>
    <v>57.51</v>
    <v>58.1</v>
    <v>57.62</v>
    <v>56.18</v>
    <v>56.59</v>
    <v>58.48</v>
    <v>57.73</v>
    <v>56.95</v>
    <v>54.84</v>
    <v>57.5</v>
    <v>53.74</v>
    <v>52.11</v>
    <v>53.82</v>
    <v>56.79</v>
    <v>57</v>
    <v>56.1</v>
    <v>53.77</v>
    <v>53.7</v>
    <v>53.65</v>
    <v>53.53</v>
    <v>55.38</v>
    <v>55.46</v>
    <v>56.1</v>
    <v>55.49</v>
    <v>55.4</v>
    <v>56.44</v>
    <v>55.7</v>
    <v>55.64</v>
    <v>57.04</v>
    <v>53.63</v>
    <v>54.7</v>
    <v>52.7</v>
    <v>51.5</v>
    <v>51.29</v>
    <v>54.29</v>
    <v>52.67</v>
    <v>52.8</v>
    <v>51.92</v>
    <v>51.35</v>
    <v>52.07</v>
    <v>51.77</v>
    <v>49.67</v>
    <v>48.825000000000003</v>
    <v>49.365000000000002</v>
    <v>49.61</v>
    <v>50.81</v>
    <v>48.97</v>
    <v>48.58</v>
    <v>48.295000000000002</v>
    <v>48.134999999999998</v>
    <v>51.22</v>
    <v>50.17</v>
    <v>48.18</v>
    <v>51.19</v>
    <v>50.5</v>
    <v>51.07</v>
    <v>50.46</v>
    <v>51.81</v>
    <v>53.09</v>
    <v>53.66</v>
    <v>54.44</v>
    <v>53.49</v>
    <v>52.5</v>
    <v>53.3</v>
    <v>55.73</v>
    <v>53.81</v>
    <v>53.74</v>
    <v>52.21</v>
    <v>51.59</v>
    <v>53.17</v>
    <v>53.78</v>
    <v>53.11</v>
    <v>55</v>
    <v>56.07</v>
    <v>54.64</v>
    <v>55.37</v>
    <v>52.83</v>
    <v>53.2</v>
    <v>51.9</v>
    <v>50.87</v>
    <v>49.51</v>
    <v>48.384999999999998</v>
    <v>49.155000000000001</v>
    <v>49.674999999999997</v>
    <v>51.1</v>
    <v>52.1</v>
    <v>52.24</v>
    <v>51.4</v>
    <v>51.4</v>
    <v>51.84</v>
    <v>52.21</v>
    <v>54</v>
    <v>51.53</v>
    <v>52.09</v>
    <v>49.56</v>
    <v>49.055</v>
    <v>46.48</v>
    <v>45.244999999999997</v>
    <v>46.02</v>
    <v>47.634999999999998</v>
    <v>49.994999999999997</v>
    <v>49.84</v>
    <v>50.36</v>
    <v>50.5</v>
    <v>50.42</v>
    <v>50.61</v>
    <v>49.86</v>
    <v>48.93</v>
    <v>47.604999999999997</v>
    <v>47.68</v>
    <v>46.69</v>
    <v>46.585000000000001</v>
    <v>47.755000000000003</v>
    <v>47.08</v>
    <v>47.15</v>
    <v>47.594999999999999</v>
    <v>45.225000000000001</v>
    <v>44.414999999999999</v>
    <v>45.734999999999999</v>
    <v>45.825000000000003</v>
    <v>44.795000000000002</v>
    <v>44.88</v>
    <v>44.11</v>
    <v>42.75</v>
    <v>41.42</v>
    <v>41.75</v>
    <v>43.704999999999998</v>
    <v>44.784999999999997</v>
    <v>43.795000000000002</v>
    <v>43.734999999999999</v>
    <v>43.265000000000001</v>
    <v>42.81</v>
    <v>41.7</v>
    <v>43.11</v>
    <v>43.164999999999999</v>
    <v>44.395000000000003</v>
    <v>45.905000000000001</v>
    <v>46.155000000000001</v>
    <v>46.5</v>
    <v>47.585000000000001</v>
    <v>46.98</v>
    <v>47.484999999999999</v>
    <v>47.905000000000001</v>
    <v>48.4</v>
    <v>48.064999999999998</v>
    <v>48.564999999999998</v>
    <v>46.14</v>
    <v>46.16</v>
    <v>45.58</v>
    <v>47.17</v>
    <v>47.2</v>
    <v>48.76</v>
    <v>48.725000000000001</v>
    <v>48.91</v>
    <v>47.73</v>
    <v>46.9</v>
    <v>46.204999999999998</v>
    <v>45.6</v>
    <v>47.34</v>
    <v>47.05</v>
    <v>47.405000000000001</v>
    <v>48.68</v>
    <v>47.594999999999999</v>
    <v>46.685000000000002</v>
    <v>45.515000000000001</v>
    <v>44.19</v>
    <v>43.715000000000003</v>
    <v>44.18</v>
    <v>45.16</v>
    <v>44.48</v>
    <v>45.5</v>
    <v>46.145000000000003</v>
    <v>45.69</v>
    <v>44.16</v>
    <v>44.28</v>
    <v>43.195</v>
    <v>43.23</v>
    <v>43.75</v>
    <v>43.15</v>
    <v>43.81</v>
    <v>44.52</v>
    <v>45.85</v>
    <v>44.305</v>
    <v>42.825000000000003</v>
    <v>43.2</v>
    <v>42.56</v>
    <v>41.62</v>
    <v>40.5</v>
    <v>39.869999999999997</v>
    <v>40.04</v>
    <v>39.875</v>
    <v>39.375</v>
    <v>39.884999999999998</v>
    <v>38.6</v>
    <v>38.375</v>
  </a>
  <a r="1" c="208">
    <v>48.395000000000003</v>
    <v>50.63</v>
    <v>51.86</v>
    <v>52.43</v>
    <v>52.96</v>
    <v>54.58</v>
    <v>53.82</v>
    <v>54.86</v>
    <v>54.84</v>
    <v>56.8</v>
    <v>56.6</v>
    <v>57.2</v>
    <v>56.85</v>
    <v>57.51</v>
    <v>58.1</v>
    <v>57.62</v>
    <v>56.18</v>
    <v>56.59</v>
    <v>58.48</v>
    <v>57.73</v>
    <v>56.95</v>
    <v>54.84</v>
    <v>57.5</v>
    <v>53.74</v>
    <v>52.11</v>
    <v>53.82</v>
    <v>56.79</v>
    <v>57</v>
    <v>56.1</v>
    <v>53.77</v>
    <v>53.7</v>
    <v>53.65</v>
    <v>53.53</v>
    <v>55.38</v>
    <v>55.46</v>
    <v>56.1</v>
    <v>55.49</v>
    <v>55.4</v>
    <v>56.44</v>
    <v>55.7</v>
    <v>55.64</v>
    <v>57.04</v>
    <v>53.63</v>
    <v>54.7</v>
    <v>52.7</v>
    <v>51.5</v>
    <v>51.29</v>
    <v>54.29</v>
    <v>52.67</v>
    <v>52.8</v>
    <v>51.92</v>
    <v>51.35</v>
    <v>52.07</v>
    <v>51.77</v>
    <v>49.67</v>
    <v>48.825000000000003</v>
    <v>49.365000000000002</v>
    <v>49.61</v>
    <v>50.81</v>
    <v>48.97</v>
    <v>48.58</v>
    <v>48.295000000000002</v>
    <v>48.134999999999998</v>
    <v>51.22</v>
    <v>50.17</v>
    <v>48.18</v>
    <v>51.19</v>
    <v>50.5</v>
    <v>51.07</v>
    <v>50.46</v>
    <v>51.81</v>
    <v>53.09</v>
    <v>53.66</v>
    <v>54.44</v>
    <v>53.49</v>
    <v>52.5</v>
    <v>53.3</v>
    <v>55.73</v>
    <v>53.81</v>
    <v>53.74</v>
    <v>52.21</v>
    <v>51.59</v>
    <v>53.17</v>
    <v>53.78</v>
    <v>53.11</v>
    <v>55</v>
    <v>56.07</v>
    <v>54.64</v>
    <v>55.37</v>
    <v>52.83</v>
    <v>53.2</v>
    <v>51.9</v>
    <v>50.87</v>
    <v>49.51</v>
    <v>48.384999999999998</v>
    <v>49.155000000000001</v>
    <v>49.674999999999997</v>
    <v>51.1</v>
    <v>52.1</v>
    <v>52.24</v>
    <v>51.4</v>
    <v>51.4</v>
    <v>51.84</v>
    <v>52.21</v>
    <v>54</v>
    <v>51.53</v>
    <v>52.09</v>
    <v>49.56</v>
    <v>49.055</v>
    <v>46.48</v>
    <v>45.244999999999997</v>
    <v>46.02</v>
    <v>47.634999999999998</v>
    <v>49.994999999999997</v>
    <v>49.84</v>
    <v>50.36</v>
    <v>50.5</v>
    <v>50.42</v>
    <v>50.61</v>
    <v>49.86</v>
    <v>48.93</v>
    <v>47.604999999999997</v>
    <v>47.68</v>
    <v>46.69</v>
    <v>46.585000000000001</v>
    <v>47.755000000000003</v>
    <v>47.08</v>
    <v>47.15</v>
    <v>47.594999999999999</v>
    <v>45.225000000000001</v>
    <v>44.414999999999999</v>
    <v>45.734999999999999</v>
    <v>45.825000000000003</v>
    <v>44.795000000000002</v>
    <v>44.88</v>
    <v>44.11</v>
    <v>42.75</v>
    <v>41.42</v>
    <v>41.75</v>
    <v>43.704999999999998</v>
    <v>44.784999999999997</v>
    <v>43.795000000000002</v>
    <v>43.734999999999999</v>
    <v>43.265000000000001</v>
    <v>42.81</v>
    <v>41.7</v>
    <v>43.11</v>
    <v>43.164999999999999</v>
    <v>44.395000000000003</v>
    <v>45.905000000000001</v>
    <v>46.155000000000001</v>
    <v>46.5</v>
    <v>47.585000000000001</v>
    <v>46.98</v>
    <v>47.484999999999999</v>
    <v>47.905000000000001</v>
    <v>48.4</v>
    <v>48.064999999999998</v>
    <v>48.564999999999998</v>
    <v>46.14</v>
    <v>46.16</v>
    <v>45.58</v>
    <v>47.17</v>
    <v>47.2</v>
    <v>48.76</v>
    <v>48.725000000000001</v>
    <v>48.91</v>
    <v>47.73</v>
    <v>46.9</v>
    <v>46.204999999999998</v>
    <v>45.6</v>
    <v>47.34</v>
    <v>47.05</v>
    <v>47.405000000000001</v>
    <v>48.68</v>
    <v>47.594999999999999</v>
    <v>46.685000000000002</v>
    <v>45.515000000000001</v>
    <v>44.19</v>
    <v>43.715000000000003</v>
    <v>44.18</v>
    <v>45.16</v>
    <v>44.48</v>
    <v>45.5</v>
    <v>46.145000000000003</v>
    <v>45.69</v>
    <v>44.16</v>
    <v>44.28</v>
    <v>43.195</v>
    <v>43.23</v>
    <v>43.75</v>
    <v>43.15</v>
    <v>43.81</v>
    <v>44.52</v>
    <v>45.85</v>
    <v>44.305</v>
    <v>42.825000000000003</v>
    <v>43.2</v>
    <v>42.56</v>
    <v>41.62</v>
    <v>40.5</v>
    <v>39.869999999999997</v>
    <v>40.04</v>
    <v>39.875</v>
    <v>39.375</v>
    <v>39.884999999999998</v>
    <v>38.6</v>
    <v>38.375</v>
  </a>
  <a r="1" c="761">
    <v>20.78</v>
    <v>21.15</v>
    <v>21.535</v>
    <v>21.245000000000001</v>
    <v>20.99</v>
    <v>20.895</v>
    <v>21.574999999999999</v>
    <v>21.77</v>
    <v>21.945</v>
    <v>21.9</v>
    <v>21.454999999999998</v>
    <v>21.995000000000001</v>
    <v>21.135000000000002</v>
    <v>21.68</v>
    <v>21.46</v>
    <v>21.91</v>
    <v>22.024999999999999</v>
    <v>21.9</v>
    <v>21.695</v>
    <v>22.08</v>
    <v>22.295000000000002</v>
    <v>22.62</v>
    <v>22.26</v>
    <v>22.295000000000002</v>
    <v>22.53</v>
    <v>22.385000000000002</v>
    <v>22.265000000000001</v>
    <v>21.83</v>
    <v>22.05</v>
    <v>22.585000000000001</v>
    <v>22.734999999999999</v>
    <v>22.754999999999999</v>
    <v>22.53</v>
    <v>22.3</v>
    <v>22.545000000000002</v>
    <v>22.66</v>
    <v>23.69</v>
    <v>22.34</v>
    <v>22.17</v>
    <v>22.61</v>
    <v>22.52</v>
    <v>22.085000000000001</v>
    <v>21.94</v>
    <v>22.16</v>
    <v>22.574999999999999</v>
    <v>22.484999999999999</v>
    <v>22.454999999999998</v>
    <v>22.425000000000001</v>
    <v>22.36</v>
    <v>22.22</v>
    <v>22.23</v>
    <v>22.305</v>
    <v>22.23</v>
    <v>22.465</v>
    <v>23.335000000000001</v>
    <v>23.35</v>
    <v>24.48</v>
    <v>25.21</v>
    <v>24.91</v>
    <v>24.204999999999998</v>
    <v>24.58</v>
    <v>24.23</v>
    <v>24.295000000000002</v>
    <v>24.47</v>
    <v>24.645</v>
    <v>24.3</v>
    <v>24.23</v>
    <v>24.515000000000001</v>
    <v>24.97</v>
    <v>25.024999999999999</v>
    <v>26.004999999999999</v>
    <v>26.14</v>
    <v>25.77</v>
    <v>26.204999999999998</v>
    <v>26.074999999999999</v>
    <v>27.7</v>
    <v>25.38</v>
    <v>26.77</v>
    <v>25.204999999999998</v>
    <v>25.1</v>
    <v>25.215</v>
    <v>25.25</v>
    <v>25.39</v>
    <v>24.914999999999999</v>
    <v>24.405000000000001</v>
    <v>24.635000000000002</v>
    <v>24.26</v>
    <v>24.225000000000001</v>
    <v>24.5</v>
    <v>24.695</v>
    <v>24.645</v>
    <v>25.335000000000001</v>
    <v>25.285</v>
    <v>25.535</v>
    <v>25.614999999999998</v>
    <v>25.94</v>
    <v>25.57</v>
    <v>25.15</v>
    <v>25.35</v>
    <v>25.4</v>
    <v>24.835000000000001</v>
    <v>25.35</v>
    <v>25.55</v>
    <v>25.31</v>
    <v>25.484999999999999</v>
    <v>26.34</v>
    <v>26.395</v>
    <v>26.504999999999999</v>
    <v>26.344999999999999</v>
    <v>26.305</v>
    <v>26.83</v>
    <v>27.395</v>
    <v>27.984999999999999</v>
    <v>27.795000000000002</v>
    <v>27.56</v>
    <v>27.175000000000001</v>
    <v>26.965</v>
    <v>27.074999999999999</v>
    <v>27.385000000000002</v>
    <v>28.315000000000001</v>
    <v>27.71</v>
    <v>26.68</v>
    <v>27</v>
    <v>26.76</v>
    <v>26.5</v>
    <v>26.315000000000001</v>
    <v>26.725000000000001</v>
    <v>26.625</v>
    <v>26.245000000000001</v>
    <v>26.55</v>
    <v>27.215</v>
    <v>26.664999999999999</v>
    <v>27.74</v>
    <v>27.35</v>
    <v>28.295000000000002</v>
    <v>28.38</v>
    <v>27.36</v>
    <v>27.73</v>
    <v>27.55</v>
    <v>27.19</v>
    <v>27.155000000000001</v>
    <v>27.375</v>
    <v>27.23</v>
    <v>27.914999999999999</v>
    <v>28.27</v>
    <v>28.335000000000001</v>
    <v>27.585000000000001</v>
    <v>27.335000000000001</v>
    <v>27.555</v>
    <v>27.6</v>
    <v>27.625</v>
    <v>27.125</v>
    <v>27.39</v>
    <v>27.48</v>
    <v>27.395</v>
    <v>26.44</v>
    <v>26.785</v>
    <v>26.785</v>
    <v>26.52</v>
    <v>26.844999999999999</v>
    <v>26.114999999999998</v>
    <v>25.954999999999998</v>
    <v>26.48</v>
    <v>26.504999999999999</v>
    <v>26.19</v>
    <v>26.614999999999998</v>
    <v>26.725000000000001</v>
    <v>26.74</v>
    <v>26.6</v>
    <v>26.43</v>
    <v>26.155000000000001</v>
    <v>26.48</v>
    <v>26.745000000000001</v>
    <v>26.99</v>
    <v>26.745000000000001</v>
    <v>26.655000000000001</v>
    <v>27.274999999999999</v>
    <v>27.454999999999998</v>
    <v>27.195</v>
    <v>27.215</v>
    <v>27.105</v>
    <v>28.045000000000002</v>
    <v>28.08</v>
    <v>28.25</v>
    <v>28.184999999999999</v>
    <v>28.01</v>
    <v>27.434999999999999</v>
    <v>26.94</v>
    <v>26.565000000000001</v>
    <v>26.38</v>
    <v>26.54</v>
    <v>26.184999999999999</v>
    <v>25.3</v>
    <v>25.73</v>
    <v>25.68</v>
    <v>25.795000000000002</v>
    <v>26.324999999999999</v>
    <v>25.355</v>
    <v>23.105</v>
    <v>22.02</v>
    <v>22.87</v>
    <v>23.91</v>
    <v>23.76</v>
    <v>23.77</v>
    <v>23.88</v>
    <v>24.21</v>
    <v>24.43</v>
    <v>24.805</v>
    <v>25</v>
    <v>24.63</v>
    <v>24.73</v>
    <v>24.704999999999998</v>
    <v>25.6</v>
    <v>25.635000000000002</v>
    <v>25.46</v>
    <v>25.1</v>
    <v>25.305</v>
    <v>25.364999999999998</v>
    <v>25.66</v>
    <v>24.63</v>
    <v>24.254999999999999</v>
    <v>24.06</v>
    <v>23.114999999999998</v>
    <v>23.51</v>
    <v>23.68</v>
    <v>24.36</v>
    <v>25.164999999999999</v>
    <v>25.1</v>
    <v>24.93</v>
    <v>25.03</v>
    <v>24.72</v>
    <v>25.55</v>
    <v>26.5</v>
    <v>27.11</v>
    <v>27.734999999999999</v>
    <v>27.754999999999999</v>
    <v>28.285</v>
    <v>28.164999999999999</v>
    <v>27.9</v>
    <v>28.72</v>
    <v>29.234999999999999</v>
    <v>29.42</v>
    <v>29.82</v>
    <v>29.74</v>
    <v>29.44</v>
    <v>29.73</v>
    <v>29.41</v>
    <v>29.61</v>
    <v>30.1</v>
    <v>30.265000000000001</v>
    <v>32.424999999999997</v>
    <v>33.465000000000003</v>
    <v>33.57</v>
    <v>33.630000000000003</v>
    <v>32.75</v>
    <v>32.454999999999998</v>
    <v>31.855</v>
    <v>32.335000000000001</v>
    <v>32.659999999999997</v>
    <v>32.67</v>
    <v>32.270000000000003</v>
    <v>31.38</v>
    <v>32.01</v>
    <v>30.405000000000001</v>
    <v>30.41</v>
    <v>31.55</v>
    <v>32.734999999999999</v>
    <v>32.9</v>
    <v>33.265000000000001</v>
    <v>32.619999999999997</v>
    <v>33.034999999999997</v>
    <v>32.994999999999997</v>
    <v>33.17</v>
    <v>34.085000000000001</v>
    <v>34.015000000000001</v>
    <v>33.96</v>
    <v>34.734999999999999</v>
    <v>35.564999999999998</v>
    <v>35</v>
    <v>34.634999999999998</v>
    <v>33.954999999999998</v>
    <v>34.1</v>
    <v>35.024999999999999</v>
    <v>34.58</v>
    <v>34.335000000000001</v>
    <v>34.784999999999997</v>
    <v>34.204999999999998</v>
    <v>34.395000000000003</v>
    <v>33.46</v>
    <v>32.79</v>
    <v>33.28</v>
    <v>33.185000000000002</v>
    <v>32.32</v>
    <v>31.8</v>
    <v>31.13</v>
    <v>31.765000000000001</v>
    <v>31.3</v>
    <v>31.254999999999999</v>
    <v>30.855</v>
    <v>31.004999999999999</v>
    <v>30.79</v>
    <v>32.090000000000003</v>
    <v>31.965</v>
    <v>33.299999999999997</v>
    <v>33.005000000000003</v>
    <v>31.33</v>
    <v>31.414999999999999</v>
    <v>31.01</v>
    <v>31.28</v>
    <v>30.965</v>
    <v>31.574999999999999</v>
    <v>31.945</v>
    <v>31.995000000000001</v>
    <v>32.090000000000003</v>
    <v>32.799999999999997</v>
    <v>33.994999999999997</v>
    <v>34.725000000000001</v>
    <v>34.200000000000003</v>
    <v>31.094999999999999</v>
    <v>30.85</v>
    <v>31.375</v>
    <v>32.164999999999999</v>
    <v>33</v>
    <v>32.5</v>
    <v>32.515000000000001</v>
    <v>32.42</v>
    <v>33.015000000000001</v>
    <v>33.04</v>
    <v>33.6</v>
    <v>32.979999999999997</v>
    <v>32.450000000000003</v>
    <v>32.04</v>
    <v>31.76</v>
    <v>31.684999999999999</v>
    <v>31.59</v>
    <v>31.79</v>
    <v>30.61</v>
    <v>30</v>
    <v>29.23</v>
    <v>28.495000000000001</v>
    <v>29.324999999999999</v>
    <v>29.355</v>
    <v>28.305</v>
    <v>27.984999999999999</v>
    <v>27.03</v>
    <v>27.32</v>
    <v>27.67</v>
    <v>26.625</v>
    <v>26.125</v>
    <v>25.965</v>
    <v>26.63</v>
    <v>26.39</v>
    <v>26.975000000000001</v>
    <v>27.905000000000001</v>
    <v>27.254999999999999</v>
    <v>28.26</v>
    <v>28.364999999999998</v>
    <v>27.855</v>
    <v>28.85</v>
    <v>28.39</v>
    <v>27.45</v>
    <v>26.895</v>
    <v>25.94</v>
    <v>25.13</v>
    <v>25.695</v>
    <v>25.7</v>
    <v>24.125</v>
    <v>22.69</v>
    <v>22.355</v>
    <v>23.465</v>
    <v>22.274999999999999</v>
    <v>23.93</v>
    <v>23.715</v>
    <v>24.305</v>
    <v>24.77</v>
    <v>24.69</v>
    <v>25.02</v>
    <v>24.675000000000001</v>
    <v>25.155000000000001</v>
    <v>26</v>
    <v>26.074999999999999</v>
    <v>26.06</v>
    <v>26.64</v>
    <v>26.39</v>
    <v>27.51</v>
    <v>27.285</v>
    <v>27.085000000000001</v>
    <v>27.88</v>
    <v>28.614999999999998</v>
    <v>28.635000000000002</v>
    <v>29.49</v>
    <v>30.015000000000001</v>
    <v>30.41</v>
    <v>30.324999999999999</v>
    <v>30.3</v>
    <v>29.95</v>
    <v>30.195</v>
    <v>30.68</v>
    <v>30.8</v>
    <v>33.78</v>
    <v>34.65</v>
    <v>35.4</v>
    <v>35.799999999999997</v>
    <v>34.704999999999998</v>
    <v>34.244999999999997</v>
    <v>33.909999999999997</v>
    <v>35</v>
    <v>35.200000000000003</v>
    <v>34.700000000000003</v>
    <v>35.305</v>
    <v>37.229999999999997</v>
    <v>36.494999999999997</v>
    <v>37.619999999999997</v>
    <v>37.954999999999998</v>
    <v>37.450000000000003</v>
    <v>39.99</v>
    <v>38.97</v>
    <v>38.799999999999997</v>
    <v>38.57</v>
    <v>38.174999999999997</v>
    <v>38.104999999999997</v>
    <v>38.67</v>
    <v>38.26</v>
    <v>38.51</v>
    <v>38.65</v>
    <v>38.6</v>
    <v>37.414999999999999</v>
    <v>37.25</v>
    <v>37.494999999999997</v>
    <v>37.159999999999997</v>
    <v>37.369999999999997</v>
    <v>37.14</v>
    <v>36.81</v>
    <v>36.984999999999999</v>
    <v>37.409999999999997</v>
    <v>38.475000000000001</v>
    <v>39.39</v>
    <v>39.39</v>
    <v>40.81</v>
    <v>41.395000000000003</v>
    <v>41.034999999999997</v>
    <v>40.47</v>
    <v>41.564999999999998</v>
    <v>42.6</v>
    <v>42.59</v>
    <v>42.6</v>
    <v>42.44</v>
    <v>42.905000000000001</v>
    <v>42.625</v>
    <v>40.549999999999997</v>
    <v>41.49</v>
    <v>42.405000000000001</v>
    <v>43.46</v>
    <v>42.664999999999999</v>
    <v>42.914999999999999</v>
    <v>42.6</v>
    <v>42.49</v>
    <v>41.56</v>
    <v>41.35</v>
    <v>41.424999999999997</v>
    <v>40.299999999999997</v>
    <v>38.895000000000003</v>
    <v>39.64</v>
    <v>41.06</v>
    <v>41.49</v>
    <v>42.46</v>
    <v>42.26</v>
    <v>42.71</v>
    <v>42.3</v>
    <v>42.44</v>
    <v>41.65</v>
    <v>42.655000000000001</v>
    <v>42.36</v>
    <v>41.64</v>
    <v>42.82</v>
    <v>42.924999999999997</v>
    <v>44.164999999999999</v>
    <v>44.6</v>
    <v>43.89</v>
    <v>45.03</v>
    <v>45.634999999999998</v>
    <v>45.22</v>
    <v>46.795000000000002</v>
    <v>49.344999999999999</v>
    <v>50.36</v>
    <v>51.3</v>
    <v>51.65</v>
    <v>49.875</v>
    <v>49.41</v>
    <v>50.12</v>
    <v>48.924999999999997</v>
    <v>49.115000000000002</v>
    <v>50.43</v>
    <v>51.5</v>
    <v>53.14</v>
    <v>52.72</v>
    <v>53.34</v>
    <v>54.01</v>
    <v>55.08</v>
    <v>57.3</v>
    <v>57.7</v>
    <v>59.8</v>
    <v>58.35</v>
    <v>54.5</v>
    <v>55.45</v>
    <v>52.89</v>
    <v>50.62</v>
    <v>52.37</v>
    <v>53.85</v>
    <v>52.64</v>
    <v>57.36</v>
    <v>58.35</v>
    <v>58.56</v>
    <v>57.43</v>
    <v>55.43</v>
    <v>54</v>
    <v>53.55</v>
    <v>50.54</v>
    <v>48.19</v>
    <v>50.87</v>
    <v>50.31</v>
    <v>50.3</v>
    <v>48.6</v>
    <v>48.094999999999999</v>
    <v>47.445</v>
    <v>46.21</v>
    <v>47.3</v>
    <v>46.73</v>
    <v>43.354999999999997</v>
    <v>45.064999999999998</v>
    <v>45.46</v>
    <v>46.704999999999998</v>
    <v>46.564999999999998</v>
    <v>47.47</v>
    <v>46.234999999999999</v>
    <v>46.9</v>
    <v>47.65</v>
    <v>49.92</v>
    <v>50.35</v>
    <v>49.795000000000002</v>
    <v>50.23</v>
    <v>48.744999999999997</v>
    <v>48.78</v>
    <v>47.034999999999997</v>
    <v>46.7</v>
    <v>45.42</v>
    <v>45.01</v>
    <v>44.86</v>
    <v>47.19</v>
    <v>47.414999999999999</v>
    <v>47.454999999999998</v>
    <v>46.784999999999997</v>
    <v>46.91</v>
    <v>48.395000000000003</v>
    <v>50.63</v>
    <v>51.86</v>
    <v>52.43</v>
    <v>52.96</v>
    <v>54.58</v>
    <v>53.82</v>
    <v>54.86</v>
    <v>54.84</v>
    <v>56.8</v>
    <v>56.6</v>
    <v>57.2</v>
    <v>56.85</v>
    <v>57.51</v>
    <v>58.1</v>
    <v>57.62</v>
    <v>56.18</v>
    <v>56.59</v>
    <v>58.48</v>
    <v>57.73</v>
    <v>56.95</v>
    <v>54.84</v>
    <v>57.5</v>
    <v>53.74</v>
    <v>52.11</v>
    <v>53.82</v>
    <v>56.79</v>
    <v>57</v>
    <v>56.1</v>
    <v>53.77</v>
    <v>53.7</v>
    <v>53.65</v>
    <v>53.53</v>
    <v>55.38</v>
    <v>55.46</v>
    <v>56.1</v>
    <v>55.49</v>
    <v>55.4</v>
    <v>56.44</v>
    <v>55.7</v>
    <v>55.64</v>
    <v>57.04</v>
    <v>53.63</v>
    <v>54.7</v>
    <v>52.7</v>
    <v>51.5</v>
    <v>51.29</v>
    <v>54.29</v>
    <v>52.67</v>
    <v>52.8</v>
    <v>51.92</v>
    <v>51.35</v>
    <v>52.07</v>
    <v>51.77</v>
    <v>49.67</v>
    <v>48.825000000000003</v>
    <v>49.365000000000002</v>
    <v>49.61</v>
    <v>50.81</v>
    <v>48.97</v>
    <v>48.58</v>
    <v>48.295000000000002</v>
    <v>48.134999999999998</v>
    <v>51.22</v>
    <v>50.17</v>
    <v>48.18</v>
    <v>51.19</v>
    <v>50.5</v>
    <v>51.07</v>
    <v>50.46</v>
    <v>51.81</v>
    <v>53.09</v>
    <v>53.66</v>
    <v>54.44</v>
    <v>53.49</v>
    <v>52.5</v>
    <v>53.3</v>
    <v>55.73</v>
    <v>53.81</v>
    <v>53.74</v>
    <v>52.21</v>
    <v>51.59</v>
    <v>53.17</v>
    <v>53.78</v>
    <v>53.11</v>
    <v>55</v>
    <v>56.07</v>
    <v>54.64</v>
    <v>55.37</v>
    <v>52.83</v>
    <v>53.2</v>
    <v>51.9</v>
    <v>50.87</v>
    <v>49.51</v>
    <v>48.384999999999998</v>
    <v>49.155000000000001</v>
    <v>49.674999999999997</v>
    <v>51.1</v>
    <v>52.1</v>
    <v>52.24</v>
    <v>51.4</v>
    <v>51.4</v>
    <v>51.84</v>
    <v>52.21</v>
    <v>54</v>
    <v>51.53</v>
    <v>52.09</v>
    <v>49.56</v>
    <v>49.055</v>
    <v>46.48</v>
    <v>45.244999999999997</v>
    <v>46.02</v>
    <v>47.634999999999998</v>
    <v>49.994999999999997</v>
    <v>49.84</v>
    <v>50.36</v>
    <v>50.5</v>
    <v>50.42</v>
    <v>50.61</v>
    <v>49.86</v>
    <v>48.93</v>
    <v>47.604999999999997</v>
    <v>47.68</v>
    <v>46.69</v>
    <v>46.585000000000001</v>
    <v>47.755000000000003</v>
    <v>47.08</v>
    <v>47.15</v>
    <v>47.594999999999999</v>
    <v>45.225000000000001</v>
    <v>44.414999999999999</v>
    <v>45.734999999999999</v>
    <v>45.825000000000003</v>
    <v>44.795000000000002</v>
    <v>44.88</v>
    <v>44.11</v>
    <v>42.75</v>
    <v>41.42</v>
    <v>41.75</v>
    <v>43.704999999999998</v>
    <v>44.784999999999997</v>
    <v>43.795000000000002</v>
    <v>43.734999999999999</v>
    <v>43.265000000000001</v>
    <v>42.81</v>
    <v>41.7</v>
    <v>43.11</v>
    <v>43.164999999999999</v>
    <v>44.395000000000003</v>
    <v>45.905000000000001</v>
    <v>46.155000000000001</v>
    <v>46.5</v>
    <v>47.585000000000001</v>
    <v>46.98</v>
    <v>47.484999999999999</v>
    <v>47.905000000000001</v>
    <v>48.4</v>
    <v>48.064999999999998</v>
    <v>48.564999999999998</v>
    <v>46.14</v>
    <v>46.16</v>
    <v>45.58</v>
    <v>47.17</v>
    <v>47.2</v>
    <v>48.76</v>
    <v>48.725000000000001</v>
    <v>48.91</v>
    <v>47.73</v>
    <v>46.9</v>
    <v>46.204999999999998</v>
    <v>45.6</v>
    <v>47.34</v>
    <v>47.05</v>
    <v>47.405000000000001</v>
    <v>48.68</v>
    <v>47.594999999999999</v>
    <v>46.685000000000002</v>
    <v>45.515000000000001</v>
    <v>44.19</v>
    <v>43.715000000000003</v>
    <v>44.18</v>
    <v>45.16</v>
    <v>44.48</v>
    <v>45.5</v>
    <v>46.145000000000003</v>
    <v>45.69</v>
    <v>44.16</v>
    <v>44.28</v>
    <v>43.195</v>
    <v>43.23</v>
    <v>43.75</v>
    <v>43.15</v>
    <v>43.81</v>
    <v>44.52</v>
    <v>45.85</v>
    <v>44.305</v>
    <v>42.825000000000003</v>
    <v>43.2</v>
    <v>42.56</v>
    <v>41.62</v>
    <v>40.5</v>
    <v>39.869999999999997</v>
    <v>40.04</v>
    <v>39.875</v>
    <v>39.375</v>
    <v>39.884999999999998</v>
    <v>38.6</v>
    <v>38.375</v>
  </a>
  <a r="1" c="761">
    <v>29.54</v>
    <v>29.75</v>
    <v>29.594999999999999</v>
    <v>29.285</v>
    <v>29.09</v>
    <v>28.99</v>
    <v>29.27</v>
    <v>29.605</v>
    <v>30.09</v>
    <v>30.34</v>
    <v>30.29</v>
    <v>30.52</v>
    <v>30.47</v>
    <v>30.59</v>
    <v>30.504999999999999</v>
    <v>30.725000000000001</v>
    <v>30.984999999999999</v>
    <v>31.105</v>
    <v>31</v>
    <v>31.074999999999999</v>
    <v>31.085000000000001</v>
    <v>31.16</v>
    <v>31.48</v>
    <v>31.405000000000001</v>
    <v>31.29</v>
    <v>31.265000000000001</v>
    <v>31.19</v>
    <v>31.29</v>
    <v>31.4</v>
    <v>31.684999999999999</v>
    <v>31.62</v>
    <v>31.79</v>
    <v>31.88</v>
    <v>31.93</v>
    <v>32.119999999999997</v>
    <v>32.18</v>
    <v>32.26</v>
    <v>32.32</v>
    <v>32.270000000000003</v>
    <v>32.54</v>
    <v>32.515000000000001</v>
    <v>32.57</v>
    <v>32.704999999999998</v>
    <v>32.465000000000003</v>
    <v>32.604999999999997</v>
    <v>32.49</v>
    <v>32.630000000000003</v>
    <v>32.545000000000002</v>
    <v>32.64</v>
    <v>32.494999999999997</v>
    <v>32.49</v>
    <v>32.44</v>
    <v>32.545000000000002</v>
    <v>32.854999999999997</v>
    <v>32.895000000000003</v>
    <v>32.770000000000003</v>
    <v>33.015000000000001</v>
    <v>33.07</v>
    <v>33.22</v>
    <v>33</v>
    <v>33.119999999999997</v>
    <v>33.270000000000003</v>
    <v>33.664999999999999</v>
    <v>33.64</v>
    <v>33.86</v>
    <v>34.064999999999998</v>
    <v>34.034999999999997</v>
    <v>34.195</v>
    <v>34.31</v>
    <v>33.994999999999997</v>
    <v>33.844999999999999</v>
    <v>34.33</v>
    <v>34.475000000000001</v>
    <v>34.549999999999997</v>
    <v>34.74</v>
    <v>34.795000000000002</v>
    <v>34.92</v>
    <v>35.225000000000001</v>
    <v>34.835000000000001</v>
    <v>34.884999999999998</v>
    <v>35.020000000000003</v>
    <v>35.200000000000003</v>
    <v>35.115000000000002</v>
    <v>34.645000000000003</v>
    <v>34.555</v>
    <v>35.35</v>
    <v>35.450000000000003</v>
    <v>35.33</v>
    <v>35.229999999999997</v>
    <v>35.270000000000003</v>
    <v>35.33</v>
    <v>35.67</v>
    <v>35.68</v>
    <v>35.380000000000003</v>
    <v>35.5</v>
    <v>35.76</v>
    <v>35.76</v>
    <v>35.47</v>
    <v>35.854999999999997</v>
    <v>35.814999999999998</v>
    <v>35.82</v>
    <v>35.564999999999998</v>
    <v>35.914999999999999</v>
    <v>35.96</v>
    <v>36.06</v>
    <v>36.634999999999998</v>
    <v>36.65</v>
    <v>36.494999999999997</v>
    <v>36.575000000000003</v>
    <v>36.49</v>
    <v>36.734999999999999</v>
    <v>36.369999999999997</v>
    <v>36.365000000000002</v>
    <v>36.335000000000001</v>
    <v>36.055</v>
    <v>36.145000000000003</v>
    <v>35.89</v>
    <v>36.1</v>
    <v>36.155000000000001</v>
    <v>36.284999999999997</v>
    <v>36.159999999999997</v>
    <v>35.64</v>
    <v>35.369999999999997</v>
    <v>35.435000000000002</v>
    <v>35.04</v>
    <v>35.005000000000003</v>
    <v>35.475000000000001</v>
    <v>35.524999999999999</v>
    <v>35.064999999999998</v>
    <v>35.96</v>
    <v>35.880000000000003</v>
    <v>35.770000000000003</v>
    <v>35.520000000000003</v>
    <v>35.770000000000003</v>
    <v>36.1</v>
    <v>36.314999999999998</v>
    <v>36.274999999999999</v>
    <v>36.325000000000003</v>
    <v>36.479999999999997</v>
    <v>36.380000000000003</v>
    <v>36.384999999999998</v>
    <v>36.72</v>
    <v>36.9</v>
    <v>36.704999999999998</v>
    <v>36.950000000000003</v>
    <v>36.93</v>
    <v>36.945</v>
    <v>37.174999999999997</v>
    <v>36.945</v>
    <v>37.08</v>
    <v>36.965000000000003</v>
    <v>36.9</v>
    <v>36.704999999999998</v>
    <v>36.414999999999999</v>
    <v>36.71</v>
    <v>36.725000000000001</v>
    <v>37.195</v>
    <v>37.305</v>
    <v>37.534999999999997</v>
    <v>37.68</v>
    <v>37.54</v>
    <v>37.795000000000002</v>
    <v>37.895000000000003</v>
    <v>38.075000000000003</v>
    <v>38.04</v>
    <v>38.25</v>
    <v>38.395000000000003</v>
    <v>38.61</v>
    <v>38.375</v>
    <v>38.305</v>
    <v>38.384999999999998</v>
    <v>38.384999999999998</v>
    <v>38.375</v>
    <v>38.54</v>
    <v>38.215000000000003</v>
    <v>38.229999999999997</v>
    <v>38.414999999999999</v>
    <v>38.494999999999997</v>
    <v>38.58</v>
    <v>38.674999999999997</v>
    <v>38.755000000000003</v>
    <v>38.954999999999998</v>
    <v>38.869999999999997</v>
    <v>39.11</v>
    <v>39.090000000000003</v>
    <v>39.075000000000003</v>
    <v>38.520000000000003</v>
    <v>38.229999999999997</v>
    <v>38.024999999999999</v>
    <v>38.274999999999999</v>
    <v>38.685000000000002</v>
    <v>37.869999999999997</v>
    <v>37.590000000000003</v>
    <v>37.58</v>
    <v>37.704999999999998</v>
    <v>37.634999999999998</v>
    <v>38.274999999999999</v>
    <v>37.924999999999997</v>
    <v>36.33</v>
    <v>35.515000000000001</v>
    <v>35.86</v>
    <v>36.24</v>
    <v>36.22</v>
    <v>36.384999999999998</v>
    <v>36.46</v>
    <v>36.954999999999998</v>
    <v>36.935000000000002</v>
    <v>37.774999999999999</v>
    <v>37.954999999999998</v>
    <v>37.975000000000001</v>
    <v>37.97</v>
    <v>38.045000000000002</v>
    <v>38.055</v>
    <v>38.049999999999997</v>
    <v>38.03</v>
    <v>37.965000000000003</v>
    <v>38.314999999999998</v>
    <v>38.130000000000003</v>
    <v>38.409999999999997</v>
    <v>38.005000000000003</v>
    <v>37.51</v>
    <v>37.215000000000003</v>
    <v>36.755000000000003</v>
    <v>37.155000000000001</v>
    <v>37.340000000000003</v>
    <v>37.200000000000003</v>
    <v>38.024999999999999</v>
    <v>38.340000000000003</v>
    <v>38.145000000000003</v>
    <v>38.42</v>
    <v>38.125</v>
    <v>38.685000000000002</v>
    <v>38.354999999999997</v>
    <v>38.58</v>
    <v>38.58</v>
    <v>38.71</v>
    <v>38.83</v>
    <v>38.895000000000003</v>
    <v>38.765000000000001</v>
    <v>38.770000000000003</v>
    <v>38.844999999999999</v>
    <v>38.844999999999999</v>
    <v>39.045000000000002</v>
    <v>39.185000000000002</v>
    <v>39.305</v>
    <v>39.545000000000002</v>
    <v>39.575000000000003</v>
    <v>39.67</v>
    <v>40.045000000000002</v>
    <v>39.99</v>
    <v>40.049999999999997</v>
    <v>40.405000000000001</v>
    <v>40.284999999999997</v>
    <v>40.11</v>
    <v>40.200000000000003</v>
    <v>40.01</v>
    <v>40.08</v>
    <v>40.284999999999997</v>
    <v>40.25</v>
    <v>40.299999999999997</v>
    <v>40.145000000000003</v>
    <v>39.284999999999997</v>
    <v>39.61</v>
    <v>39.299999999999997</v>
    <v>39.5</v>
    <v>40.725000000000001</v>
    <v>41.055</v>
    <v>41.445</v>
    <v>42.024999999999999</v>
    <v>41.884999999999998</v>
    <v>41.984999999999999</v>
    <v>41.88</v>
    <v>41.28</v>
    <v>41.31</v>
    <v>41.305</v>
    <v>41.36</v>
    <v>41.755000000000003</v>
    <v>42.21</v>
    <v>42.14</v>
    <v>42.164999999999999</v>
    <v>41.715000000000003</v>
    <v>41.924999999999997</v>
    <v>42.125</v>
    <v>42.505000000000003</v>
    <v>42.42</v>
    <v>42.71</v>
    <v>42.715000000000003</v>
    <v>42.765000000000001</v>
    <v>42.53</v>
    <v>42.685000000000002</v>
    <v>42.994999999999997</v>
    <v>42.975000000000001</v>
    <v>42.55</v>
    <v>42.744999999999997</v>
    <v>42.594999999999999</v>
    <v>42.76</v>
    <v>41.954999999999998</v>
    <v>41.96</v>
    <v>41.835000000000001</v>
    <v>42.01</v>
    <v>41.774999999999999</v>
    <v>42.195</v>
    <v>42.195</v>
    <v>42.59</v>
    <v>42.125</v>
    <v>42.12</v>
    <v>42.094999999999999</v>
    <v>41.72</v>
    <v>41.5</v>
    <v>41.445</v>
    <v>42.15</v>
    <v>42.325000000000003</v>
    <v>42.715000000000003</v>
    <v>42.44</v>
    <v>42.56</v>
    <v>43.045000000000002</v>
    <v>43.134999999999998</v>
    <v>42.95</v>
    <v>41.895000000000003</v>
    <v>42.42</v>
    <v>42.555</v>
    <v>42.384999999999998</v>
    <v>42.91</v>
    <v>42.46</v>
    <v>42.36</v>
    <v>42.174999999999997</v>
    <v>42.7</v>
    <v>42.604999999999997</v>
    <v>42.814999999999998</v>
    <v>42.59</v>
    <v>42.17</v>
    <v>42.47</v>
    <v>42.305</v>
    <v>42.575000000000003</v>
    <v>42.66</v>
    <v>42.805</v>
    <v>42.475000000000001</v>
    <v>42.54</v>
    <v>41.99</v>
    <v>41.3</v>
    <v>41.84</v>
    <v>41.784999999999997</v>
    <v>41.27</v>
    <v>41.335000000000001</v>
    <v>39.945</v>
    <v>39.484999999999999</v>
    <v>39.615000000000002</v>
    <v>38.729999999999997</v>
    <v>38.5</v>
    <v>37.594999999999999</v>
    <v>38.06</v>
    <v>37.799999999999997</v>
    <v>38.28</v>
    <v>38.354999999999997</v>
    <v>38.155000000000001</v>
    <v>38.564999999999998</v>
    <v>38.659999999999997</v>
    <v>38.54</v>
    <v>39.325000000000003</v>
    <v>39.365000000000002</v>
    <v>39.08</v>
    <v>38.9</v>
    <v>38.104999999999997</v>
    <v>37.630000000000003</v>
    <v>38.265000000000001</v>
    <v>38.195</v>
    <v>36.484999999999999</v>
    <v>34.96</v>
    <v>33.909999999999997</v>
    <v>35.125</v>
    <v>33.43</v>
    <v>34.825000000000003</v>
    <v>34.53</v>
    <v>35.51</v>
    <v>35.85</v>
    <v>35.270000000000003</v>
    <v>34.909999999999997</v>
    <v>34.604999999999997</v>
    <v>35.69</v>
    <v>35.97</v>
    <v>36.265000000000001</v>
    <v>36.295000000000002</v>
    <v>36.450000000000003</v>
    <v>36.619999999999997</v>
    <v>37.770000000000003</v>
    <v>37.905000000000001</v>
    <v>37.65</v>
    <v>37.435000000000002</v>
    <v>38.090000000000003</v>
    <v>38.06</v>
    <v>39.225000000000001</v>
    <v>39.484999999999999</v>
    <v>39.5</v>
    <v>39.74</v>
    <v>40.08</v>
    <v>39.85</v>
    <v>39.954999999999998</v>
    <v>39.674999999999997</v>
    <v>39.414999999999999</v>
    <v>38.924999999999997</v>
    <v>39.28</v>
    <v>39.659999999999997</v>
    <v>39.704999999999998</v>
    <v>39.57</v>
    <v>39.475000000000001</v>
    <v>39.215000000000003</v>
    <v>39.72</v>
    <v>39.715000000000003</v>
    <v>39.68</v>
    <v>39.86</v>
    <v>39.844999999999999</v>
    <v>40.01</v>
    <v>39.99</v>
    <v>39.615000000000002</v>
    <v>39.375</v>
    <v>39.545000000000002</v>
    <v>39.375</v>
    <v>39.354999999999997</v>
    <v>39.015000000000001</v>
    <v>39.094999999999999</v>
    <v>39.015000000000001</v>
    <v>39.409999999999997</v>
    <v>39.435000000000002</v>
    <v>39.450000000000003</v>
    <v>39.840000000000003</v>
    <v>39.704999999999998</v>
    <v>39.575000000000003</v>
    <v>39.645000000000003</v>
    <v>40.049999999999997</v>
    <v>39.755000000000003</v>
    <v>39.865000000000002</v>
    <v>39.909999999999997</v>
    <v>40.085000000000001</v>
    <v>40.35</v>
    <v>40.125</v>
    <v>40.17</v>
    <v>40.505000000000003</v>
    <v>39.984999999999999</v>
    <v>40.784999999999997</v>
    <v>40.645000000000003</v>
    <v>40.674999999999997</v>
    <v>40.465000000000003</v>
    <v>40.755000000000003</v>
    <v>40.78</v>
    <v>40.945</v>
    <v>41.265000000000001</v>
    <v>41.45</v>
    <v>41.655000000000001</v>
    <v>41.75</v>
    <v>40.524999999999999</v>
    <v>41.094999999999999</v>
    <v>41.01</v>
    <v>40.96</v>
    <v>40.98</v>
    <v>41.094999999999999</v>
    <v>41.34</v>
    <v>41.25</v>
    <v>41.36</v>
    <v>41.51</v>
    <v>41.545000000000002</v>
    <v>41.51</v>
    <v>41.225000000000001</v>
    <v>41.435000000000002</v>
    <v>41.66</v>
    <v>41.704999999999998</v>
    <v>41.58</v>
    <v>41.914999999999999</v>
    <v>41.7</v>
    <v>41.395000000000003</v>
    <v>41.505000000000003</v>
    <v>40.98</v>
    <v>41.4</v>
    <v>41.66</v>
    <v>41.28</v>
    <v>41.545000000000002</v>
    <v>41.52</v>
    <v>41.755000000000003</v>
    <v>42</v>
    <v>42.07</v>
    <v>42.164999999999999</v>
    <v>41.74</v>
    <v>41.7</v>
    <v>42.28</v>
    <v>42.244999999999997</v>
    <v>42.2</v>
    <v>42.25</v>
    <v>42.155000000000001</v>
    <v>42.115000000000002</v>
    <v>42.16</v>
    <v>42.424999999999997</v>
    <v>42.395000000000003</v>
    <v>42.744999999999997</v>
    <v>42.89</v>
    <v>43.03</v>
    <v>43.31</v>
    <v>43.305</v>
    <v>43.615000000000002</v>
    <v>43.674999999999997</v>
    <v>42.844999999999999</v>
    <v>43.055</v>
    <v>42.805</v>
    <v>43.104999999999997</v>
    <v>43.09</v>
    <v>42.704999999999998</v>
    <v>43.34</v>
    <v>43.47</v>
    <v>43.344999999999999</v>
    <v>43.45</v>
    <v>43.805</v>
    <v>44.204999999999998</v>
    <v>44.314999999999998</v>
    <v>44.4</v>
    <v>44.53</v>
    <v>44.395000000000003</v>
    <v>44.58</v>
    <v>44.295000000000002</v>
    <v>44.395000000000003</v>
    <v>43.54</v>
    <v>42.875</v>
    <v>43.84</v>
    <v>43.98</v>
    <v>44.225000000000001</v>
    <v>43.645000000000003</v>
    <v>43.51</v>
    <v>43.44</v>
    <v>42.744999999999997</v>
    <v>42.935000000000002</v>
    <v>43.29</v>
    <v>42.795000000000002</v>
    <v>43.375</v>
    <v>43.35</v>
    <v>43.835000000000001</v>
    <v>43.825000000000003</v>
    <v>43.9</v>
    <v>43.765000000000001</v>
    <v>43.69</v>
    <v>43.72</v>
    <v>43.854999999999997</v>
    <v>44.064999999999998</v>
    <v>43.97</v>
    <v>44.005000000000003</v>
    <v>43.85</v>
    <v>43.75</v>
    <v>43.52</v>
    <v>43.755000000000003</v>
    <v>43.465000000000003</v>
    <v>43.244999999999997</v>
    <v>43.774999999999999</v>
    <v>43.954999999999998</v>
    <v>44.14</v>
    <v>44.244999999999997</v>
    <v>44.215000000000003</v>
    <v>44.31</v>
    <v>43.965000000000003</v>
    <v>44.524999999999999</v>
    <v>44.61</v>
    <v>44.96</v>
    <v>44.924999999999997</v>
    <v>45.22</v>
    <v>45.12</v>
    <v>45.08</v>
    <v>44.86</v>
    <v>45.28</v>
    <v>45.23</v>
    <v>44.52</v>
    <v>44.13</v>
    <v>44.265000000000001</v>
    <v>44.61</v>
    <v>44.56</v>
    <v>44.36</v>
    <v>44.23</v>
    <v>44.335000000000001</v>
    <v>43.555</v>
    <v>43.954999999999998</v>
    <v>44.384999999999998</v>
    <v>43.88</v>
    <v>43.695</v>
    <v>43.22</v>
    <v>43.67</v>
    <v>44.03</v>
    <v>44.05</v>
    <v>43.814999999999998</v>
    <v>43.48</v>
    <v>43.36</v>
    <v>43.36</v>
    <v>43.36</v>
    <v>43.734999999999999</v>
    <v>43.634999999999998</v>
    <v>43.854999999999997</v>
    <v>43.41</v>
    <v>43.505000000000003</v>
    <v>43.89</v>
    <v>43.78</v>
    <v>43.6</v>
    <v>43.655000000000001</v>
    <v>43.155000000000001</v>
    <v>43.685000000000002</v>
    <v>43.494999999999997</v>
    <v>43.094999999999999</v>
    <v>42.835000000000001</v>
    <v>43.395000000000003</v>
    <v>43.225000000000001</v>
    <v>42.965000000000003</v>
    <v>42.89</v>
    <v>43.02</v>
    <v>43.03</v>
    <v>42.76</v>
    <v>41.96</v>
    <v>41.515000000000001</v>
    <v>41.63</v>
    <v>41.424999999999997</v>
    <v>41.844999999999999</v>
    <v>41.32</v>
    <v>40.634999999999998</v>
    <v>40.96</v>
    <v>40.99</v>
    <v>42.01</v>
    <v>41.954999999999998</v>
    <v>41.64</v>
    <v>42.825000000000003</v>
    <v>42.645000000000003</v>
    <v>42.74</v>
    <v>42.89</v>
    <v>43.54</v>
    <v>43.914999999999999</v>
    <v>44.255000000000003</v>
    <v>44.914999999999999</v>
    <v>44.67</v>
    <v>44.74</v>
    <v>44.83</v>
    <v>44.85</v>
    <v>44.93</v>
    <v>44.984999999999999</v>
    <v>44.875</v>
    <v>45</v>
    <v>45.2</v>
    <v>45.295000000000002</v>
    <v>45.524999999999999</v>
    <v>46.234999999999999</v>
    <v>46.384999999999998</v>
    <v>46.375</v>
    <v>46.505000000000003</v>
    <v>46.104999999999997</v>
    <v>46.664999999999999</v>
    <v>47.24</v>
    <v>46.86</v>
    <v>46.634999999999998</v>
    <v>46.59</v>
    <v>46.905000000000001</v>
    <v>46.94</v>
    <v>47.395000000000003</v>
    <v>47.854999999999997</v>
    <v>47.45</v>
    <v>47.395000000000003</v>
    <v>47.515000000000001</v>
    <v>47.67</v>
    <v>47.924999999999997</v>
    <v>47.89</v>
    <v>47.445</v>
    <v>47.744999999999997</v>
    <v>47.354999999999997</v>
    <v>47.125</v>
    <v>46.53</v>
    <v>46.435000000000002</v>
    <v>46.29</v>
    <v>47.185000000000002</v>
    <v>47.82</v>
    <v>47.7</v>
    <v>47.615000000000002</v>
    <v>47.71</v>
    <v>47.85</v>
    <v>47.84</v>
    <v>47.445</v>
    <v>47.84</v>
    <v>47.48</v>
    <v>47.484999999999999</v>
    <v>47.52</v>
    <v>48.08</v>
    <v>48.5</v>
    <v>48.12</v>
    <v>48.29</v>
    <v>48.52</v>
    <v>48.284999999999997</v>
    <v>47.69</v>
    <v>48.08</v>
    <v>48.354999999999997</v>
    <v>48.445</v>
    <v>48.24</v>
    <v>48.375</v>
    <v>48.335000000000001</v>
    <v>47.65</v>
    <v>47.92</v>
    <v>47.99</v>
    <v>48.094999999999999</v>
    <v>47.09</v>
    <v>47.424999999999997</v>
    <v>47.325000000000003</v>
    <v>47.66</v>
    <v>47.36</v>
    <v>47.32</v>
    <v>47.784999999999997</v>
    <v>48.82</v>
    <v>49.494999999999997</v>
    <v>49.685000000000002</v>
    <v>49.58</v>
    <v>49.895000000000003</v>
    <v>49.884999999999998</v>
    <v>49.795000000000002</v>
    <v>49.784999999999997</v>
    <v>50.04</v>
    <v>50</v>
    <v>49.884999999999998</v>
    <v>49.305</v>
    <v>49.25</v>
    <v>48.905000000000001</v>
    <v>49.18</v>
    <v>49.09</v>
    <v>49.22</v>
    <v>49.15</v>
    <v>49.6</v>
    <v>49.94</v>
    <v>49.414999999999999</v>
    <v>49.13</v>
    <v>49.244999999999997</v>
    <v>49.765000000000001</v>
    <v>49.575000000000003</v>
    <v>49.445</v>
    <v>49.265000000000001</v>
    <v>48.805</v>
    <v>48.465000000000003</v>
    <v>48.945</v>
    <v>49.01</v>
    <v>48.814999999999998</v>
    <v>49.064999999999998</v>
    <v>49.475000000000001</v>
    <v>49.244999999999997</v>
    <v>49.96</v>
    <v>50.2</v>
    <v>50.1</v>
    <v>49.774999999999999</v>
    <v>50.09</v>
    <v>49.97</v>
    <v>50.05</v>
    <v>50.26</v>
    <v>50.21</v>
    <v>50.62</v>
    <v>51.04</v>
    <v>51.4</v>
    <v>51.21</v>
    <v>50.91</v>
    <v>51.18</v>
    <v>51.38</v>
    <v>51.22</v>
    <v>51.19</v>
    <v>50.87</v>
    <v>50.69</v>
    <v>50.75</v>
    <v>50.79</v>
    <v>51.04</v>
    <v>50.74</v>
    <v>50.58</v>
  </a>
  <a r="1" c="208">
    <v>43.965000000000003</v>
    <v>44.524999999999999</v>
    <v>44.61</v>
    <v>44.96</v>
    <v>44.924999999999997</v>
    <v>45.22</v>
    <v>45.12</v>
    <v>45.08</v>
    <v>44.86</v>
    <v>45.28</v>
    <v>45.23</v>
    <v>44.52</v>
    <v>44.13</v>
    <v>44.265000000000001</v>
    <v>44.61</v>
    <v>44.56</v>
    <v>44.36</v>
    <v>44.23</v>
    <v>44.335000000000001</v>
    <v>43.555</v>
    <v>43.954999999999998</v>
    <v>44.384999999999998</v>
    <v>43.88</v>
    <v>43.695</v>
    <v>43.22</v>
    <v>43.67</v>
    <v>44.03</v>
    <v>44.05</v>
    <v>43.814999999999998</v>
    <v>43.48</v>
    <v>43.36</v>
    <v>43.36</v>
    <v>43.36</v>
    <v>43.734999999999999</v>
    <v>43.634999999999998</v>
    <v>43.854999999999997</v>
    <v>43.41</v>
    <v>43.505000000000003</v>
    <v>43.89</v>
    <v>43.78</v>
    <v>43.6</v>
    <v>43.655000000000001</v>
    <v>43.155000000000001</v>
    <v>43.685000000000002</v>
    <v>43.494999999999997</v>
    <v>43.094999999999999</v>
    <v>42.835000000000001</v>
    <v>43.395000000000003</v>
    <v>43.225000000000001</v>
    <v>42.965000000000003</v>
    <v>42.89</v>
    <v>43.02</v>
    <v>43.03</v>
    <v>42.76</v>
    <v>41.96</v>
    <v>41.515000000000001</v>
    <v>41.63</v>
    <v>41.424999999999997</v>
    <v>41.844999999999999</v>
    <v>41.32</v>
    <v>40.634999999999998</v>
    <v>40.96</v>
    <v>40.99</v>
    <v>42.01</v>
    <v>41.954999999999998</v>
    <v>41.64</v>
    <v>42.825000000000003</v>
    <v>42.645000000000003</v>
    <v>42.74</v>
    <v>42.89</v>
    <v>43.54</v>
    <v>43.914999999999999</v>
    <v>44.255000000000003</v>
    <v>44.914999999999999</v>
    <v>44.67</v>
    <v>44.74</v>
    <v>44.83</v>
    <v>44.85</v>
    <v>44.93</v>
    <v>44.984999999999999</v>
    <v>44.875</v>
    <v>45</v>
    <v>45.2</v>
    <v>45.295000000000002</v>
    <v>45.524999999999999</v>
    <v>46.234999999999999</v>
    <v>46.384999999999998</v>
    <v>46.375</v>
    <v>46.505000000000003</v>
    <v>46.104999999999997</v>
    <v>46.664999999999999</v>
    <v>47.24</v>
    <v>46.86</v>
    <v>46.634999999999998</v>
    <v>46.59</v>
    <v>46.905000000000001</v>
    <v>46.94</v>
    <v>47.395000000000003</v>
    <v>47.854999999999997</v>
    <v>47.45</v>
    <v>47.395000000000003</v>
    <v>47.515000000000001</v>
    <v>47.67</v>
    <v>47.924999999999997</v>
    <v>47.89</v>
    <v>47.445</v>
    <v>47.744999999999997</v>
    <v>47.354999999999997</v>
    <v>47.125</v>
    <v>46.53</v>
    <v>46.435000000000002</v>
    <v>46.29</v>
    <v>47.185000000000002</v>
    <v>47.82</v>
    <v>47.7</v>
    <v>47.615000000000002</v>
    <v>47.71</v>
    <v>47.85</v>
    <v>47.84</v>
    <v>47.445</v>
    <v>47.84</v>
    <v>47.48</v>
    <v>47.484999999999999</v>
    <v>47.52</v>
    <v>48.08</v>
    <v>48.5</v>
    <v>48.12</v>
    <v>48.29</v>
    <v>48.52</v>
    <v>48.284999999999997</v>
    <v>47.69</v>
    <v>48.08</v>
    <v>48.354999999999997</v>
    <v>48.445</v>
    <v>48.24</v>
    <v>48.375</v>
    <v>48.335000000000001</v>
    <v>47.65</v>
    <v>47.92</v>
    <v>47.99</v>
    <v>48.094999999999999</v>
    <v>47.09</v>
    <v>47.424999999999997</v>
    <v>47.325000000000003</v>
    <v>47.66</v>
    <v>47.36</v>
    <v>47.32</v>
    <v>47.784999999999997</v>
    <v>48.82</v>
    <v>49.494999999999997</v>
    <v>49.685000000000002</v>
    <v>49.58</v>
    <v>49.895000000000003</v>
    <v>49.884999999999998</v>
    <v>49.795000000000002</v>
    <v>49.784999999999997</v>
    <v>50.04</v>
    <v>50</v>
    <v>49.884999999999998</v>
    <v>49.305</v>
    <v>49.25</v>
    <v>48.905000000000001</v>
    <v>49.18</v>
    <v>49.09</v>
    <v>49.22</v>
    <v>49.15</v>
    <v>49.6</v>
    <v>49.94</v>
    <v>49.414999999999999</v>
    <v>49.13</v>
    <v>49.244999999999997</v>
    <v>49.765000000000001</v>
    <v>49.575000000000003</v>
    <v>49.445</v>
    <v>49.265000000000001</v>
    <v>48.805</v>
    <v>48.465000000000003</v>
    <v>48.945</v>
    <v>49.01</v>
    <v>48.814999999999998</v>
    <v>49.064999999999998</v>
    <v>49.475000000000001</v>
    <v>49.244999999999997</v>
    <v>49.96</v>
    <v>50.2</v>
    <v>50.1</v>
    <v>49.774999999999999</v>
    <v>50.09</v>
    <v>49.97</v>
    <v>50.05</v>
    <v>50.26</v>
    <v>50.21</v>
    <v>50.62</v>
    <v>51.04</v>
    <v>51.4</v>
    <v>51.21</v>
    <v>50.91</v>
    <v>51.18</v>
    <v>51.38</v>
    <v>51.22</v>
    <v>51.19</v>
    <v>50.87</v>
    <v>50.69</v>
    <v>50.75</v>
    <v>50.79</v>
    <v>51.04</v>
    <v>50.74</v>
    <v>50.58</v>
  </a>
  <a r="1" c="254">
    <v>43.45</v>
    <v>43.805</v>
    <v>44.204999999999998</v>
    <v>44.314999999999998</v>
    <v>44.4</v>
    <v>44.53</v>
    <v>44.395000000000003</v>
    <v>44.58</v>
    <v>44.295000000000002</v>
    <v>44.395000000000003</v>
    <v>43.54</v>
    <v>42.875</v>
    <v>43.84</v>
    <v>43.98</v>
    <v>44.225000000000001</v>
    <v>43.645000000000003</v>
    <v>43.51</v>
    <v>43.44</v>
    <v>42.744999999999997</v>
    <v>42.935000000000002</v>
    <v>43.29</v>
    <v>42.795000000000002</v>
    <v>43.375</v>
    <v>43.35</v>
    <v>43.835000000000001</v>
    <v>43.825000000000003</v>
    <v>43.9</v>
    <v>43.765000000000001</v>
    <v>43.69</v>
    <v>43.72</v>
    <v>43.854999999999997</v>
    <v>44.064999999999998</v>
    <v>43.97</v>
    <v>44.005000000000003</v>
    <v>43.85</v>
    <v>43.75</v>
    <v>43.52</v>
    <v>43.755000000000003</v>
    <v>43.465000000000003</v>
    <v>43.244999999999997</v>
    <v>43.774999999999999</v>
    <v>43.954999999999998</v>
    <v>44.14</v>
    <v>44.244999999999997</v>
    <v>44.215000000000003</v>
    <v>44.31</v>
    <v>43.965000000000003</v>
    <v>44.524999999999999</v>
    <v>44.61</v>
    <v>44.96</v>
    <v>44.924999999999997</v>
    <v>45.22</v>
    <v>45.12</v>
    <v>45.08</v>
    <v>44.86</v>
    <v>45.28</v>
    <v>45.23</v>
    <v>44.52</v>
    <v>44.13</v>
    <v>44.265000000000001</v>
    <v>44.61</v>
    <v>44.56</v>
    <v>44.36</v>
    <v>44.23</v>
    <v>44.335000000000001</v>
    <v>43.555</v>
    <v>43.954999999999998</v>
    <v>44.384999999999998</v>
    <v>43.88</v>
    <v>43.695</v>
    <v>43.22</v>
    <v>43.67</v>
    <v>44.03</v>
    <v>44.05</v>
    <v>43.814999999999998</v>
    <v>43.48</v>
    <v>43.36</v>
    <v>43.36</v>
    <v>43.36</v>
    <v>43.734999999999999</v>
    <v>43.634999999999998</v>
    <v>43.854999999999997</v>
    <v>43.41</v>
    <v>43.505000000000003</v>
    <v>43.89</v>
    <v>43.78</v>
    <v>43.6</v>
    <v>43.655000000000001</v>
    <v>43.155000000000001</v>
    <v>43.685000000000002</v>
    <v>43.494999999999997</v>
    <v>43.094999999999999</v>
    <v>42.835000000000001</v>
    <v>43.395000000000003</v>
    <v>43.225000000000001</v>
    <v>42.965000000000003</v>
    <v>42.89</v>
    <v>43.02</v>
    <v>43.03</v>
    <v>42.76</v>
    <v>41.96</v>
    <v>41.515000000000001</v>
    <v>41.63</v>
    <v>41.424999999999997</v>
    <v>41.844999999999999</v>
    <v>41.32</v>
    <v>40.634999999999998</v>
    <v>40.96</v>
    <v>40.99</v>
    <v>42.01</v>
    <v>41.954999999999998</v>
    <v>41.64</v>
    <v>42.825000000000003</v>
    <v>42.645000000000003</v>
    <v>42.74</v>
    <v>42.89</v>
    <v>43.54</v>
    <v>43.914999999999999</v>
    <v>44.255000000000003</v>
    <v>44.914999999999999</v>
    <v>44.67</v>
    <v>44.74</v>
    <v>44.83</v>
    <v>44.85</v>
    <v>44.93</v>
    <v>44.984999999999999</v>
    <v>44.875</v>
    <v>45</v>
    <v>45.2</v>
    <v>45.295000000000002</v>
    <v>45.524999999999999</v>
    <v>46.234999999999999</v>
    <v>46.384999999999998</v>
    <v>46.375</v>
    <v>46.505000000000003</v>
    <v>46.104999999999997</v>
    <v>46.664999999999999</v>
    <v>47.24</v>
    <v>46.86</v>
    <v>46.634999999999998</v>
    <v>46.59</v>
    <v>46.905000000000001</v>
    <v>46.94</v>
    <v>47.395000000000003</v>
    <v>47.854999999999997</v>
    <v>47.45</v>
    <v>47.395000000000003</v>
    <v>47.515000000000001</v>
    <v>47.67</v>
    <v>47.924999999999997</v>
    <v>47.89</v>
    <v>47.445</v>
    <v>47.744999999999997</v>
    <v>47.354999999999997</v>
    <v>47.125</v>
    <v>46.53</v>
    <v>46.435000000000002</v>
    <v>46.29</v>
    <v>47.185000000000002</v>
    <v>47.82</v>
    <v>47.7</v>
    <v>47.615000000000002</v>
    <v>47.71</v>
    <v>47.85</v>
    <v>47.84</v>
    <v>47.445</v>
    <v>47.84</v>
    <v>47.48</v>
    <v>47.484999999999999</v>
    <v>47.52</v>
    <v>48.08</v>
    <v>48.5</v>
    <v>48.12</v>
    <v>48.29</v>
    <v>48.52</v>
    <v>48.284999999999997</v>
    <v>47.69</v>
    <v>48.08</v>
    <v>48.354999999999997</v>
    <v>48.445</v>
    <v>48.24</v>
    <v>48.375</v>
    <v>48.335000000000001</v>
    <v>47.65</v>
    <v>47.92</v>
    <v>47.99</v>
    <v>48.094999999999999</v>
    <v>47.09</v>
    <v>47.424999999999997</v>
    <v>47.325000000000003</v>
    <v>47.66</v>
    <v>47.36</v>
    <v>47.32</v>
    <v>47.784999999999997</v>
    <v>48.82</v>
    <v>49.494999999999997</v>
    <v>49.685000000000002</v>
    <v>49.58</v>
    <v>49.895000000000003</v>
    <v>49.884999999999998</v>
    <v>49.795000000000002</v>
    <v>49.784999999999997</v>
    <v>50.04</v>
    <v>50</v>
    <v>49.884999999999998</v>
    <v>49.305</v>
    <v>49.25</v>
    <v>48.905000000000001</v>
    <v>49.18</v>
    <v>49.09</v>
    <v>49.22</v>
    <v>49.15</v>
    <v>49.6</v>
    <v>49.94</v>
    <v>49.414999999999999</v>
    <v>49.13</v>
    <v>49.244999999999997</v>
    <v>49.765000000000001</v>
    <v>49.575000000000003</v>
    <v>49.445</v>
    <v>49.265000000000001</v>
    <v>48.805</v>
    <v>48.465000000000003</v>
    <v>48.945</v>
    <v>49.01</v>
    <v>48.814999999999998</v>
    <v>49.064999999999998</v>
    <v>49.475000000000001</v>
    <v>49.244999999999997</v>
    <v>49.96</v>
    <v>50.2</v>
    <v>50.1</v>
    <v>49.774999999999999</v>
    <v>50.09</v>
    <v>49.97</v>
    <v>50.05</v>
    <v>50.26</v>
    <v>50.21</v>
    <v>50.62</v>
    <v>51.04</v>
    <v>51.4</v>
    <v>51.21</v>
    <v>50.91</v>
    <v>51.18</v>
    <v>51.38</v>
    <v>51.22</v>
    <v>51.19</v>
    <v>50.87</v>
    <v>50.69</v>
    <v>50.75</v>
    <v>50.79</v>
    <v>51.04</v>
    <v>50.74</v>
    <v>50.58</v>
  </a>
  <a r="1" c="209">
    <v>10.445</v>
    <v>10.625</v>
    <v>10.615</v>
    <v>10.545</v>
    <v>10.33</v>
    <v>10.45</v>
    <v>10.515000000000001</v>
    <v>10.63</v>
    <v>10.73</v>
    <v>10.805</v>
    <v>10.61</v>
    <v>10.705</v>
    <v>10.715</v>
    <v>10.59</v>
    <v>10.62</v>
    <v>10.605</v>
    <v>10.515000000000001</v>
    <v>10.7</v>
    <v>10.845000000000001</v>
    <v>10.61</v>
    <v>10.45</v>
    <v>11.154999999999999</v>
    <v>11.41</v>
    <v>11.4</v>
    <v>11.41</v>
    <v>10.94</v>
    <v>10.87</v>
    <v>11</v>
    <v>10.88</v>
    <v>10.734999999999999</v>
    <v>10.49</v>
    <v>10.015000000000001</v>
    <v>10.11</v>
    <v>10.275</v>
    <v>10.555</v>
    <v>10.7</v>
    <v>10.965</v>
    <v>10.965</v>
    <v>10.66</v>
    <v>10.615</v>
    <v>10.645</v>
    <v>10.52</v>
    <v>10.29</v>
    <v>9.984</v>
    <v>10.130000000000001</v>
    <v>10.045</v>
    <v>9.8699999999999992</v>
    <v>9.952</v>
    <v>10.24</v>
    <v>10.24</v>
    <v>9.8759999999999994</v>
    <v>9.8059999999999992</v>
    <v>9.8420000000000005</v>
    <v>9.9760000000000009</v>
    <v>10.27</v>
    <v>10.095000000000001</v>
    <v>9.9459999999999997</v>
    <v>10.225</v>
    <v>10.199999999999999</v>
    <v>10.36</v>
    <v>10.16</v>
    <v>10.050000000000001</v>
    <v>10.164999999999999</v>
    <v>10.164999999999999</v>
    <v>10.484999999999999</v>
    <v>10.38</v>
    <v>10.11</v>
    <v>10.635</v>
    <v>10.53</v>
    <v>10.654999999999999</v>
    <v>10.635</v>
    <v>10.77</v>
    <v>10.86</v>
    <v>10.654999999999999</v>
    <v>10.855</v>
    <v>10.75</v>
    <v>10.795</v>
    <v>10.605</v>
    <v>10.465</v>
    <v>10.37</v>
    <v>10.36</v>
    <v>10.61</v>
    <v>10.66</v>
    <v>10.84</v>
    <v>10.59</v>
    <v>10.79</v>
    <v>10.94</v>
    <v>10.94</v>
    <v>10.815</v>
    <v>10.74</v>
    <v>10.645</v>
    <v>10.734999999999999</v>
    <v>10.975</v>
    <v>10.955</v>
    <v>11.04</v>
    <v>10.984999999999999</v>
    <v>11.244999999999999</v>
    <v>11.34</v>
    <v>11.43</v>
    <v>11.7</v>
    <v>11.57</v>
    <v>11.42</v>
    <v>11.42</v>
    <v>11.6</v>
    <v>11.56</v>
    <v>11.685</v>
    <v>11.5</v>
    <v>11.535</v>
    <v>11.49</v>
    <v>11.37</v>
    <v>11.375</v>
    <v>11.33</v>
    <v>11.475</v>
    <v>11.89</v>
    <v>12.095000000000001</v>
    <v>12.31</v>
    <v>12.635</v>
    <v>12.57</v>
    <v>12.645</v>
    <v>12.72</v>
    <v>12.6</v>
    <v>12.37</v>
    <v>12.375</v>
    <v>12.31</v>
    <v>12.22</v>
    <v>12.385</v>
    <v>12.5</v>
    <v>12.62</v>
    <v>12.65</v>
    <v>12.734999999999999</v>
    <v>12.675000000000001</v>
    <v>12.29</v>
    <v>12.55</v>
    <v>12.525</v>
    <v>12.41</v>
    <v>12.494999999999999</v>
    <v>12.34</v>
    <v>12.475</v>
    <v>12.47</v>
    <v>12.494999999999999</v>
    <v>12.91</v>
    <v>13.08</v>
    <v>12.904999999999999</v>
    <v>13.3</v>
    <v>13.29</v>
    <v>13.195</v>
    <v>12.255000000000001</v>
    <v>12.48</v>
    <v>12.565</v>
    <v>12.53</v>
    <v>12.63</v>
    <v>12.76</v>
    <v>12.88</v>
    <v>12.82</v>
    <v>12.94</v>
    <v>12.945</v>
    <v>12.84</v>
    <v>12.9</v>
    <v>12.97</v>
    <v>12.97</v>
    <v>12.96</v>
    <v>12.7</v>
    <v>12.904999999999999</v>
    <v>12.98</v>
    <v>13.265000000000001</v>
    <v>13.205</v>
    <v>13.205</v>
    <v>13.1</v>
    <v>13.15</v>
    <v>13.16</v>
    <v>13.08</v>
    <v>13.215</v>
    <v>13.525</v>
    <v>13.515000000000001</v>
    <v>13.46</v>
    <v>13.335000000000001</v>
    <v>13.18</v>
    <v>13.23</v>
    <v>13.345000000000001</v>
    <v>13.175000000000001</v>
    <v>13.16</v>
    <v>13.08</v>
    <v>13.005000000000001</v>
    <v>12.994999999999999</v>
    <v>13.145</v>
    <v>12.98</v>
    <v>13.1</v>
    <v>12.895</v>
    <v>13.225</v>
    <v>12.83</v>
    <v>12.635</v>
    <v>12.61</v>
    <v>12.03</v>
    <v>12.035</v>
    <v>12.22</v>
    <v>12.36</v>
    <v>11.925000000000001</v>
    <v>11.885</v>
    <v>11.85</v>
    <v>11.95</v>
    <v>11.85</v>
    <v>11.91</v>
    <v>11.904999999999999</v>
    <v>11.92</v>
    <v>11.744999999999999</v>
    <v>11.62</v>
    <v>11.805</v>
    <v>11.13</v>
    <v>11.195</v>
  </a>
  <a r="1" c="256">
    <v>8.74</v>
    <v>8.8079999999999998</v>
    <v>8.85</v>
    <v>8.9139999999999997</v>
    <v>9.0519999999999996</v>
    <v>9.0359999999999996</v>
    <v>9.1620000000000008</v>
    <v>9.1180000000000003</v>
    <v>9.18</v>
    <v>9.1080000000000005</v>
    <v>9.2720000000000002</v>
    <v>9.0459999999999994</v>
    <v>9.2100000000000009</v>
    <v>9.35</v>
    <v>9.6039999999999992</v>
    <v>9.5619999999999994</v>
    <v>9.2780000000000005</v>
    <v>9.27</v>
    <v>9.0079999999999991</v>
    <v>9.0220000000000002</v>
    <v>9.2899999999999991</v>
    <v>9.2539999999999996</v>
    <v>9.2539999999999996</v>
    <v>9.3819999999999997</v>
    <v>9.5239999999999991</v>
    <v>9.5280000000000005</v>
    <v>9.6159999999999997</v>
    <v>9.7260000000000009</v>
    <v>9.9160000000000004</v>
    <v>9.83</v>
    <v>10.06</v>
    <v>9.9</v>
    <v>9.9220000000000006</v>
    <v>9.9499999999999993</v>
    <v>10.02</v>
    <v>10.17</v>
    <v>9.9160000000000004</v>
    <v>10.130000000000001</v>
    <v>10.16</v>
    <v>10.315</v>
    <v>10.4</v>
    <v>10.41</v>
    <v>10.35</v>
    <v>10.43</v>
    <v>10.39</v>
    <v>10.355</v>
    <v>10.43</v>
    <v>10.445</v>
    <v>10.625</v>
    <v>10.615</v>
    <v>10.545</v>
    <v>10.33</v>
    <v>10.45</v>
    <v>10.515000000000001</v>
    <v>10.63</v>
    <v>10.73</v>
    <v>10.805</v>
    <v>10.61</v>
    <v>10.705</v>
    <v>10.715</v>
    <v>10.59</v>
    <v>10.62</v>
    <v>10.605</v>
    <v>10.515000000000001</v>
    <v>10.7</v>
    <v>10.845000000000001</v>
    <v>10.61</v>
    <v>10.45</v>
    <v>11.154999999999999</v>
    <v>11.41</v>
    <v>11.4</v>
    <v>11.41</v>
    <v>10.94</v>
    <v>10.87</v>
    <v>11</v>
    <v>10.88</v>
    <v>10.734999999999999</v>
    <v>10.49</v>
    <v>10.015000000000001</v>
    <v>10.11</v>
    <v>10.275</v>
    <v>10.555</v>
    <v>10.7</v>
    <v>10.965</v>
    <v>10.965</v>
    <v>10.66</v>
    <v>10.615</v>
    <v>10.645</v>
    <v>10.52</v>
    <v>10.29</v>
    <v>9.984</v>
    <v>10.130000000000001</v>
    <v>10.045</v>
    <v>9.8699999999999992</v>
    <v>9.952</v>
    <v>10.24</v>
    <v>10.24</v>
    <v>9.8759999999999994</v>
    <v>9.8059999999999992</v>
    <v>9.8420000000000005</v>
    <v>9.9760000000000009</v>
    <v>10.27</v>
    <v>10.095000000000001</v>
    <v>9.9459999999999997</v>
    <v>10.225</v>
    <v>10.199999999999999</v>
    <v>10.36</v>
    <v>10.16</v>
    <v>10.050000000000001</v>
    <v>10.164999999999999</v>
    <v>10.164999999999999</v>
    <v>10.484999999999999</v>
    <v>10.38</v>
    <v>10.11</v>
    <v>10.635</v>
    <v>10.53</v>
    <v>10.654999999999999</v>
    <v>10.635</v>
    <v>10.77</v>
    <v>10.86</v>
    <v>10.654999999999999</v>
    <v>10.855</v>
    <v>10.75</v>
    <v>10.795</v>
    <v>10.605</v>
    <v>10.465</v>
    <v>10.37</v>
    <v>10.36</v>
    <v>10.61</v>
    <v>10.66</v>
    <v>10.84</v>
    <v>10.59</v>
    <v>10.79</v>
    <v>10.94</v>
    <v>10.94</v>
    <v>10.815</v>
    <v>10.74</v>
    <v>10.645</v>
    <v>10.734999999999999</v>
    <v>10.975</v>
    <v>10.955</v>
    <v>11.04</v>
    <v>10.984999999999999</v>
    <v>11.244999999999999</v>
    <v>11.34</v>
    <v>11.43</v>
    <v>11.7</v>
    <v>11.57</v>
    <v>11.42</v>
    <v>11.42</v>
    <v>11.6</v>
    <v>11.56</v>
    <v>11.685</v>
    <v>11.5</v>
    <v>11.535</v>
    <v>11.49</v>
    <v>11.37</v>
    <v>11.375</v>
    <v>11.33</v>
    <v>11.475</v>
    <v>11.89</v>
    <v>12.095000000000001</v>
    <v>12.31</v>
    <v>12.635</v>
    <v>12.57</v>
    <v>12.645</v>
    <v>12.72</v>
    <v>12.6</v>
    <v>12.37</v>
    <v>12.375</v>
    <v>12.31</v>
    <v>12.22</v>
    <v>12.385</v>
    <v>12.5</v>
    <v>12.62</v>
    <v>12.65</v>
    <v>12.734999999999999</v>
    <v>12.675000000000001</v>
    <v>12.29</v>
    <v>12.55</v>
    <v>12.525</v>
    <v>12.41</v>
    <v>12.494999999999999</v>
    <v>12.34</v>
    <v>12.475</v>
    <v>12.47</v>
    <v>12.494999999999999</v>
    <v>12.91</v>
    <v>13.08</v>
    <v>12.904999999999999</v>
    <v>13.3</v>
    <v>13.29</v>
    <v>13.195</v>
    <v>12.255000000000001</v>
    <v>12.48</v>
    <v>12.565</v>
    <v>12.53</v>
    <v>12.63</v>
    <v>12.76</v>
    <v>12.88</v>
    <v>12.82</v>
    <v>12.94</v>
    <v>12.945</v>
    <v>12.84</v>
    <v>12.9</v>
    <v>12.97</v>
    <v>12.97</v>
    <v>12.96</v>
    <v>12.7</v>
    <v>12.904999999999999</v>
    <v>12.98</v>
    <v>13.265000000000001</v>
    <v>13.205</v>
    <v>13.205</v>
    <v>13.1</v>
    <v>13.15</v>
    <v>13.16</v>
    <v>13.08</v>
    <v>13.215</v>
    <v>13.525</v>
    <v>13.515000000000001</v>
    <v>13.46</v>
    <v>13.335000000000001</v>
    <v>13.18</v>
    <v>13.23</v>
    <v>13.345000000000001</v>
    <v>13.175000000000001</v>
    <v>13.16</v>
    <v>13.08</v>
    <v>13.005000000000001</v>
    <v>12.994999999999999</v>
    <v>13.145</v>
    <v>12.98</v>
    <v>13.1</v>
    <v>12.895</v>
    <v>13.225</v>
    <v>12.83</v>
    <v>12.635</v>
    <v>12.61</v>
    <v>12.03</v>
    <v>12.035</v>
    <v>12.22</v>
    <v>12.36</v>
    <v>11.925000000000001</v>
    <v>11.885</v>
    <v>11.85</v>
    <v>11.95</v>
    <v>11.85</v>
    <v>11.91</v>
    <v>11.904999999999999</v>
    <v>11.92</v>
    <v>11.744999999999999</v>
    <v>11.62</v>
    <v>11.805</v>
    <v>11.13</v>
    <v>11.195</v>
  </a>
  <a r="1" c="768">
    <v t="i">0</v>
    <v t="i">1</v>
    <v t="i">2</v>
    <v t="i">3</v>
    <v t="i">4</v>
    <v t="i">7</v>
    <v t="i">8</v>
    <v t="i">9</v>
    <v t="i">10</v>
    <v t="i">11</v>
    <v t="i">14</v>
    <v t="i">15</v>
    <v t="i">16</v>
    <v t="i">17</v>
    <v t="i">18</v>
    <v t="i">21</v>
    <v t="i">22</v>
    <v t="i">23</v>
    <v t="i">24</v>
    <v t="i">25</v>
    <v t="i">28</v>
    <v t="i">29</v>
    <v t="i">30</v>
    <v t="i">31</v>
    <v t="i">32</v>
    <v t="i">35</v>
    <v t="i">36</v>
    <v t="i">37</v>
    <v t="i">38</v>
    <v t="i">39</v>
    <v t="i">42</v>
    <v t="i">43</v>
    <v t="i">44</v>
    <v t="i">45</v>
    <v t="i">46</v>
    <v t="i">49</v>
    <v t="i">50</v>
    <v t="i">51</v>
    <v t="i">52</v>
    <v t="i">53</v>
    <v t="i">56</v>
    <v t="i">57</v>
    <v t="i">58</v>
    <v t="i">59</v>
    <v t="i">60</v>
    <v t="i">65</v>
    <v t="i">66</v>
    <v t="i">67</v>
    <v t="i">71</v>
    <v t="i">72</v>
    <v t="i">73</v>
    <v t="i">74</v>
    <v t="i">77</v>
    <v t="i">78</v>
    <v t="i">79</v>
    <v t="i">80</v>
    <v t="i">81</v>
    <v t="i">84</v>
    <v t="i">85</v>
    <v t="i">86</v>
    <v t="i">87</v>
    <v t="i">88</v>
    <v t="i">91</v>
    <v t="i">92</v>
    <v t="i">93</v>
    <v t="i">94</v>
    <v t="i">95</v>
    <v t="i">98</v>
    <v t="i">99</v>
    <v t="i">100</v>
    <v t="i">101</v>
    <v t="i">102</v>
    <v t="i">105</v>
    <v t="i">106</v>
    <v t="i">107</v>
    <v t="i">108</v>
    <v t="i">109</v>
    <v t="i">112</v>
    <v t="i">113</v>
    <v t="i">114</v>
    <v t="i">115</v>
    <v t="i">116</v>
    <v t="i">119</v>
    <v t="i">120</v>
    <v t="i">121</v>
    <v t="i">122</v>
    <v t="i">123</v>
    <v t="i">126</v>
    <v t="i">127</v>
    <v t="i">128</v>
    <v t="i">129</v>
    <v t="i">130</v>
    <v t="i">133</v>
    <v t="i">134</v>
    <v t="i">135</v>
    <v t="i">136</v>
    <v t="i">137</v>
    <v t="i">140</v>
    <v t="i">141</v>
    <v t="i">142</v>
    <v t="i">143</v>
    <v t="i">144</v>
    <v t="i">147</v>
    <v t="i">148</v>
    <v t="i">149</v>
    <v t="i">150</v>
    <v t="i">151</v>
    <v t="i">154</v>
    <v t="i">155</v>
    <v t="i">156</v>
    <v t="i">157</v>
    <v t="i">162</v>
    <v t="i">163</v>
    <v t="i">164</v>
    <v t="i">165</v>
    <v t="i">168</v>
    <v t="i">169</v>
    <v t="i">170</v>
    <v t="i">171</v>
    <v t="i">172</v>
    <v t="i">175</v>
    <v t="i">176</v>
    <v t="i">177</v>
    <v t="i">178</v>
    <v t="i">179</v>
    <v t="i">182</v>
    <v t="i">183</v>
    <v t="i">184</v>
    <v t="i">185</v>
    <v t="i">186</v>
    <v t="i">189</v>
    <v t="i">190</v>
    <v t="i">192</v>
    <v t="i">193</v>
    <v t="i">196</v>
    <v t="i">197</v>
    <v t="i">198</v>
    <v t="i">199</v>
    <v t="i">200</v>
    <v t="i">203</v>
    <v t="i">204</v>
    <v t="i">205</v>
    <v t="i">206</v>
    <v t="i">207</v>
    <v t="i">210</v>
    <v t="i">211</v>
    <v t="i">212</v>
    <v t="i">213</v>
    <v t="i">214</v>
    <v t="i">217</v>
    <v t="i">218</v>
    <v t="i">219</v>
    <v t="i">220</v>
    <v t="i">221</v>
    <v t="i">224</v>
    <v t="i">225</v>
    <v t="i">226</v>
    <v t="i">227</v>
    <v t="i">228</v>
    <v t="i">231</v>
    <v t="i">232</v>
    <v t="i">233</v>
    <v t="i">234</v>
    <v t="i">235</v>
    <v t="i">238</v>
    <v t="i">239</v>
    <v t="i">240</v>
    <v t="i">241</v>
    <v t="i">242</v>
    <v t="i">245</v>
    <v t="i">246</v>
    <v t="i">247</v>
    <v t="i">248</v>
    <v t="i">249</v>
    <v t="i">252</v>
    <v t="i">253</v>
    <v t="i">254</v>
    <v t="i">255</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v t="i">365</v>
    <v t="i">366</v>
    <v t="i">367</v>
    <v t="i">368</v>
    <v t="i">371</v>
    <v t="i">372</v>
    <v t="i">373</v>
    <v t="i">374</v>
    <v t="i">375</v>
    <v t="i">378</v>
    <v t="i">379</v>
    <v t="i">380</v>
    <v t="i">381</v>
    <v t="i">382</v>
    <v t="i">385</v>
    <v t="i">386</v>
    <v t="i">387</v>
    <v t="i">388</v>
    <v t="i">389</v>
    <v t="i">392</v>
    <v t="i">393</v>
    <v t="i">394</v>
    <v t="i">395</v>
    <v t="i">396</v>
    <v t="i">399</v>
    <v t="i">400</v>
    <v t="i">401</v>
    <v t="i">402</v>
    <v t="i">403</v>
    <v t="i">406</v>
    <v t="i">407</v>
    <v t="i">408</v>
    <v t="i">409</v>
    <v t="i">410</v>
    <v t="i">413</v>
    <v t="i">414</v>
    <v t="i">415</v>
    <v t="i">416</v>
    <v t="i">417</v>
    <v t="i">420</v>
    <v t="i">421</v>
    <v t="i">422</v>
    <v t="i">423</v>
    <v t="i">424</v>
    <v t="i">427</v>
    <v t="i">428</v>
    <v t="i">431</v>
    <v t="i">434</v>
    <v t="i">435</v>
    <v t="i">437</v>
    <v t="i">438</v>
    <v t="i">441</v>
    <v t="i">442</v>
    <v t="i">443</v>
    <v t="i">444</v>
    <v t="i">445</v>
    <v t="i">448</v>
    <v t="i">449</v>
    <v t="i">450</v>
    <v t="i">451</v>
    <v t="i">452</v>
    <v t="i">455</v>
    <v t="i">456</v>
    <v t="i">457</v>
    <v t="i">458</v>
    <v t="i">459</v>
    <v t="i">462</v>
    <v t="i">463</v>
    <v t="i">464</v>
    <v t="i">465</v>
    <v t="i">466</v>
    <v t="i">469</v>
    <v t="i">470</v>
    <v t="i">471</v>
    <v t="i">472</v>
    <v t="i">473</v>
    <v t="i">476</v>
    <v t="i">477</v>
    <v t="i">478</v>
    <v t="i">479</v>
    <v t="i">480</v>
    <v t="i">483</v>
    <v t="i">484</v>
    <v t="i">485</v>
    <v t="i">486</v>
    <v t="i">487</v>
    <v t="i">490</v>
    <v t="i">491</v>
    <v t="i">492</v>
    <v t="i">493</v>
    <v t="i">494</v>
    <v t="i">496</v>
    <v t="i">497</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547</v>
    <v t="i">548</v>
    <v t="i">549</v>
    <v t="i">550</v>
    <v t="i">553</v>
    <v t="i">554</v>
    <v t="i">555</v>
    <v t="i">557</v>
    <v t="i">560</v>
    <v t="i">561</v>
    <v t="i">562</v>
    <v t="i">563</v>
    <v t="i">564</v>
    <v t="i">567</v>
    <v t="i">568</v>
    <v t="i">569</v>
    <v t="i">570</v>
    <v t="i">571</v>
    <v t="i">574</v>
    <v t="i">575</v>
    <v t="i">576</v>
    <v t="i">577</v>
    <v t="i">578</v>
    <v t="i">581</v>
    <v t="i">582</v>
    <v t="i">583</v>
    <v t="i">584</v>
    <v t="i">585</v>
    <v t="i">588</v>
    <v t="i">589</v>
    <v t="i">590</v>
    <v t="i">591</v>
    <v t="i">592</v>
    <v t="i">595</v>
    <v t="i">596</v>
    <v t="i">597</v>
    <v t="i">598</v>
    <v t="i">599</v>
    <v t="i">602</v>
    <v t="i">603</v>
    <v t="i">604</v>
    <v t="i">605</v>
    <v t="i">606</v>
    <v t="i">609</v>
    <v t="i">610</v>
    <v t="i">611</v>
    <v t="i">612</v>
    <v t="i">613</v>
    <v t="i">616</v>
    <v t="i">617</v>
    <v t="i">618</v>
    <v t="i">619</v>
    <v t="i">620</v>
    <v t="i">623</v>
    <v t="i">624</v>
    <v t="i">625</v>
    <v t="i">626</v>
    <v t="i">627</v>
    <v t="i">630</v>
    <v t="i">631</v>
    <v t="i">632</v>
    <v t="i">633</v>
    <v t="i">634</v>
    <v t="i">637</v>
    <v t="i">638</v>
    <v t="i">639</v>
    <v t="i">640</v>
    <v t="i">641</v>
    <v t="i">644</v>
    <v t="i">645</v>
    <v t="i">646</v>
    <v t="i">647</v>
    <v t="i">648</v>
    <v t="i">651</v>
    <v t="i">652</v>
    <v t="i">653</v>
    <v t="i">654</v>
    <v t="i">655</v>
    <v t="i">658</v>
    <v t="i">659</v>
    <v t="i">660</v>
    <v t="i">661</v>
    <v t="i">662</v>
    <v t="i">665</v>
    <v t="i">666</v>
    <v t="i">667</v>
    <v t="i">668</v>
    <v t="i">669</v>
    <v t="i">672</v>
    <v t="i">673</v>
    <v t="i">674</v>
    <v t="i">675</v>
    <v t="i">676</v>
    <v t="i">679</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750</v>
    <v t="i">751</v>
    <v t="i">752</v>
    <v t="i">753</v>
    <v t="i">756</v>
    <v t="i">757</v>
    <v t="i">758</v>
    <v t="i">759</v>
    <v t="i">760</v>
    <v t="i">763</v>
    <v t="i">764</v>
    <v t="i">765</v>
    <v t="i">766</v>
    <v t="i">767</v>
    <v t="i">770</v>
    <v t="i">771</v>
    <v t="i">772</v>
    <v t="i">773</v>
    <v t="i">774</v>
    <v t="i">777</v>
    <v t="i">778</v>
    <v t="i">779</v>
    <v t="i">780</v>
    <v t="i">781</v>
    <v t="i">784</v>
    <v t="i">785</v>
    <v t="i">786</v>
    <v t="i">787</v>
    <v t="i">788</v>
    <v t="i">791</v>
    <v t="i">792</v>
    <v t="i">793</v>
    <v t="i">798</v>
    <v t="i">799</v>
    <v t="i">800</v>
    <v t="i">802</v>
    <v t="i">805</v>
    <v t="i">806</v>
    <v t="i">807</v>
    <v t="i">808</v>
    <v t="i">809</v>
    <v t="i">812</v>
    <v t="i">813</v>
    <v t="i">814</v>
    <v t="i">815</v>
    <v t="i">816</v>
    <v t="i">819</v>
    <v t="i">820</v>
    <v t="i">821</v>
    <v t="i">822</v>
    <v t="i">823</v>
    <v t="i">826</v>
    <v t="i">827</v>
    <v t="i">828</v>
    <v t="i">829</v>
    <v t="i">830</v>
    <v t="i">833</v>
    <v t="i">834</v>
    <v t="i">835</v>
    <v t="i">836</v>
    <v t="i">837</v>
    <v t="i">840</v>
    <v t="i">841</v>
    <v t="i">842</v>
    <v t="i">843</v>
    <v t="i">844</v>
    <v t="i">847</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897</v>
    <v t="i">898</v>
    <v t="i">899</v>
    <v t="i">900</v>
    <v t="i">903</v>
    <v t="i">904</v>
    <v t="i">905</v>
    <v t="i">906</v>
    <v t="i">907</v>
    <v t="i">910</v>
    <v t="i">911</v>
    <v t="i">912</v>
    <v t="i">913</v>
    <v t="i">914</v>
    <v t="i">917</v>
    <v t="i">918</v>
    <v t="i">919</v>
    <v t="i">920</v>
    <v t="i">924</v>
    <v t="i">925</v>
    <v t="i">926</v>
    <v t="i">927</v>
    <v t="i">928</v>
    <v t="i">931</v>
    <v t="i">932</v>
    <v t="i">933</v>
    <v t="i">934</v>
    <v t="i">935</v>
    <v t="i">938</v>
    <v t="i">939</v>
    <v t="i">940</v>
    <v t="i">941</v>
    <v t="i">942</v>
    <v t="i">945</v>
    <v t="i">946</v>
    <v t="i">947</v>
    <v t="i">948</v>
    <v t="i">949</v>
    <v t="i">952</v>
    <v t="i">953</v>
    <v t="i">954</v>
    <v t="i">955</v>
    <v t="i">956</v>
    <v t="i">959</v>
    <v t="i">960</v>
    <v t="i">961</v>
    <v t="i">962</v>
    <v t="i">963</v>
    <v t="i">966</v>
    <v t="i">967</v>
    <v t="i">968</v>
    <v t="i">969</v>
    <v t="i">970</v>
    <v t="i">973</v>
    <v t="i">974</v>
    <v t="i">975</v>
    <v t="i">976</v>
    <v t="i">977</v>
    <v t="i">980</v>
    <v t="i">981</v>
    <v t="i">982</v>
    <v t="i">983</v>
    <v t="i">984</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1050</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768">
    <v>3.7440000000000002</v>
    <v>3.6280000000000001</v>
    <v>3.6320000000000001</v>
    <v>3.7189999999999999</v>
    <v>3.8029999999999999</v>
    <v>3.8620000000000001</v>
    <v>3.835</v>
    <v>3.7949999999999999</v>
    <v>3.7839999999999998</v>
    <v>3.786</v>
    <v>3.8180000000000001</v>
    <v>3.7650000000000001</v>
    <v>3.7930000000000001</v>
    <v>3.8660000000000001</v>
    <v>3.8559999999999999</v>
    <v>3.927</v>
    <v>3.952</v>
    <v>4.0110000000000001</v>
    <v>4.0380000000000003</v>
    <v>4.0490000000000004</v>
    <v>4.1020000000000003</v>
    <v>4.1040000000000001</v>
    <v>4.1310000000000002</v>
    <v>4.1539999999999999</v>
    <v>4.1529999999999996</v>
    <v>4.1550000000000002</v>
    <v>4.1900000000000004</v>
    <v>4.1970000000000001</v>
    <v>4.1310000000000002</v>
    <v>4.1120000000000001</v>
    <v>4.1609999999999996</v>
    <v>4.165</v>
    <v>4.0960000000000001</v>
    <v>3.9390000000000001</v>
    <v>3.9129999999999998</v>
    <v>3.9089999999999998</v>
    <v>3.8660000000000001</v>
    <v>3.879</v>
    <v>3.782</v>
    <v>3.7160000000000002</v>
    <v>3.746</v>
    <v>3.73</v>
    <v>3.7189999999999999</v>
    <v>3.7370000000000001</v>
    <v>3.7229999999999999</v>
    <v>3.7320000000000002</v>
    <v>3.7109999999999999</v>
    <v>3.726</v>
    <v>3.8260000000000001</v>
    <v>3.88</v>
    <v>3.9550000000000001</v>
    <v>4.0110000000000001</v>
    <v>4.0579999999999998</v>
    <v>3.9279999999999999</v>
    <v>3.8660000000000001</v>
    <v>3.8809999999999998</v>
    <v>3.91</v>
    <v>3.927</v>
    <v>3.9089999999999998</v>
    <v>3.83</v>
    <v>3.8319999999999999</v>
    <v>3.8330000000000002</v>
    <v>3.915</v>
    <v>3.9049999999999998</v>
    <v>3.9359999999999999</v>
    <v>3.839</v>
    <v>3.855</v>
    <v>3.8620000000000001</v>
    <v>3.9649999999999999</v>
    <v>3.9540000000000002</v>
    <v>3.919</v>
    <v>3.9129999999999998</v>
    <v>3.8719999999999999</v>
    <v>3.9470000000000001</v>
    <v>3.9049999999999998</v>
    <v>3.9550000000000001</v>
    <v>3.927</v>
    <v>3.919</v>
    <v>4.024</v>
    <v>3.9910000000000001</v>
    <v>3.9660000000000002</v>
    <v>3.9630000000000001</v>
    <v>4.0380000000000003</v>
    <v>4.0999999999999996</v>
    <v>4.0990000000000002</v>
    <v>4.0869999999999997</v>
    <v>4.1040000000000001</v>
    <v>4.1440000000000001</v>
    <v>4.1689999999999996</v>
    <v>4.1669999999999998</v>
    <v>4.17</v>
    <v>4.2539999999999996</v>
    <v>4.3</v>
    <v>4.3369999999999997</v>
    <v>4.3869999999999996</v>
    <v>4.38</v>
    <v>4.3680000000000003</v>
    <v>4.4059999999999997</v>
    <v>4.4180000000000001</v>
    <v>4.4550000000000001</v>
    <v>4.3879999999999999</v>
    <v>4.5010000000000003</v>
    <v>4.5670000000000002</v>
    <v>4.6680000000000001</v>
    <v>4.7290000000000001</v>
    <v>4.7329999999999997</v>
    <v>4.7380000000000004</v>
    <v>4.782</v>
    <v>4.83</v>
    <v>4.8650000000000002</v>
    <v>4.4930000000000003</v>
    <v>4.5839999999999996</v>
    <v>4.5919999999999996</v>
    <v>4.6820000000000004</v>
    <v>4.673</v>
    <v>4.7690000000000001</v>
    <v>4.718</v>
    <v>4.7889999999999997</v>
    <v>4.6399999999999997</v>
    <v>4.6680000000000001</v>
    <v>4.702</v>
    <v>4.6260000000000003</v>
    <v>4.694</v>
    <v>4.8239999999999998</v>
    <v>4.806</v>
    <v>4.8559999999999999</v>
    <v>4.944</v>
    <v>4.9429999999999996</v>
    <v>5.016</v>
    <v>5.1139999999999999</v>
    <v>5.1180000000000003</v>
    <v>4.952</v>
    <v>4.9349999999999996</v>
    <v>4.7549999999999999</v>
    <v>4.867</v>
    <v>4.9370000000000003</v>
    <v>4.9219999999999997</v>
    <v>4.8780000000000001</v>
    <v>4.9279999999999999</v>
    <v>4.9160000000000004</v>
    <v>4.9560000000000004</v>
    <v>4.8760000000000003</v>
    <v>4.8209999999999997</v>
    <v>4.8869999999999996</v>
    <v>4.9850000000000003</v>
    <v>5.0519999999999996</v>
    <v>5.0540000000000003</v>
    <v>5.0940000000000003</v>
    <v>5.1120000000000001</v>
    <v>5.1100000000000003</v>
    <v>5.1820000000000004</v>
    <v>5.1360000000000001</v>
    <v>5.2539999999999996</v>
    <v>5.27</v>
    <v>5.2939999999999996</v>
    <v>5.0279999999999996</v>
    <v>5.016</v>
    <v>5.21</v>
    <v>5.26</v>
    <v>5.27</v>
    <v>5.1040000000000001</v>
    <v>5.0960000000000001</v>
    <v>4.9800000000000004</v>
    <v>4.875</v>
    <v>4.8600000000000003</v>
    <v>5.0019999999999998</v>
    <v>5.0519999999999996</v>
    <v>5.0999999999999996</v>
    <v>4.9409999999999998</v>
    <v>5.008</v>
    <v>5.01</v>
    <v>4.95</v>
    <v>4.9539999999999997</v>
    <v>4.9429999999999996</v>
    <v>5.0439999999999996</v>
    <v>4.99</v>
    <v>5.0060000000000002</v>
    <v>5.1340000000000003</v>
    <v>5.0739999999999998</v>
    <v>5.1059999999999999</v>
    <v>5.0919999999999996</v>
    <v>5.1959999999999997</v>
    <v>5.1760000000000002</v>
    <v>5.2220000000000004</v>
    <v>5.234</v>
    <v>5.2960000000000003</v>
    <v>5.3540000000000001</v>
    <v>5.43</v>
    <v>5.452</v>
    <v>5.5119999999999996</v>
    <v>5.5579999999999998</v>
    <v>5.5339999999999998</v>
    <v>5.4480000000000004</v>
    <v>5.4160000000000004</v>
    <v>5.3620000000000001</v>
    <v>5.4240000000000004</v>
    <v>5.3860000000000001</v>
    <v>5.1840000000000002</v>
    <v>4.883</v>
    <v>4.7759999999999998</v>
    <v>4.7679999999999998</v>
    <v>4.9429999999999996</v>
    <v>4.9379999999999997</v>
    <v>4.9530000000000003</v>
    <v>4.9790000000000001</v>
    <v>5.04</v>
    <v>5.1079999999999997</v>
    <v>5.2859999999999996</v>
    <v>5.282</v>
    <v>5.3440000000000003</v>
    <v>5.3220000000000001</v>
    <v>5.3239999999999998</v>
    <v>5.34</v>
    <v>5.3739999999999997</v>
    <v>5.3819999999999997</v>
    <v>5.4459999999999997</v>
    <v>5.4480000000000004</v>
    <v>5.4039999999999999</v>
    <v>5.46</v>
    <v>5.4359999999999999</v>
    <v>5.31</v>
    <v>5.2880000000000003</v>
    <v>5.3739999999999997</v>
    <v>5.3179999999999996</v>
    <v>5.4279999999999999</v>
    <v>5.3879999999999999</v>
    <v>5.3339999999999996</v>
    <v>5.4740000000000002</v>
    <v>5.484</v>
    <v>5.43</v>
    <v>5.38</v>
    <v>5.3920000000000003</v>
    <v>5.4459999999999997</v>
    <v>5.5140000000000002</v>
    <v>5.4539999999999997</v>
    <v>5.4260000000000002</v>
    <v>5.4779999999999998</v>
    <v>5.6580000000000004</v>
    <v>5.4359999999999999</v>
    <v>5.3639999999999999</v>
    <v>5.0759999999999996</v>
    <v>5.1079999999999997</v>
    <v>5.1719999999999997</v>
    <v>5.3019999999999996</v>
    <v>5.36</v>
    <v>5.3540000000000001</v>
    <v>5.3220000000000001</v>
    <v>5.298</v>
    <v>5.3559999999999999</v>
    <v>5.49</v>
    <v>5.4960000000000004</v>
    <v>5.4379999999999997</v>
    <v>5.41</v>
    <v>5.54</v>
    <v>5.4219999999999997</v>
    <v>5.4640000000000004</v>
    <v>5.43</v>
    <v>5.3259999999999996</v>
    <v>5.3620000000000001</v>
    <v>5.44</v>
    <v>5.468</v>
    <v>5.52</v>
    <v>5.59</v>
    <v>5.6920000000000002</v>
    <v>5.8540000000000001</v>
    <v>5.7839999999999998</v>
    <v>5.57</v>
    <v>5.6139999999999999</v>
    <v>5.5039999999999996</v>
    <v>5.5679999999999996</v>
    <v>5.4379999999999997</v>
    <v>5.5019999999999998</v>
    <v>5.4939999999999998</v>
    <v>5.6079999999999997</v>
    <v>5.69</v>
    <v>5.39</v>
    <v>5.41</v>
    <v>5.4640000000000004</v>
    <v>5.2279999999999998</v>
    <v>5.0999999999999996</v>
    <v>5.048</v>
    <v>5.0880000000000001</v>
    <v>5.0819999999999999</v>
    <v>5.1459999999999999</v>
    <v>5.1580000000000004</v>
    <v>5.218</v>
    <v>5.21</v>
    <v>5.3979999999999997</v>
    <v>5.3579999999999997</v>
    <v>5.3739999999999997</v>
    <v>5.33</v>
    <v>5.2</v>
    <v>5.17</v>
    <v>5.194</v>
    <v>5.21</v>
    <v>5.09</v>
    <v>5.1559999999999997</v>
    <v>5.1580000000000004</v>
    <v>5.0860000000000003</v>
    <v>5.12</v>
    <v>5.1440000000000001</v>
    <v>5.1660000000000004</v>
    <v>5.2119999999999997</v>
    <v>5.2359999999999998</v>
    <v>5.2</v>
    <v>5.2039999999999997</v>
    <v>5.3280000000000003</v>
    <v>5.3220000000000001</v>
    <v>5.43</v>
    <v>5.6340000000000003</v>
    <v>5.6440000000000001</v>
    <v>5.702</v>
    <v>5.77</v>
    <v>5.6680000000000001</v>
    <v>5.532</v>
    <v>5.556</v>
    <v>5.6139999999999999</v>
    <v>5.6</v>
    <v>5.5359999999999996</v>
    <v>5.6820000000000004</v>
    <v>5.742</v>
    <v>5.6980000000000004</v>
    <v>5.7439999999999998</v>
    <v>5.9139999999999997</v>
    <v>5.8360000000000003</v>
    <v>5.8559999999999999</v>
    <v>5.7919999999999998</v>
    <v>5.9379999999999997</v>
    <v>5.8959999999999999</v>
    <v>6.07</v>
    <v>6.0339999999999998</v>
    <v>6.02</v>
    <v>6.1139999999999999</v>
    <v>6.2679999999999998</v>
    <v>6.226</v>
    <v>6.3239999999999998</v>
    <v>6.38</v>
    <v>6.5339999999999998</v>
    <v>6.468</v>
    <v>6.476</v>
    <v>6.4960000000000004</v>
    <v>6.45</v>
    <v>6.5739999999999998</v>
    <v>6.71</v>
    <v>6.6420000000000003</v>
    <v>6.6879999999999997</v>
    <v>-99999901</v>
    <v>6.8780000000000001</v>
    <v>6.6319999999999997</v>
    <v>6.976</v>
    <v>7.0819999999999999</v>
    <v>7.0880000000000001</v>
    <v>7.0140000000000002</v>
    <v>6.9260000000000002</v>
    <v>6.9640000000000004</v>
    <v>6.96</v>
    <v>7.0179999999999998</v>
    <v>7.1</v>
    <v>7.4560000000000004</v>
    <v>7.5</v>
    <v>7.2439999999999998</v>
    <v>7.34</v>
    <v>7.3019999999999996</v>
    <v>7.4980000000000002</v>
    <v>7.4080000000000004</v>
    <v>7.3559999999999999</v>
    <v>7.2619999999999996</v>
    <v>7.1740000000000004</v>
    <v>7.28</v>
    <v>7.3</v>
    <v>6.968</v>
    <v>6.25</v>
    <v>5.97</v>
    <v>6.1539999999999999</v>
    <v>6.0860000000000003</v>
    <v>6.4820000000000002</v>
    <v>6.44</v>
    <v>6.6859999999999999</v>
    <v>6.8540000000000001</v>
    <v>6.8479999999999999</v>
    <v>6.7220000000000004</v>
    <v>6.532</v>
    <v>6.8019999999999996</v>
    <v>6.6680000000000001</v>
    <v>6.798</v>
    <v>6.9020000000000001</v>
    <v>6.9720000000000004</v>
    <v>6.7320000000000002</v>
    <v>6.88</v>
    <v>6.8540000000000001</v>
    <v>6.9619999999999997</v>
    <v>7.0359999999999996</v>
    <v>7.1660000000000004</v>
    <v>7.27</v>
    <v>7.3680000000000003</v>
    <v>7.3479999999999999</v>
    <v>7.45</v>
    <v>7.4320000000000004</v>
    <v>7.4960000000000004</v>
    <v>7.4720000000000004</v>
    <v>7.6820000000000004</v>
    <v>7.6420000000000003</v>
    <v>7.6760000000000002</v>
    <v>7.476</v>
    <v>7.54</v>
    <v>7.5140000000000002</v>
    <v>7.4619999999999997</v>
    <v>7.468</v>
    <v>7.4880000000000004</v>
    <v>7.57</v>
    <v>7.5119999999999996</v>
    <v>7.3879999999999999</v>
    <v>7.61</v>
    <v>7.67</v>
    <v>7.6</v>
    <v>7.4</v>
    <v>7.3680000000000003</v>
    <v>7.4160000000000004</v>
    <v>7.3</v>
    <v>7.4740000000000002</v>
    <v>7.3</v>
    <v>7.3780000000000001</v>
    <v>7.2839999999999998</v>
    <v>7.3559999999999999</v>
    <v>7.28</v>
    <v>7.4180000000000001</v>
    <v>7.31</v>
    <v>7.274</v>
    <v>7.3520000000000003</v>
    <v>7.3540000000000001</v>
    <v>7.3440000000000003</v>
    <v>7.4359999999999999</v>
    <v>7.61</v>
    <v>7.5220000000000002</v>
    <v>7.63</v>
    <v>7.6</v>
    <v>7.7759999999999998</v>
    <v>7.5640000000000001</v>
    <v>7.4740000000000002</v>
    <v>7.52</v>
    <v>7.3879999999999999</v>
    <v>7.4139999999999997</v>
    <v>7.4059999999999997</v>
    <v>7.452</v>
    <v>7.5</v>
    <v>7.53</v>
    <v>7.6440000000000001</v>
    <v>7.9359999999999999</v>
    <v>7.8559999999999999</v>
    <v>7.8739999999999997</v>
    <v>8.0020000000000007</v>
    <v>8.2460000000000004</v>
    <v>8.25</v>
    <v>8.1120000000000001</v>
    <v>8.33</v>
    <v>8.39</v>
    <v>8.4559999999999995</v>
    <v>8.5340000000000007</v>
    <v>8.6140000000000008</v>
    <v>8.61</v>
    <v>8.6920000000000002</v>
    <v>8.766</v>
    <v>8.82</v>
    <v>8.81</v>
    <v>8.8040000000000003</v>
    <v>8.7799999999999994</v>
    <v>8.73</v>
    <v>8.8460000000000001</v>
    <v>8.7940000000000005</v>
    <v>8.7460000000000004</v>
    <v>8.6560000000000006</v>
    <v>8.4459999999999997</v>
    <v>8.516</v>
    <v>8.5299999999999994</v>
    <v>8.5500000000000007</v>
    <v>8.4499999999999993</v>
    <v>8.5039999999999996</v>
    <v>8.6539999999999999</v>
    <v>8.5760000000000005</v>
    <v>8.6539999999999999</v>
    <v>8.6780000000000008</v>
    <v>8.77</v>
    <v>8.766</v>
    <v>8.7680000000000007</v>
    <v>8.9</v>
    <v>8.6880000000000006</v>
    <v>8.5980000000000008</v>
    <v>8.6359999999999992</v>
    <v>8.7479999999999993</v>
    <v>8.6120000000000001</v>
    <v>8.6240000000000006</v>
    <v>8.7520000000000007</v>
    <v>8.7880000000000003</v>
    <v>8.9260000000000002</v>
    <v>8.8840000000000003</v>
    <v>8.9459999999999997</v>
    <v>9.0960000000000001</v>
    <v>9.0220000000000002</v>
    <v>9.0299999999999994</v>
    <v>8.9380000000000006</v>
    <v>8.9139999999999997</v>
    <v>9.07</v>
    <v>9.032</v>
    <v>9.0020000000000007</v>
    <v>8.9819999999999993</v>
    <v>9.1020000000000003</v>
    <v>9.0760000000000005</v>
    <v>8.9640000000000004</v>
    <v>8.6839999999999993</v>
    <v>8.9060000000000006</v>
    <v>8.8339999999999996</v>
    <v>8.8879999999999999</v>
    <v>8.74</v>
    <v>8.8079999999999998</v>
    <v>8.85</v>
    <v>8.9139999999999997</v>
    <v>9.0519999999999996</v>
    <v>9.0359999999999996</v>
    <v>9.1620000000000008</v>
    <v>9.1180000000000003</v>
    <v>9.18</v>
    <v>9.1080000000000005</v>
    <v>9.2720000000000002</v>
    <v>9.0459999999999994</v>
    <v>9.2100000000000009</v>
    <v>9.35</v>
    <v>9.6039999999999992</v>
    <v>9.5619999999999994</v>
    <v>9.2780000000000005</v>
    <v>9.27</v>
    <v>9.0079999999999991</v>
    <v>9.0220000000000002</v>
    <v>9.2899999999999991</v>
    <v>9.2539999999999996</v>
    <v>9.2539999999999996</v>
    <v>9.3819999999999997</v>
    <v>9.5239999999999991</v>
    <v>9.5280000000000005</v>
    <v>9.6159999999999997</v>
    <v>9.7260000000000009</v>
    <v>9.9160000000000004</v>
    <v>9.83</v>
    <v>10.06</v>
    <v>9.9</v>
    <v>9.9220000000000006</v>
    <v>9.9499999999999993</v>
    <v>10.02</v>
    <v>10.17</v>
    <v>9.9160000000000004</v>
    <v>10.130000000000001</v>
    <v>10.16</v>
    <v>10.315</v>
    <v>10.4</v>
    <v>10.41</v>
    <v>10.35</v>
    <v>10.43</v>
    <v>10.39</v>
    <v>10.355</v>
    <v>10.43</v>
    <v>10.445</v>
    <v>10.625</v>
    <v>10.615</v>
    <v>10.545</v>
    <v>10.33</v>
    <v>10.45</v>
    <v>10.515000000000001</v>
    <v>10.63</v>
    <v>10.73</v>
    <v>10.805</v>
    <v>10.61</v>
    <v>10.705</v>
    <v>10.715</v>
    <v>10.59</v>
    <v>10.62</v>
    <v>10.605</v>
    <v>10.515000000000001</v>
    <v>10.7</v>
    <v>10.845000000000001</v>
    <v>10.61</v>
    <v>10.45</v>
    <v>11.154999999999999</v>
    <v>11.41</v>
    <v>11.4</v>
    <v>11.41</v>
    <v>10.94</v>
    <v>10.87</v>
    <v>11</v>
    <v>10.88</v>
    <v>10.734999999999999</v>
    <v>10.49</v>
    <v>10.015000000000001</v>
    <v>10.11</v>
    <v>10.275</v>
    <v>10.555</v>
    <v>10.7</v>
    <v>10.965</v>
    <v>10.965</v>
    <v>10.66</v>
    <v>10.615</v>
    <v>10.645</v>
    <v>10.52</v>
    <v>10.29</v>
    <v>9.984</v>
    <v>10.130000000000001</v>
    <v>10.045</v>
    <v>9.8699999999999992</v>
    <v>9.952</v>
    <v>10.24</v>
    <v>10.24</v>
    <v>9.8759999999999994</v>
    <v>9.8059999999999992</v>
    <v>9.8420000000000005</v>
    <v>9.9760000000000009</v>
    <v>10.27</v>
    <v>10.095000000000001</v>
    <v>9.9459999999999997</v>
    <v>10.225</v>
    <v>10.199999999999999</v>
    <v>10.36</v>
    <v>10.16</v>
    <v>10.050000000000001</v>
    <v>10.164999999999999</v>
    <v>10.164999999999999</v>
    <v>10.484999999999999</v>
    <v>10.38</v>
    <v>10.11</v>
    <v>10.635</v>
    <v>10.53</v>
    <v>10.654999999999999</v>
    <v>10.635</v>
    <v>10.77</v>
    <v>10.86</v>
    <v>10.654999999999999</v>
    <v>10.855</v>
    <v>10.75</v>
    <v>10.795</v>
    <v>10.605</v>
    <v>10.465</v>
    <v>10.37</v>
    <v>10.36</v>
    <v>10.61</v>
    <v>10.66</v>
    <v>10.84</v>
    <v>10.59</v>
    <v>10.79</v>
    <v>10.94</v>
    <v>10.94</v>
    <v>10.815</v>
    <v>10.74</v>
    <v>10.645</v>
    <v>10.734999999999999</v>
    <v>10.975</v>
    <v>10.955</v>
    <v>11.04</v>
    <v>10.984999999999999</v>
    <v>11.244999999999999</v>
    <v>11.34</v>
    <v>11.43</v>
    <v>11.7</v>
    <v>11.57</v>
    <v>11.42</v>
    <v>11.42</v>
    <v>11.6</v>
    <v>11.56</v>
    <v>11.685</v>
    <v>11.5</v>
    <v>11.535</v>
    <v>11.49</v>
    <v>11.37</v>
    <v>11.375</v>
    <v>11.33</v>
    <v>11.475</v>
    <v>11.89</v>
    <v>12.095000000000001</v>
    <v>12.31</v>
    <v>12.635</v>
    <v>12.57</v>
    <v>12.645</v>
    <v>12.72</v>
    <v>12.6</v>
    <v>12.37</v>
    <v>12.375</v>
    <v>12.31</v>
    <v>12.22</v>
    <v>12.385</v>
    <v>12.5</v>
    <v>12.62</v>
    <v>12.65</v>
    <v>12.734999999999999</v>
    <v>12.675000000000001</v>
    <v>12.29</v>
    <v>12.55</v>
    <v>12.525</v>
    <v>12.41</v>
    <v>12.494999999999999</v>
    <v>12.34</v>
    <v>12.475</v>
    <v>12.47</v>
    <v>12.494999999999999</v>
    <v>12.91</v>
    <v>13.08</v>
    <v>12.904999999999999</v>
    <v>13.3</v>
    <v>13.29</v>
    <v>13.195</v>
    <v>12.255000000000001</v>
    <v>12.48</v>
    <v>12.565</v>
    <v>12.53</v>
    <v>12.63</v>
    <v>12.76</v>
    <v>12.88</v>
    <v>12.82</v>
    <v>12.94</v>
    <v>12.945</v>
    <v>12.84</v>
    <v>12.9</v>
    <v>12.97</v>
    <v>12.97</v>
    <v>12.96</v>
    <v>12.7</v>
    <v>12.904999999999999</v>
    <v>12.98</v>
    <v>13.265000000000001</v>
    <v>13.205</v>
    <v>13.205</v>
    <v>13.1</v>
    <v>13.15</v>
    <v>13.16</v>
    <v>13.08</v>
    <v>13.215</v>
    <v>13.525</v>
    <v>13.515000000000001</v>
    <v>13.46</v>
    <v>13.335000000000001</v>
    <v>13.18</v>
    <v>13.23</v>
    <v>13.345000000000001</v>
    <v>13.175000000000001</v>
    <v>13.16</v>
    <v>13.08</v>
    <v>13.005000000000001</v>
    <v>12.994999999999999</v>
    <v>13.145</v>
    <v>12.98</v>
    <v>13.1</v>
    <v>12.895</v>
    <v>13.225</v>
    <v>12.83</v>
    <v>12.635</v>
    <v>12.61</v>
    <v>12.03</v>
    <v>12.035</v>
    <v>12.22</v>
    <v>12.36</v>
    <v>11.925000000000001</v>
    <v>11.885</v>
    <v>11.85</v>
    <v>11.95</v>
    <v>11.85</v>
    <v>11.91</v>
    <v>11.904999999999999</v>
    <v>11.92</v>
    <v>11.744999999999999</v>
    <v>11.62</v>
    <v>11.805</v>
    <v>11.13</v>
    <v>11.195</v>
  </a>
  <a r="1" c="761">
    <v>96.17</v>
    <v>96.33</v>
    <v>96.29</v>
    <v>96.43</v>
    <v>96.54</v>
    <v>96.65</v>
    <v>96.85</v>
    <v>97.01</v>
    <v>97.11</v>
    <v>97.35</v>
    <v>97.15</v>
    <v>97.28</v>
    <v>97.33</v>
    <v>97.32</v>
    <v>97.12</v>
    <v>97.17</v>
    <v>97.5</v>
    <v>97.65</v>
    <v>97.73</v>
    <v>97.74</v>
    <v>97.63</v>
    <v>97.78</v>
    <v>97.73</v>
    <v>97.63</v>
    <v>97.58</v>
    <v>97.77</v>
    <v>98.06</v>
    <v>98.25</v>
    <v>98.28</v>
    <v>98.66</v>
    <v>98.85</v>
    <v>99.02</v>
    <v>99.06</v>
    <v>99.26</v>
    <v>98.9</v>
    <v>99.01</v>
    <v>99.01</v>
    <v>99.12</v>
    <v>99.49</v>
    <v>99.78</v>
    <v>99.72</v>
    <v>99.86</v>
    <v>100</v>
    <v>99.37</v>
    <v>99.42</v>
    <v>99.58</v>
    <v>99.58</v>
    <v>99.56</v>
    <v>99.47</v>
    <v>99.49</v>
    <v>99.2</v>
    <v>99.07</v>
    <v>99.04</v>
    <v>98.94</v>
    <v>98.93</v>
    <v>99.01</v>
    <v>99.33</v>
    <v>99.19</v>
    <v>99.23</v>
    <v>99</v>
    <v>99.03</v>
    <v>98.98</v>
    <v>99.27</v>
    <v>99.2</v>
    <v>99.35</v>
    <v>99.46</v>
    <v>99.52</v>
    <v>99.72</v>
    <v>99.76</v>
    <v>99.93</v>
    <v>99.91</v>
    <v>99.73</v>
    <v>99.38</v>
    <v>99.6</v>
    <v>99.44</v>
    <v>99.44</v>
    <v>99.23</v>
    <v>99.3</v>
    <v>99.22</v>
    <v>99.34</v>
    <v>99.38</v>
    <v>99.29</v>
    <v>99.29</v>
    <v>99.41</v>
    <v>99.35</v>
    <v>99.47</v>
    <v>99.49</v>
    <v>99.38</v>
    <v>99.41</v>
    <v>99.47</v>
    <v>99.51</v>
    <v>99.43</v>
    <v>99.45</v>
    <v>99.61</v>
    <v>99.63</v>
    <v>99.74</v>
    <v>99.91</v>
    <v>99.87</v>
    <v>99.94</v>
    <v>99.9</v>
    <v>99.87</v>
    <v>99.84</v>
    <v>99.83</v>
    <v>99.94</v>
    <v>99.9</v>
    <v>99.37</v>
    <v>99.53</v>
    <v>99.34</v>
    <v>99.4</v>
    <v>99.51</v>
    <v>99.49</v>
    <v>99.44</v>
    <v>99.37</v>
    <v>99.41</v>
    <v>99.43</v>
    <v>99.43</v>
    <v>99.42</v>
    <v>99.45</v>
    <v>99.2</v>
    <v>99.46</v>
    <v>99.24</v>
    <v>99.17</v>
    <v>99.2</v>
    <v>99.19</v>
    <v>99.1</v>
    <v>99.25</v>
    <v>99.33</v>
    <v>99.13</v>
    <v>99.02</v>
    <v>99.1</v>
    <v>99.21</v>
    <v>99.04</v>
    <v>99.13</v>
    <v>99.5</v>
    <v>99.55</v>
    <v>99.63</v>
    <v>99.56</v>
    <v>99.51</v>
    <v>99.46</v>
    <v>99.54</v>
    <v>99.45</v>
    <v>99.77</v>
    <v>99.69</v>
    <v>99.55</v>
    <v>99.53</v>
    <v>99.59</v>
    <v>99.5</v>
    <v>99.27</v>
    <v>99.22</v>
    <v>99.34</v>
    <v>99.18</v>
    <v>99.21</v>
    <v>99.31</v>
    <v>99.34</v>
    <v>99.54</v>
    <v>99.67</v>
    <v>99.7</v>
    <v>99.67</v>
    <v>99.44</v>
    <v>99.44</v>
    <v>99.57</v>
    <v>99.94</v>
    <v>99.9</v>
    <v>100.16</v>
    <v>99.86</v>
    <v>100.01</v>
    <v>99.75</v>
    <v>99.2</v>
    <v>99.29</v>
    <v>99.29</v>
    <v>99.29</v>
    <v>99.28</v>
    <v>99.35</v>
    <v>99.43</v>
    <v>99.19</v>
    <v>99.18</v>
    <v>99.45</v>
    <v>99.36</v>
    <v>99.52</v>
    <v>99.56</v>
    <v>99.44</v>
    <v>99.6</v>
    <v>99.91</v>
    <v>99.93</v>
    <v>99.87</v>
    <v>100.01</v>
    <v>99.93</v>
    <v>100.01</v>
    <v>99.93</v>
    <v>99.98</v>
    <v>100.1</v>
    <v>100.09</v>
    <v>100.32</v>
    <v>100.39</v>
    <v>100.47</v>
    <v>100.44</v>
    <v>100.56</v>
    <v>100.62</v>
    <v>100.86</v>
    <v>100.67</v>
    <v>100.39</v>
    <v>100.33</v>
    <v>100.52</v>
    <v>100.74</v>
    <v>100.64</v>
    <v>101.03</v>
    <v>100.82</v>
    <v>100.76</v>
    <v>100.82</v>
    <v>100.95</v>
    <v>100.86</v>
    <v>100.91</v>
    <v>101.02</v>
    <v>101.02</v>
    <v>100.97</v>
    <v>101.04</v>
    <v>101.02</v>
    <v>101.05</v>
    <v>101.06</v>
    <v>100.99</v>
    <v>101.15</v>
    <v>101.09</v>
    <v>101.3</v>
    <v>101.41</v>
    <v>101.45</v>
    <v>101.67</v>
    <v>101.42</v>
    <v>101.45</v>
    <v>101.6</v>
    <v>101.56</v>
    <v>101.35</v>
    <v>100.94</v>
    <v>100.88</v>
    <v>101.02</v>
    <v>101.19</v>
    <v>101.12</v>
    <v>101.21</v>
    <v>101.29</v>
    <v>101.24</v>
    <v>101.34</v>
    <v>101.28</v>
    <v>101.17</v>
    <v>101.06</v>
    <v>101.03</v>
    <v>101.09</v>
    <v>101.08</v>
    <v>101.16</v>
    <v>101.14</v>
    <v>101.09</v>
    <v>101.22</v>
    <v>101.33</v>
    <v>101.61</v>
    <v>101.61</v>
    <v>101.45</v>
    <v>101.42</v>
    <v>101.45</v>
    <v>101.7</v>
    <v>101.55</v>
    <v>101.48</v>
    <v>101.49</v>
    <v>101.23</v>
    <v>101.1</v>
    <v>101.06</v>
    <v>101.09</v>
    <v>101</v>
    <v>101.25</v>
    <v>101.3</v>
    <v>101.41</v>
    <v>101.67</v>
    <v>101.59</v>
    <v>101.52</v>
    <v>101.84</v>
    <v>101.71</v>
    <v>101.67</v>
    <v>101.64</v>
    <v>101.59</v>
    <v>101.71</v>
    <v>101.96</v>
    <v>101.88</v>
    <v>101.84</v>
    <v>101.85</v>
    <v>102.06</v>
    <v>102.17</v>
    <v>102.4</v>
    <v>102.41</v>
    <v>102.41</v>
    <v>102.31</v>
    <v>102.34</v>
    <v>102.42</v>
    <v>102.56</v>
    <v>102.57</v>
    <v>102.59</v>
    <v>102.35</v>
    <v>102.41</v>
    <v>102.38</v>
    <v>102.22</v>
    <v>101.35</v>
    <v>101.46</v>
    <v>101.44</v>
    <v>101.44</v>
    <v>101.52</v>
    <v>101.67</v>
    <v>101.27</v>
    <v>101.16</v>
    <v>101.12</v>
    <v>101.12</v>
    <v>100.96</v>
    <v>100.93</v>
    <v>100.81</v>
    <v>100.77</v>
    <v>101</v>
    <v>101.13</v>
    <v>101.26</v>
    <v>101.29</v>
    <v>101.3</v>
    <v>101.42</v>
    <v>101.27</v>
    <v>101.19</v>
    <v>101.32</v>
    <v>101.36</v>
    <v>101.36</v>
    <v>101.61</v>
    <v>101.87</v>
    <v>102</v>
    <v>102.11</v>
    <v>102.16</v>
    <v>102.08</v>
    <v>102.08</v>
    <v>102.17</v>
    <v>102.2</v>
    <v>101.95</v>
    <v>102.15</v>
    <v>102.14</v>
    <v>102.15</v>
    <v>102.15</v>
    <v>102.01</v>
    <v>102.02</v>
    <v>102.12</v>
    <v>102.21</v>
    <v>102.14</v>
    <v>102.22</v>
    <v>102.55</v>
    <v>102.55</v>
    <v>102.46</v>
    <v>102.56</v>
    <v>101.87</v>
    <v>101.77</v>
    <v>102.06</v>
    <v>102.01</v>
    <v>101.91</v>
    <v>101.89</v>
    <v>101.94</v>
    <v>102.06</v>
    <v>102.08</v>
    <v>101.98</v>
    <v>102.28</v>
    <v>101.45</v>
    <v>101.5</v>
    <v>101.67</v>
    <v>101.49</v>
    <v>101.48</v>
    <v>101.56</v>
    <v>101.65</v>
    <v>101.73</v>
    <v>101.86</v>
    <v>101.73</v>
    <v>101.84</v>
    <v>102.21</v>
    <v>102.29</v>
    <v>101.44</v>
    <v>101.78</v>
    <v>101.5</v>
    <v>101.72</v>
    <v>101.52</v>
    <v>101.8</v>
    <v>101.79</v>
    <v>102.25</v>
    <v>102.24</v>
    <v>102.25</v>
    <v>102.57</v>
    <v>102.52</v>
    <v>102.54</v>
    <v>102.57</v>
    <v>102.65</v>
    <v>102.6</v>
    <v>102.56</v>
    <v>102.52</v>
    <v>102.64</v>
    <v>102.69</v>
    <v>102.62</v>
    <v>102.38</v>
    <v>102.5</v>
    <v>102.39</v>
    <v>102.5</v>
    <v>102.57</v>
    <v>102.54</v>
    <v>102.74</v>
    <v>102.56</v>
    <v>102.56</v>
    <v>102.63</v>
    <v>102.73</v>
    <v>102.8</v>
    <v>102.78</v>
    <v>102.87</v>
    <v>102.91</v>
    <v>102.89</v>
    <v>103.11</v>
    <v>103.07</v>
    <v>102.92</v>
    <v>102.95</v>
    <v>102.98</v>
    <v>103.11</v>
    <v>103.2</v>
    <v>103.47</v>
    <v>103.06</v>
    <v>103.1</v>
    <v>103.2</v>
    <v>103.16</v>
    <v>103.05</v>
    <v>102.21</v>
    <v>102.47</v>
    <v>102.35</v>
    <v>102.45</v>
    <v>102.75</v>
    <v>102.5</v>
    <v>102.43</v>
    <v>102.62</v>
    <v>102.69</v>
    <v>102.76</v>
    <v>102.81</v>
    <v>102.82</v>
    <v>102.78</v>
    <v>102.75</v>
    <v>102.61</v>
    <v>102.57</v>
    <v>102.62</v>
    <v>102.78</v>
    <v>102.71</v>
    <v>102.82</v>
    <v>102.75</v>
    <v>102.93</v>
    <v>102.99</v>
    <v>103.12</v>
    <v>102.91</v>
    <v>102.78</v>
    <v>102.93</v>
    <v>102.96</v>
    <v>102.72</v>
    <v>102.85</v>
    <v>102.93</v>
    <v>102.94</v>
    <v>103.08</v>
    <v>103.12</v>
    <v>103.28</v>
    <v>103.04</v>
    <v>103</v>
    <v>103.05</v>
    <v>103.31</v>
    <v>103.42</v>
    <v>103.27</v>
    <v>103.17</v>
    <v>103.33</v>
    <v>103.23</v>
    <v>103.18</v>
    <v>103.23</v>
    <v>103.44</v>
    <v>103.42</v>
    <v>103.47</v>
    <v>103.45</v>
    <v>103.33</v>
    <v>103.17</v>
    <v>103.23</v>
    <v>103.31</v>
    <v>103.41</v>
    <v>103.62</v>
    <v>103.48</v>
    <v>103.58</v>
    <v>103.48</v>
    <v>103.41</v>
    <v>103.57</v>
    <v>103.33</v>
    <v>103.35</v>
    <v>102.69</v>
    <v>102.55</v>
    <v>102.58</v>
    <v>102.66</v>
    <v>102.64</v>
    <v>102.6</v>
    <v>102.6</v>
    <v>102.67</v>
    <v>102.66</v>
    <v>102.73</v>
    <v>102.86</v>
    <v>102.64</v>
    <v>102.93</v>
    <v>102.92</v>
    <v>103.01</v>
    <v>102.74</v>
    <v>102.75</v>
    <v>102.96</v>
    <v>102.85</v>
    <v>103.05</v>
    <v>103.27</v>
    <v>103.23</v>
    <v>103.26</v>
    <v>103.35</v>
    <v>103.14</v>
    <v>103.03</v>
    <v>103.06</v>
    <v>103.22</v>
    <v>103.3</v>
    <v>103.29</v>
    <v>103.21</v>
    <v>103.17</v>
    <v>103.17</v>
    <v>103.21</v>
    <v>103.07</v>
    <v>103.06</v>
    <v>103.09</v>
    <v>103.03</v>
    <v>103.27</v>
    <v>103.33</v>
    <v>103.22</v>
    <v>103.28</v>
    <v>103.08</v>
    <v>103.15</v>
    <v>103.23</v>
    <v>103.19</v>
    <v>103.12</v>
    <v>103.25</v>
    <v>103.16</v>
    <v>103.2</v>
    <v>103.18</v>
    <v>103.25</v>
    <v>103.12</v>
    <v>103.36</v>
    <v>103.37</v>
    <v>103.35</v>
    <v>103.26</v>
    <v>102.98</v>
    <v>102.95</v>
    <v>102.84</v>
    <v>102.89</v>
    <v>103</v>
    <v>102.87</v>
    <v>103.17</v>
    <v>103.11</v>
    <v>102.33</v>
    <v>102.1</v>
    <v>102.16</v>
    <v>102.51</v>
    <v>102.42</v>
    <v>102.52</v>
    <v>102.37</v>
    <v>102.32</v>
    <v>102.47</v>
    <v>102.65</v>
    <v>102.63</v>
    <v>102.7</v>
    <v>102.81</v>
    <v>102.85</v>
    <v>102.94</v>
    <v>103.04</v>
    <v>102.68</v>
    <v>102.85</v>
    <v>102.85</v>
    <v>102.79</v>
    <v>102.92</v>
    <v>102.8</v>
    <v>102.87</v>
    <v>102.82</v>
    <v>103.02</v>
    <v>103.06</v>
    <v>103.1</v>
    <v>103.06</v>
    <v>102.9</v>
    <v>103</v>
    <v>103</v>
    <v>102.79</v>
    <v>102.84</v>
    <v>103.02</v>
    <v>103.09</v>
    <v>103.04</v>
    <v>103.16</v>
    <v>102.99</v>
    <v>103.14</v>
    <v>103.2</v>
    <v>103.31</v>
    <v>103.26</v>
    <v>103.35</v>
    <v>103.37</v>
    <v>103.35</v>
    <v>103.38</v>
    <v>103.41</v>
    <v>103.05</v>
    <v>102.47</v>
    <v>102.97</v>
    <v>102.8</v>
    <v>102.24</v>
    <v>102.09</v>
    <v>102.22</v>
    <v>102.17</v>
    <v>101.76</v>
    <v>101.75</v>
    <v>101.61</v>
    <v>101.83</v>
    <v>101.59</v>
    <v>100.32</v>
    <v>99.88</v>
    <v>99.93</v>
    <v>99.93</v>
    <v>100.14</v>
    <v>99.79</v>
    <v>99.98</v>
    <v>100.03</v>
    <v>99.97</v>
    <v>100.42</v>
    <v>100.54</v>
    <v>100.13</v>
    <v>100.96</v>
    <v>101.06</v>
    <v>101.07</v>
    <v>100.67</v>
    <v>101.15</v>
    <v>101.33</v>
    <v>101.37</v>
    <v>101.7</v>
    <v>101.69</v>
    <v>101.5</v>
    <v>101.37</v>
    <v>101.27</v>
    <v>101.23</v>
    <v>101.05</v>
    <v>101</v>
    <v>100.74</v>
    <v>101.04</v>
    <v>101.1</v>
    <v>101.15</v>
    <v>101.47</v>
    <v>101.32</v>
    <v>101.46</v>
    <v>101.11</v>
    <v>101</v>
    <v>101.05</v>
    <v>101.04</v>
    <v>100.79</v>
    <v>100.92</v>
    <v>100.77</v>
    <v>101.18</v>
    <v>101.05</v>
    <v>101.44</v>
    <v>101.55</v>
    <v>101.67</v>
    <v>101.66</v>
    <v>101.8</v>
    <v>102.14</v>
    <v>102</v>
    <v>102.01</v>
    <v>101.38</v>
    <v>101.59</v>
    <v>101.41</v>
    <v>101.39</v>
    <v>101.43</v>
    <v>101.31</v>
    <v>101.57</v>
    <v>101.78</v>
    <v>102.02</v>
    <v>101.99</v>
    <v>101.13</v>
    <v>101.16</v>
    <v>100.93</v>
    <v>101.13</v>
    <v>101.35</v>
    <v>101.44</v>
    <v>101.38</v>
    <v>101.56</v>
    <v>101.28</v>
    <v>101.28</v>
    <v>101.5</v>
    <v>101.67</v>
    <v>101.41</v>
    <v>101.56</v>
    <v>101.21</v>
    <v>100.77</v>
    <v>101.09</v>
    <v>100.91</v>
    <v>100.8</v>
    <v>100.71</v>
    <v>100.84</v>
    <v>100.8</v>
    <v>100.76</v>
    <v>100.47</v>
    <v>100.6</v>
    <v>100.4</v>
    <v>100.22</v>
    <v>100.35</v>
    <v>100.69</v>
    <v>100.79</v>
    <v>100.53</v>
    <v>100.58</v>
    <v>100.52</v>
    <v>100.96</v>
    <v>100.99</v>
    <v>101.07</v>
    <v>101.07</v>
    <v>101.05</v>
    <v>100.89</v>
    <v>100.93</v>
    <v>100.97</v>
    <v>101.15</v>
    <v>100.85</v>
    <v>100.91</v>
    <v>100.59</v>
    <v>100.44</v>
    <v>100.71</v>
    <v>100.68</v>
    <v>100.83</v>
    <v>100.91</v>
    <v>100.87</v>
    <v>100.82</v>
    <v>100.72</v>
    <v>100.62</v>
    <v>100.26</v>
    <v>100.19</v>
    <v>100.56</v>
    <v>100.54</v>
    <v>100.4</v>
    <v>100.49</v>
    <v>100.12</v>
    <v>99.23</v>
    <v>99.43</v>
    <v>98.95</v>
    <v>99.21</v>
    <v>99.48</v>
    <v>98.77</v>
    <v>98.43</v>
    <v>98.8</v>
    <v>98.8</v>
    <v>98.19</v>
    <v>98.16</v>
    <v>98.12</v>
    <v>98.03</v>
    <v>98.14</v>
    <v>98.4</v>
    <v>98.54</v>
    <v>98.52</v>
    <v>98.48</v>
    <v>98.48</v>
    <v>98.56</v>
    <v>98.56</v>
    <v>98.76</v>
    <v>98.77</v>
    <v>98.71</v>
    <v>98.74</v>
    <v>99.01</v>
    <v>99</v>
    <v>98.53</v>
    <v>98.7</v>
    <v>98.6</v>
    <v>98.97</v>
    <v>98.8</v>
  </a>
  <a r="1" c="254">
    <v>103.03</v>
    <v>103.06</v>
    <v>103.22</v>
    <v>103.3</v>
    <v>103.29</v>
    <v>103.21</v>
    <v>103.17</v>
    <v>103.17</v>
    <v>103.21</v>
    <v>103.07</v>
    <v>103.06</v>
    <v>103.09</v>
    <v>103.03</v>
    <v>103.27</v>
    <v>103.33</v>
    <v>103.22</v>
    <v>103.28</v>
    <v>103.08</v>
    <v>103.15</v>
    <v>103.23</v>
    <v>103.19</v>
    <v>103.12</v>
    <v>103.25</v>
    <v>103.16</v>
    <v>103.2</v>
    <v>103.18</v>
    <v>103.25</v>
    <v>103.12</v>
    <v>103.36</v>
    <v>103.37</v>
    <v>103.35</v>
    <v>103.26</v>
    <v>102.98</v>
    <v>102.95</v>
    <v>102.84</v>
    <v>102.89</v>
    <v>103</v>
    <v>102.87</v>
    <v>103.17</v>
    <v>103.11</v>
    <v>102.33</v>
    <v>102.1</v>
    <v>102.16</v>
    <v>102.51</v>
    <v>102.42</v>
    <v>102.52</v>
    <v>102.37</v>
    <v>102.32</v>
    <v>102.47</v>
    <v>102.65</v>
    <v>102.63</v>
    <v>102.7</v>
    <v>102.81</v>
    <v>102.85</v>
    <v>102.94</v>
    <v>103.04</v>
    <v>102.68</v>
    <v>102.85</v>
    <v>102.85</v>
    <v>102.79</v>
    <v>102.92</v>
    <v>102.8</v>
    <v>102.87</v>
    <v>102.82</v>
    <v>103.02</v>
    <v>103.06</v>
    <v>103.1</v>
    <v>103.06</v>
    <v>102.9</v>
    <v>103</v>
    <v>103</v>
    <v>102.79</v>
    <v>102.84</v>
    <v>103.02</v>
    <v>103.09</v>
    <v>103.04</v>
    <v>103.16</v>
    <v>102.99</v>
    <v>103.14</v>
    <v>103.2</v>
    <v>103.31</v>
    <v>103.26</v>
    <v>103.35</v>
    <v>103.37</v>
    <v>103.35</v>
    <v>103.38</v>
    <v>103.41</v>
    <v>103.05</v>
    <v>102.47</v>
    <v>102.97</v>
    <v>102.8</v>
    <v>102.24</v>
    <v>102.09</v>
    <v>102.22</v>
    <v>102.17</v>
    <v>101.76</v>
    <v>101.75</v>
    <v>101.61</v>
    <v>101.83</v>
    <v>101.59</v>
    <v>100.32</v>
    <v>99.88</v>
    <v>99.93</v>
    <v>99.93</v>
    <v>100.14</v>
    <v>99.79</v>
    <v>99.98</v>
    <v>100.03</v>
    <v>99.97</v>
    <v>100.42</v>
    <v>100.54</v>
    <v>100.13</v>
    <v>100.96</v>
    <v>101.06</v>
    <v>101.07</v>
    <v>100.67</v>
    <v>101.15</v>
    <v>101.33</v>
    <v>101.37</v>
    <v>101.7</v>
    <v>101.69</v>
    <v>101.5</v>
    <v>101.37</v>
    <v>101.27</v>
    <v>101.23</v>
    <v>101.05</v>
    <v>101</v>
    <v>100.74</v>
    <v>101.04</v>
    <v>101.1</v>
    <v>101.15</v>
    <v>101.47</v>
    <v>101.32</v>
    <v>101.46</v>
    <v>101.11</v>
    <v>101</v>
    <v>101.05</v>
    <v>101.04</v>
    <v>100.79</v>
    <v>100.92</v>
    <v>100.77</v>
    <v>101.18</v>
    <v>101.05</v>
    <v>101.44</v>
    <v>101.55</v>
    <v>101.67</v>
    <v>101.66</v>
    <v>101.8</v>
    <v>102.14</v>
    <v>102</v>
    <v>102.01</v>
    <v>101.38</v>
    <v>101.59</v>
    <v>101.41</v>
    <v>101.39</v>
    <v>101.43</v>
    <v>101.31</v>
    <v>101.57</v>
    <v>101.78</v>
    <v>102.02</v>
    <v>101.99</v>
    <v>101.13</v>
    <v>101.16</v>
    <v>100.93</v>
    <v>101.13</v>
    <v>101.35</v>
    <v>101.44</v>
    <v>101.38</v>
    <v>101.56</v>
    <v>101.28</v>
    <v>101.28</v>
    <v>101.5</v>
    <v>101.67</v>
    <v>101.41</v>
    <v>101.56</v>
    <v>101.21</v>
    <v>100.77</v>
    <v>101.09</v>
    <v>100.91</v>
    <v>100.8</v>
    <v>100.71</v>
    <v>100.84</v>
    <v>100.8</v>
    <v>100.76</v>
    <v>100.47</v>
    <v>100.6</v>
    <v>100.4</v>
    <v>100.22</v>
    <v>100.35</v>
    <v>100.69</v>
    <v>100.79</v>
    <v>100.53</v>
    <v>100.58</v>
    <v>100.52</v>
    <v>100.96</v>
    <v>100.99</v>
    <v>101.07</v>
    <v>101.07</v>
    <v>101.05</v>
    <v>100.89</v>
    <v>100.93</v>
    <v>100.97</v>
    <v>101.15</v>
    <v>100.85</v>
    <v>100.91</v>
    <v>100.59</v>
    <v>100.44</v>
    <v>100.71</v>
    <v>100.68</v>
    <v>100.83</v>
    <v>100.91</v>
    <v>100.87</v>
    <v>100.82</v>
    <v>100.72</v>
    <v>100.62</v>
    <v>100.26</v>
    <v>100.19</v>
    <v>100.56</v>
    <v>100.54</v>
    <v>100.4</v>
    <v>100.49</v>
    <v>100.12</v>
    <v>99.23</v>
    <v>99.43</v>
    <v>98.95</v>
    <v>99.21</v>
    <v>99.48</v>
    <v>98.77</v>
    <v>98.43</v>
    <v>98.8</v>
    <v>98.8</v>
    <v>98.19</v>
    <v>98.16</v>
    <v>98.12</v>
    <v>98.03</v>
    <v>98.14</v>
    <v>98.4</v>
    <v>98.54</v>
    <v>98.52</v>
    <v>98.48</v>
    <v>98.48</v>
    <v>98.56</v>
    <v>98.56</v>
    <v>98.76</v>
    <v>98.77</v>
    <v>98.71</v>
    <v>98.74</v>
    <v>99.01</v>
    <v>99</v>
    <v>98.53</v>
    <v>98.7</v>
    <v>98.6</v>
    <v>98.97</v>
    <v>98.8</v>
  </a>
  <a r="1" c="208">
    <v>102.37</v>
    <v>102.32</v>
    <v>102.47</v>
    <v>102.65</v>
    <v>102.63</v>
    <v>102.7</v>
    <v>102.81</v>
    <v>102.85</v>
    <v>102.94</v>
    <v>103.04</v>
    <v>102.68</v>
    <v>102.85</v>
    <v>102.85</v>
    <v>102.79</v>
    <v>102.92</v>
    <v>102.8</v>
    <v>102.87</v>
    <v>102.82</v>
    <v>103.02</v>
    <v>103.06</v>
    <v>103.1</v>
    <v>103.06</v>
    <v>102.9</v>
    <v>103</v>
    <v>103</v>
    <v>102.79</v>
    <v>102.84</v>
    <v>103.02</v>
    <v>103.09</v>
    <v>103.04</v>
    <v>103.16</v>
    <v>102.99</v>
    <v>103.14</v>
    <v>103.2</v>
    <v>103.31</v>
    <v>103.26</v>
    <v>103.35</v>
    <v>103.37</v>
    <v>103.35</v>
    <v>103.38</v>
    <v>103.41</v>
    <v>103.05</v>
    <v>102.47</v>
    <v>102.97</v>
    <v>102.8</v>
    <v>102.24</v>
    <v>102.09</v>
    <v>102.22</v>
    <v>102.17</v>
    <v>101.76</v>
    <v>101.75</v>
    <v>101.61</v>
    <v>101.83</v>
    <v>101.59</v>
    <v>100.32</v>
    <v>99.88</v>
    <v>99.93</v>
    <v>99.93</v>
    <v>100.14</v>
    <v>99.79</v>
    <v>99.98</v>
    <v>100.03</v>
    <v>99.97</v>
    <v>100.42</v>
    <v>100.54</v>
    <v>100.13</v>
    <v>100.96</v>
    <v>101.06</v>
    <v>101.07</v>
    <v>100.67</v>
    <v>101.15</v>
    <v>101.33</v>
    <v>101.37</v>
    <v>101.7</v>
    <v>101.69</v>
    <v>101.5</v>
    <v>101.37</v>
    <v>101.27</v>
    <v>101.23</v>
    <v>101.05</v>
    <v>101</v>
    <v>100.74</v>
    <v>101.04</v>
    <v>101.1</v>
    <v>101.15</v>
    <v>101.47</v>
    <v>101.32</v>
    <v>101.46</v>
    <v>101.11</v>
    <v>101</v>
    <v>101.05</v>
    <v>101.04</v>
    <v>100.79</v>
    <v>100.92</v>
    <v>100.77</v>
    <v>101.18</v>
    <v>101.05</v>
    <v>101.44</v>
    <v>101.55</v>
    <v>101.67</v>
    <v>101.66</v>
    <v>101.8</v>
    <v>102.14</v>
    <v>102</v>
    <v>102.01</v>
    <v>101.38</v>
    <v>101.59</v>
    <v>101.41</v>
    <v>101.39</v>
    <v>101.43</v>
    <v>101.31</v>
    <v>101.57</v>
    <v>101.78</v>
    <v>102.02</v>
    <v>101.99</v>
    <v>101.13</v>
    <v>101.16</v>
    <v>100.93</v>
    <v>101.13</v>
    <v>101.35</v>
    <v>101.44</v>
    <v>101.38</v>
    <v>101.56</v>
    <v>101.28</v>
    <v>101.28</v>
    <v>101.5</v>
    <v>101.67</v>
    <v>101.41</v>
    <v>101.56</v>
    <v>101.21</v>
    <v>100.77</v>
    <v>101.09</v>
    <v>100.91</v>
    <v>100.8</v>
    <v>100.71</v>
    <v>100.84</v>
    <v>100.8</v>
    <v>100.76</v>
    <v>100.47</v>
    <v>100.6</v>
    <v>100.4</v>
    <v>100.22</v>
    <v>100.35</v>
    <v>100.69</v>
    <v>100.79</v>
    <v>100.53</v>
    <v>100.58</v>
    <v>100.52</v>
    <v>100.96</v>
    <v>100.99</v>
    <v>101.07</v>
    <v>101.07</v>
    <v>101.05</v>
    <v>100.89</v>
    <v>100.93</v>
    <v>100.97</v>
    <v>101.15</v>
    <v>100.85</v>
    <v>100.91</v>
    <v>100.59</v>
    <v>100.44</v>
    <v>100.71</v>
    <v>100.68</v>
    <v>100.83</v>
    <v>100.91</v>
    <v>100.87</v>
    <v>100.82</v>
    <v>100.72</v>
    <v>100.62</v>
    <v>100.26</v>
    <v>100.19</v>
    <v>100.56</v>
    <v>100.54</v>
    <v>100.4</v>
    <v>100.49</v>
    <v>100.12</v>
    <v>99.23</v>
    <v>99.43</v>
    <v>98.95</v>
    <v>99.21</v>
    <v>99.48</v>
    <v>98.77</v>
    <v>98.43</v>
    <v>98.8</v>
    <v>98.8</v>
    <v>98.19</v>
    <v>98.16</v>
    <v>98.12</v>
    <v>98.03</v>
    <v>98.14</v>
    <v>98.4</v>
    <v>98.54</v>
    <v>98.52</v>
    <v>98.48</v>
    <v>98.48</v>
    <v>98.56</v>
    <v>98.56</v>
    <v>98.76</v>
    <v>98.77</v>
    <v>98.71</v>
    <v>98.74</v>
    <v>99.01</v>
    <v>99</v>
    <v>98.53</v>
    <v>98.7</v>
    <v>98.6</v>
    <v>98.97</v>
    <v>98.8</v>
  </a>
  <a r="1" c="254">
    <v>108.6</v>
    <v>108.45</v>
    <v>108.62</v>
    <v>108.51</v>
    <v>108.54</v>
    <v>108.46</v>
    <v>108.51</v>
    <v>108.38</v>
    <v>108.37</v>
    <v>108.32</v>
    <v>108.44</v>
    <v>108.29</v>
    <v>108.33</v>
    <v>108.4</v>
    <v>108.4</v>
    <v>108.32</v>
    <v>108.28</v>
    <v>108.39</v>
    <v>108.24</v>
    <v>108.3</v>
    <v>108.34</v>
    <v>108.34</v>
    <v>108.39</v>
    <v>108.45</v>
    <v>108.43</v>
    <v>108.4</v>
    <v>108.48</v>
    <v>108.36</v>
    <v>108.49</v>
    <v>108.49</v>
    <v>108.48</v>
    <v>108.38</v>
    <v>108.27</v>
    <v>108.18</v>
    <v>108.11</v>
    <v>108.21</v>
    <v>108.22</v>
    <v>108.26</v>
    <v>108.19</v>
    <v>108.2</v>
    <v>108.28</v>
    <v>108.23</v>
    <v>108.31</v>
    <v>108.35</v>
    <v>108.43</v>
    <v>108.47</v>
    <v>108.4</v>
    <v>108.47</v>
    <v>108.62</v>
    <v>108.75</v>
    <v>108.67</v>
    <v>108.69</v>
    <v>108.72</v>
    <v>108.67</v>
    <v>108.75</v>
    <v>107.11</v>
    <v>107.05</v>
    <v>107.08</v>
    <v>106.99</v>
    <v>107.11</v>
    <v>107.14</v>
    <v>107.13</v>
    <v>107.21</v>
    <v>107.26</v>
    <v>107.3</v>
    <v>107.34</v>
    <v>107.36</v>
    <v>107.33</v>
    <v>107.28</v>
    <v>107.32</v>
    <v>107.35</v>
    <v>107.46</v>
    <v>107.49</v>
    <v>107.49</v>
    <v>107.47</v>
    <v>107.51</v>
    <v>107.55</v>
    <v>107.53</v>
    <v>107.52</v>
    <v>107.53</v>
    <v>107.52</v>
    <v>107.56</v>
    <v>107.66</v>
    <v>107.53</v>
    <v>107.59</v>
    <v>107.53</v>
    <v>107.61</v>
    <v>107.47</v>
    <v>107.02</v>
    <v>107.37</v>
    <v>106.97</v>
    <v>106.81</v>
    <v>106.75</v>
    <v>106.98</v>
    <v>106.55</v>
    <v>106.42</v>
    <v>106.29</v>
    <v>106.49</v>
    <v>106.51</v>
    <v>106.4</v>
    <v>106.06</v>
    <v>105.62</v>
    <v>105.91</v>
    <v>105.96</v>
    <v>106.1</v>
    <v>105.81</v>
    <v>105.58</v>
    <v>105.84</v>
    <v>105.94</v>
    <v>106.28</v>
    <v>106.17</v>
    <v>105.89</v>
    <v>106.8</v>
    <v>106.57</v>
    <v>106.66</v>
    <v>106.38</v>
    <v>106.71</v>
    <v>106.85</v>
    <v>106.79</v>
    <v>107.15</v>
    <v>107.05</v>
    <v>106.86</v>
    <v>106.8</v>
    <v>106.9</v>
    <v>106.74</v>
    <v>106.69</v>
    <v>106.55</v>
    <v>106.41</v>
    <v>106.79</v>
    <v>106.54</v>
    <v>106.66</v>
    <v>107.07</v>
    <v>106.9</v>
    <v>107.04</v>
    <v>106.79</v>
    <v>106.63</v>
    <v>106.64</v>
    <v>106.93</v>
    <v>106.7</v>
    <v>106.73</v>
    <v>106.67</v>
    <v>106.91</v>
    <v>106.88</v>
    <v>107.09</v>
    <v>107.34</v>
    <v>107.19</v>
    <v>107.19</v>
    <v>107.28</v>
    <v>107.44</v>
    <v>107.26</v>
    <v>107.33</v>
    <v>107.17</v>
    <v>107.14</v>
    <v>107.12</v>
    <v>107.14</v>
    <v>107.14</v>
    <v>107.01</v>
    <v>107.15</v>
    <v>107.45</v>
    <v>107.53</v>
    <v>107.62</v>
    <v>107.47</v>
    <v>107.51</v>
    <v>107.4</v>
    <v>107.53</v>
    <v>107.57</v>
    <v>107.67</v>
    <v>107.68</v>
    <v>107.73</v>
    <v>107.68</v>
    <v>107.72</v>
    <v>107.79</v>
    <v>107.79</v>
    <v>107.77</v>
    <v>107.78</v>
    <v>107.66</v>
    <v>107.4</v>
    <v>107.41</v>
    <v>107.44</v>
    <v>107.26</v>
    <v>107.3</v>
    <v>107.41</v>
    <v>105.72</v>
    <v>105.61</v>
    <v>105.61</v>
    <v>105.6</v>
    <v>105.47</v>
    <v>105.39</v>
    <v>105.46</v>
    <v>105.6</v>
    <v>105.81</v>
    <v>105.62</v>
    <v>105.77</v>
    <v>105.61</v>
    <v>105.88</v>
    <v>106.08</v>
    <v>106</v>
    <v>105.98</v>
    <v>106.09</v>
    <v>105.89</v>
    <v>105.88</v>
    <v>105.89</v>
    <v>106.01</v>
    <v>105.9</v>
    <v>105.86</v>
    <v>105.67</v>
    <v>105.65</v>
    <v>105.85</v>
    <v>105.76</v>
    <v>105.78</v>
    <v>105.88</v>
    <v>105.81</v>
    <v>105.72</v>
    <v>105.71</v>
    <v>105.7</v>
    <v>105.55</v>
    <v>105.37</v>
    <v>105.45</v>
    <v>105.63</v>
    <v>105.46</v>
    <v>105.48</v>
    <v>105.22</v>
    <v>104.88</v>
    <v>104.89</v>
    <v>104.59</v>
    <v>104.77</v>
    <v>104.76</v>
    <v>104.96</v>
    <v>104.79</v>
    <v>104.97</v>
    <v>104.91</v>
    <v>104.62</v>
    <v>104.43</v>
    <v>104.49</v>
    <v>104.36</v>
    <v>104.51</v>
    <v>104.64</v>
    <v>104.9</v>
    <v>104.88</v>
    <v>104.84</v>
    <v>105.07</v>
    <v>105.04</v>
    <v>104.93</v>
    <v>105</v>
    <v>105.14</v>
    <v>105</v>
    <v>105.14</v>
    <v>105.31</v>
    <v>105.37</v>
    <v>105.13</v>
    <v>105.28</v>
    <v>105.01</v>
    <v>105.08</v>
    <v>105</v>
  </a>
  <a r="1" c="761">
    <v>102.17</v>
    <v>102.38</v>
    <v>102.31</v>
    <v>102.41</v>
    <v>102.54</v>
    <v>102.64</v>
    <v>102.77</v>
    <v>103</v>
    <v>103.12</v>
    <v>103.25</v>
    <v>102.99</v>
    <v>103.1</v>
    <v>103.19</v>
    <v>103.27</v>
    <v>103.09</v>
    <v>103.12</v>
    <v>103.51</v>
    <v>103.5</v>
    <v>103.59</v>
    <v>103.59</v>
    <v>103.46</v>
    <v>103.61</v>
    <v>103.58</v>
    <v>103.52</v>
    <v>103.5</v>
    <v>103.68</v>
    <v>103.95</v>
    <v>104.32</v>
    <v>104.27</v>
    <v>104.87</v>
    <v>104.73</v>
    <v>104.96</v>
    <v>105.02</v>
    <v>105.01</v>
    <v>104.86</v>
    <v>104.81</v>
    <v>104.93</v>
    <v>105.13</v>
    <v>105.64</v>
    <v>105.87</v>
    <v>105.56</v>
    <v>105.8</v>
    <v>105.98</v>
    <v>106.1</v>
    <v>106.2</v>
    <v>106.37</v>
    <v>106.37</v>
    <v>106.18</v>
    <v>106.04</v>
    <v>105.84</v>
    <v>105.62</v>
    <v>105.59</v>
    <v>105.66</v>
    <v>105.49</v>
    <v>105.47</v>
    <v>104.22</v>
    <v>104.63</v>
    <v>104.4</v>
    <v>104.47</v>
    <v>104.07</v>
    <v>104.18</v>
    <v>104.16</v>
    <v>104.39</v>
    <v>104.28</v>
    <v>104.4</v>
    <v>104.67</v>
    <v>104.66</v>
    <v>104.86</v>
    <v>104.7</v>
    <v>104.97</v>
    <v>104.85</v>
    <v>104.6</v>
    <v>104.44</v>
    <v>104.58</v>
    <v>104.48</v>
    <v>104.42</v>
    <v>104.36</v>
    <v>104.42</v>
    <v>104.27</v>
    <v>104.43</v>
    <v>104.48</v>
    <v>104.36</v>
    <v>104.37</v>
    <v>104.55</v>
    <v>104.34</v>
    <v>104.33</v>
    <v>104.57</v>
    <v>104.39</v>
    <v>104.3</v>
    <v>104.25</v>
    <v>104.37</v>
    <v>104.5</v>
    <v>104.39</v>
    <v>104.6</v>
    <v>104.51</v>
    <v>104.81</v>
    <v>104.99</v>
    <v>104.92</v>
    <v>104.95</v>
    <v>104.86</v>
    <v>104.89</v>
    <v>104.73</v>
    <v>104.68</v>
    <v>104.8</v>
    <v>104.89</v>
    <v>105</v>
    <v>105.19</v>
    <v>104.95</v>
    <v>105.03</v>
    <v>105.19</v>
    <v>105.31</v>
    <v>105.25</v>
    <v>105.28</v>
    <v>105.42</v>
    <v>105.35</v>
    <v>105.21</v>
    <v>105.33</v>
    <v>105.12</v>
    <v>104.99</v>
    <v>105.24</v>
    <v>105.09</v>
    <v>104.79</v>
    <v>104.91</v>
    <v>104.94</v>
    <v>104.86</v>
    <v>105.09</v>
    <v>105.04</v>
    <v>104.83</v>
    <v>104.74</v>
    <v>104.89</v>
    <v>105.03</v>
    <v>104.87</v>
    <v>105</v>
    <v>105.16</v>
    <v>105.26</v>
    <v>105.35</v>
    <v>105.24</v>
    <v>105.24</v>
    <v>105.22</v>
    <v>105.2</v>
    <v>105.04</v>
    <v>105.38</v>
    <v>105.37</v>
    <v>105.25</v>
    <v>105.3</v>
    <v>105.33</v>
    <v>105.22</v>
    <v>105.16</v>
    <v>105.11</v>
    <v>105.22</v>
    <v>105.27</v>
    <v>105.08</v>
    <v>105.19</v>
    <v>105.24</v>
    <v>105.43</v>
    <v>105.45</v>
    <v>105.49</v>
    <v>105.51</v>
    <v>105.24</v>
    <v>105.07</v>
    <v>105.35</v>
    <v>105.46</v>
    <v>105.49</v>
    <v>105.66</v>
    <v>105.56</v>
    <v>105.69</v>
    <v>105.7</v>
    <v>105.72</v>
    <v>105.77</v>
    <v>105.76</v>
    <v>105.86</v>
    <v>105.72</v>
    <v>105.86</v>
    <v>105.83</v>
    <v>105.79</v>
    <v>105.88</v>
    <v>106</v>
    <v>105.94</v>
    <v>106.07</v>
    <v>106.09</v>
    <v>106.05</v>
    <v>106.13</v>
    <v>106.42</v>
    <v>106.42</v>
    <v>106.37</v>
    <v>106.47</v>
    <v>106.46</v>
    <v>105.19</v>
    <v>105.23</v>
    <v>105.04</v>
    <v>105.19</v>
    <v>105.27</v>
    <v>105.32</v>
    <v>105.46</v>
    <v>105.49</v>
    <v>105.58</v>
    <v>105.69</v>
    <v>105.89</v>
    <v>105.87</v>
    <v>105.42</v>
    <v>105.79</v>
    <v>105.75</v>
    <v>105.91</v>
    <v>105.94</v>
    <v>105.75</v>
    <v>105.92</v>
    <v>106.09</v>
    <v>106.01</v>
    <v>105.89</v>
    <v>106.02</v>
    <v>106.15</v>
    <v>106.08</v>
    <v>106.05</v>
    <v>106.12</v>
    <v>106.1</v>
    <v>106.1</v>
    <v>106.08</v>
    <v>106.16</v>
    <v>106.13</v>
    <v>106.11</v>
    <v>106.34</v>
    <v>106.4</v>
    <v>106.57</v>
    <v>106.63</v>
    <v>106.52</v>
    <v>106.73</v>
    <v>106.51</v>
    <v>106.73</v>
    <v>106.62</v>
    <v>106.72</v>
    <v>106.48</v>
    <v>106.73</v>
    <v>106.7</v>
    <v>106.88</v>
    <v>107.08</v>
    <v>106.94</v>
    <v>107.03</v>
    <v>107.09</v>
    <v>107.2</v>
    <v>107.47</v>
    <v>107.31</v>
    <v>107.4</v>
    <v>107.15</v>
    <v>107.06</v>
    <v>107.02</v>
    <v>107.01</v>
    <v>107.1</v>
    <v>107.07</v>
    <v>107.1</v>
    <v>107.28</v>
    <v>107.35</v>
    <v>107.4</v>
    <v>107.57</v>
    <v>107.3</v>
    <v>107.33</v>
    <v>107.42</v>
    <v>107.57</v>
    <v>107.34</v>
    <v>107.52</v>
    <v>107.43</v>
    <v>107.01</v>
    <v>106.91</v>
    <v>107.15</v>
    <v>107.05</v>
    <v>107.14</v>
    <v>107.42</v>
    <v>107.38</v>
    <v>107.57</v>
    <v>107.64</v>
    <v>107.54</v>
    <v>107.52</v>
    <v>107.81</v>
    <v>107.77</v>
    <v>107.48</v>
    <v>107.57</v>
    <v>107.52</v>
    <v>107.6</v>
    <v>107.78</v>
    <v>107.81</v>
    <v>107.96</v>
    <v>107.79</v>
    <v>108.04</v>
    <v>108.08</v>
    <v>108.43</v>
    <v>108.25</v>
    <v>108.4</v>
    <v>108.3</v>
    <v>108.34</v>
    <v>108.37</v>
    <v>108.44</v>
    <v>108.48</v>
    <v>108.45</v>
    <v>108.23</v>
    <v>108.35</v>
    <v>108.18</v>
    <v>108.2</v>
    <v>107.99</v>
    <v>108.09</v>
    <v>107.99</v>
    <v>108.09</v>
    <v>108.09</v>
    <v>108.03</v>
    <v>107.89</v>
    <v>107.79</v>
    <v>107.73</v>
    <v>107.79</v>
    <v>107.87</v>
    <v>107.72</v>
    <v>107.57</v>
    <v>107.4</v>
    <v>107.7</v>
    <v>106.25</v>
    <v>106.31</v>
    <v>106.37</v>
    <v>106.28</v>
    <v>106.5</v>
    <v>106.39</v>
    <v>106.4</v>
    <v>106.41</v>
    <v>106.43</v>
    <v>106.37</v>
    <v>106.72</v>
    <v>107.06</v>
    <v>107.14</v>
    <v>107.22</v>
    <v>107.02</v>
    <v>107.3</v>
    <v>107.11</v>
    <v>107.31</v>
    <v>107</v>
    <v>106.88</v>
    <v>107.21</v>
    <v>107.18</v>
    <v>107.22</v>
    <v>107.17</v>
    <v>107</v>
    <v>107.09</v>
    <v>107.21</v>
    <v>107.27</v>
    <v>107.29</v>
    <v>107.33</v>
    <v>107.5</v>
    <v>107.46</v>
    <v>107.29</v>
    <v>107.25</v>
    <v>106.82</v>
    <v>106.66</v>
    <v>106.82</v>
    <v>106.9</v>
    <v>106.78</v>
    <v>106.72</v>
    <v>106.57</v>
    <v>106.8</v>
    <v>106.88</v>
    <v>106.88</v>
    <v>106.89</v>
    <v>106.91</v>
    <v>106.98</v>
    <v>106.95</v>
    <v>107.07</v>
    <v>107.1</v>
    <v>107.19</v>
    <v>107.24</v>
    <v>107.18</v>
    <v>107.39</v>
    <v>107.23</v>
    <v>107.35</v>
    <v>107.09</v>
    <v>106.64</v>
    <v>107.02</v>
    <v>106.65</v>
    <v>106.84</v>
    <v>107.17</v>
    <v>107.34</v>
    <v>107.59</v>
    <v>107.63</v>
    <v>107.83</v>
    <v>107.81</v>
    <v>107.94</v>
    <v>108.12</v>
    <v>107.99</v>
    <v>107.96</v>
    <v>107.82</v>
    <v>108</v>
    <v>108</v>
    <v>107.93</v>
    <v>107.9</v>
    <v>108.09</v>
    <v>108.16</v>
    <v>108.06</v>
    <v>107.82</v>
    <v>107.88</v>
    <v>107.83</v>
    <v>107.98</v>
    <v>108.12</v>
    <v>108.08</v>
    <v>108.13</v>
    <v>108.07</v>
    <v>108.11</v>
    <v>108.26</v>
    <v>108.2</v>
    <v>108.31</v>
    <v>108.36</v>
    <v>108.45</v>
    <v>108.47</v>
    <v>108.54</v>
    <v>108.42</v>
    <v>108.55</v>
    <v>108.32</v>
    <v>108.39</v>
    <v>108.58</v>
    <v>108.66</v>
    <v>108.5</v>
    <v>108.67</v>
    <v>108.5</v>
    <v>108.72</v>
    <v>108.53</v>
    <v>108.6</v>
    <v>108.53</v>
    <v>108.64</v>
    <v>108.59</v>
    <v>108.7</v>
    <v>108.71</v>
    <v>108.68</v>
    <v>108.85</v>
    <v>108.8</v>
    <v>108.98</v>
    <v>108.92</v>
    <v>109.03</v>
    <v>109.11</v>
    <v>108.99</v>
    <v>109.06</v>
    <v>109.07</v>
    <v>108.98</v>
    <v>108.91</v>
    <v>108.95</v>
    <v>109.01</v>
    <v>109.03</v>
    <v>107.49</v>
    <v>107.54</v>
    <v>107.58</v>
    <v>107.81</v>
    <v>107.88</v>
    <v>107.54</v>
    <v>107.53</v>
    <v>107.57</v>
    <v>107.61</v>
    <v>107.53</v>
    <v>107.62</v>
    <v>107.47</v>
    <v>107.7</v>
    <v>107.85</v>
    <v>107.73</v>
    <v>107.77</v>
    <v>107.75</v>
    <v>107.62</v>
    <v>107.57</v>
    <v>107.82</v>
    <v>107.78</v>
    <v>107.67</v>
    <v>107.72</v>
    <v>107.78</v>
    <v>107.6</v>
    <v>107.74</v>
    <v>107.64</v>
    <v>107.67</v>
    <v>107.74</v>
    <v>107.67</v>
    <v>107.67</v>
    <v>107.74</v>
    <v>107.49</v>
    <v>107.73</v>
    <v>107.69</v>
    <v>107.89</v>
    <v>107.95</v>
    <v>107.92</v>
    <v>107.97</v>
    <v>107.95</v>
    <v>107.88</v>
    <v>108</v>
    <v>107.82</v>
    <v>107.84</v>
    <v>107.94</v>
    <v>107.91</v>
    <v>107.96</v>
    <v>107.92</v>
    <v>107.94</v>
    <v>107.82</v>
    <v>107.9</v>
    <v>107.97</v>
    <v>108</v>
    <v>108.12</v>
    <v>108.04</v>
    <v>108.14</v>
    <v>108.08</v>
    <v>108.14</v>
    <v>108.14</v>
    <v>108.17</v>
    <v>108.21</v>
    <v>108.33</v>
    <v>108.36</v>
    <v>108.62</v>
    <v>108.44</v>
    <v>108.44</v>
    <v>108.49</v>
    <v>108.46</v>
    <v>108.53</v>
    <v>108.6</v>
    <v>108.45</v>
    <v>108.62</v>
    <v>108.51</v>
    <v>108.54</v>
    <v>108.46</v>
    <v>108.51</v>
    <v>108.38</v>
    <v>108.37</v>
    <v>108.32</v>
    <v>108.44</v>
    <v>108.29</v>
    <v>108.33</v>
    <v>108.4</v>
    <v>108.4</v>
    <v>108.32</v>
    <v>108.28</v>
    <v>108.39</v>
    <v>108.24</v>
    <v>108.3</v>
    <v>108.34</v>
    <v>108.34</v>
    <v>108.39</v>
    <v>108.45</v>
    <v>108.43</v>
    <v>108.4</v>
    <v>108.48</v>
    <v>108.36</v>
    <v>108.49</v>
    <v>108.49</v>
    <v>108.48</v>
    <v>108.38</v>
    <v>108.27</v>
    <v>108.18</v>
    <v>108.11</v>
    <v>108.21</v>
    <v>108.22</v>
    <v>108.26</v>
    <v>108.19</v>
    <v>108.2</v>
    <v>108.28</v>
    <v>108.23</v>
    <v>108.31</v>
    <v>108.35</v>
    <v>108.43</v>
    <v>108.47</v>
    <v>108.4</v>
    <v>108.47</v>
    <v>108.62</v>
    <v>108.75</v>
    <v>108.67</v>
    <v>108.69</v>
    <v>108.72</v>
    <v>108.67</v>
    <v>108.75</v>
    <v>107.11</v>
    <v>107.05</v>
    <v>107.08</v>
    <v>106.99</v>
    <v>107.11</v>
    <v>107.14</v>
    <v>107.13</v>
    <v>107.21</v>
    <v>107.26</v>
    <v>107.3</v>
    <v>107.34</v>
    <v>107.36</v>
    <v>107.33</v>
    <v>107.28</v>
    <v>107.32</v>
    <v>107.35</v>
    <v>107.46</v>
    <v>107.49</v>
    <v>107.49</v>
    <v>107.47</v>
    <v>107.51</v>
    <v>107.55</v>
    <v>107.53</v>
    <v>107.52</v>
    <v>107.53</v>
    <v>107.52</v>
    <v>107.56</v>
    <v>107.66</v>
    <v>107.53</v>
    <v>107.59</v>
    <v>107.53</v>
    <v>107.61</v>
    <v>107.47</v>
    <v>107.02</v>
    <v>107.37</v>
    <v>106.97</v>
    <v>106.81</v>
    <v>106.75</v>
    <v>106.98</v>
    <v>106.55</v>
    <v>106.42</v>
    <v>106.29</v>
    <v>106.49</v>
    <v>106.51</v>
    <v>106.4</v>
    <v>106.06</v>
    <v>105.62</v>
    <v>105.91</v>
    <v>105.96</v>
    <v>106.1</v>
    <v>105.81</v>
    <v>105.58</v>
    <v>105.84</v>
    <v>105.94</v>
    <v>106.28</v>
    <v>106.17</v>
    <v>105.89</v>
    <v>106.8</v>
    <v>106.57</v>
    <v>106.66</v>
    <v>106.38</v>
    <v>106.71</v>
    <v>106.85</v>
    <v>106.79</v>
    <v>107.15</v>
    <v>107.05</v>
    <v>106.86</v>
    <v>106.8</v>
    <v>106.9</v>
    <v>106.74</v>
    <v>106.69</v>
    <v>106.55</v>
    <v>106.41</v>
    <v>106.79</v>
    <v>106.54</v>
    <v>106.66</v>
    <v>107.07</v>
    <v>106.9</v>
    <v>107.04</v>
    <v>106.79</v>
    <v>106.63</v>
    <v>106.64</v>
    <v>106.93</v>
    <v>106.7</v>
    <v>106.73</v>
    <v>106.67</v>
    <v>106.91</v>
    <v>106.88</v>
    <v>107.09</v>
    <v>107.34</v>
    <v>107.19</v>
    <v>107.19</v>
    <v>107.28</v>
    <v>107.44</v>
    <v>107.26</v>
    <v>107.33</v>
    <v>107.17</v>
    <v>107.14</v>
    <v>107.12</v>
    <v>107.14</v>
    <v>107.14</v>
    <v>107.01</v>
    <v>107.15</v>
    <v>107.45</v>
    <v>107.53</v>
    <v>107.62</v>
    <v>107.47</v>
    <v>107.51</v>
    <v>107.4</v>
    <v>107.53</v>
    <v>107.57</v>
    <v>107.67</v>
    <v>107.68</v>
    <v>107.73</v>
    <v>107.68</v>
    <v>107.72</v>
    <v>107.79</v>
    <v>107.79</v>
    <v>107.77</v>
    <v>107.78</v>
    <v>107.66</v>
    <v>107.4</v>
    <v>107.41</v>
    <v>107.44</v>
    <v>107.26</v>
    <v>107.3</v>
    <v>107.41</v>
    <v>105.72</v>
    <v>105.61</v>
    <v>105.61</v>
    <v>105.6</v>
    <v>105.47</v>
    <v>105.39</v>
    <v>105.46</v>
    <v>105.6</v>
    <v>105.81</v>
    <v>105.62</v>
    <v>105.77</v>
    <v>105.61</v>
    <v>105.88</v>
    <v>106.08</v>
    <v>106</v>
    <v>105.98</v>
    <v>106.09</v>
    <v>105.89</v>
    <v>105.88</v>
    <v>105.89</v>
    <v>106.01</v>
    <v>105.9</v>
    <v>105.86</v>
    <v>105.67</v>
    <v>105.65</v>
    <v>105.85</v>
    <v>105.76</v>
    <v>105.78</v>
    <v>105.88</v>
    <v>105.81</v>
    <v>105.72</v>
    <v>105.71</v>
    <v>105.7</v>
    <v>105.55</v>
    <v>105.37</v>
    <v>105.45</v>
    <v>105.63</v>
    <v>105.46</v>
    <v>105.48</v>
    <v>105.22</v>
    <v>104.88</v>
    <v>104.89</v>
    <v>104.59</v>
    <v>104.77</v>
    <v>104.76</v>
    <v>104.96</v>
    <v>104.79</v>
    <v>104.97</v>
    <v>104.91</v>
    <v>104.62</v>
    <v>104.43</v>
    <v>104.49</v>
    <v>104.36</v>
    <v>104.51</v>
    <v>104.64</v>
    <v>104.9</v>
    <v>104.88</v>
    <v>104.84</v>
    <v>105.07</v>
    <v>105.04</v>
    <v>104.93</v>
    <v>105</v>
    <v>105.14</v>
    <v>105</v>
    <v>105.14</v>
    <v>105.31</v>
    <v>105.37</v>
    <v>105.13</v>
    <v>105.28</v>
    <v>105.01</v>
    <v>105.08</v>
    <v>105</v>
  </a>
  <a r="1" c="208">
    <v>108.4</v>
    <v>108.47</v>
    <v>108.62</v>
    <v>108.75</v>
    <v>108.67</v>
    <v>108.69</v>
    <v>108.72</v>
    <v>108.67</v>
    <v>108.75</v>
    <v>107.11</v>
    <v>107.05</v>
    <v>107.08</v>
    <v>106.99</v>
    <v>107.11</v>
    <v>107.14</v>
    <v>107.13</v>
    <v>107.21</v>
    <v>107.26</v>
    <v>107.3</v>
    <v>107.34</v>
    <v>107.36</v>
    <v>107.33</v>
    <v>107.28</v>
    <v>107.32</v>
    <v>107.35</v>
    <v>107.46</v>
    <v>107.49</v>
    <v>107.49</v>
    <v>107.47</v>
    <v>107.51</v>
    <v>107.55</v>
    <v>107.53</v>
    <v>107.52</v>
    <v>107.53</v>
    <v>107.52</v>
    <v>107.56</v>
    <v>107.66</v>
    <v>107.53</v>
    <v>107.59</v>
    <v>107.53</v>
    <v>107.61</v>
    <v>107.47</v>
    <v>107.02</v>
    <v>107.37</v>
    <v>106.97</v>
    <v>106.81</v>
    <v>106.75</v>
    <v>106.98</v>
    <v>106.55</v>
    <v>106.42</v>
    <v>106.29</v>
    <v>106.49</v>
    <v>106.51</v>
    <v>106.4</v>
    <v>106.06</v>
    <v>105.62</v>
    <v>105.91</v>
    <v>105.96</v>
    <v>106.1</v>
    <v>105.81</v>
    <v>105.58</v>
    <v>105.84</v>
    <v>105.94</v>
    <v>106.28</v>
    <v>106.17</v>
    <v>105.89</v>
    <v>106.8</v>
    <v>106.57</v>
    <v>106.66</v>
    <v>106.38</v>
    <v>106.71</v>
    <v>106.85</v>
    <v>106.79</v>
    <v>107.15</v>
    <v>107.05</v>
    <v>106.86</v>
    <v>106.8</v>
    <v>106.9</v>
    <v>106.74</v>
    <v>106.69</v>
    <v>106.55</v>
    <v>106.41</v>
    <v>106.79</v>
    <v>106.54</v>
    <v>106.66</v>
    <v>107.07</v>
    <v>106.9</v>
    <v>107.04</v>
    <v>106.79</v>
    <v>106.63</v>
    <v>106.64</v>
    <v>106.93</v>
    <v>106.7</v>
    <v>106.73</v>
    <v>106.67</v>
    <v>106.91</v>
    <v>106.88</v>
    <v>107.09</v>
    <v>107.34</v>
    <v>107.19</v>
    <v>107.19</v>
    <v>107.28</v>
    <v>107.44</v>
    <v>107.26</v>
    <v>107.33</v>
    <v>107.17</v>
    <v>107.14</v>
    <v>107.12</v>
    <v>107.14</v>
    <v>107.14</v>
    <v>107.01</v>
    <v>107.15</v>
    <v>107.45</v>
    <v>107.53</v>
    <v>107.62</v>
    <v>107.47</v>
    <v>107.51</v>
    <v>107.4</v>
    <v>107.53</v>
    <v>107.57</v>
    <v>107.67</v>
    <v>107.68</v>
    <v>107.73</v>
    <v>107.68</v>
    <v>107.72</v>
    <v>107.79</v>
    <v>107.79</v>
    <v>107.77</v>
    <v>107.78</v>
    <v>107.66</v>
    <v>107.4</v>
    <v>107.41</v>
    <v>107.44</v>
    <v>107.26</v>
    <v>107.3</v>
    <v>107.41</v>
    <v>105.72</v>
    <v>105.61</v>
    <v>105.61</v>
    <v>105.6</v>
    <v>105.47</v>
    <v>105.39</v>
    <v>105.46</v>
    <v>105.6</v>
    <v>105.81</v>
    <v>105.62</v>
    <v>105.77</v>
    <v>105.61</v>
    <v>105.88</v>
    <v>106.08</v>
    <v>106</v>
    <v>105.98</v>
    <v>106.09</v>
    <v>105.89</v>
    <v>105.88</v>
    <v>105.89</v>
    <v>106.01</v>
    <v>105.9</v>
    <v>105.86</v>
    <v>105.67</v>
    <v>105.65</v>
    <v>105.85</v>
    <v>105.76</v>
    <v>105.78</v>
    <v>105.88</v>
    <v>105.81</v>
    <v>105.72</v>
    <v>105.71</v>
    <v>105.7</v>
    <v>105.55</v>
    <v>105.37</v>
    <v>105.45</v>
    <v>105.63</v>
    <v>105.46</v>
    <v>105.48</v>
    <v>105.22</v>
    <v>104.88</v>
    <v>104.89</v>
    <v>104.59</v>
    <v>104.77</v>
    <v>104.76</v>
    <v>104.96</v>
    <v>104.79</v>
    <v>104.97</v>
    <v>104.91</v>
    <v>104.62</v>
    <v>104.43</v>
    <v>104.49</v>
    <v>104.36</v>
    <v>104.51</v>
    <v>104.64</v>
    <v>104.9</v>
    <v>104.88</v>
    <v>104.84</v>
    <v>105.07</v>
    <v>105.04</v>
    <v>104.93</v>
    <v>105</v>
    <v>105.14</v>
    <v>105</v>
    <v>105.14</v>
    <v>105.31</v>
    <v>105.37</v>
    <v>105.13</v>
    <v>105.28</v>
    <v>105.01</v>
    <v>105.08</v>
    <v>105</v>
  </a>
  <a r="1" c="767">
    <v>5.056</v>
    <v>5.056</v>
    <v>5.0039999999999996</v>
    <v>4.8935000000000004</v>
    <v>4.9524999999999997</v>
    <v>4.8654999999999999</v>
    <v>4.8905000000000003</v>
    <v>4.9714999999999998</v>
    <v>5.1550000000000002</v>
    <v>5.28</v>
    <v>5.2779999999999996</v>
    <v>5.3259999999999996</v>
    <v>5.3090000000000002</v>
    <v>5.3869999999999996</v>
    <v>5.415</v>
    <v>5.4589999999999996</v>
    <v>5.625</v>
    <v>5.718</v>
    <v>5.6660000000000004</v>
    <v>5.702</v>
    <v>5.7809999999999997</v>
    <v>5.7279999999999998</v>
    <v>5.7409999999999997</v>
    <v>5.7380000000000004</v>
    <v>5.7249999999999996</v>
    <v>5.7309999999999999</v>
    <v>5.726</v>
    <v>5.78</v>
    <v>5.7030000000000003</v>
    <v>5.7480000000000002</v>
    <v>5.6470000000000002</v>
    <v>5.6310000000000002</v>
    <v>5.6829999999999998</v>
    <v>5.6879999999999997</v>
    <v>5.758</v>
    <v>5.88</v>
    <v>5.9640000000000004</v>
    <v>5.9980000000000002</v>
    <v>6.2089999999999996</v>
    <v>6.3070000000000004</v>
    <v>6.1980000000000004</v>
    <v>6.25</v>
    <v>6.2409999999999997</v>
    <v>6.2359999999999998</v>
    <v>6.2859999999999996</v>
    <v>6.3890000000000002</v>
    <v>6.4109999999999996</v>
    <v>6.3460000000000001</v>
    <v>6.2</v>
    <v>6.0410000000000004</v>
    <v>6.0209999999999999</v>
    <v>6.03</v>
    <v>6.1360000000000001</v>
    <v>6.1420000000000003</v>
    <v>6.1429999999999998</v>
    <v>6.0869999999999997</v>
    <v>6.1529999999999996</v>
    <v>6.1669999999999998</v>
    <v>6.226</v>
    <v>6.11</v>
    <v>6.35</v>
    <v>6.4790000000000001</v>
    <v>6.6059999999999999</v>
    <v>6.5960000000000001</v>
    <v>6.81</v>
    <v>6.843</v>
    <v>6.6710000000000003</v>
    <v>6.6059999999999999</v>
    <v>6.6379999999999999</v>
    <v>6.5090000000000003</v>
    <v>6.484</v>
    <v>6.59</v>
    <v>6.6230000000000002</v>
    <v>6.6360000000000001</v>
    <v>6.6980000000000004</v>
    <v>6.8529999999999998</v>
    <v>6.9359999999999999</v>
    <v>7.0730000000000004</v>
    <v>6.8710000000000004</v>
    <v>6.9489999999999998</v>
    <v>7.0170000000000003</v>
    <v>7.05</v>
    <v>6.9820000000000002</v>
    <v>6.8159999999999998</v>
    <v>6.8079999999999998</v>
    <v>7.1829999999999998</v>
    <v>7.1260000000000003</v>
    <v>7.1959999999999997</v>
    <v>7.2069999999999999</v>
    <v>7.1180000000000003</v>
    <v>7.1989999999999998</v>
    <v>7.4710000000000001</v>
    <v>7.6349999999999998</v>
    <v>7.5140000000000002</v>
    <v>7.6980000000000004</v>
    <v>7.8739999999999997</v>
    <v>7.7160000000000002</v>
    <v>7.5209999999999999</v>
    <v>7.5780000000000003</v>
    <v>7.4539999999999997</v>
    <v>7.399</v>
    <v>7.319</v>
    <v>7.3739999999999997</v>
    <v>7.2610000000000001</v>
    <v>7.2750000000000004</v>
    <v>7.6440000000000001</v>
    <v>7.5430000000000001</v>
    <v>7.5549999999999997</v>
    <v>7.5419999999999998</v>
    <v>7.4930000000000003</v>
    <v>7.5439999999999996</v>
    <v>7.4980000000000002</v>
    <v>7.6040000000000001</v>
    <v>7.6150000000000002</v>
    <v>7.4370000000000003</v>
    <v>7.4850000000000003</v>
    <v>7.4560000000000004</v>
    <v>7.4539999999999997</v>
    <v>7.4809999999999999</v>
    <v>7.4180000000000001</v>
    <v>7.4279999999999999</v>
    <v>7.2779999999999996</v>
    <v>7.15</v>
    <v>7.0570000000000004</v>
    <v>6.8019999999999996</v>
    <v>6.6740000000000004</v>
    <v>6.8719999999999999</v>
    <v>6.984</v>
    <v>6.9720000000000004</v>
    <v>7.1479999999999997</v>
    <v>7.1879999999999997</v>
    <v>7.1639999999999997</v>
    <v>6.99</v>
    <v>7.1879999999999997</v>
    <v>7.3070000000000004</v>
    <v>7.3680000000000003</v>
    <v>7.2789999999999999</v>
    <v>7.2969999999999997</v>
    <v>7.343</v>
    <v>7.3639999999999999</v>
    <v>7.4219999999999997</v>
    <v>7.6040000000000001</v>
    <v>7.7249999999999996</v>
    <v>7.6479999999999997</v>
    <v>7.7249999999999996</v>
    <v>7.694</v>
    <v>7.8019999999999996</v>
    <v>7.9039999999999999</v>
    <v>7.952</v>
    <v>8.0030000000000001</v>
    <v>8.0709999999999997</v>
    <v>7.9269999999999996</v>
    <v>7.891</v>
    <v>7.6390000000000002</v>
    <v>7.7930000000000001</v>
    <v>7.726</v>
    <v>8.0190000000000001</v>
    <v>8.0589999999999993</v>
    <v>8.0340000000000007</v>
    <v>8.1280000000000001</v>
    <v>8.0730000000000004</v>
    <v>8.359</v>
    <v>8.3960000000000008</v>
    <v>8.3490000000000002</v>
    <v>8.4220000000000006</v>
    <v>8.5890000000000004</v>
    <v>8.67</v>
    <v>8.5939999999999994</v>
    <v>8.3810000000000002</v>
    <v>8.2010000000000005</v>
    <v>8.19</v>
    <v>8.1660000000000004</v>
    <v>8.1750000000000007</v>
    <v>8.3179999999999996</v>
    <v>8.1820000000000004</v>
    <v>8.25</v>
    <v>8.4619999999999997</v>
    <v>8.4960000000000004</v>
    <v>8.5229999999999997</v>
    <v>8.6479999999999997</v>
    <v>8.6530000000000005</v>
    <v>8.7919999999999998</v>
    <v>8.6809999999999992</v>
    <v>8.75</v>
    <v>8.7050000000000001</v>
    <v>8.6460000000000008</v>
    <v>8.2509999999999994</v>
    <v>7.9470000000000001</v>
    <v>7.8940000000000001</v>
    <v>7.9210000000000003</v>
    <v>8.0289999999999999</v>
    <v>7.7469999999999999</v>
    <v>7.5369999999999999</v>
    <v>7.5270000000000001</v>
    <v>7.5</v>
    <v>7.3890000000000002</v>
    <v>7.7229999999999999</v>
    <v>7.4930000000000003</v>
    <v>6.931</v>
    <v>6.7539999999999996</v>
    <v>6.8529999999999998</v>
    <v>7.0259999999999998</v>
    <v>7.0190000000000001</v>
    <v>7.0380000000000003</v>
    <v>7.133</v>
    <v>7.3010000000000002</v>
    <v>7.3680000000000003</v>
    <v>7.6349999999999998</v>
    <v>7.6580000000000004</v>
    <v>7.7080000000000002</v>
    <v>7.7880000000000003</v>
    <v>7.806</v>
    <v>7.7329999999999997</v>
    <v>7.766</v>
    <v>7.6029999999999998</v>
    <v>7.5830000000000002</v>
    <v>7.5010000000000003</v>
    <v>7.6340000000000003</v>
    <v>7.5670000000000002</v>
    <v>7.64</v>
    <v>7.2469999999999999</v>
    <v>7.0960000000000001</v>
    <v>7.0019999999999998</v>
    <v>6.74</v>
    <v>6.7930000000000001</v>
    <v>6.8380000000000001</v>
    <v>6.9169999999999998</v>
    <v>7.1879999999999997</v>
    <v>7.2969999999999997</v>
    <v>7.2080000000000002</v>
    <v>7.2949999999999999</v>
    <v>7.2190000000000003</v>
    <v>7.4749999999999996</v>
    <v>7.3470000000000004</v>
    <v>7.3730000000000002</v>
    <v>7.45</v>
    <v>7.57</v>
    <v>7.75</v>
    <v>7.7380000000000004</v>
    <v>7.63</v>
    <v>7.4409999999999998</v>
    <v>7.5759999999999996</v>
    <v>7.5510000000000002</v>
    <v>7.609</v>
    <v>7.6550000000000002</v>
    <v>7.7039999999999997</v>
    <v>7.766</v>
    <v>7.7480000000000002</v>
    <v>7.7910000000000004</v>
    <v>7.9050000000000002</v>
    <v>7.6219999999999999</v>
    <v>7.5229999999999997</v>
    <v>7.6210000000000004</v>
    <v>7.5910000000000002</v>
    <v>7.5179999999999998</v>
    <v>7.5170000000000003</v>
    <v>7.4630000000000001</v>
    <v>7.5010000000000003</v>
    <v>7.6619999999999999</v>
    <v>7.569</v>
    <v>7.6319999999999997</v>
    <v>7.5110000000000001</v>
    <v>7.226</v>
    <v>7.3760000000000003</v>
    <v>7.3810000000000002</v>
    <v>7.452</v>
    <v>7.4589999999999996</v>
    <v>7.6660000000000004</v>
    <v>7.6369999999999996</v>
    <v>7.4720000000000004</v>
    <v>7.3860000000000001</v>
    <v>7.2569999999999997</v>
    <v>7.2850000000000001</v>
    <v>7.077</v>
    <v>7.125</v>
    <v>7.101</v>
    <v>7.0179999999999998</v>
    <v>7.133</v>
    <v>7.1479999999999997</v>
    <v>7.2610000000000001</v>
    <v>7.157</v>
    <v>6.9649999999999999</v>
    <v>7.1180000000000003</v>
    <v>7.1890000000000001</v>
    <v>7.32</v>
    <v>7.3330000000000002</v>
    <v>7.4180000000000001</v>
    <v>7.3680000000000003</v>
    <v>7.3209999999999997</v>
    <v>7.3040000000000003</v>
    <v>7.194</v>
    <v>7.2859999999999996</v>
    <v>7.2450000000000001</v>
    <v>7.37</v>
    <v>7.5</v>
    <v>7.5270000000000001</v>
    <v>7.5869999999999997</v>
    <v>7.2050000000000001</v>
    <v>7.2320000000000002</v>
    <v>7.3129999999999997</v>
    <v>7.3929999999999998</v>
    <v>7.3719999999999999</v>
    <v>7.2530000000000001</v>
    <v>7.3019999999999996</v>
    <v>7.3070000000000004</v>
    <v>7.3529999999999998</v>
    <v>7.734</v>
    <v>7.6790000000000003</v>
    <v>7.5369999999999999</v>
    <v>7.524</v>
    <v>7.3710000000000004</v>
    <v>7.2679999999999998</v>
    <v>7.3150000000000004</v>
    <v>7.4749999999999996</v>
    <v>7.6429999999999998</v>
    <v>7.7110000000000003</v>
    <v>7.8040000000000003</v>
    <v>7.8019999999999996</v>
    <v>8.0139999999999993</v>
    <v>7.84</v>
    <v>7.8520000000000003</v>
    <v>7.2220000000000004</v>
    <v>7.08</v>
    <v>7.2060000000000004</v>
    <v>7.3819999999999997</v>
    <v>7.52</v>
    <v>7.27</v>
    <v>7.3470000000000004</v>
    <v>7.41</v>
    <v>7.4580000000000002</v>
    <v>7.3739999999999997</v>
    <v>7.4619999999999997</v>
    <v>7.5119999999999996</v>
    <v>7.4130000000000003</v>
    <v>7.5670000000000002</v>
    <v>7.57</v>
    <v>7.62</v>
    <v>7.6749999999999998</v>
    <v>7.7629999999999999</v>
    <v>7.734</v>
    <v>7.6840000000000002</v>
    <v>7.556</v>
    <v>7.2990000000000004</v>
    <v>7.4619999999999997</v>
    <v>7.2370000000000001</v>
    <v>7.0140000000000002</v>
    <v>7.0629999999999997</v>
    <v>6.7750000000000004</v>
    <v>6.8949999999999996</v>
    <v>6.8710000000000004</v>
    <v>6.7649999999999997</v>
    <v>6.673</v>
    <v>6.5910000000000002</v>
    <v>6.8120000000000003</v>
    <v>6.7350000000000003</v>
    <v>6.8860000000000001</v>
    <v>6.93</v>
    <v>6.9169999999999998</v>
    <v>6.944</v>
    <v>6.9160000000000004</v>
    <v>6.8520000000000003</v>
    <v>7.0140000000000002</v>
    <v>6.98</v>
    <v>6.7889999999999997</v>
    <v>6.665</v>
    <v>6.452</v>
    <v>6.3070000000000004</v>
    <v>6.4329999999999998</v>
    <v>6.4820000000000002</v>
    <v>6.0410000000000004</v>
    <v>5.6070000000000002</v>
    <v>5.45</v>
    <v>5.758</v>
    <v>5.431</v>
    <v>5.86</v>
    <v>5.8929999999999998</v>
    <v>6.0640000000000001</v>
    <v>6.1269999999999998</v>
    <v>5.9539999999999997</v>
    <v>5.8319999999999999</v>
    <v>5.8460000000000001</v>
    <v>6.0620000000000003</v>
    <v>6.2460000000000004</v>
    <v>6.3010000000000002</v>
    <v>6.2439999999999998</v>
    <v>6.306</v>
    <v>6.2320000000000002</v>
    <v>6.59</v>
    <v>6.6059999999999999</v>
    <v>6.516</v>
    <v>6.5019999999999998</v>
    <v>6.6689999999999996</v>
    <v>6.7130000000000001</v>
    <v>7.0720000000000001</v>
    <v>7.3129999999999997</v>
    <v>7.3550000000000004</v>
    <v>7.3319999999999999</v>
    <v>7.26</v>
    <v>7.2279999999999998</v>
    <v>7.2240000000000002</v>
    <v>7.2960000000000003</v>
    <v>7.1319999999999997</v>
    <v>6.9770000000000003</v>
    <v>7.13</v>
    <v>7.1829999999999998</v>
    <v>7.21</v>
    <v>7.218</v>
    <v>7.0940000000000003</v>
    <v>7.1050000000000004</v>
    <v>7.2850000000000001</v>
    <v>7.3920000000000003</v>
    <v>7.508</v>
    <v>7.4909999999999997</v>
    <v>7.601</v>
    <v>7.681</v>
    <v>7.835</v>
    <v>7.782</v>
    <v>7.6980000000000004</v>
    <v>7.8369999999999997</v>
    <v>7.8109999999999999</v>
    <v>7.8220000000000001</v>
    <v>7.6520000000000001</v>
    <v>7.7149999999999999</v>
    <v>7.7560000000000002</v>
    <v>8.0640000000000001</v>
    <v>8.1549999999999994</v>
    <v>8.2569999999999997</v>
    <v>8.3160000000000007</v>
    <v>8.2799999999999994</v>
    <v>8.1539999999999999</v>
    <v>8.3190000000000008</v>
    <v>8.4030000000000005</v>
    <v>8.3040000000000003</v>
    <v>8.2690000000000001</v>
    <v>8.3610000000000007</v>
    <v>8.3670000000000009</v>
    <v>8.4819999999999993</v>
    <v>8.5</v>
    <v>8.4179999999999993</v>
    <v>8.5570000000000004</v>
    <v>8.3360000000000003</v>
    <v>8.516</v>
    <v>8.48</v>
    <v>8.5359999999999996</v>
    <v>8.36</v>
    <v>8.32</v>
    <v>8.3559999999999999</v>
    <v>8.3059999999999992</v>
    <v>8.3879999999999999</v>
    <v>8.3970000000000002</v>
    <v>8.4369999999999994</v>
    <v>8.2870000000000008</v>
    <v>8.06</v>
    <v>8.2439999999999998</v>
    <v>8.1890000000000001</v>
    <v>8.1259999999999994</v>
    <v>8.2880000000000003</v>
    <v>8.3620000000000001</v>
    <v>8.4629999999999992</v>
    <v>8.58</v>
    <v>8.6549999999999994</v>
    <v>8.6280000000000001</v>
    <v>8.5250000000000004</v>
    <v>8.516</v>
    <v>8.4689999999999994</v>
    <v>8.26</v>
    <v>8.2650000000000006</v>
    <v>8.5120000000000005</v>
    <v>8.484</v>
    <v>8.52</v>
    <v>8.5210000000000008</v>
    <v>8.6170000000000009</v>
    <v>8.4290000000000003</v>
    <v>8.3949999999999996</v>
    <v>8.19</v>
    <v>8.2509999999999994</v>
    <v>8.3000000000000007</v>
    <v>8.4649999999999999</v>
    <v>8.6300000000000008</v>
    <v>8.6389999999999993</v>
    <v>8.8550000000000004</v>
    <v>8.9629999999999992</v>
    <v>8.968</v>
    <v>9.06</v>
    <v>9.15</v>
    <v>9.1609999999999996</v>
    <v>9.5329999999999995</v>
    <v>9.39</v>
    <v>9.5559999999999992</v>
    <v>9.6920000000000002</v>
    <v>9.6029999999999998</v>
    <v>9.5109999999999992</v>
    <v>9.4480000000000004</v>
    <v>9.6</v>
    <v>9.5869999999999997</v>
    <v>9.7040000000000006</v>
    <v>10.022</v>
    <v>10.119999999999999</v>
    <v>10.426</v>
    <v>10.19</v>
    <v>10.284000000000001</v>
    <v>10.32</v>
    <v>9.9329999999999998</v>
    <v>10.154</v>
    <v>10.058</v>
    <v>10.358000000000001</v>
    <v>10.536</v>
    <v>10.314</v>
    <v>10.656000000000001</v>
    <v>10.55</v>
    <v>10.263999999999999</v>
    <v>10.456</v>
    <v>10.728</v>
    <v>10.948</v>
    <v>11.007999999999999</v>
    <v>11.257999999999999</v>
    <v>11.182</v>
    <v>11.124000000000001</v>
    <v>11.226000000000001</v>
    <v>11.013999999999999</v>
    <v>11.012</v>
    <v>10.811999999999999</v>
    <v>10.47</v>
    <v>10.916</v>
    <v>10.811999999999999</v>
    <v>10.948</v>
    <v>10.692</v>
    <v>10.702</v>
    <v>10.574</v>
    <v>10.254</v>
    <v>10.304</v>
    <v>10.35</v>
    <v>9.8019999999999996</v>
    <v>10.26</v>
    <v>10.164</v>
    <v>10.59</v>
    <v>10.62</v>
    <v>10.73</v>
    <v>10.744</v>
    <v>10.818</v>
    <v>10.98</v>
    <v>11.023999999999999</v>
    <v>11.125999999999999</v>
    <v>11.18</v>
    <v>11.263999999999999</v>
    <v>11.263999999999999</v>
    <v>11.156000000000001</v>
    <v>10.894</v>
    <v>10.878</v>
    <v>10.696</v>
    <v>10.438000000000001</v>
    <v>10.678000000000001</v>
    <v>10.826000000000001</v>
    <v>10.984</v>
    <v>11.02</v>
    <v>11.092000000000001</v>
    <v>11.16</v>
    <v>11.252000000000001</v>
    <v>11.182</v>
    <v>11.538</v>
    <v>11.907999999999999</v>
    <v>12.106</v>
    <v>12.096</v>
    <v>11.794</v>
    <v>12.188000000000001</v>
    <v>12.3</v>
    <v>12.417999999999999</v>
    <v>12.26</v>
    <v>12.718</v>
    <v>12.692</v>
    <v>12.53</v>
    <v>12.63</v>
    <v>12.862</v>
    <v>12.997999999999999</v>
    <v>12.882</v>
    <v>12.86</v>
    <v>13.278</v>
    <v>13.554</v>
    <v>13.336</v>
    <v>13.368</v>
    <v>13.268000000000001</v>
    <v>13.112</v>
    <v>12.542</v>
    <v>12.564</v>
    <v>13.026</v>
    <v>13.292</v>
    <v>13.234</v>
    <v>13.464</v>
    <v>13.273999999999999</v>
    <v>13.44</v>
    <v>13.31</v>
    <v>13.35</v>
    <v>13.673999999999999</v>
    <v>13.44</v>
    <v>13.577999999999999</v>
    <v>13.512</v>
    <v>13.862</v>
    <v>14.055999999999999</v>
    <v>13.731999999999999</v>
    <v>13.602</v>
    <v>13.348000000000001</v>
    <v>12.816000000000001</v>
    <v>13.14</v>
    <v>13</v>
    <v>12.728</v>
    <v>12.586</v>
    <v>13.18</v>
    <v>13.182</v>
    <v>12.792</v>
    <v>12.683999999999999</v>
    <v>13</v>
    <v>13.048</v>
    <v>13.16</v>
    <v>12.938000000000001</v>
    <v>12.811999999999999</v>
    <v>12.894</v>
    <v>12.984</v>
    <v>13.14</v>
    <v>12.612</v>
    <v>12.33</v>
    <v>12.007999999999999</v>
    <v>12.034000000000001</v>
    <v>12.885999999999999</v>
    <v>12.651999999999999</v>
    <v>12.766</v>
    <v>13.862</v>
    <v>14.08</v>
    <v>14.492000000000001</v>
    <v>14.448</v>
    <v>14.91</v>
    <v>14.932</v>
    <v>15.194000000000001</v>
    <v>15.507999999999999</v>
    <v>15.396000000000001</v>
    <v>15.497999999999999</v>
    <v>15.842000000000001</v>
    <v>16.196000000000002</v>
    <v>16.716000000000001</v>
    <v>16.666</v>
    <v>16.042000000000002</v>
    <v>16.456</v>
    <v>16.821999999999999</v>
    <v>17.135999999999999</v>
    <v>17.928000000000001</v>
    <v>18.696000000000002</v>
    <v>18.751999999999999</v>
    <v>19.238</v>
    <v>19.962</v>
    <v>18.891999999999999</v>
    <v>19.648</v>
    <v>19.866</v>
    <v>19.167999999999999</v>
    <v>18.658000000000001</v>
    <v>18.193999999999999</v>
    <v>19.186</v>
    <v>19.256</v>
    <v>20.02</v>
    <v>20.67</v>
    <v>21.02</v>
    <v>20.925000000000001</v>
    <v>21.51</v>
    <v>21.34</v>
    <v>21.6</v>
    <v>22.225000000000001</v>
    <v>22.61</v>
    <v>22</v>
    <v>20.63</v>
    <v>20.9</v>
    <v>20.260000000000002</v>
    <v>20.295000000000002</v>
    <v>20.86</v>
    <v>22.17</v>
    <v>23.045000000000002</v>
    <v>22.53</v>
    <v>22.87</v>
    <v>23.765000000000001</v>
    <v>23.805</v>
    <v>24.344999999999999</v>
    <v>22.614999999999998</v>
    <v>22.45</v>
    <v>23.17</v>
    <v>22.62</v>
    <v>22.61</v>
    <v>23.875</v>
    <v>22.885000000000002</v>
    <v>21.58</v>
    <v>22.175000000000001</v>
    <v>22.155000000000001</v>
    <v>20.414999999999999</v>
    <v>20.614999999999998</v>
    <v>22.03</v>
    <v>21.78</v>
    <v>21.065000000000001</v>
    <v>21.43</v>
    <v>20.704999999999998</v>
    <v>20.18</v>
    <v>19.378</v>
    <v>19.794</v>
    <v>20.65</v>
    <v>20.84</v>
    <v>20.395</v>
    <v>19.873999999999999</v>
    <v>18.731999999999999</v>
    <v>18.117999999999999</v>
    <v>17.356000000000002</v>
    <v>18.562000000000001</v>
    <v>18.792000000000002</v>
    <v>18.724</v>
    <v>19.992000000000001</v>
    <v>19.974</v>
    <v>19.916</v>
    <v>19.942</v>
    <v>19.754000000000001</v>
    <v>19.788</v>
    <v>20.445</v>
    <v>20.86</v>
    <v>20.395</v>
    <v>21.1</v>
    <v>19.745999999999999</v>
    <v>19.558</v>
    <v>19.492000000000001</v>
    <v>19.622</v>
    <v>19.032</v>
    <v>19.404</v>
    <v>19.408000000000001</v>
    <v>19.666</v>
    <v>19.57</v>
    <v>19.251999999999999</v>
    <v>19.134</v>
    <v>19.146000000000001</v>
    <v>19.111999999999998</v>
    <v>19.712</v>
    <v>20.195</v>
    <v>20.45</v>
    <v>20.28</v>
    <v>19.962</v>
    <v>20.215</v>
    <v>19.05</v>
    <v>19.03</v>
    <v>19.443999999999999</v>
    <v>19.742000000000001</v>
    <v>20.015000000000001</v>
    <v>21.03</v>
    <v>21.32</v>
    <v>21.155000000000001</v>
    <v>20.83</v>
    <v>21.31</v>
    <v>20.83</v>
    <v>21.38</v>
    <v>21.355</v>
    <v>21.33</v>
    <v>22.175000000000001</v>
    <v>22.155000000000001</v>
    <v>22.23</v>
    <v>21.76</v>
    <v>21.54</v>
    <v>21.105</v>
    <v>20.65</v>
    <v>20.074999999999999</v>
    <v>19.82</v>
    <v>19.010000000000002</v>
    <v>18.815999999999999</v>
    <v>19.12</v>
    <v>18.754000000000001</v>
    <v>18.988</v>
    <v>17.914000000000001</v>
    <v>18.059999999999999</v>
  </a>
  <a r="1" c="209">
    <v>11.182</v>
    <v>11.538</v>
    <v>11.907999999999999</v>
    <v>12.106</v>
    <v>12.096</v>
    <v>11.794</v>
    <v>12.188000000000001</v>
    <v>12.3</v>
    <v>12.417999999999999</v>
    <v>12.26</v>
    <v>12.718</v>
    <v>12.692</v>
    <v>12.53</v>
    <v>12.63</v>
    <v>12.862</v>
    <v>12.997999999999999</v>
    <v>12.882</v>
    <v>12.86</v>
    <v>13.278</v>
    <v>13.554</v>
    <v>13.336</v>
    <v>13.368</v>
    <v>13.268000000000001</v>
    <v>13.112</v>
    <v>12.542</v>
    <v>12.564</v>
    <v>13.026</v>
    <v>13.292</v>
    <v>13.234</v>
    <v>13.464</v>
    <v>13.273999999999999</v>
    <v>13.44</v>
    <v>13.31</v>
    <v>13.35</v>
    <v>13.673999999999999</v>
    <v>13.44</v>
    <v>13.577999999999999</v>
    <v>13.512</v>
    <v>13.862</v>
    <v>14.055999999999999</v>
    <v>13.731999999999999</v>
    <v>13.602</v>
    <v>13.348000000000001</v>
    <v>12.816000000000001</v>
    <v>13.14</v>
    <v>13</v>
    <v>12.728</v>
    <v>12.586</v>
    <v>13.18</v>
    <v>13.182</v>
    <v>12.792</v>
    <v>12.683999999999999</v>
    <v>13</v>
    <v>13.048</v>
    <v>13.16</v>
    <v>12.938000000000001</v>
    <v>12.811999999999999</v>
    <v>12.894</v>
    <v>12.984</v>
    <v>13.14</v>
    <v>12.612</v>
    <v>12.33</v>
    <v>12.007999999999999</v>
    <v>12.034000000000001</v>
    <v>12.885999999999999</v>
    <v>12.651999999999999</v>
    <v>12.766</v>
    <v>13.862</v>
    <v>14.08</v>
    <v>14.492000000000001</v>
    <v>14.448</v>
    <v>14.91</v>
    <v>14.932</v>
    <v>15.194000000000001</v>
    <v>15.507999999999999</v>
    <v>15.396000000000001</v>
    <v>15.497999999999999</v>
    <v>15.842000000000001</v>
    <v>16.196000000000002</v>
    <v>16.716000000000001</v>
    <v>16.666</v>
    <v>16.042000000000002</v>
    <v>16.456</v>
    <v>16.821999999999999</v>
    <v>17.135999999999999</v>
    <v>17.928000000000001</v>
    <v>18.696000000000002</v>
    <v>18.751999999999999</v>
    <v>19.238</v>
    <v>19.962</v>
    <v>18.891999999999999</v>
    <v>19.648</v>
    <v>19.866</v>
    <v>19.167999999999999</v>
    <v>18.658000000000001</v>
    <v>18.193999999999999</v>
    <v>19.186</v>
    <v>19.256</v>
    <v>20.02</v>
    <v>20.67</v>
    <v>21.02</v>
    <v>20.925000000000001</v>
    <v>21.51</v>
    <v>21.34</v>
    <v>21.6</v>
    <v>22.225000000000001</v>
    <v>22.61</v>
    <v>22</v>
    <v>20.63</v>
    <v>20.9</v>
    <v>20.260000000000002</v>
    <v>20.295000000000002</v>
    <v>20.86</v>
    <v>22.17</v>
    <v>23.045000000000002</v>
    <v>22.53</v>
    <v>22.87</v>
    <v>23.765000000000001</v>
    <v>23.805</v>
    <v>24.344999999999999</v>
    <v>22.614999999999998</v>
    <v>22.45</v>
    <v>23.17</v>
    <v>22.62</v>
    <v>22.61</v>
    <v>23.875</v>
    <v>22.885000000000002</v>
    <v>21.58</v>
    <v>22.175000000000001</v>
    <v>22.155000000000001</v>
    <v>20.414999999999999</v>
    <v>20.614999999999998</v>
    <v>22.03</v>
    <v>21.78</v>
    <v>21.065000000000001</v>
    <v>21.43</v>
    <v>20.704999999999998</v>
    <v>20.18</v>
    <v>19.378</v>
    <v>19.794</v>
    <v>20.65</v>
    <v>20.84</v>
    <v>20.395</v>
    <v>19.873999999999999</v>
    <v>18.731999999999999</v>
    <v>18.117999999999999</v>
    <v>17.356000000000002</v>
    <v>18.562000000000001</v>
    <v>18.792000000000002</v>
    <v>18.724</v>
    <v>19.992000000000001</v>
    <v>19.974</v>
    <v>19.916</v>
    <v>19.942</v>
    <v>19.754000000000001</v>
    <v>19.788</v>
    <v>20.445</v>
    <v>20.86</v>
    <v>20.395</v>
    <v>21.1</v>
    <v>19.745999999999999</v>
    <v>19.558</v>
    <v>19.492000000000001</v>
    <v>19.622</v>
    <v>19.032</v>
    <v>19.404</v>
    <v>19.408000000000001</v>
    <v>19.666</v>
    <v>19.57</v>
    <v>19.251999999999999</v>
    <v>19.134</v>
    <v>19.146000000000001</v>
    <v>19.111999999999998</v>
    <v>19.712</v>
    <v>20.195</v>
    <v>20.45</v>
    <v>20.28</v>
    <v>19.962</v>
    <v>20.215</v>
    <v>19.05</v>
    <v>19.03</v>
    <v>19.443999999999999</v>
    <v>19.742000000000001</v>
    <v>20.015000000000001</v>
    <v>21.03</v>
    <v>21.32</v>
    <v>21.155000000000001</v>
    <v>20.83</v>
    <v>21.31</v>
    <v>20.83</v>
    <v>21.38</v>
    <v>21.355</v>
    <v>21.33</v>
    <v>22.175000000000001</v>
    <v>22.155000000000001</v>
    <v>22.23</v>
    <v>21.76</v>
    <v>21.54</v>
    <v>21.105</v>
    <v>20.65</v>
    <v>20.074999999999999</v>
    <v>19.82</v>
    <v>19.010000000000002</v>
    <v>18.815999999999999</v>
    <v>19.12</v>
    <v>18.754000000000001</v>
    <v>18.988</v>
    <v>17.914000000000001</v>
    <v>18.059999999999999</v>
  </a>
  <a r="1" c="256">
    <v>10.456</v>
    <v>10.728</v>
    <v>10.948</v>
    <v>11.007999999999999</v>
    <v>11.257999999999999</v>
    <v>11.182</v>
    <v>11.124000000000001</v>
    <v>11.226000000000001</v>
    <v>11.013999999999999</v>
    <v>11.012</v>
    <v>10.811999999999999</v>
    <v>10.47</v>
    <v>10.916</v>
    <v>10.811999999999999</v>
    <v>10.948</v>
    <v>10.692</v>
    <v>10.702</v>
    <v>10.574</v>
    <v>10.254</v>
    <v>10.304</v>
    <v>10.35</v>
    <v>9.8019999999999996</v>
    <v>10.26</v>
    <v>10.164</v>
    <v>10.59</v>
    <v>10.62</v>
    <v>10.73</v>
    <v>10.744</v>
    <v>10.818</v>
    <v>10.98</v>
    <v>11.023999999999999</v>
    <v>11.125999999999999</v>
    <v>11.18</v>
    <v>11.263999999999999</v>
    <v>11.263999999999999</v>
    <v>11.156000000000001</v>
    <v>10.894</v>
    <v>10.878</v>
    <v>10.696</v>
    <v>10.438000000000001</v>
    <v>10.678000000000001</v>
    <v>10.826000000000001</v>
    <v>10.984</v>
    <v>11.02</v>
    <v>11.092000000000001</v>
    <v>11.16</v>
    <v>11.252000000000001</v>
    <v>11.182</v>
    <v>11.538</v>
    <v>11.907999999999999</v>
    <v>12.106</v>
    <v>12.096</v>
    <v>11.794</v>
    <v>12.188000000000001</v>
    <v>12.3</v>
    <v>12.417999999999999</v>
    <v>12.26</v>
    <v>12.718</v>
    <v>12.692</v>
    <v>12.53</v>
    <v>12.63</v>
    <v>12.862</v>
    <v>12.997999999999999</v>
    <v>12.882</v>
    <v>12.86</v>
    <v>13.278</v>
    <v>13.554</v>
    <v>13.336</v>
    <v>13.368</v>
    <v>13.268000000000001</v>
    <v>13.112</v>
    <v>12.542</v>
    <v>12.564</v>
    <v>13.026</v>
    <v>13.292</v>
    <v>13.234</v>
    <v>13.464</v>
    <v>13.273999999999999</v>
    <v>13.44</v>
    <v>13.31</v>
    <v>13.35</v>
    <v>13.673999999999999</v>
    <v>13.44</v>
    <v>13.577999999999999</v>
    <v>13.512</v>
    <v>13.862</v>
    <v>14.055999999999999</v>
    <v>13.731999999999999</v>
    <v>13.602</v>
    <v>13.348000000000001</v>
    <v>12.816000000000001</v>
    <v>13.14</v>
    <v>13</v>
    <v>12.728</v>
    <v>12.586</v>
    <v>13.18</v>
    <v>13.182</v>
    <v>12.792</v>
    <v>12.683999999999999</v>
    <v>13</v>
    <v>13.048</v>
    <v>13.16</v>
    <v>12.938000000000001</v>
    <v>12.811999999999999</v>
    <v>12.894</v>
    <v>12.984</v>
    <v>13.14</v>
    <v>12.612</v>
    <v>12.33</v>
    <v>12.007999999999999</v>
    <v>12.034000000000001</v>
    <v>12.885999999999999</v>
    <v>12.651999999999999</v>
    <v>12.766</v>
    <v>13.862</v>
    <v>14.08</v>
    <v>14.492000000000001</v>
    <v>14.448</v>
    <v>14.91</v>
    <v>14.932</v>
    <v>15.194000000000001</v>
    <v>15.507999999999999</v>
    <v>15.396000000000001</v>
    <v>15.497999999999999</v>
    <v>15.842000000000001</v>
    <v>16.196000000000002</v>
    <v>16.716000000000001</v>
    <v>16.666</v>
    <v>16.042000000000002</v>
    <v>16.456</v>
    <v>16.821999999999999</v>
    <v>17.135999999999999</v>
    <v>17.928000000000001</v>
    <v>18.696000000000002</v>
    <v>18.751999999999999</v>
    <v>19.238</v>
    <v>19.962</v>
    <v>18.891999999999999</v>
    <v>19.648</v>
    <v>19.866</v>
    <v>19.167999999999999</v>
    <v>18.658000000000001</v>
    <v>18.193999999999999</v>
    <v>19.186</v>
    <v>19.256</v>
    <v>20.02</v>
    <v>20.67</v>
    <v>21.02</v>
    <v>20.925000000000001</v>
    <v>21.51</v>
    <v>21.34</v>
    <v>21.6</v>
    <v>22.225000000000001</v>
    <v>22.61</v>
    <v>22</v>
    <v>20.63</v>
    <v>20.9</v>
    <v>20.260000000000002</v>
    <v>20.295000000000002</v>
    <v>20.86</v>
    <v>22.17</v>
    <v>23.045000000000002</v>
    <v>22.53</v>
    <v>22.87</v>
    <v>23.765000000000001</v>
    <v>23.805</v>
    <v>24.344999999999999</v>
    <v>22.614999999999998</v>
    <v>22.45</v>
    <v>23.17</v>
    <v>22.62</v>
    <v>22.61</v>
    <v>23.875</v>
    <v>22.885000000000002</v>
    <v>21.58</v>
    <v>22.175000000000001</v>
    <v>22.155000000000001</v>
    <v>20.414999999999999</v>
    <v>20.614999999999998</v>
    <v>22.03</v>
    <v>21.78</v>
    <v>21.065000000000001</v>
    <v>21.43</v>
    <v>20.704999999999998</v>
    <v>20.18</v>
    <v>19.378</v>
    <v>19.794</v>
    <v>20.65</v>
    <v>20.84</v>
    <v>20.395</v>
    <v>19.873999999999999</v>
    <v>18.731999999999999</v>
    <v>18.117999999999999</v>
    <v>17.356000000000002</v>
    <v>18.562000000000001</v>
    <v>18.792000000000002</v>
    <v>18.724</v>
    <v>19.992000000000001</v>
    <v>19.974</v>
    <v>19.916</v>
    <v>19.942</v>
    <v>19.754000000000001</v>
    <v>19.788</v>
    <v>20.445</v>
    <v>20.86</v>
    <v>20.395</v>
    <v>21.1</v>
    <v>19.745999999999999</v>
    <v>19.558</v>
    <v>19.492000000000001</v>
    <v>19.622</v>
    <v>19.032</v>
    <v>19.404</v>
    <v>19.408000000000001</v>
    <v>19.666</v>
    <v>19.57</v>
    <v>19.251999999999999</v>
    <v>19.134</v>
    <v>19.146000000000001</v>
    <v>19.111999999999998</v>
    <v>19.712</v>
    <v>20.195</v>
    <v>20.45</v>
    <v>20.28</v>
    <v>19.962</v>
    <v>20.215</v>
    <v>19.05</v>
    <v>19.03</v>
    <v>19.443999999999999</v>
    <v>19.742000000000001</v>
    <v>20.015000000000001</v>
    <v>21.03</v>
    <v>21.32</v>
    <v>21.155000000000001</v>
    <v>20.83</v>
    <v>21.31</v>
    <v>20.83</v>
    <v>21.38</v>
    <v>21.355</v>
    <v>21.33</v>
    <v>22.175000000000001</v>
    <v>22.155000000000001</v>
    <v>22.23</v>
    <v>21.76</v>
    <v>21.54</v>
    <v>21.105</v>
    <v>20.65</v>
    <v>20.074999999999999</v>
    <v>19.82</v>
    <v>19.010000000000002</v>
    <v>18.815999999999999</v>
    <v>19.12</v>
    <v>18.754000000000001</v>
    <v>18.988</v>
    <v>17.914000000000001</v>
    <v>18.059999999999999</v>
  </a>
  <a r="1" c="761">
    <v>98.1</v>
    <v>98.72</v>
    <v>98.31</v>
    <v>97.51</v>
    <v>96.83</v>
    <v>96.88</v>
    <v>97.57</v>
    <v>98.7</v>
    <v>100.09</v>
    <v>100.67</v>
    <v>100.55</v>
    <v>101.09</v>
    <v>100.68</v>
    <v>101.05</v>
    <v>100.85</v>
    <v>101.45</v>
    <v>102.2</v>
    <v>102.59</v>
    <v>101.86</v>
    <v>102.22</v>
    <v>102.39</v>
    <v>102.39</v>
    <v>103.19</v>
    <v>103.13</v>
    <v>102.87</v>
    <v>102.72</v>
    <v>102.5</v>
    <v>102.65</v>
    <v>103.14</v>
    <v>104.15</v>
    <v>104.02</v>
    <v>104.45</v>
    <v>104.64</v>
    <v>104.64</v>
    <v>105.25</v>
    <v>105.69</v>
    <v>105.58</v>
    <v>105.93</v>
    <v>106.01</v>
    <v>106.77</v>
    <v>106.66</v>
    <v>106.85</v>
    <v>107.08</v>
    <v>106.34</v>
    <v>106.67</v>
    <v>106.3</v>
    <v>106.97</v>
    <v>106.62</v>
    <v>107</v>
    <v>106.59</v>
    <v>106.59</v>
    <v>106.43</v>
    <v>106.57</v>
    <v>107.1</v>
    <v>107.06</v>
    <v>106.76</v>
    <v>107.55</v>
    <v>107.54</v>
    <v>107.71</v>
    <v>106.78</v>
    <v>107.22</v>
    <v>107.64</v>
    <v>108.67</v>
    <v>108.9</v>
    <v>109.55</v>
    <v>110.04</v>
    <v>110.14</v>
    <v>110.51</v>
    <v>110.69</v>
    <v>110.12</v>
    <v>109.79</v>
    <v>111.27</v>
    <v>111.48</v>
    <v>112.07</v>
    <v>112.46</v>
    <v>112.41</v>
    <v>112.58</v>
    <v>113.6</v>
    <v>112.45</v>
    <v>112.7</v>
    <v>113.14</v>
    <v>113.67</v>
    <v>113.51</v>
    <v>112.5</v>
    <v>112.39</v>
    <v>114.14</v>
    <v>114.55</v>
    <v>114.12</v>
    <v>113.96</v>
    <v>113.91</v>
    <v>114.21</v>
    <v>115.08</v>
    <v>114.91</v>
    <v>114.08</v>
    <v>114.66</v>
    <v>115.07</v>
    <v>115.09</v>
    <v>114.43</v>
    <v>115.45</v>
    <v>115.38</v>
    <v>115.44</v>
    <v>114.79</v>
    <v>115.67</v>
    <v>115.82</v>
    <v>116.08</v>
    <v>117.73</v>
    <v>117.64</v>
    <v>117.3</v>
    <v>117.55</v>
    <v>117.44</v>
    <v>118.27</v>
    <v>117.46</v>
    <v>117.54</v>
    <v>117.65</v>
    <v>116.82</v>
    <v>117.17</v>
    <v>116.6</v>
    <v>117.07</v>
    <v>117.24</v>
    <v>117.63</v>
    <v>117.33</v>
    <v>115.55</v>
    <v>114.92</v>
    <v>115.26</v>
    <v>114.28</v>
    <v>114.48</v>
    <v>115.7</v>
    <v>115.72</v>
    <v>114.5</v>
    <v>116.5</v>
    <v>116.57</v>
    <v>116.24</v>
    <v>115.76</v>
    <v>116.54</v>
    <v>117.39</v>
    <v>118.07</v>
    <v>118.05</v>
    <v>118.26</v>
    <v>118.69</v>
    <v>118.6</v>
    <v>118.58</v>
    <v>119.34</v>
    <v>119.78</v>
    <v>119.56</v>
    <v>120.12</v>
    <v>119.8</v>
    <v>119.9</v>
    <v>119.84</v>
    <v>119.44</v>
    <v>119.65</v>
    <v>119.21</v>
    <v>118.65</v>
    <v>118.23</v>
    <v>117.52</v>
    <v>118.38</v>
    <v>117.99</v>
    <v>119.45</v>
    <v>119.88</v>
    <v>120.44</v>
    <v>120.95</v>
    <v>120.69</v>
    <v>121.34</v>
    <v>121.29</v>
    <v>121.69</v>
    <v>121.74</v>
    <v>122.39</v>
    <v>122.61</v>
    <v>123.07</v>
    <v>122.69</v>
    <v>122.89</v>
    <v>122.73</v>
    <v>122.76</v>
    <v>122.75</v>
    <v>123.19</v>
    <v>122.53</v>
    <v>122.68</v>
    <v>123.14</v>
    <v>123.42</v>
    <v>123.37</v>
    <v>123.67</v>
    <v>123.87</v>
    <v>124.38</v>
    <v>124.23</v>
    <v>124.84</v>
    <v>124.7</v>
    <v>124.86</v>
    <v>123.56</v>
    <v>122.93</v>
    <v>122.15</v>
    <v>122.73</v>
    <v>123.71</v>
    <v>121.69</v>
    <v>121.08</v>
    <v>121.38</v>
    <v>121.61</v>
    <v>121.58</v>
    <v>123.53</v>
    <v>122.24</v>
    <v>117.42</v>
    <v>114.78</v>
    <v>115.66</v>
    <v>117.41</v>
    <v>117.58</v>
    <v>118.06</v>
    <v>118.32</v>
    <v>119.34</v>
    <v>119.52</v>
    <v>121.74</v>
    <v>122.15</v>
    <v>121.66</v>
    <v>121.88</v>
    <v>121.93</v>
    <v>122.06</v>
    <v>121.97</v>
    <v>122.11</v>
    <v>122.05</v>
    <v>123.39</v>
    <v>123</v>
    <v>123.66</v>
    <v>122.37</v>
    <v>121.11</v>
    <v>120.42</v>
    <v>118.76</v>
    <v>120.04</v>
    <v>120.35</v>
    <v>119.71</v>
    <v>121.84</v>
    <v>122.69</v>
    <v>122.18</v>
    <v>122.89</v>
    <v>122.3</v>
    <v>124.03</v>
    <v>123.33</v>
    <v>124.15</v>
    <v>124.43</v>
    <v>124.48</v>
    <v>125.15</v>
    <v>125.6</v>
    <v>125.22</v>
    <v>125.42</v>
    <v>126.19</v>
    <v>125.84</v>
    <v>126.59</v>
    <v>126.99</v>
    <v>126.76</v>
    <v>127.38</v>
    <v>127.75</v>
    <v>128.16999999999999</v>
    <v>129.07</v>
    <v>128.61000000000001</v>
    <v>128.72</v>
    <v>129.72</v>
    <v>129.68</v>
    <v>129.08000000000001</v>
    <v>129.21</v>
    <v>128.79</v>
    <v>128.57</v>
    <v>129.04</v>
    <v>128.93</v>
    <v>129.08000000000001</v>
    <v>128.27000000000001</v>
    <v>126.21</v>
    <v>127.28</v>
    <v>126.29</v>
    <v>126.95</v>
    <v>130.35</v>
    <v>131.41</v>
    <v>131.97</v>
    <v>133.26</v>
    <v>132.6</v>
    <v>132.96</v>
    <v>132.88</v>
    <v>131.43</v>
    <v>131.82</v>
    <v>131.63999999999999</v>
    <v>131.78</v>
    <v>133.36000000000001</v>
    <v>134.79</v>
    <v>134.49</v>
    <v>134.54</v>
    <v>133.46</v>
    <v>134.02000000000001</v>
    <v>134.54</v>
    <v>135.74</v>
    <v>135.69999999999999</v>
    <v>136.04</v>
    <v>135.96</v>
    <v>136.02000000000001</v>
    <v>135.94</v>
    <v>135.94999999999999</v>
    <v>136.72999999999999</v>
    <v>136.47999999999999</v>
    <v>135.61000000000001</v>
    <v>135.93</v>
    <v>135.43</v>
    <v>135.80000000000001</v>
    <v>133.82</v>
    <v>133.96</v>
    <v>133.76</v>
    <v>134.28</v>
    <v>133.63</v>
    <v>135.41</v>
    <v>135.19</v>
    <v>135.87</v>
    <v>134.99</v>
    <v>134.99</v>
    <v>135.09</v>
    <v>133.74</v>
    <v>133.47</v>
    <v>133.37</v>
    <v>135.4</v>
    <v>135.93</v>
    <v>137.03</v>
    <v>136.44999999999999</v>
    <v>136.44</v>
    <v>137.44</v>
    <v>137.63999999999999</v>
    <v>137.13</v>
    <v>134.88</v>
    <v>136.57</v>
    <v>137.13999999999999</v>
    <v>137.66</v>
    <v>138.9</v>
    <v>137.80000000000001</v>
    <v>137.88</v>
    <v>137.35</v>
    <v>138.9</v>
    <v>138.80000000000001</v>
    <v>139.52000000000001</v>
    <v>139.16</v>
    <v>138.28</v>
    <v>138.88</v>
    <v>138.63999999999999</v>
    <v>139.41999999999999</v>
    <v>139.57</v>
    <v>140.01</v>
    <v>138.77000000000001</v>
    <v>139.01</v>
    <v>137.35</v>
    <v>135.41999999999999</v>
    <v>137.24</v>
    <v>137.38999999999999</v>
    <v>135.72</v>
    <v>136.07</v>
    <v>131.85</v>
    <v>130.28</v>
    <v>130.66</v>
    <v>128.46</v>
    <v>127.45</v>
    <v>125.01</v>
    <v>126.32</v>
    <v>125.61</v>
    <v>127.05</v>
    <v>127.68</v>
    <v>127.2</v>
    <v>128.46</v>
    <v>128.72</v>
    <v>128.43</v>
    <v>130.47</v>
    <v>130.57</v>
    <v>130</v>
    <v>129.63</v>
    <v>126.9</v>
    <v>126.04</v>
    <v>127.62</v>
    <v>127.27</v>
    <v>121.37</v>
    <v>115.74</v>
    <v>112.48</v>
    <v>115.96</v>
    <v>110.66</v>
    <v>114.87</v>
    <v>113.92</v>
    <v>117.18</v>
    <v>118.3</v>
    <v>116.9</v>
    <v>115.9</v>
    <v>115.17</v>
    <v>118.54</v>
    <v>119.36</v>
    <v>119.95</v>
    <v>120.1</v>
    <v>120.86</v>
    <v>121.02</v>
    <v>124.09</v>
    <v>124.43</v>
    <v>123.68</v>
    <v>123.11</v>
    <v>124.97</v>
    <v>124.87</v>
    <v>128.88</v>
    <v>129.69999999999999</v>
    <v>129.35</v>
    <v>129.86000000000001</v>
    <v>130.65</v>
    <v>130.04</v>
    <v>130.24</v>
    <v>129.36000000000001</v>
    <v>128.38</v>
    <v>127.1</v>
    <v>128.16999999999999</v>
    <v>129.01</v>
    <v>129.16999999999999</v>
    <v>128.57</v>
    <v>128.53</v>
    <v>127.88</v>
    <v>129.43</v>
    <v>129.57</v>
    <v>129.69</v>
    <v>130.18</v>
    <v>130.24</v>
    <v>130.32</v>
    <v>130.35</v>
    <v>129.19999999999999</v>
    <v>128.61000000000001</v>
    <v>129.19999999999999</v>
    <v>128.81</v>
    <v>128.74</v>
    <v>127.64</v>
    <v>127.97</v>
    <v>127.93</v>
    <v>129.16999999999999</v>
    <v>129.07</v>
    <v>129.16</v>
    <v>130.07</v>
    <v>129.77000000000001</v>
    <v>129.61000000000001</v>
    <v>129.9</v>
    <v>131.19</v>
    <v>130.29</v>
    <v>130.66999999999999</v>
    <v>130.72999999999999</v>
    <v>131.08000000000001</v>
    <v>131.97</v>
    <v>131.19999999999999</v>
    <v>131.43</v>
    <v>132.25</v>
    <v>130.57</v>
    <v>133.01</v>
    <v>132.52000000000001</v>
    <v>132.66</v>
    <v>131.83000000000001</v>
    <v>133.05000000000001</v>
    <v>133.22999999999999</v>
    <v>133.38</v>
    <v>134.54</v>
    <v>135.08000000000001</v>
    <v>135.65</v>
    <v>135.85</v>
    <v>132.03</v>
    <v>133.46</v>
    <v>133.32</v>
    <v>133.52000000000001</v>
    <v>133.94</v>
    <v>134.26</v>
    <v>135.04</v>
    <v>135.07</v>
    <v>135.38</v>
    <v>135.87</v>
    <v>135.85</v>
    <v>135.75</v>
    <v>135.13</v>
    <v>135.44</v>
    <v>136.24</v>
    <v>136.28</v>
    <v>135.96</v>
    <v>136.85</v>
    <v>136.51</v>
    <v>135.46</v>
    <v>135.91</v>
    <v>134.52000000000001</v>
    <v>135.34</v>
    <v>136.33000000000001</v>
    <v>135.52000000000001</v>
    <v>136.46</v>
    <v>136.59</v>
    <v>137.38999999999999</v>
    <v>138.30000000000001</v>
    <v>138.38999999999999</v>
    <v>138.57</v>
    <v>137.55000000000001</v>
    <v>137.54</v>
    <v>138.97</v>
    <v>139.03</v>
    <v>139.28</v>
    <v>139.47999999999999</v>
    <v>139.33000000000001</v>
    <v>138.88999999999999</v>
    <v>139.12</v>
    <v>139.65</v>
    <v>139.49</v>
    <v>140.51</v>
    <v>141.06</v>
    <v>141.6</v>
    <v>142.19</v>
    <v>141.88999999999999</v>
    <v>143.16999999999999</v>
    <v>143.11000000000001</v>
    <v>140.25</v>
    <v>141.51</v>
    <v>140.72</v>
    <v>141.77000000000001</v>
    <v>141.76</v>
    <v>140.32</v>
    <v>142.66</v>
    <v>143.06</v>
    <v>142.38</v>
    <v>143.03</v>
    <v>144.04</v>
    <v>145</v>
    <v>145.22999999999999</v>
    <v>145.59</v>
    <v>145.69999999999999</v>
    <v>145.5</v>
    <v>145.81</v>
    <v>145.26</v>
    <v>145.41</v>
    <v>143.41999999999999</v>
    <v>141.63999999999999</v>
    <v>144.52000000000001</v>
    <v>144.94999999999999</v>
    <v>145.72</v>
    <v>143.96</v>
    <v>143.77000000000001</v>
    <v>143.02000000000001</v>
    <v>141.16</v>
    <v>141.56</v>
    <v>142.32</v>
    <v>140.66999999999999</v>
    <v>142.5</v>
    <v>142.75</v>
    <v>144.41</v>
    <v>144.27000000000001</v>
    <v>144.72</v>
    <v>144.27000000000001</v>
    <v>144.15</v>
    <v>144.19</v>
    <v>144.5</v>
    <v>145.15</v>
    <v>144.88</v>
    <v>144.91</v>
    <v>144.74</v>
    <v>144.1</v>
    <v>143.21</v>
    <v>143.49</v>
    <v>142.4</v>
    <v>141.83000000000001</v>
    <v>143.51</v>
    <v>144.19</v>
    <v>144.36000000000001</v>
    <v>144.69</v>
    <v>145.04</v>
    <v>145.44999999999999</v>
    <v>145.19999999999999</v>
    <v>147.07</v>
    <v>147.69999999999999</v>
    <v>147.99</v>
    <v>147.78</v>
    <v>148.86000000000001</v>
    <v>149.05000000000001</v>
    <v>149.22</v>
    <v>148.47999999999999</v>
    <v>150.26</v>
    <v>149.87</v>
    <v>148.04</v>
    <v>146.71</v>
    <v>147.07</v>
    <v>148.01</v>
    <v>147.63999999999999</v>
    <v>147.19999999999999</v>
    <v>147.15</v>
    <v>147.4</v>
    <v>146.22999999999999</v>
    <v>147.13999999999999</v>
    <v>148.5</v>
    <v>148.04</v>
    <v>147.71</v>
    <v>146.47</v>
    <v>147.82</v>
    <v>148.55000000000001</v>
    <v>148.88999999999999</v>
    <v>149.13999999999999</v>
    <v>147.74</v>
    <v>147.72999999999999</v>
    <v>147.53</v>
    <v>147.81</v>
    <v>149.52000000000001</v>
    <v>149.26</v>
    <v>149.9</v>
    <v>148.88</v>
    <v>149.74</v>
    <v>150.85</v>
    <v>150.47</v>
    <v>149.86000000000001</v>
    <v>149.91999999999999</v>
    <v>147.71</v>
    <v>149.37</v>
    <v>148.34</v>
    <v>146.88</v>
    <v>146.4</v>
    <v>148.44</v>
    <v>147.91999999999999</v>
    <v>146.93</v>
    <v>146.68</v>
    <v>147.38999999999999</v>
    <v>147.80000000000001</v>
    <v>146.85</v>
    <v>144.27000000000001</v>
    <v>142.69</v>
    <v>143.32</v>
    <v>143.33000000000001</v>
    <v>144.66999999999999</v>
    <v>142.88</v>
    <v>141</v>
    <v>141.91999999999999</v>
    <v>141.81</v>
    <v>144.88</v>
    <v>144.68</v>
    <v>143.85</v>
    <v>148.09</v>
    <v>148.13</v>
    <v>148.56</v>
    <v>148.51</v>
    <v>150.25</v>
    <v>150.77000000000001</v>
    <v>151.69999999999999</v>
    <v>153.66999999999999</v>
    <v>152.85</v>
    <v>152.63999999999999</v>
    <v>153.41</v>
    <v>153.80000000000001</v>
    <v>153.61000000000001</v>
    <v>153.47999999999999</v>
    <v>152.88</v>
    <v>153.11000000000001</v>
    <v>154</v>
    <v>154.55000000000001</v>
    <v>156</v>
    <v>158.01</v>
    <v>158</v>
    <v>158.12</v>
    <v>158.62</v>
    <v>157.02000000000001</v>
    <v>159.12</v>
    <v>161.05000000000001</v>
    <v>159.37</v>
    <v>158.41</v>
    <v>158.22999999999999</v>
    <v>159.76</v>
    <v>159.83000000000001</v>
    <v>161.58000000000001</v>
    <v>162.77000000000001</v>
    <v>162.56</v>
    <v>162.29</v>
    <v>162.80000000000001</v>
    <v>163.11000000000001</v>
    <v>163.88</v>
    <v>164.85</v>
    <v>164.12</v>
    <v>163.79</v>
    <v>162.31</v>
    <v>161.61000000000001</v>
    <v>159.35</v>
    <v>159.25</v>
    <v>159.52000000000001</v>
    <v>162.34</v>
    <v>164.57</v>
    <v>164.19</v>
    <v>164.61</v>
    <v>165.5</v>
    <v>165.45</v>
    <v>166.07</v>
    <v>163.92</v>
    <v>164.75</v>
    <v>164.19</v>
    <v>163.68</v>
    <v>163.41</v>
    <v>165.27</v>
    <v>165.95</v>
    <v>164.85</v>
    <v>165.93</v>
    <v>166.63</v>
    <v>164.79</v>
    <v>163.71</v>
    <v>165.56</v>
    <v>166.18</v>
    <v>165.83</v>
    <v>165.61</v>
    <v>165.79</v>
    <v>165.49</v>
    <v>163.47</v>
    <v>164.16</v>
    <v>165.16</v>
    <v>165.35</v>
    <v>163.34</v>
    <v>164.24</v>
    <v>163.43</v>
    <v>163.75</v>
    <v>162.36000000000001</v>
    <v>162.03</v>
    <v>162.86000000000001</v>
    <v>165.06</v>
    <v>167.46</v>
    <v>168.02</v>
    <v>167.82</v>
    <v>168.39</v>
    <v>168.42</v>
    <v>168.48</v>
    <v>168.8</v>
    <v>169.61</v>
    <v>168.88</v>
    <v>169.06</v>
    <v>166.96</v>
    <v>166.5</v>
    <v>165.68</v>
    <v>166.28</v>
    <v>165.61</v>
    <v>166.28</v>
    <v>166.54</v>
    <v>167.13</v>
    <v>168.49</v>
    <v>166.67</v>
    <v>166.6</v>
    <v>166.82</v>
    <v>168.03</v>
    <v>167.84</v>
    <v>167.76</v>
    <v>167.63</v>
    <v>166.24</v>
    <v>165.22</v>
    <v>166.87</v>
    <v>166.25</v>
    <v>165.38</v>
    <v>166.32</v>
    <v>167.64</v>
    <v>167.14</v>
    <v>169.47</v>
    <v>170.47</v>
    <v>170.01</v>
    <v>168.92</v>
    <v>169.77</v>
    <v>169.14</v>
    <v>169.44</v>
    <v>169.78</v>
    <v>169.41</v>
    <v>171.07</v>
    <v>172.89</v>
    <v>173.55</v>
    <v>172.86</v>
    <v>171.92</v>
    <v>172.89</v>
    <v>173.48</v>
    <v>172.6</v>
    <v>172.51</v>
    <v>170.88</v>
    <v>170.44</v>
    <v>170.78</v>
    <v>170.37</v>
    <v>171.33</v>
    <v>169.25</v>
    <v>169.34</v>
  </a>
  <a r="1" c="254">
    <v>143.03</v>
    <v>144.04</v>
    <v>145</v>
    <v>145.22999999999999</v>
    <v>145.59</v>
    <v>145.69999999999999</v>
    <v>145.5</v>
    <v>145.81</v>
    <v>145.26</v>
    <v>145.41</v>
    <v>143.41999999999999</v>
    <v>141.63999999999999</v>
    <v>144.52000000000001</v>
    <v>144.94999999999999</v>
    <v>145.72</v>
    <v>143.96</v>
    <v>143.77000000000001</v>
    <v>143.02000000000001</v>
    <v>141.16</v>
    <v>141.56</v>
    <v>142.32</v>
    <v>140.66999999999999</v>
    <v>142.5</v>
    <v>142.75</v>
    <v>144.41</v>
    <v>144.27000000000001</v>
    <v>144.72</v>
    <v>144.27000000000001</v>
    <v>144.15</v>
    <v>144.19</v>
    <v>144.5</v>
    <v>145.15</v>
    <v>144.88</v>
    <v>144.91</v>
    <v>144.74</v>
    <v>144.1</v>
    <v>143.21</v>
    <v>143.49</v>
    <v>142.4</v>
    <v>141.83000000000001</v>
    <v>143.51</v>
    <v>144.19</v>
    <v>144.36000000000001</v>
    <v>144.69</v>
    <v>145.04</v>
    <v>145.44999999999999</v>
    <v>145.19999999999999</v>
    <v>147.07</v>
    <v>147.69999999999999</v>
    <v>147.99</v>
    <v>147.78</v>
    <v>148.86000000000001</v>
    <v>149.05000000000001</v>
    <v>149.22</v>
    <v>148.47999999999999</v>
    <v>150.26</v>
    <v>149.87</v>
    <v>148.04</v>
    <v>146.71</v>
    <v>147.07</v>
    <v>148.01</v>
    <v>147.63999999999999</v>
    <v>147.19999999999999</v>
    <v>147.15</v>
    <v>147.4</v>
    <v>146.22999999999999</v>
    <v>147.13999999999999</v>
    <v>148.5</v>
    <v>148.04</v>
    <v>147.71</v>
    <v>146.47</v>
    <v>147.82</v>
    <v>148.55000000000001</v>
    <v>148.88999999999999</v>
    <v>149.13999999999999</v>
    <v>147.74</v>
    <v>147.72999999999999</v>
    <v>147.53</v>
    <v>147.81</v>
    <v>149.52000000000001</v>
    <v>149.26</v>
    <v>149.9</v>
    <v>148.88</v>
    <v>149.74</v>
    <v>150.85</v>
    <v>150.47</v>
    <v>149.86000000000001</v>
    <v>149.91999999999999</v>
    <v>147.71</v>
    <v>149.37</v>
    <v>148.34</v>
    <v>146.88</v>
    <v>146.4</v>
    <v>148.44</v>
    <v>147.91999999999999</v>
    <v>146.93</v>
    <v>146.68</v>
    <v>147.38999999999999</v>
    <v>147.80000000000001</v>
    <v>146.85</v>
    <v>144.27000000000001</v>
    <v>142.69</v>
    <v>143.32</v>
    <v>143.33000000000001</v>
    <v>144.66999999999999</v>
    <v>142.88</v>
    <v>141</v>
    <v>141.91999999999999</v>
    <v>141.81</v>
    <v>144.88</v>
    <v>144.68</v>
    <v>143.85</v>
    <v>148.09</v>
    <v>148.13</v>
    <v>148.56</v>
    <v>148.51</v>
    <v>150.25</v>
    <v>150.77000000000001</v>
    <v>151.69999999999999</v>
    <v>153.66999999999999</v>
    <v>152.85</v>
    <v>152.63999999999999</v>
    <v>153.41</v>
    <v>153.80000000000001</v>
    <v>153.61000000000001</v>
    <v>153.47999999999999</v>
    <v>152.88</v>
    <v>153.11000000000001</v>
    <v>154</v>
    <v>154.55000000000001</v>
    <v>156</v>
    <v>158.01</v>
    <v>158</v>
    <v>158.12</v>
    <v>158.62</v>
    <v>157.02000000000001</v>
    <v>159.12</v>
    <v>161.05000000000001</v>
    <v>159.37</v>
    <v>158.41</v>
    <v>158.22999999999999</v>
    <v>159.76</v>
    <v>159.83000000000001</v>
    <v>161.58000000000001</v>
    <v>162.77000000000001</v>
    <v>162.56</v>
    <v>162.29</v>
    <v>162.80000000000001</v>
    <v>163.11000000000001</v>
    <v>163.88</v>
    <v>164.85</v>
    <v>164.12</v>
    <v>163.79</v>
    <v>162.31</v>
    <v>161.61000000000001</v>
    <v>159.35</v>
    <v>159.25</v>
    <v>159.52000000000001</v>
    <v>162.34</v>
    <v>164.57</v>
    <v>164.19</v>
    <v>164.61</v>
    <v>165.5</v>
    <v>165.45</v>
    <v>166.07</v>
    <v>163.92</v>
    <v>164.75</v>
    <v>164.19</v>
    <v>163.68</v>
    <v>163.41</v>
    <v>165.27</v>
    <v>165.95</v>
    <v>164.85</v>
    <v>165.93</v>
    <v>166.63</v>
    <v>164.79</v>
    <v>163.71</v>
    <v>165.56</v>
    <v>166.18</v>
    <v>165.83</v>
    <v>165.61</v>
    <v>165.79</v>
    <v>165.49</v>
    <v>163.47</v>
    <v>164.16</v>
    <v>165.16</v>
    <v>165.35</v>
    <v>163.34</v>
    <v>164.24</v>
    <v>163.43</v>
    <v>163.75</v>
    <v>162.36000000000001</v>
    <v>162.03</v>
    <v>162.86000000000001</v>
    <v>165.06</v>
    <v>167.46</v>
    <v>168.02</v>
    <v>167.82</v>
    <v>168.39</v>
    <v>168.42</v>
    <v>168.48</v>
    <v>168.8</v>
    <v>169.61</v>
    <v>168.88</v>
    <v>169.06</v>
    <v>166.96</v>
    <v>166.5</v>
    <v>165.68</v>
    <v>166.28</v>
    <v>165.61</v>
    <v>166.28</v>
    <v>166.54</v>
    <v>167.13</v>
    <v>168.49</v>
    <v>166.67</v>
    <v>166.6</v>
    <v>166.82</v>
    <v>168.03</v>
    <v>167.84</v>
    <v>167.76</v>
    <v>167.63</v>
    <v>166.24</v>
    <v>165.22</v>
    <v>166.87</v>
    <v>166.25</v>
    <v>165.38</v>
    <v>166.32</v>
    <v>167.64</v>
    <v>167.14</v>
    <v>169.47</v>
    <v>170.47</v>
    <v>170.01</v>
    <v>168.92</v>
    <v>169.77</v>
    <v>169.14</v>
    <v>169.44</v>
    <v>169.78</v>
    <v>169.41</v>
    <v>171.07</v>
    <v>172.89</v>
    <v>173.55</v>
    <v>172.86</v>
    <v>171.92</v>
    <v>172.89</v>
    <v>173.48</v>
    <v>172.6</v>
    <v>172.51</v>
    <v>170.88</v>
    <v>170.44</v>
    <v>170.78</v>
    <v>170.37</v>
    <v>171.33</v>
    <v>169.25</v>
    <v>169.34</v>
  </a>
  <a r="1" c="208">
    <v>145.19999999999999</v>
    <v>147.07</v>
    <v>147.69999999999999</v>
    <v>147.99</v>
    <v>147.78</v>
    <v>148.86000000000001</v>
    <v>149.05000000000001</v>
    <v>149.22</v>
    <v>148.47999999999999</v>
    <v>150.26</v>
    <v>149.87</v>
    <v>148.04</v>
    <v>146.71</v>
    <v>147.07</v>
    <v>148.01</v>
    <v>147.63999999999999</v>
    <v>147.19999999999999</v>
    <v>147.15</v>
    <v>147.4</v>
    <v>146.22999999999999</v>
    <v>147.13999999999999</v>
    <v>148.5</v>
    <v>148.04</v>
    <v>147.71</v>
    <v>146.47</v>
    <v>147.82</v>
    <v>148.55000000000001</v>
    <v>148.88999999999999</v>
    <v>149.13999999999999</v>
    <v>147.74</v>
    <v>147.72999999999999</v>
    <v>147.53</v>
    <v>147.81</v>
    <v>149.52000000000001</v>
    <v>149.26</v>
    <v>149.9</v>
    <v>148.88</v>
    <v>149.74</v>
    <v>150.85</v>
    <v>150.47</v>
    <v>149.86000000000001</v>
    <v>149.91999999999999</v>
    <v>147.71</v>
    <v>149.37</v>
    <v>148.34</v>
    <v>146.88</v>
    <v>146.4</v>
    <v>148.44</v>
    <v>147.91999999999999</v>
    <v>146.93</v>
    <v>146.68</v>
    <v>147.38999999999999</v>
    <v>147.80000000000001</v>
    <v>146.85</v>
    <v>144.27000000000001</v>
    <v>142.69</v>
    <v>143.32</v>
    <v>143.33000000000001</v>
    <v>144.66999999999999</v>
    <v>142.88</v>
    <v>141</v>
    <v>141.91999999999999</v>
    <v>141.81</v>
    <v>144.88</v>
    <v>144.68</v>
    <v>143.85</v>
    <v>148.09</v>
    <v>148.13</v>
    <v>148.56</v>
    <v>148.51</v>
    <v>150.25</v>
    <v>150.77000000000001</v>
    <v>151.69999999999999</v>
    <v>153.66999999999999</v>
    <v>152.85</v>
    <v>152.63999999999999</v>
    <v>153.41</v>
    <v>153.80000000000001</v>
    <v>153.61000000000001</v>
    <v>153.47999999999999</v>
    <v>152.88</v>
    <v>153.11000000000001</v>
    <v>154</v>
    <v>154.55000000000001</v>
    <v>156</v>
    <v>158.01</v>
    <v>158</v>
    <v>158.12</v>
    <v>158.62</v>
    <v>157.02000000000001</v>
    <v>159.12</v>
    <v>161.05000000000001</v>
    <v>159.37</v>
    <v>158.41</v>
    <v>158.22999999999999</v>
    <v>159.76</v>
    <v>159.83000000000001</v>
    <v>161.58000000000001</v>
    <v>162.77000000000001</v>
    <v>162.56</v>
    <v>162.29</v>
    <v>162.80000000000001</v>
    <v>163.11000000000001</v>
    <v>163.88</v>
    <v>164.85</v>
    <v>164.12</v>
    <v>163.79</v>
    <v>162.31</v>
    <v>161.61000000000001</v>
    <v>159.35</v>
    <v>159.25</v>
    <v>159.52000000000001</v>
    <v>162.34</v>
    <v>164.57</v>
    <v>164.19</v>
    <v>164.61</v>
    <v>165.5</v>
    <v>165.45</v>
    <v>166.07</v>
    <v>163.92</v>
    <v>164.75</v>
    <v>164.19</v>
    <v>163.68</v>
    <v>163.41</v>
    <v>165.27</v>
    <v>165.95</v>
    <v>164.85</v>
    <v>165.93</v>
    <v>166.63</v>
    <v>164.79</v>
    <v>163.71</v>
    <v>165.56</v>
    <v>166.18</v>
    <v>165.83</v>
    <v>165.61</v>
    <v>165.79</v>
    <v>165.49</v>
    <v>163.47</v>
    <v>164.16</v>
    <v>165.16</v>
    <v>165.35</v>
    <v>163.34</v>
    <v>164.24</v>
    <v>163.43</v>
    <v>163.75</v>
    <v>162.36000000000001</v>
    <v>162.03</v>
    <v>162.86000000000001</v>
    <v>165.06</v>
    <v>167.46</v>
    <v>168.02</v>
    <v>167.82</v>
    <v>168.39</v>
    <v>168.42</v>
    <v>168.48</v>
    <v>168.8</v>
    <v>169.61</v>
    <v>168.88</v>
    <v>169.06</v>
    <v>166.96</v>
    <v>166.5</v>
    <v>165.68</v>
    <v>166.28</v>
    <v>165.61</v>
    <v>166.28</v>
    <v>166.54</v>
    <v>167.13</v>
    <v>168.49</v>
    <v>166.67</v>
    <v>166.6</v>
    <v>166.82</v>
    <v>168.03</v>
    <v>167.84</v>
    <v>167.76</v>
    <v>167.63</v>
    <v>166.24</v>
    <v>165.22</v>
    <v>166.87</v>
    <v>166.25</v>
    <v>165.38</v>
    <v>166.32</v>
    <v>167.64</v>
    <v>167.14</v>
    <v>169.47</v>
    <v>170.47</v>
    <v>170.01</v>
    <v>168.92</v>
    <v>169.77</v>
    <v>169.14</v>
    <v>169.44</v>
    <v>169.78</v>
    <v>169.41</v>
    <v>171.07</v>
    <v>172.89</v>
    <v>173.55</v>
    <v>172.86</v>
    <v>171.92</v>
    <v>172.89</v>
    <v>173.48</v>
    <v>172.6</v>
    <v>172.51</v>
    <v>170.88</v>
    <v>170.44</v>
    <v>170.78</v>
    <v>170.37</v>
    <v>171.33</v>
    <v>169.25</v>
    <v>169.34</v>
  </a>
  <a r="1" c="208">
    <v>201.95</v>
    <v>206.2</v>
    <v>202.05</v>
    <v>208.4</v>
    <v>206.5</v>
    <v>212.35</v>
    <v>213.1</v>
    <v>213.45</v>
    <v>206.1</v>
    <v>205.6</v>
    <v>202.15</v>
    <v>195.96</v>
    <v>194</v>
    <v>191.04</v>
    <v>189.84</v>
    <v>197.92</v>
    <v>200.95</v>
    <v>195.54</v>
    <v>196.14</v>
    <v>164.62</v>
    <v>170.56</v>
    <v>175.1</v>
    <v>167</v>
    <v>167.2</v>
    <v>170.48</v>
    <v>171.22</v>
    <v>174.92</v>
    <v>178.28</v>
    <v>169</v>
    <v>169.7</v>
    <v>171.72</v>
    <v>168.36</v>
    <v>169.64</v>
    <v>173.38</v>
    <v>170.74</v>
    <v>173.8</v>
    <v>167.86</v>
    <v>165.84</v>
    <v>166.78</v>
    <v>172.22</v>
    <v>170.96</v>
    <v>167.1</v>
    <v>165.48</v>
    <v>167.38</v>
    <v>170.98</v>
    <v>172.74</v>
    <v>171.88</v>
    <v>169.6</v>
    <v>165.44</v>
    <v>167.02</v>
    <v>166.44</v>
    <v>165.46</v>
    <v>166.24</v>
    <v>161.44</v>
    <v>160</v>
    <v>153.82</v>
    <v>153.86000000000001</v>
    <v>147.62</v>
    <v>146.9</v>
    <v>144.63999999999999</v>
    <v>142.56</v>
    <v>147.02000000000001</v>
    <v>146.9</v>
    <v>148.86000000000001</v>
    <v>148.9</v>
    <v>145.22</v>
    <v>149.69999999999999</v>
    <v>139.5</v>
    <v>139.38</v>
    <v>142.5</v>
    <v>143.46</v>
    <v>146.54</v>
    <v>151.66</v>
    <v>156.24</v>
    <v>150.19999999999999</v>
    <v>151.16</v>
    <v>149.82</v>
    <v>140.69999999999999</v>
    <v>147.28</v>
    <v>148.96</v>
    <v>148.88</v>
    <v>145.88</v>
    <v>145.5</v>
    <v>148.06</v>
    <v>149.80000000000001</v>
    <v>149.32</v>
    <v>151.38</v>
    <v>146.19999999999999</v>
    <v>144.46</v>
    <v>142.4</v>
    <v>136.26</v>
    <v>141.22</v>
    <v>144.06</v>
    <v>147.86000000000001</v>
    <v>156.72</v>
    <v>153.41999999999999</v>
    <v>150.9</v>
    <v>151.78</v>
    <v>154.47999999999999</v>
    <v>151.46</v>
    <v>150</v>
    <v>151.6</v>
    <v>155.26</v>
    <v>167.9</v>
    <v>162.86000000000001</v>
    <v>155.94</v>
    <v>164.5</v>
    <v>161.47999999999999</v>
    <v>158.1</v>
    <v>154.69999999999999</v>
    <v>149.69999999999999</v>
    <v>139.9</v>
    <v>140.26</v>
    <v>143.18</v>
    <v>142.9</v>
    <v>141.18</v>
    <v>134.86000000000001</v>
    <v>134.13999999999999</v>
    <v>132.22</v>
    <v>134.52000000000001</v>
    <v>134.86000000000001</v>
    <v>132.28</v>
    <v>135.13999999999999</v>
    <v>136.63999999999999</v>
    <v>134</v>
    <v>140.88</v>
    <v>141.72</v>
    <v>139.63999999999999</v>
    <v>140.06</v>
    <v>143.9</v>
    <v>137.96</v>
    <v>137.74</v>
    <v>137.58000000000001</v>
    <v>140.72</v>
    <v>136.72</v>
    <v>136.97999999999999</v>
    <v>137.63999999999999</v>
    <v>137.91999999999999</v>
    <v>138.26</v>
    <v>136.41999999999999</v>
    <v>132.04</v>
    <v>128.32</v>
    <v>140.19999999999999</v>
    <v>151.28</v>
    <v>159.24</v>
    <v>162.04</v>
    <v>155.91999999999999</v>
    <v>157.68</v>
    <v>164.64</v>
    <v>167.38</v>
    <v>169.26</v>
    <v>170.98</v>
    <v>177.96</v>
    <v>179.3</v>
    <v>180.7</v>
    <v>175.96</v>
    <v>175.38</v>
    <v>180.14</v>
    <v>179.58</v>
    <v>182.5</v>
    <v>185.9</v>
    <v>185.64</v>
    <v>188.12</v>
    <v>187.2</v>
    <v>185.46</v>
    <v>180.02</v>
    <v>189.88</v>
    <v>191.32</v>
    <v>190.9</v>
    <v>184.26</v>
    <v>181.44</v>
    <v>185.58</v>
    <v>185.68</v>
    <v>182.8</v>
    <v>181.7</v>
    <v>182.86</v>
    <v>177.82</v>
    <v>177.26</v>
    <v>186.26</v>
    <v>187.08</v>
    <v>186.56</v>
    <v>188</v>
    <v>183.12</v>
    <v>182.86</v>
    <v>182.32</v>
    <v>186.46</v>
    <v>184.18</v>
    <v>185.92</v>
    <v>184.02</v>
    <v>185.32</v>
    <v>185.66</v>
    <v>186.74</v>
    <v>183.92</v>
    <v>185.04</v>
    <v>188.6</v>
    <v>187.62</v>
    <v>184.62</v>
    <v>191.46</v>
    <v>194.46</v>
    <v>197.28</v>
    <v>196.94</v>
    <v>201.25</v>
    <v>199.22</v>
    <v>199.84</v>
    <v>201.55</v>
    <v>208.65</v>
    <v>215.35</v>
    <v>214.4</v>
  </a>
  <a r="1" c="763">
    <v>123.92</v>
    <v>125.76</v>
    <v>125</v>
    <v>124.78</v>
    <v>125.02</v>
    <v>125.6</v>
    <v>126.74</v>
    <v>127.82</v>
    <v>130.12</v>
    <v>129.28</v>
    <v>128.72</v>
    <v>131.76</v>
    <v>133.18</v>
    <v>134.72</v>
    <v>134.86000000000001</v>
    <v>135.41999999999999</v>
    <v>136.26</v>
    <v>137.26</v>
    <v>136.44</v>
    <v>137.22</v>
    <v>139.91999999999999</v>
    <v>139.44</v>
    <v>141.16</v>
    <v>142.5</v>
    <v>141.08000000000001</v>
    <v>141.6</v>
    <v>142.54</v>
    <v>144.54</v>
    <v>145.47999999999999</v>
    <v>146.69999999999999</v>
    <v>146.32</v>
    <v>147.13999999999999</v>
    <v>147.13999999999999</v>
    <v>147.1</v>
    <v>148.18</v>
    <v>147.34</v>
    <v>147.32</v>
    <v>146.5</v>
    <v>142.54</v>
    <v>141.47999999999999</v>
    <v>141.19999999999999</v>
    <v>141.26</v>
    <v>139.19999999999999</v>
    <v>137.58000000000001</v>
    <v>138.24</v>
    <v>139.84</v>
    <v>139.63999999999999</v>
    <v>139.47999999999999</v>
    <v>137.34</v>
    <v>137.12</v>
    <v>136.44</v>
    <v>137.08000000000001</v>
    <v>138.78</v>
    <v>139.28</v>
    <v>142.04</v>
    <v>141.88</v>
    <v>144.86000000000001</v>
    <v>144.56</v>
    <v>144.58000000000001</v>
    <v>144.82</v>
    <v>147.26</v>
    <v>148.88</v>
    <v>150.34</v>
    <v>149.36000000000001</v>
    <v>160.76</v>
    <v>160.76</v>
    <v>160</v>
    <v>162</v>
    <v>162.41999999999999</v>
    <v>160.80000000000001</v>
    <v>162.30000000000001</v>
    <v>163.63999999999999</v>
    <v>164.52</v>
    <v>166.4</v>
    <v>168</v>
    <v>168</v>
    <v>168.32</v>
    <v>167.76</v>
    <v>162.76</v>
    <v>164.88</v>
    <v>164.38</v>
    <v>165.08</v>
    <v>164.24</v>
    <v>163.06</v>
    <v>162.28</v>
    <v>167.22</v>
    <v>169.8</v>
    <v>173</v>
    <v>174.8</v>
    <v>172.12</v>
    <v>172.88</v>
    <v>173.34</v>
    <v>175.22</v>
    <v>173.48</v>
    <v>175.28</v>
    <v>177.78</v>
    <v>176.94</v>
    <v>173.52</v>
    <v>177</v>
    <v>175.52</v>
    <v>174.9</v>
    <v>171.92</v>
    <v>172.22</v>
    <v>173.24</v>
    <v>173.54</v>
    <v>180.56</v>
    <v>180.28</v>
    <v>180.74</v>
    <v>182.6</v>
    <v>182.04</v>
    <v>180.46</v>
    <v>177.06</v>
    <v>178.22</v>
    <v>178.02</v>
    <v>177.42</v>
    <v>177.22</v>
    <v>172.42</v>
    <v>171.3</v>
    <v>171.22</v>
    <v>171.06</v>
    <v>171.66</v>
    <v>170.38</v>
    <v>168.76</v>
    <v>169.18</v>
    <v>165.8</v>
    <v>166.1</v>
    <v>174.86</v>
    <v>175.56</v>
    <v>170.2</v>
    <v>174</v>
    <v>171.42</v>
    <v>169.7</v>
    <v>168.54</v>
    <v>170.72</v>
    <v>171.48</v>
    <v>174.36</v>
    <v>176.46</v>
    <v>177.78</v>
    <v>176.06</v>
    <v>176.68</v>
    <v>174.68</v>
    <v>176.1</v>
    <v>176.74</v>
    <v>177.02</v>
    <v>179.38</v>
    <v>180</v>
    <v>179.32</v>
    <v>181.36</v>
    <v>180.06</v>
    <v>180.42</v>
    <v>177.22</v>
    <v>175.82</v>
    <v>168.58</v>
    <v>165.96</v>
    <v>168.26</v>
    <v>168.6</v>
    <v>171.52</v>
    <v>177.72</v>
    <v>177.36</v>
    <v>176.82</v>
    <v>175.4</v>
    <v>181.4</v>
    <v>177.98</v>
    <v>174.78</v>
    <v>175.76</v>
    <v>176</v>
    <v>176.28</v>
    <v>179.7</v>
    <v>181.06</v>
    <v>179.46</v>
    <v>181.72</v>
    <v>186.02</v>
    <v>187.44</v>
    <v>189.52</v>
    <v>185.68</v>
    <v>185.2</v>
    <v>187.66</v>
    <v>187.02</v>
    <v>189.08</v>
    <v>187.84</v>
    <v>184.76</v>
    <v>185.8</v>
    <v>186.46</v>
    <v>188.74</v>
    <v>187.76</v>
    <v>187.22</v>
    <v>183.26</v>
    <v>180.58</v>
    <v>181.5</v>
    <v>183.62</v>
    <v>196.74</v>
    <v>193.82</v>
    <v>195.22</v>
    <v>195.78</v>
    <v>192.88</v>
    <v>192.02</v>
    <v>195.02</v>
    <v>191.46</v>
    <v>186.16</v>
    <v>181.22</v>
    <v>185.4</v>
    <v>187.98</v>
    <v>188.28</v>
    <v>189.92</v>
    <v>189.3</v>
    <v>191.58</v>
    <v>192.08</v>
    <v>195.98</v>
    <v>196.8</v>
    <v>197.24</v>
    <v>195.9</v>
    <v>196.5</v>
    <v>196.54</v>
    <v>195.62</v>
    <v>194.2</v>
    <v>195.26</v>
    <v>195.2</v>
    <v>199.02</v>
    <v>197.72</v>
    <v>199.86</v>
    <v>198.2</v>
    <v>193.58</v>
    <v>191.44</v>
    <v>190.72</v>
    <v>192.58</v>
    <v>192.54</v>
    <v>194.42</v>
    <v>199.18</v>
    <v>200.65</v>
    <v>200.15</v>
    <v>200.65</v>
    <v>199.58</v>
    <v>206.1</v>
    <v>204.5</v>
    <v>206.85</v>
    <v>206.85</v>
    <v>201.8</v>
    <v>204.5</v>
    <v>205.7</v>
    <v>204.4</v>
    <v>204.3</v>
    <v>203.75</v>
    <v>200.8</v>
    <v>200.7</v>
    <v>200.3</v>
    <v>205</v>
    <v>207.85</v>
    <v>206.05</v>
    <v>208.6</v>
    <v>211.55</v>
    <v>209.8</v>
    <v>210.65</v>
    <v>211.6</v>
    <v>212.85</v>
    <v>210.75</v>
    <v>215.25</v>
    <v>218.65</v>
    <v>219.05</v>
    <v>221.05</v>
    <v>222.7</v>
    <v>224</v>
    <v>219.55</v>
    <v>214.8</v>
    <v>216.75</v>
    <v>213.8</v>
    <v>215.65</v>
    <v>212.95</v>
    <v>220.6</v>
    <v>221.4</v>
    <v>221.6</v>
    <v>220.4</v>
    <v>219.45</v>
    <v>221.05</v>
    <v>217.3</v>
    <v>218.6</v>
    <v>219.9</v>
    <v>220.6</v>
    <v>224.7</v>
    <v>225.9</v>
    <v>223.5</v>
    <v>223.2</v>
    <v>220.15</v>
    <v>221.15</v>
    <v>224.9</v>
    <v>231.05</v>
    <v>232.95</v>
    <v>241.7</v>
    <v>241.35</v>
    <v>242</v>
    <v>240.5</v>
    <v>240.05</v>
    <v>238.6</v>
    <v>241.5</v>
    <v>241.05</v>
    <v>240.65</v>
    <v>239.05</v>
    <v>240.3</v>
    <v>237.05</v>
    <v>236.75</v>
    <v>236.35</v>
    <v>239.5</v>
    <v>236.3</v>
    <v>238.55</v>
    <v>234.85</v>
    <v>239.25</v>
    <v>243.3</v>
    <v>244.75</v>
    <v>245.15</v>
    <v>245.85</v>
    <v>243.9</v>
    <v>247.4</v>
    <v>253.6</v>
    <v>255.05</v>
    <v>256.85000000000002</v>
    <v>256</v>
    <v>256.75</v>
    <v>262.3</v>
    <v>262.39999999999998</v>
    <v>263.55</v>
    <v>261.39999999999998</v>
    <v>262.60000000000002</v>
    <v>267.2</v>
    <v>268.05</v>
    <v>268.5</v>
    <v>263.14999999999998</v>
    <v>267.3</v>
    <v>270.8</v>
    <v>273.64999999999998</v>
    <v>271</v>
    <v>271.8</v>
    <v>278.35000000000002</v>
    <v>279.14999999999998</v>
    <v>280.3</v>
    <v>276.95</v>
    <v>280.10000000000002</v>
    <v>278.35000000000002</v>
    <v>276.3</v>
    <v>274.95</v>
    <v>273.60000000000002</v>
    <v>274.3</v>
    <v>272.39999999999998</v>
    <v>275.2</v>
    <v>267.5</v>
    <v>265.3</v>
    <v>271.55</v>
    <v>258.95</v>
    <v>264.7</v>
    <v>261.35000000000002</v>
    <v>254.35</v>
    <v>242.2</v>
    <v>238.65</v>
    <v>242.55</v>
    <v>236.9</v>
    <v>242.6</v>
    <v>246.7</v>
    <v>246.7</v>
    <v>248.35</v>
    <v>250.15</v>
    <v>251.95</v>
    <v>255.35</v>
    <v>258.75</v>
    <v>250.1</v>
    <v>249.25</v>
    <v>246.75</v>
    <v>244.4</v>
    <v>250.15</v>
    <v>249.1</v>
    <v>238.95</v>
    <v>231.2</v>
    <v>221.4</v>
    <v>223.8</v>
    <v>214.4</v>
    <v>230</v>
    <v>224.8</v>
    <v>228.8</v>
    <v>232.65</v>
    <v>232.35</v>
    <v>226</v>
    <v>218.5</v>
    <v>241.7</v>
    <v>241.15</v>
    <v>244.7</v>
    <v>248.8</v>
    <v>254.6</v>
    <v>255.3</v>
    <v>266.3</v>
    <v>267.35000000000002</v>
    <v>264.35000000000002</v>
    <v>261.5</v>
    <v>262.8</v>
    <v>261.64999999999998</v>
    <v>262.5</v>
    <v>262.35000000000002</v>
    <v>258</v>
    <v>263.2</v>
    <v>266.25</v>
    <v>265.45</v>
    <v>265.10000000000002</v>
    <v>265.8</v>
    <v>265.5</v>
    <v>260.55</v>
    <v>262.3</v>
    <v>265.64999999999998</v>
    <v>263.3</v>
    <v>262.45</v>
    <v>265.89999999999998</v>
    <v>264.3</v>
    <v>269.55</v>
    <v>271.3</v>
    <v>270.95</v>
    <v>272.35000000000002</v>
    <v>267.60000000000002</v>
    <v>265.7</v>
    <v>263.14999999999998</v>
    <v>261.14999999999998</v>
    <v>254.75</v>
    <v>257.45</v>
    <v>256.05</v>
    <v>252.95</v>
    <v>247.75</v>
    <v>251.15</v>
    <v>249.95</v>
    <v>254.95</v>
    <v>252.5</v>
    <v>251.65</v>
    <v>258</v>
    <v>258.14999999999998</v>
    <v>255.6</v>
    <v>253.1</v>
    <v>258.2</v>
    <v>255.5</v>
    <v>261.14999999999998</v>
    <v>264.14999999999998</v>
    <v>265.5</v>
    <v>263.10000000000002</v>
    <v>258.75</v>
    <v>258.05</v>
    <v>259.8</v>
    <v>259.95</v>
    <v>265.8</v>
    <v>264.05</v>
    <v>263.45</v>
    <v>259.5</v>
    <v>248.85</v>
    <v>246.1</v>
    <v>245</v>
    <v>244.05</v>
    <v>248.45</v>
    <v>253</v>
    <v>250.8</v>
    <v>244.65</v>
    <v>244.75</v>
    <v>246.65</v>
    <v>248.85</v>
    <v>254.75</v>
    <v>250.1</v>
    <v>249.35</v>
    <v>232</v>
    <v>239</v>
    <v>239.65</v>
    <v>237</v>
    <v>236.65</v>
    <v>236.9</v>
    <v>233.75</v>
    <v>232.15</v>
    <v>232.6</v>
    <v>233</v>
    <v>231.85</v>
    <v>236.4</v>
    <v>236.35</v>
    <v>231.7</v>
    <v>233.9</v>
    <v>227.25</v>
    <v>231.35</v>
    <v>233.2</v>
    <v>228.25</v>
    <v>230.45</v>
    <v>230.3</v>
    <v>223.7</v>
    <v>219.8</v>
    <v>220.9</v>
    <v>214.65</v>
    <v>210.95</v>
    <v>217.7</v>
    <v>229.5</v>
    <v>227.55</v>
    <v>224.7</v>
    <v>226.2</v>
    <v>228</v>
    <v>225.2</v>
    <v>225.15</v>
    <v>225.55</v>
    <v>227.9</v>
    <v>227.8</v>
    <v>232.1</v>
    <v>230.15</v>
    <v>231.6</v>
    <v>235</v>
    <v>237.2</v>
    <v>237.8</v>
    <v>230.55</v>
    <v>231.4</v>
    <v>232.7</v>
    <v>234.2</v>
    <v>233.2</v>
    <v>230.95</v>
    <v>238.6</v>
    <v>240.4</v>
    <v>236.85</v>
    <v>242</v>
    <v>233.35</v>
    <v>235.55</v>
    <v>234.1</v>
    <v>224.3</v>
    <v>225.85</v>
    <v>224.45</v>
    <v>228.85</v>
    <v>226.05</v>
    <v>227.95</v>
    <v>217.95</v>
    <v>215.65</v>
    <v>216.25</v>
    <v>217.05</v>
    <v>218.4</v>
    <v>218.1</v>
    <v>211.1</v>
    <v>207</v>
    <v>205.35</v>
    <v>205.5</v>
    <v>206.6</v>
    <v>205</v>
    <v>207.5</v>
    <v>204.85</v>
    <v>206.7</v>
    <v>207</v>
    <v>208.55</v>
    <v>208.9</v>
    <v>207.85</v>
    <v>206.5</v>
    <v>210.15</v>
    <v>213.25</v>
    <v>210.1</v>
    <v>210</v>
    <v>210.95</v>
    <v>209.3</v>
    <v>208.2</v>
    <v>209.65</v>
    <v>206.65</v>
    <v>207.05</v>
    <v>209.45</v>
    <v>208.8</v>
    <v>208.55</v>
    <v>207.7</v>
    <v>208.45</v>
    <v>208.35</v>
    <v>201.95</v>
    <v>206.2</v>
    <v>202.05</v>
    <v>208.4</v>
    <v>206.5</v>
    <v>212.35</v>
    <v>213.1</v>
    <v>213.45</v>
    <v>206.1</v>
    <v>205.6</v>
    <v>202.15</v>
    <v>195.96</v>
    <v>194</v>
    <v>191.04</v>
    <v>189.84</v>
    <v>197.92</v>
    <v>200.95</v>
    <v>195.54</v>
    <v>196.14</v>
    <v>164.62</v>
    <v>170.56</v>
    <v>175.1</v>
    <v>167</v>
    <v>167.2</v>
    <v>170.48</v>
    <v>171.22</v>
    <v>174.92</v>
    <v>178.28</v>
    <v>169</v>
    <v>169.7</v>
    <v>171.72</v>
    <v>168.36</v>
    <v>169.64</v>
    <v>173.38</v>
    <v>170.74</v>
    <v>173.8</v>
    <v>167.86</v>
    <v>165.84</v>
    <v>166.78</v>
    <v>172.22</v>
    <v>170.96</v>
    <v>167.1</v>
    <v>165.48</v>
    <v>167.38</v>
    <v>170.98</v>
    <v>172.74</v>
    <v>171.88</v>
    <v>169.6</v>
    <v>165.44</v>
    <v>167.02</v>
    <v>166.44</v>
    <v>165.46</v>
    <v>166.24</v>
    <v>161.44</v>
    <v>160</v>
    <v>153.82</v>
    <v>153.86000000000001</v>
    <v>147.62</v>
    <v>146.9</v>
    <v>144.63999999999999</v>
    <v>142.56</v>
    <v>147.02000000000001</v>
    <v>146.9</v>
    <v>148.86000000000001</v>
    <v>148.9</v>
    <v>145.22</v>
    <v>149.69999999999999</v>
    <v>139.5</v>
    <v>139.38</v>
    <v>142.5</v>
    <v>143.46</v>
    <v>146.54</v>
    <v>151.66</v>
    <v>156.24</v>
    <v>150.19999999999999</v>
    <v>151.16</v>
    <v>149.82</v>
    <v>140.69999999999999</v>
    <v>147.28</v>
    <v>148.96</v>
    <v>148.88</v>
    <v>145.88</v>
    <v>145.5</v>
    <v>148.06</v>
    <v>149.80000000000001</v>
    <v>149.32</v>
    <v>151.38</v>
    <v>146.19999999999999</v>
    <v>144.46</v>
    <v>142.4</v>
    <v>136.26</v>
    <v>141.22</v>
    <v>144.06</v>
    <v>147.86000000000001</v>
    <v>156.72</v>
    <v>153.41999999999999</v>
    <v>150.9</v>
    <v>151.78</v>
    <v>154.47999999999999</v>
    <v>151.46</v>
    <v>150</v>
    <v>151.6</v>
    <v>155.26</v>
    <v>167.9</v>
    <v>162.86000000000001</v>
    <v>155.94</v>
    <v>164.5</v>
    <v>161.47999999999999</v>
    <v>158.1</v>
    <v>154.69999999999999</v>
    <v>149.69999999999999</v>
    <v>139.9</v>
    <v>140.26</v>
    <v>143.18</v>
    <v>142.9</v>
    <v>141.18</v>
    <v>134.86000000000001</v>
    <v>134.13999999999999</v>
    <v>132.22</v>
    <v>134.52000000000001</v>
    <v>134.86000000000001</v>
    <v>132.28</v>
    <v>135.13999999999999</v>
    <v>136.63999999999999</v>
    <v>134</v>
    <v>140.88</v>
    <v>141.72</v>
    <v>139.63999999999999</v>
    <v>140.06</v>
    <v>143.9</v>
    <v>137.96</v>
    <v>137.74</v>
    <v>137.58000000000001</v>
    <v>140.72</v>
    <v>136.72</v>
    <v>136.97999999999999</v>
    <v>137.63999999999999</v>
    <v>137.91999999999999</v>
    <v>138.26</v>
    <v>136.41999999999999</v>
    <v>132.04</v>
    <v>128.32</v>
    <v>140.19999999999999</v>
    <v>151.28</v>
    <v>159.24</v>
    <v>162.04</v>
    <v>155.91999999999999</v>
    <v>157.68</v>
    <v>164.64</v>
    <v>167.38</v>
    <v>169.26</v>
    <v>170.98</v>
    <v>177.96</v>
    <v>179.3</v>
    <v>180.7</v>
    <v>175.96</v>
    <v>175.38</v>
    <v>180.14</v>
    <v>179.58</v>
    <v>182.5</v>
    <v>185.9</v>
    <v>185.64</v>
    <v>188.12</v>
    <v>187.2</v>
    <v>185.46</v>
    <v>180.02</v>
    <v>189.88</v>
    <v>191.32</v>
    <v>190.9</v>
    <v>184.26</v>
    <v>181.44</v>
    <v>185.58</v>
    <v>185.68</v>
    <v>182.8</v>
    <v>181.7</v>
    <v>182.86</v>
    <v>177.82</v>
    <v>177.26</v>
    <v>186.26</v>
    <v>187.08</v>
    <v>186.56</v>
    <v>188</v>
    <v>183.12</v>
    <v>182.86</v>
    <v>182.32</v>
    <v>186.46</v>
    <v>184.18</v>
    <v>185.92</v>
    <v>184.02</v>
    <v>185.32</v>
    <v>185.66</v>
    <v>186.74</v>
    <v>183.92</v>
    <v>185.04</v>
    <v>188.6</v>
    <v>187.62</v>
    <v>184.62</v>
    <v>191.46</v>
    <v>194.46</v>
    <v>197.28</v>
    <v>196.94</v>
    <v>201.25</v>
    <v>199.22</v>
    <v>199.84</v>
    <v>201.55</v>
    <v>208.65</v>
    <v>215.35</v>
    <v>214.4</v>
  </a>
  <a r="1" c="254">
    <v>242</v>
    <v>233.35</v>
    <v>235.55</v>
    <v>234.1</v>
    <v>224.3</v>
    <v>225.85</v>
    <v>224.45</v>
    <v>228.85</v>
    <v>226.05</v>
    <v>227.95</v>
    <v>217.95</v>
    <v>215.65</v>
    <v>216.25</v>
    <v>217.05</v>
    <v>218.4</v>
    <v>218.1</v>
    <v>211.1</v>
    <v>207</v>
    <v>205.35</v>
    <v>205.5</v>
    <v>206.6</v>
    <v>205</v>
    <v>207.5</v>
    <v>204.85</v>
    <v>206.7</v>
    <v>207</v>
    <v>208.55</v>
    <v>208.9</v>
    <v>207.85</v>
    <v>206.5</v>
    <v>210.15</v>
    <v>213.25</v>
    <v>210.1</v>
    <v>210</v>
    <v>210.95</v>
    <v>209.3</v>
    <v>208.2</v>
    <v>209.65</v>
    <v>206.65</v>
    <v>207.05</v>
    <v>209.45</v>
    <v>208.8</v>
    <v>208.55</v>
    <v>207.7</v>
    <v>208.45</v>
    <v>208.35</v>
    <v>201.95</v>
    <v>206.2</v>
    <v>202.05</v>
    <v>208.4</v>
    <v>206.5</v>
    <v>212.35</v>
    <v>213.1</v>
    <v>213.45</v>
    <v>206.1</v>
    <v>205.6</v>
    <v>202.15</v>
    <v>195.96</v>
    <v>194</v>
    <v>191.04</v>
    <v>189.84</v>
    <v>197.92</v>
    <v>200.95</v>
    <v>195.54</v>
    <v>196.14</v>
    <v>164.62</v>
    <v>170.56</v>
    <v>175.1</v>
    <v>167</v>
    <v>167.2</v>
    <v>170.48</v>
    <v>171.22</v>
    <v>174.92</v>
    <v>178.28</v>
    <v>169</v>
    <v>169.7</v>
    <v>171.72</v>
    <v>168.36</v>
    <v>169.64</v>
    <v>173.38</v>
    <v>170.74</v>
    <v>173.8</v>
    <v>167.86</v>
    <v>165.84</v>
    <v>166.78</v>
    <v>172.22</v>
    <v>170.96</v>
    <v>167.1</v>
    <v>165.48</v>
    <v>167.38</v>
    <v>170.98</v>
    <v>172.74</v>
    <v>171.88</v>
    <v>169.6</v>
    <v>165.44</v>
    <v>167.02</v>
    <v>166.44</v>
    <v>165.46</v>
    <v>166.24</v>
    <v>161.44</v>
    <v>160</v>
    <v>153.82</v>
    <v>153.86000000000001</v>
    <v>147.62</v>
    <v>146.9</v>
    <v>144.63999999999999</v>
    <v>142.56</v>
    <v>147.02000000000001</v>
    <v>146.9</v>
    <v>148.86000000000001</v>
    <v>148.9</v>
    <v>145.22</v>
    <v>149.69999999999999</v>
    <v>139.5</v>
    <v>139.38</v>
    <v>142.5</v>
    <v>143.46</v>
    <v>146.54</v>
    <v>151.66</v>
    <v>156.24</v>
    <v>150.19999999999999</v>
    <v>151.16</v>
    <v>149.82</v>
    <v>140.69999999999999</v>
    <v>147.28</v>
    <v>148.96</v>
    <v>148.88</v>
    <v>145.88</v>
    <v>145.5</v>
    <v>148.06</v>
    <v>149.80000000000001</v>
    <v>149.32</v>
    <v>151.38</v>
    <v>146.19999999999999</v>
    <v>144.46</v>
    <v>142.4</v>
    <v>136.26</v>
    <v>141.22</v>
    <v>144.06</v>
    <v>147.86000000000001</v>
    <v>156.72</v>
    <v>153.41999999999999</v>
    <v>150.9</v>
    <v>151.78</v>
    <v>154.47999999999999</v>
    <v>151.46</v>
    <v>150</v>
    <v>151.6</v>
    <v>155.26</v>
    <v>167.9</v>
    <v>162.86000000000001</v>
    <v>155.94</v>
    <v>164.5</v>
    <v>161.47999999999999</v>
    <v>158.1</v>
    <v>154.69999999999999</v>
    <v>149.69999999999999</v>
    <v>139.9</v>
    <v>140.26</v>
    <v>143.18</v>
    <v>142.9</v>
    <v>141.18</v>
    <v>134.86000000000001</v>
    <v>134.13999999999999</v>
    <v>132.22</v>
    <v>134.52000000000001</v>
    <v>134.86000000000001</v>
    <v>132.28</v>
    <v>135.13999999999999</v>
    <v>136.63999999999999</v>
    <v>134</v>
    <v>140.88</v>
    <v>141.72</v>
    <v>139.63999999999999</v>
    <v>140.06</v>
    <v>143.9</v>
    <v>137.96</v>
    <v>137.74</v>
    <v>137.58000000000001</v>
    <v>140.72</v>
    <v>136.72</v>
    <v>136.97999999999999</v>
    <v>137.63999999999999</v>
    <v>137.91999999999999</v>
    <v>138.26</v>
    <v>136.41999999999999</v>
    <v>132.04</v>
    <v>128.32</v>
    <v>140.19999999999999</v>
    <v>151.28</v>
    <v>159.24</v>
    <v>162.04</v>
    <v>155.91999999999999</v>
    <v>157.68</v>
    <v>164.64</v>
    <v>167.38</v>
    <v>169.26</v>
    <v>170.98</v>
    <v>177.96</v>
    <v>179.3</v>
    <v>180.7</v>
    <v>175.96</v>
    <v>175.38</v>
    <v>180.14</v>
    <v>179.58</v>
    <v>182.5</v>
    <v>185.9</v>
    <v>185.64</v>
    <v>188.12</v>
    <v>187.2</v>
    <v>185.46</v>
    <v>180.02</v>
    <v>189.88</v>
    <v>191.32</v>
    <v>190.9</v>
    <v>184.26</v>
    <v>181.44</v>
    <v>185.58</v>
    <v>185.68</v>
    <v>182.8</v>
    <v>181.7</v>
    <v>182.86</v>
    <v>177.82</v>
    <v>177.26</v>
    <v>186.26</v>
    <v>187.08</v>
    <v>186.56</v>
    <v>188</v>
    <v>183.12</v>
    <v>182.86</v>
    <v>182.32</v>
    <v>186.46</v>
    <v>184.18</v>
    <v>185.92</v>
    <v>184.02</v>
    <v>185.32</v>
    <v>185.66</v>
    <v>186.74</v>
    <v>183.92</v>
    <v>185.04</v>
    <v>188.6</v>
    <v>187.62</v>
    <v>184.62</v>
    <v>191.46</v>
    <v>194.46</v>
    <v>197.28</v>
    <v>196.94</v>
    <v>201.25</v>
    <v>199.22</v>
    <v>199.84</v>
    <v>201.55</v>
    <v>208.65</v>
    <v>215.35</v>
    <v>214.4</v>
  </a>
  <a r="1" c="254">
    <v>13.57</v>
    <v>13.606</v>
    <v>13.657999999999999</v>
    <v>13.536</v>
    <v>13.462</v>
    <v>13.484</v>
    <v>13.433999999999999</v>
    <v>13.472</v>
    <v>13.417999999999999</v>
    <v>13.523999999999999</v>
    <v>13.326000000000001</v>
    <v>13.286</v>
    <v>13.406000000000001</v>
    <v>13.468</v>
    <v>13.454000000000001</v>
    <v>13.404</v>
    <v>13.25</v>
    <v>13.234</v>
    <v>13.096</v>
    <v>13.093999999999999</v>
    <v>13.114000000000001</v>
    <v>13.167999999999999</v>
    <v>13.17</v>
    <v>13.311999999999999</v>
    <v>13.446</v>
    <v>13.497999999999999</v>
    <v>13.496</v>
    <v>13.428000000000001</v>
    <v>13.384</v>
    <v>13.488</v>
    <v>13.587999999999999</v>
    <v>13.561999999999999</v>
    <v>13.5</v>
    <v>13.506</v>
    <v>13.488</v>
    <v>13.5</v>
    <v>13.412000000000001</v>
    <v>13.561999999999999</v>
    <v>13.644</v>
    <v>13.664</v>
    <v>13.814</v>
    <v>13.814</v>
    <v>13.8</v>
    <v>13.816000000000001</v>
    <v>13.853999999999999</v>
    <v>13.9</v>
    <v>13.914</v>
    <v>14.054</v>
    <v>14.246</v>
    <v>14.166</v>
    <v>14.192</v>
    <v>14.34</v>
    <v>14.336</v>
    <v>14.244</v>
    <v>14.24</v>
    <v>14.456</v>
    <v>14.51</v>
    <v>14.295999999999999</v>
    <v>14.098000000000001</v>
    <v>14.18</v>
    <v>14.31</v>
    <v>14.29</v>
    <v>14.263999999999999</v>
    <v>14.23</v>
    <v>14.234</v>
    <v>14.17</v>
    <v>14.226000000000001</v>
    <v>14.398</v>
    <v>14.292</v>
    <v>14.494</v>
    <v>14.234</v>
    <v>14.327999999999999</v>
    <v>14.314</v>
    <v>14.38</v>
    <v>14.433999999999999</v>
    <v>14.628</v>
    <v>14.664</v>
    <v>14.64</v>
    <v>14.698</v>
    <v>14.804</v>
    <v>14.715999999999999</v>
    <v>14.8</v>
    <v>14.744</v>
    <v>14.746</v>
    <v>14.734</v>
    <v>14.814</v>
    <v>14.821999999999999</v>
    <v>14.65</v>
    <v>14.305999999999999</v>
    <v>14.454000000000001</v>
    <v>14.348000000000001</v>
    <v>14.231999999999999</v>
    <v>14.012</v>
    <v>14.212</v>
    <v>14.086</v>
    <v>14.034000000000001</v>
    <v>13.968</v>
    <v>13.98</v>
    <v>14.084</v>
    <v>14.058</v>
    <v>13.752000000000001</v>
    <v>13.542</v>
    <v>13.438000000000001</v>
    <v>13.44</v>
    <v>13.587999999999999</v>
    <v>13.5</v>
    <v>13.388</v>
    <v>13.478</v>
    <v>13.428000000000001</v>
    <v>13.73</v>
    <v>13.736000000000001</v>
    <v>13.634</v>
    <v>14.156000000000001</v>
    <v>14.084</v>
    <v>14.134</v>
    <v>14.108000000000001</v>
    <v>14.218</v>
    <v>14.252000000000001</v>
    <v>14.353999999999999</v>
    <v>14.598000000000001</v>
    <v>14.452</v>
    <v>14.43</v>
    <v>14.44</v>
    <v>14.346</v>
    <v>14.252000000000001</v>
    <v>14.242000000000001</v>
    <v>14.176</v>
    <v>14.068</v>
    <v>14.27</v>
    <v>14.214</v>
    <v>14.282</v>
    <v>14.472</v>
    <v>14.28</v>
    <v>14.268000000000001</v>
    <v>14.186</v>
    <v>14.026</v>
    <v>14.134</v>
    <v>14.298</v>
    <v>14.002000000000001</v>
    <v>14.192</v>
    <v>14.294</v>
    <v>14.568</v>
    <v>14.596</v>
    <v>14.715999999999999</v>
    <v>14.848000000000001</v>
    <v>14.694000000000001</v>
    <v>14.704000000000001</v>
    <v>14.555999999999999</v>
    <v>14.532</v>
    <v>14.481999999999999</v>
    <v>14.566000000000001</v>
    <v>14.366</v>
    <v>14.568</v>
    <v>14.552</v>
    <v>14.504</v>
    <v>14.52</v>
    <v>14.624000000000001</v>
    <v>14.568</v>
    <v>14.75</v>
    <v>14.726000000000001</v>
    <v>14.788</v>
    <v>14.736000000000001</v>
    <v>14.673999999999999</v>
    <v>14.608000000000001</v>
    <v>14.862</v>
    <v>14.75</v>
    <v>15.034000000000001</v>
    <v>14.99</v>
    <v>15.042</v>
    <v>14.98</v>
    <v>15.068</v>
    <v>15.244</v>
    <v>15.52</v>
    <v>15.454000000000001</v>
    <v>15.454000000000001</v>
    <v>15.592000000000001</v>
    <v>15.352</v>
    <v>15.412000000000001</v>
    <v>15.502000000000001</v>
    <v>15.456</v>
    <v>15.476000000000001</v>
    <v>15.638</v>
    <v>15.984</v>
    <v>15.994</v>
    <v>15.946</v>
    <v>15.866</v>
    <v>15.99</v>
    <v>15.868</v>
    <v>16.018000000000001</v>
    <v>16.096</v>
    <v>16.251999999999999</v>
    <v>16.265999999999998</v>
    <v>16.23</v>
    <v>16.09</v>
    <v>16.16</v>
    <v>16.224</v>
    <v>16.251999999999999</v>
    <v>16.224</v>
    <v>16.251999999999999</v>
    <v>16.170000000000002</v>
    <v>16.164000000000001</v>
    <v>16.045999999999999</v>
    <v>16.094000000000001</v>
    <v>16.14</v>
    <v>15.976000000000001</v>
    <v>15.978</v>
    <v>15.917999999999999</v>
    <v>15.888</v>
    <v>15.986000000000001</v>
    <v>16.077999999999999</v>
    <v>16.132000000000001</v>
    <v>16.108000000000001</v>
    <v>16.077999999999999</v>
    <v>16.12</v>
    <v>16.015999999999998</v>
    <v>15.968</v>
    <v>15.811999999999999</v>
    <v>15.856</v>
    <v>15.85</v>
    <v>15.795999999999999</v>
    <v>15.778</v>
    <v>15.571999999999999</v>
    <v>15.476000000000001</v>
    <v>15.492000000000001</v>
    <v>15.59</v>
    <v>15.602</v>
    <v>15.706</v>
    <v>15.818</v>
    <v>15.715999999999999</v>
    <v>15.428000000000001</v>
    <v>15.45</v>
    <v>15.29</v>
    <v>15.272</v>
    <v>15.228</v>
    <v>15.23</v>
    <v>15.204000000000001</v>
    <v>15.324</v>
    <v>15.071999999999999</v>
    <v>15.077999999999999</v>
    <v>15.114000000000001</v>
    <v>15.23</v>
    <v>15.132</v>
    <v>15.086</v>
    <v>15.356</v>
    <v>15.526</v>
    <v>15.577999999999999</v>
    <v>15.61</v>
    <v>15.778</v>
    <v>15.917999999999999</v>
    <v>15.816000000000001</v>
    <v>15.848000000000001</v>
    <v>15.946</v>
    <v>15.986000000000001</v>
    <v>15.958</v>
  </a>
  <a r="1" c="763">
    <v>10.246</v>
    <v>10.226000000000001</v>
    <v>10.194000000000001</v>
    <v>10.198</v>
    <v>10.124000000000001</v>
    <v>10.215999999999999</v>
    <v>10.276</v>
    <v>10.356</v>
    <v>10.566000000000001</v>
    <v>10.692</v>
    <v>10.598000000000001</v>
    <v>10.6</v>
    <v>10.582000000000001</v>
    <v>10.667999999999999</v>
    <v>10.518000000000001</v>
    <v>10.598000000000001</v>
    <v>10.83</v>
    <v>10.816000000000001</v>
    <v>10.686</v>
    <v>10.794</v>
    <v>10.818</v>
    <v>10.794</v>
    <v>10.896000000000001</v>
    <v>10.942</v>
    <v>10.988</v>
    <v>10.974</v>
    <v>10.96</v>
    <v>11</v>
    <v>11.042</v>
    <v>11.186</v>
    <v>11.146000000000001</v>
    <v>11.204000000000001</v>
    <v>11.268000000000001</v>
    <v>11.263999999999999</v>
    <v>11.382</v>
    <v>11.46</v>
    <v>11.375999999999999</v>
    <v>11.36</v>
    <v>11.628</v>
    <v>11.522</v>
    <v>11.496</v>
    <v>11.538</v>
    <v>11.65</v>
    <v>11.584</v>
    <v>11.634</v>
    <v>11.64</v>
    <v>11.603999999999999</v>
    <v>11.59</v>
    <v>11.51</v>
    <v>11.492000000000001</v>
    <v>11.582000000000001</v>
    <v>11.51</v>
    <v>11.638</v>
    <v>11.596</v>
    <v>11.598000000000001</v>
    <v>11.55</v>
    <v>11.678000000000001</v>
    <v>11.646000000000001</v>
    <v>11.638</v>
    <v>11.416</v>
    <v>11.433999999999999</v>
    <v>11.39</v>
    <v>11.538</v>
    <v>11.465999999999999</v>
    <v>11.56</v>
    <v>11.593999999999999</v>
    <v>11.726000000000001</v>
    <v>11.714</v>
    <v>11.714</v>
    <v>11.752000000000001</v>
    <v>11.667999999999999</v>
    <v>11.67</v>
    <v>11.574</v>
    <v>11.657999999999999</v>
    <v>11.606</v>
    <v>11.641999999999999</v>
    <v>11.577999999999999</v>
    <v>11.666</v>
    <v>11.538</v>
    <v>11.574</v>
    <v>11.654</v>
    <v>11.742000000000001</v>
    <v>11.738</v>
    <v>11.724</v>
    <v>11.651999999999999</v>
    <v>11.688000000000001</v>
    <v>11.731999999999999</v>
    <v>11.654</v>
    <v>11.644</v>
    <v>11.47</v>
    <v>11.582000000000001</v>
    <v>11.646000000000001</v>
    <v>11.61</v>
    <v>11.632</v>
    <v>11.651999999999999</v>
    <v>11.692</v>
    <v>11.706</v>
    <v>11.696</v>
    <v>11.728</v>
    <v>11.724</v>
    <v>11.662000000000001</v>
    <v>11.552</v>
    <v>11.436</v>
    <v>11.43</v>
    <v>11.464</v>
    <v>11.592000000000001</v>
    <v>11.67</v>
    <v>11.616</v>
    <v>11.632</v>
    <v>11.686</v>
    <v>11.74</v>
    <v>11.538</v>
    <v>11.497999999999999</v>
    <v>11.54</v>
    <v>11.398</v>
    <v>11.458</v>
    <v>11.44</v>
    <v>11.438000000000001</v>
    <v>11.51</v>
    <v>11.502000000000001</v>
    <v>11.534000000000001</v>
    <v>11.316000000000001</v>
    <v>11.308</v>
    <v>11.37</v>
    <v>11.32</v>
    <v>11.432</v>
    <v>11.545999999999999</v>
    <v>11.484</v>
    <v>11.452</v>
    <v>11.62</v>
    <v>11.74</v>
    <v>11.738</v>
    <v>11.773999999999999</v>
    <v>11.878</v>
    <v>11.958</v>
    <v>11.996</v>
    <v>12.074</v>
    <v>12.12</v>
    <v>12.194000000000001</v>
    <v>12.154</v>
    <v>12.188000000000001</v>
    <v>12.346</v>
    <v>12.37</v>
    <v>12.348000000000001</v>
    <v>12.378</v>
    <v>12.414</v>
    <v>12.432</v>
    <v>12.44</v>
    <v>12.327999999999999</v>
    <v>12.382</v>
    <v>12.28</v>
    <v>12.156000000000001</v>
    <v>12.266</v>
    <v>12.263999999999999</v>
    <v>12.388</v>
    <v>12.356</v>
    <v>12.428000000000001</v>
    <v>12.432</v>
    <v>12.356</v>
    <v>12.362</v>
    <v>12.294</v>
    <v>12.388</v>
    <v>12.284000000000001</v>
    <v>12.208</v>
    <v>12.24</v>
    <v>12.366</v>
    <v>12.366</v>
    <v>12.428000000000001</v>
    <v>12.342000000000001</v>
    <v>12.42</v>
    <v>12.32</v>
    <v>12.262</v>
    <v>12.222</v>
    <v>12.148</v>
    <v>12.125999999999999</v>
    <v>12.15</v>
    <v>12.304</v>
    <v>12.384</v>
    <v>12.452</v>
    <v>12.433999999999999</v>
    <v>12.304</v>
    <v>12.486000000000001</v>
    <v>12.638</v>
    <v>12.756</v>
    <v>12.577999999999999</v>
    <v>12.664</v>
    <v>12.612</v>
    <v>12.714</v>
    <v>12.552</v>
    <v>12.726000000000001</v>
    <v>12.698</v>
    <v>12.656000000000001</v>
    <v>12.641999999999999</v>
    <v>12.956</v>
    <v>12.965999999999999</v>
    <v>12.965999999999999</v>
    <v>13.012</v>
    <v>12.83</v>
    <v>12.46</v>
    <v>12.12</v>
    <v>12.1</v>
    <v>12.36</v>
    <v>12.29</v>
    <v>12.45</v>
    <v>12.478</v>
    <v>12.577999999999999</v>
    <v>12.61</v>
    <v>12.8</v>
    <v>12.786</v>
    <v>12.84</v>
    <v>12.724</v>
    <v>12.738</v>
    <v>12.837999999999999</v>
    <v>12.938000000000001</v>
    <v>13.028</v>
    <v>13.03</v>
    <v>13.045999999999999</v>
    <v>13.093999999999999</v>
    <v>13.096</v>
    <v>13.038</v>
    <v>12.96</v>
    <v>12.94</v>
    <v>13.012</v>
    <v>12.917999999999999</v>
    <v>12.968</v>
    <v>12.968</v>
    <v>12.9</v>
    <v>12.986000000000001</v>
    <v>13.084</v>
    <v>13.162000000000001</v>
    <v>13.157999999999999</v>
    <v>13.08</v>
    <v>13.272</v>
    <v>13.084</v>
    <v>12.884</v>
    <v>12.942</v>
    <v>12.874000000000001</v>
    <v>13.018000000000001</v>
    <v>13.172000000000001</v>
    <v>13.02</v>
    <v>12.986000000000001</v>
    <v>12.944000000000001</v>
    <v>12.736000000000001</v>
    <v>12.83</v>
    <v>12.788</v>
    <v>12.722</v>
    <v>12.836</v>
    <v>12.736000000000001</v>
    <v>12.804</v>
    <v>12.898</v>
    <v>12.997999999999999</v>
    <v>12.996</v>
    <v>13.22</v>
    <v>13.172000000000001</v>
    <v>13.026</v>
    <v>13.074</v>
    <v>12.972</v>
    <v>12.898</v>
    <v>12.888</v>
    <v>13.026</v>
    <v>12.926</v>
    <v>12.856</v>
    <v>12.481999999999999</v>
    <v>12.763999999999999</v>
    <v>12.706</v>
    <v>12.667999999999999</v>
    <v>12.676</v>
    <v>12.75</v>
    <v>12.738</v>
    <v>12.894</v>
    <v>12.68</v>
    <v>12.602</v>
    <v>12.715999999999999</v>
    <v>12.632</v>
    <v>12.608000000000001</v>
    <v>12.657999999999999</v>
    <v>12.664</v>
    <v>12.736000000000001</v>
    <v>13.026</v>
    <v>13.068</v>
    <v>13.004</v>
    <v>13.08</v>
    <v>13.151999999999999</v>
    <v>13.192</v>
    <v>13.212</v>
    <v>13.208</v>
    <v>13.295999999999999</v>
    <v>13.321999999999999</v>
    <v>13.295999999999999</v>
    <v>13.292</v>
    <v>13.215999999999999</v>
    <v>13.236000000000001</v>
    <v>13.208</v>
    <v>13.032</v>
    <v>13.12</v>
    <v>13.002000000000001</v>
    <v>13.023999999999999</v>
    <v>12.852</v>
    <v>12.816000000000001</v>
    <v>12.78</v>
    <v>12.866</v>
    <v>12.827999999999999</v>
    <v>12.98</v>
    <v>12.922000000000001</v>
    <v>12.972</v>
    <v>12.91</v>
    <v>12.726000000000001</v>
    <v>12.794</v>
    <v>12.566000000000001</v>
    <v>12.56</v>
    <v>12.43</v>
    <v>12.738</v>
    <v>12.846</v>
    <v>12.996</v>
    <v>12.965999999999999</v>
    <v>13.055999999999999</v>
    <v>13.08</v>
    <v>13.16</v>
    <v>13.128</v>
    <v>13.178000000000001</v>
    <v>13.3</v>
    <v>13.346</v>
    <v>13.516</v>
    <v>13.481999999999999</v>
    <v>13.528</v>
    <v>13.484</v>
    <v>13.518000000000001</v>
    <v>13.561999999999999</v>
    <v>13.458</v>
    <v>13.606</v>
    <v>13.608000000000001</v>
    <v>13.566000000000001</v>
    <v>13.632</v>
    <v>13.554</v>
    <v>13.656000000000001</v>
    <v>13.656000000000001</v>
    <v>13.592000000000001</v>
    <v>13.474</v>
    <v>13.622</v>
    <v>13.516</v>
    <v>13.58</v>
    <v>13.678000000000001</v>
    <v>13.657999999999999</v>
    <v>13.664</v>
    <v>13.635999999999999</v>
    <v>13.492000000000001</v>
    <v>13.29</v>
    <v>13.286</v>
    <v>13.234</v>
    <v>13.122</v>
    <v>12.848000000000001</v>
    <v>12.93</v>
    <v>12.93</v>
    <v>12.994</v>
    <v>13.044</v>
    <v>13.09</v>
    <v>13.12</v>
    <v>13.151999999999999</v>
    <v>13.074</v>
    <v>12.986000000000001</v>
    <v>13.018000000000001</v>
    <v>12.95</v>
    <v>12.981999999999999</v>
    <v>13.007999999999999</v>
    <v>12.846</v>
    <v>12.92</v>
    <v>12.856</v>
    <v>12.635999999999999</v>
    <v>12.006</v>
    <v>11.414</v>
    <v>11.836</v>
    <v>11.302</v>
    <v>11.786</v>
    <v>11.74</v>
    <v>12.087999999999999</v>
    <v>12.433999999999999</v>
    <v>12.295999999999999</v>
    <v>12.34</v>
    <v>12.404</v>
    <v>12.484</v>
    <v>12.587999999999999</v>
    <v>12.62</v>
    <v>12.69</v>
    <v>12.773999999999999</v>
    <v>12.852</v>
    <v>12.984</v>
    <v>13.022</v>
    <v>13.032</v>
    <v>12.992000000000001</v>
    <v>13.061999999999999</v>
    <v>13.055999999999999</v>
    <v>13.198</v>
    <v>13.21</v>
    <v>13.173999999999999</v>
    <v>13.3</v>
    <v>13.382</v>
    <v>13.394</v>
    <v>13.532</v>
    <v>13.48</v>
    <v>13.458</v>
    <v>13.423999999999999</v>
    <v>13.566000000000001</v>
    <v>13.566000000000001</v>
    <v>13.484</v>
    <v>13.454000000000001</v>
    <v>13.522</v>
    <v>13.462</v>
    <v>13.476000000000001</v>
    <v>13.444000000000001</v>
    <v>13.51</v>
    <v>13.53</v>
    <v>13.782</v>
    <v>13.692</v>
    <v>13.706</v>
    <v>13.618</v>
    <v>13.526</v>
    <v>13.614000000000001</v>
    <v>13.545999999999999</v>
    <v>13.481999999999999</v>
    <v>13.423999999999999</v>
    <v>13.42</v>
    <v>13.438000000000001</v>
    <v>13.606</v>
    <v>13.462</v>
    <v>13.555999999999999</v>
    <v>13.662000000000001</v>
    <v>13.46</v>
    <v>13.516</v>
    <v>13.292</v>
    <v>13.478</v>
    <v>13.366</v>
    <v>13.417999999999999</v>
    <v>13.401999999999999</v>
    <v>13.444000000000001</v>
    <v>13.587999999999999</v>
    <v>13.412000000000001</v>
    <v>13.444000000000001</v>
    <v>13.446</v>
    <v>13.37</v>
    <v>13.57</v>
    <v>13.587999999999999</v>
    <v>13.592000000000001</v>
    <v>13.5</v>
    <v>13.6</v>
    <v>13.688000000000001</v>
    <v>13.587999999999999</v>
    <v>13.622</v>
    <v>13.622</v>
    <v>13.61</v>
    <v>13.646000000000001</v>
    <v>13.398</v>
    <v>13.468</v>
    <v>13.54</v>
    <v>13.555999999999999</v>
    <v>13.586</v>
    <v>13.558</v>
    <v>13.568</v>
    <v>13.64</v>
    <v>13.688000000000001</v>
    <v>13.76</v>
    <v>13.666</v>
    <v>13.667999999999999</v>
    <v>13.736000000000001</v>
    <v>13.837999999999999</v>
    <v>13.832000000000001</v>
    <v>13.922000000000001</v>
    <v>13.896000000000001</v>
    <v>13.84</v>
    <v>13.875999999999999</v>
    <v>13.784000000000001</v>
    <v>13.667999999999999</v>
    <v>13.682</v>
    <v>13.352</v>
    <v>13.446</v>
    <v>13.526</v>
    <v>13.598000000000001</v>
    <v>13.676</v>
    <v>13.683999999999999</v>
    <v>13.64</v>
    <v>13.73</v>
    <v>13.68</v>
    <v>13.667999999999999</v>
    <v>13.522</v>
    <v>13.593999999999999</v>
    <v>13.634</v>
    <v>13.568</v>
    <v>13.15</v>
    <v>13.18</v>
    <v>13.122</v>
    <v>12.994</v>
    <v>13.02</v>
    <v>13.092000000000001</v>
    <v>13.166</v>
    <v>13.273999999999999</v>
    <v>13.273999999999999</v>
    <v>13.426</v>
    <v>13.422000000000001</v>
    <v>13.422000000000001</v>
    <v>13.394</v>
    <v>13.382</v>
    <v>13.268000000000001</v>
    <v>13.372</v>
    <v>13.25</v>
    <v>13.29</v>
    <v>13.311999999999999</v>
    <v>13.256</v>
    <v>13.33</v>
    <v>13.374000000000001</v>
    <v>13.564</v>
    <v>13.57</v>
    <v>13.606</v>
    <v>13.657999999999999</v>
    <v>13.536</v>
    <v>13.462</v>
    <v>13.484</v>
    <v>13.433999999999999</v>
    <v>13.472</v>
    <v>13.417999999999999</v>
    <v>13.523999999999999</v>
    <v>13.326000000000001</v>
    <v>13.286</v>
    <v>13.406000000000001</v>
    <v>13.468</v>
    <v>13.454000000000001</v>
    <v>13.404</v>
    <v>13.25</v>
    <v>13.234</v>
    <v>13.096</v>
    <v>13.093999999999999</v>
    <v>13.114000000000001</v>
    <v>13.167999999999999</v>
    <v>13.17</v>
    <v>13.311999999999999</v>
    <v>13.446</v>
    <v>13.497999999999999</v>
    <v>13.496</v>
    <v>13.428000000000001</v>
    <v>13.384</v>
    <v>13.488</v>
    <v>13.587999999999999</v>
    <v>13.561999999999999</v>
    <v>13.5</v>
    <v>13.506</v>
    <v>13.488</v>
    <v>13.5</v>
    <v>13.412000000000001</v>
    <v>13.561999999999999</v>
    <v>13.644</v>
    <v>13.664</v>
    <v>13.814</v>
    <v>13.814</v>
    <v>13.8</v>
    <v>13.816000000000001</v>
    <v>13.853999999999999</v>
    <v>13.9</v>
    <v>13.914</v>
    <v>14.054</v>
    <v>14.246</v>
    <v>14.166</v>
    <v>14.192</v>
    <v>14.34</v>
    <v>14.336</v>
    <v>14.244</v>
    <v>14.24</v>
    <v>14.456</v>
    <v>14.51</v>
    <v>14.295999999999999</v>
    <v>14.098000000000001</v>
    <v>14.18</v>
    <v>14.31</v>
    <v>14.29</v>
    <v>14.263999999999999</v>
    <v>14.23</v>
    <v>14.234</v>
    <v>14.17</v>
    <v>14.226000000000001</v>
    <v>14.398</v>
    <v>14.292</v>
    <v>14.494</v>
    <v>14.234</v>
    <v>14.327999999999999</v>
    <v>14.314</v>
    <v>14.38</v>
    <v>14.433999999999999</v>
    <v>14.628</v>
    <v>14.664</v>
    <v>14.64</v>
    <v>14.698</v>
    <v>14.804</v>
    <v>14.715999999999999</v>
    <v>14.8</v>
    <v>14.744</v>
    <v>14.746</v>
    <v>14.734</v>
    <v>14.814</v>
    <v>14.821999999999999</v>
    <v>14.65</v>
    <v>14.305999999999999</v>
    <v>14.454000000000001</v>
    <v>14.348000000000001</v>
    <v>14.231999999999999</v>
    <v>14.012</v>
    <v>14.212</v>
    <v>14.086</v>
    <v>14.034000000000001</v>
    <v>13.968</v>
    <v>13.98</v>
    <v>14.084</v>
    <v>14.058</v>
    <v>13.752000000000001</v>
    <v>13.542</v>
    <v>13.438000000000001</v>
    <v>13.44</v>
    <v>13.587999999999999</v>
    <v>13.5</v>
    <v>13.388</v>
    <v>13.478</v>
    <v>13.428000000000001</v>
    <v>13.73</v>
    <v>13.736000000000001</v>
    <v>13.634</v>
    <v>14.156000000000001</v>
    <v>14.084</v>
    <v>14.134</v>
    <v>14.108000000000001</v>
    <v>14.218</v>
    <v>14.252000000000001</v>
    <v>14.353999999999999</v>
    <v>14.598000000000001</v>
    <v>14.452</v>
    <v>14.43</v>
    <v>14.44</v>
    <v>14.346</v>
    <v>14.252000000000001</v>
    <v>14.242000000000001</v>
    <v>14.176</v>
    <v>14.068</v>
    <v>14.27</v>
    <v>14.214</v>
    <v>14.282</v>
    <v>14.472</v>
    <v>14.28</v>
    <v>14.268000000000001</v>
    <v>14.186</v>
    <v>14.026</v>
    <v>14.134</v>
    <v>14.298</v>
    <v>14.002000000000001</v>
    <v>14.192</v>
    <v>14.294</v>
    <v>14.568</v>
    <v>14.596</v>
    <v>14.715999999999999</v>
    <v>14.848000000000001</v>
    <v>14.694000000000001</v>
    <v>14.704000000000001</v>
    <v>14.555999999999999</v>
    <v>14.532</v>
    <v>14.481999999999999</v>
    <v>14.566000000000001</v>
    <v>14.366</v>
    <v>14.568</v>
    <v>14.552</v>
    <v>14.504</v>
    <v>14.52</v>
    <v>14.624000000000001</v>
    <v>14.568</v>
    <v>14.75</v>
    <v>14.726000000000001</v>
    <v>14.788</v>
    <v>14.736000000000001</v>
    <v>14.673999999999999</v>
    <v>14.608000000000001</v>
    <v>14.862</v>
    <v>14.75</v>
    <v>15.034000000000001</v>
    <v>14.99</v>
    <v>15.042</v>
    <v>14.98</v>
    <v>15.068</v>
    <v>15.244</v>
    <v>15.52</v>
    <v>15.454000000000001</v>
    <v>15.454000000000001</v>
    <v>15.592000000000001</v>
    <v>15.352</v>
    <v>15.412000000000001</v>
    <v>15.502000000000001</v>
    <v>15.456</v>
    <v>15.476000000000001</v>
    <v>15.638</v>
    <v>15.984</v>
    <v>15.994</v>
    <v>15.946</v>
    <v>15.866</v>
    <v>15.99</v>
    <v>15.868</v>
    <v>16.018000000000001</v>
    <v>16.096</v>
    <v>16.251999999999999</v>
    <v>16.265999999999998</v>
    <v>16.23</v>
    <v>16.09</v>
    <v>16.16</v>
    <v>16.224</v>
    <v>16.251999999999999</v>
    <v>16.224</v>
    <v>16.251999999999999</v>
    <v>16.170000000000002</v>
    <v>16.164000000000001</v>
    <v>16.045999999999999</v>
    <v>16.094000000000001</v>
    <v>16.14</v>
    <v>15.976000000000001</v>
    <v>15.978</v>
    <v>15.917999999999999</v>
    <v>15.888</v>
    <v>15.986000000000001</v>
    <v>16.077999999999999</v>
    <v>16.132000000000001</v>
    <v>16.108000000000001</v>
    <v>16.077999999999999</v>
    <v>16.12</v>
    <v>16.015999999999998</v>
    <v>15.968</v>
    <v>15.811999999999999</v>
    <v>15.856</v>
    <v>15.85</v>
    <v>15.795999999999999</v>
    <v>15.778</v>
    <v>15.571999999999999</v>
    <v>15.476000000000001</v>
    <v>15.492000000000001</v>
    <v>15.59</v>
    <v>15.602</v>
    <v>15.706</v>
    <v>15.818</v>
    <v>15.715999999999999</v>
    <v>15.428000000000001</v>
    <v>15.45</v>
    <v>15.29</v>
    <v>15.272</v>
    <v>15.228</v>
    <v>15.23</v>
    <v>15.204000000000001</v>
    <v>15.324</v>
    <v>15.071999999999999</v>
    <v>15.077999999999999</v>
    <v>15.114000000000001</v>
    <v>15.23</v>
    <v>15.132</v>
    <v>15.086</v>
    <v>15.356</v>
    <v>15.526</v>
    <v>15.577999999999999</v>
    <v>15.61</v>
    <v>15.778</v>
    <v>15.917999999999999</v>
    <v>15.816000000000001</v>
    <v>15.848000000000001</v>
    <v>15.946</v>
    <v>15.986000000000001</v>
    <v>15.958</v>
  </a>
  <a r="1" c="208">
    <v>13.914</v>
    <v>14.054</v>
    <v>14.246</v>
    <v>14.166</v>
    <v>14.192</v>
    <v>14.34</v>
    <v>14.336</v>
    <v>14.244</v>
    <v>14.24</v>
    <v>14.456</v>
    <v>14.51</v>
    <v>14.295999999999999</v>
    <v>14.098000000000001</v>
    <v>14.18</v>
    <v>14.31</v>
    <v>14.29</v>
    <v>14.263999999999999</v>
    <v>14.23</v>
    <v>14.234</v>
    <v>14.17</v>
    <v>14.226000000000001</v>
    <v>14.398</v>
    <v>14.292</v>
    <v>14.494</v>
    <v>14.234</v>
    <v>14.327999999999999</v>
    <v>14.314</v>
    <v>14.38</v>
    <v>14.433999999999999</v>
    <v>14.628</v>
    <v>14.664</v>
    <v>14.64</v>
    <v>14.698</v>
    <v>14.804</v>
    <v>14.715999999999999</v>
    <v>14.8</v>
    <v>14.744</v>
    <v>14.746</v>
    <v>14.734</v>
    <v>14.814</v>
    <v>14.821999999999999</v>
    <v>14.65</v>
    <v>14.305999999999999</v>
    <v>14.454000000000001</v>
    <v>14.348000000000001</v>
    <v>14.231999999999999</v>
    <v>14.012</v>
    <v>14.212</v>
    <v>14.086</v>
    <v>14.034000000000001</v>
    <v>13.968</v>
    <v>13.98</v>
    <v>14.084</v>
    <v>14.058</v>
    <v>13.752000000000001</v>
    <v>13.542</v>
    <v>13.438000000000001</v>
    <v>13.44</v>
    <v>13.587999999999999</v>
    <v>13.5</v>
    <v>13.388</v>
    <v>13.478</v>
    <v>13.428000000000001</v>
    <v>13.73</v>
    <v>13.736000000000001</v>
    <v>13.634</v>
    <v>14.156000000000001</v>
    <v>14.084</v>
    <v>14.134</v>
    <v>14.108000000000001</v>
    <v>14.218</v>
    <v>14.252000000000001</v>
    <v>14.353999999999999</v>
    <v>14.598000000000001</v>
    <v>14.452</v>
    <v>14.43</v>
    <v>14.44</v>
    <v>14.346</v>
    <v>14.252000000000001</v>
    <v>14.242000000000001</v>
    <v>14.176</v>
    <v>14.068</v>
    <v>14.27</v>
    <v>14.214</v>
    <v>14.282</v>
    <v>14.472</v>
    <v>14.28</v>
    <v>14.268000000000001</v>
    <v>14.186</v>
    <v>14.026</v>
    <v>14.134</v>
    <v>14.298</v>
    <v>14.002000000000001</v>
    <v>14.192</v>
    <v>14.294</v>
    <v>14.568</v>
    <v>14.596</v>
    <v>14.715999999999999</v>
    <v>14.848000000000001</v>
    <v>14.694000000000001</v>
    <v>14.704000000000001</v>
    <v>14.555999999999999</v>
    <v>14.532</v>
    <v>14.481999999999999</v>
    <v>14.566000000000001</v>
    <v>14.366</v>
    <v>14.568</v>
    <v>14.552</v>
    <v>14.504</v>
    <v>14.52</v>
    <v>14.624000000000001</v>
    <v>14.568</v>
    <v>14.75</v>
    <v>14.726000000000001</v>
    <v>14.788</v>
    <v>14.736000000000001</v>
    <v>14.673999999999999</v>
    <v>14.608000000000001</v>
    <v>14.862</v>
    <v>14.75</v>
    <v>15.034000000000001</v>
    <v>14.99</v>
    <v>15.042</v>
    <v>14.98</v>
    <v>15.068</v>
    <v>15.244</v>
    <v>15.52</v>
    <v>15.454000000000001</v>
    <v>15.454000000000001</v>
    <v>15.592000000000001</v>
    <v>15.352</v>
    <v>15.412000000000001</v>
    <v>15.502000000000001</v>
    <v>15.456</v>
    <v>15.476000000000001</v>
    <v>15.638</v>
    <v>15.984</v>
    <v>15.994</v>
    <v>15.946</v>
    <v>15.866</v>
    <v>15.99</v>
    <v>15.868</v>
    <v>16.018000000000001</v>
    <v>16.096</v>
    <v>16.251999999999999</v>
    <v>16.265999999999998</v>
    <v>16.23</v>
    <v>16.09</v>
    <v>16.16</v>
    <v>16.224</v>
    <v>16.251999999999999</v>
    <v>16.224</v>
    <v>16.251999999999999</v>
    <v>16.170000000000002</v>
    <v>16.164000000000001</v>
    <v>16.045999999999999</v>
    <v>16.094000000000001</v>
    <v>16.14</v>
    <v>15.976000000000001</v>
    <v>15.978</v>
    <v>15.917999999999999</v>
    <v>15.888</v>
    <v>15.986000000000001</v>
    <v>16.077999999999999</v>
    <v>16.132000000000001</v>
    <v>16.108000000000001</v>
    <v>16.077999999999999</v>
    <v>16.12</v>
    <v>16.015999999999998</v>
    <v>15.968</v>
    <v>15.811999999999999</v>
    <v>15.856</v>
    <v>15.85</v>
    <v>15.795999999999999</v>
    <v>15.778</v>
    <v>15.571999999999999</v>
    <v>15.476000000000001</v>
    <v>15.492000000000001</v>
    <v>15.59</v>
    <v>15.602</v>
    <v>15.706</v>
    <v>15.818</v>
    <v>15.715999999999999</v>
    <v>15.428000000000001</v>
    <v>15.45</v>
    <v>15.29</v>
    <v>15.272</v>
    <v>15.228</v>
    <v>15.23</v>
    <v>15.204000000000001</v>
    <v>15.324</v>
    <v>15.071999999999999</v>
    <v>15.077999999999999</v>
    <v>15.114000000000001</v>
    <v>15.23</v>
    <v>15.132</v>
    <v>15.086</v>
    <v>15.356</v>
    <v>15.526</v>
    <v>15.577999999999999</v>
    <v>15.61</v>
    <v>15.778</v>
    <v>15.917999999999999</v>
    <v>15.816000000000001</v>
    <v>15.848000000000001</v>
    <v>15.946</v>
    <v>15.986000000000001</v>
    <v>15.958</v>
  </a>
  <a r="1" c="208">
    <v>27.82</v>
    <v>27.47</v>
    <v>27.4</v>
    <v>27.3</v>
    <v>28.31</v>
    <v>28.4</v>
    <v>28.69</v>
    <v>27.98</v>
    <v>28.11</v>
    <v>27.86</v>
    <v>27.05</v>
    <v>27.58</v>
    <v>26.82</v>
    <v>26.31</v>
    <v>26.85</v>
    <v>27.06</v>
    <v>26.9</v>
    <v>26.99</v>
    <v>27.25</v>
    <v>27.47</v>
    <v>28.17</v>
    <v>28.74</v>
    <v>28.83</v>
    <v>30.38</v>
    <v>30.6</v>
    <v>30.26</v>
    <v>30.51</v>
    <v>30.2</v>
    <v>30.37</v>
    <v>32.22</v>
    <v>32.229999999999997</v>
    <v>32.97</v>
    <v>33.36</v>
    <v>32.369999999999997</v>
    <v>32.630000000000003</v>
    <v>32.72</v>
    <v>33.25</v>
    <v>33.32</v>
    <v>33.659999999999997</v>
    <v>32.909999999999997</v>
    <v>34.090000000000003</v>
    <v>33.21</v>
    <v>32.619999999999997</v>
    <v>33</v>
    <v>33.06</v>
    <v>32.86</v>
    <v>32.5</v>
    <v>32.82</v>
    <v>32.69</v>
    <v>32.799999999999997</v>
    <v>33.33</v>
    <v>32.97</v>
    <v>33.450000000000003</v>
    <v>32.54</v>
    <v>32.15</v>
    <v>31.62</v>
    <v>31.54</v>
    <v>32.44</v>
    <v>32.32</v>
    <v>31.95</v>
    <v>31.69</v>
    <v>32.26</v>
    <v>31.95</v>
    <v>31.84</v>
    <v>30.77</v>
    <v>30.81</v>
    <v>31.48</v>
    <v>31.27</v>
    <v>30.99</v>
    <v>29.11</v>
    <v>28.74</v>
    <v>28.55</v>
    <v>29.11</v>
    <v>29.59</v>
    <v>29.57</v>
    <v>28.79</v>
    <v>27.42</v>
    <v>27.53</v>
    <v>27.61</v>
    <v>26.87</v>
    <v>26.76</v>
    <v>27.32</v>
    <v>27.57</v>
    <v>27.01</v>
    <v>27.34</v>
    <v>27.82</v>
    <v>27.7</v>
    <v>27.4</v>
    <v>27.6</v>
    <v>27.62</v>
    <v>27.96</v>
    <v>27.82</v>
    <v>27.68</v>
    <v>28.79</v>
    <v>29.38</v>
    <v>29.16</v>
    <v>29.13</v>
    <v>29.31</v>
    <v>29.45</v>
    <v>29.05</v>
    <v>29.34</v>
    <v>28.95</v>
    <v>28.86</v>
    <v>28.82</v>
    <v>28.88</v>
    <v>28.1</v>
    <v>27.83</v>
    <v>27.66</v>
    <v>27.63</v>
    <v>27.78</v>
    <v>28.63</v>
    <v>27.74</v>
    <v>28.32</v>
    <v>27.85</v>
    <v>27.65</v>
    <v>26.96</v>
    <v>26.91</v>
    <v>26.6</v>
    <v>26.12</v>
    <v>26.26</v>
    <v>26.44</v>
    <v>26.21</v>
    <v>26.25</v>
    <v>24.82</v>
    <v>23.85</v>
    <v>24.29</v>
    <v>25.1</v>
    <v>25.14</v>
    <v>25.44</v>
    <v>25.74</v>
    <v>25.54</v>
    <v>25.34</v>
    <v>26.12</v>
    <v>26.74</v>
    <v>26.59</v>
    <v>26.61</v>
    <v>26.68</v>
    <v>27.11</v>
    <v>27.09</v>
    <v>26.68</v>
    <v>27.23</v>
    <v>26.13</v>
    <v>26.39</v>
    <v>27.07</v>
    <v>27.59</v>
    <v>27.5</v>
    <v>27.1</v>
    <v>26.76</v>
    <v>28.08</v>
    <v>27.85</v>
    <v>27.42</v>
    <v>29.15</v>
    <v>29.04</v>
    <v>28.1</v>
    <v>28.56</v>
    <v>28.15</v>
    <v>28.42</v>
    <v>28.67</v>
    <v>28.39</v>
    <v>28.86</v>
    <v>29.18</v>
    <v>28.72</v>
    <v>28.94</v>
    <v>29.07</v>
    <v>29.1</v>
    <v>28.93</v>
    <v>28.19</v>
    <v>28.52</v>
    <v>28.38</v>
    <v>28.38</v>
    <v>28.45</v>
    <v>28.75</v>
    <v>28.4</v>
    <v>28.24</v>
    <v>28.25</v>
    <v>27.77</v>
    <v>27.88</v>
    <v>28.59</v>
    <v>28.93</v>
    <v>28.9</v>
    <v>28.84</v>
    <v>28.3</v>
    <v>27.11</v>
    <v>27.29</v>
    <v>27.11</v>
    <v>26.83</v>
    <v>26.89</v>
    <v>27</v>
    <v>26.67</v>
    <v>26.4</v>
    <v>26.11</v>
    <v>26.07</v>
    <v>26.56</v>
    <v>26.83</v>
    <v>26.41</v>
    <v>26.99</v>
    <v>26.83</v>
    <v>24.7</v>
    <v>24.98</v>
    <v>25.11</v>
    <v>25.28</v>
    <v>25.59</v>
    <v>25.89</v>
    <v>25.57</v>
    <v>25.72</v>
    <v>25.5</v>
    <v>26.18</v>
    <v>25.35</v>
  </a>
  <a r="1" c="254">
    <v>29.31</v>
    <v>29</v>
    <v>29</v>
    <v>29.01</v>
    <v>28.14</v>
    <v>27.45</v>
    <v>26.89</v>
    <v>26.65</v>
    <v>26.62</v>
    <v>26.61</v>
    <v>26.35</v>
    <v>26.66</v>
    <v>26.69</v>
    <v>27.07</v>
    <v>27.31</v>
    <v>27.27</v>
    <v>27.24</v>
    <v>27.24</v>
    <v>26.91</v>
    <v>27.16</v>
    <v>27.08</v>
    <v>27.62</v>
    <v>27.2</v>
    <v>27.62</v>
    <v>27.65</v>
    <v>27.53</v>
    <v>27.76</v>
    <v>27.62</v>
    <v>27.52</v>
    <v>27.2</v>
    <v>27.39</v>
    <v>27.56</v>
    <v>27.09</v>
    <v>26.85</v>
    <v>26.86</v>
    <v>26.92</v>
    <v>26.81</v>
    <v>26.56</v>
    <v>26.74</v>
    <v>27.12</v>
    <v>27.34</v>
    <v>27.38</v>
    <v>27.4</v>
    <v>27.48</v>
    <v>27.7</v>
    <v>27.66</v>
    <v>27.82</v>
    <v>27.47</v>
    <v>27.4</v>
    <v>27.3</v>
    <v>28.31</v>
    <v>28.4</v>
    <v>28.69</v>
    <v>27.98</v>
    <v>28.11</v>
    <v>27.86</v>
    <v>27.05</v>
    <v>27.58</v>
    <v>26.82</v>
    <v>26.31</v>
    <v>26.85</v>
    <v>27.06</v>
    <v>26.9</v>
    <v>26.99</v>
    <v>27.25</v>
    <v>27.47</v>
    <v>28.17</v>
    <v>28.74</v>
    <v>28.83</v>
    <v>30.38</v>
    <v>30.6</v>
    <v>30.26</v>
    <v>30.51</v>
    <v>30.2</v>
    <v>30.37</v>
    <v>32.22</v>
    <v>32.229999999999997</v>
    <v>32.97</v>
    <v>33.36</v>
    <v>32.369999999999997</v>
    <v>32.630000000000003</v>
    <v>32.72</v>
    <v>33.25</v>
    <v>33.32</v>
    <v>33.659999999999997</v>
    <v>32.909999999999997</v>
    <v>34.090000000000003</v>
    <v>33.21</v>
    <v>32.619999999999997</v>
    <v>33</v>
    <v>33.06</v>
    <v>32.86</v>
    <v>32.5</v>
    <v>32.82</v>
    <v>32.69</v>
    <v>32.799999999999997</v>
    <v>33.33</v>
    <v>32.97</v>
    <v>33.450000000000003</v>
    <v>32.54</v>
    <v>32.15</v>
    <v>31.62</v>
    <v>31.54</v>
    <v>32.44</v>
    <v>32.32</v>
    <v>31.95</v>
    <v>31.69</v>
    <v>32.26</v>
    <v>31.95</v>
    <v>31.84</v>
    <v>30.77</v>
    <v>30.81</v>
    <v>31.48</v>
    <v>31.27</v>
    <v>30.99</v>
    <v>29.11</v>
    <v>28.74</v>
    <v>28.55</v>
    <v>29.11</v>
    <v>29.59</v>
    <v>29.57</v>
    <v>28.79</v>
    <v>27.42</v>
    <v>27.53</v>
    <v>27.61</v>
    <v>26.87</v>
    <v>26.76</v>
    <v>27.32</v>
    <v>27.57</v>
    <v>27.01</v>
    <v>27.34</v>
    <v>27.82</v>
    <v>27.7</v>
    <v>27.4</v>
    <v>27.6</v>
    <v>27.62</v>
    <v>27.96</v>
    <v>27.82</v>
    <v>27.68</v>
    <v>28.79</v>
    <v>29.38</v>
    <v>29.16</v>
    <v>29.13</v>
    <v>29.31</v>
    <v>29.45</v>
    <v>29.05</v>
    <v>29.34</v>
    <v>28.95</v>
    <v>28.86</v>
    <v>28.82</v>
    <v>28.88</v>
    <v>28.1</v>
    <v>27.83</v>
    <v>27.66</v>
    <v>27.63</v>
    <v>27.78</v>
    <v>28.63</v>
    <v>27.74</v>
    <v>28.32</v>
    <v>27.85</v>
    <v>27.65</v>
    <v>26.96</v>
    <v>26.91</v>
    <v>26.6</v>
    <v>26.12</v>
    <v>26.26</v>
    <v>26.44</v>
    <v>26.21</v>
    <v>26.25</v>
    <v>24.82</v>
    <v>23.85</v>
    <v>24.29</v>
    <v>25.1</v>
    <v>25.14</v>
    <v>25.44</v>
    <v>25.74</v>
    <v>25.54</v>
    <v>25.34</v>
    <v>26.12</v>
    <v>26.74</v>
    <v>26.59</v>
    <v>26.61</v>
    <v>26.68</v>
    <v>27.11</v>
    <v>27.09</v>
    <v>26.68</v>
    <v>27.23</v>
    <v>26.13</v>
    <v>26.39</v>
    <v>27.07</v>
    <v>27.59</v>
    <v>27.5</v>
    <v>27.1</v>
    <v>26.76</v>
    <v>28.08</v>
    <v>27.85</v>
    <v>27.42</v>
    <v>29.15</v>
    <v>29.04</v>
    <v>28.1</v>
    <v>28.56</v>
    <v>28.15</v>
    <v>28.42</v>
    <v>28.67</v>
    <v>28.39</v>
    <v>28.86</v>
    <v>29.18</v>
    <v>28.72</v>
    <v>28.94</v>
    <v>29.07</v>
    <v>29.1</v>
    <v>28.93</v>
    <v>28.19</v>
    <v>28.52</v>
    <v>28.38</v>
    <v>28.38</v>
    <v>28.45</v>
    <v>28.75</v>
    <v>28.4</v>
    <v>28.24</v>
    <v>28.25</v>
    <v>27.77</v>
    <v>27.88</v>
    <v>28.59</v>
    <v>28.93</v>
    <v>28.9</v>
    <v>28.84</v>
    <v>28.3</v>
    <v>27.11</v>
    <v>27.29</v>
    <v>27.11</v>
    <v>26.83</v>
    <v>26.89</v>
    <v>27</v>
    <v>26.67</v>
    <v>26.4</v>
    <v>26.11</v>
    <v>26.07</v>
    <v>26.56</v>
    <v>26.83</v>
    <v>26.41</v>
    <v>26.99</v>
    <v>26.83</v>
    <v>24.7</v>
    <v>24.98</v>
    <v>25.11</v>
    <v>25.28</v>
    <v>25.59</v>
    <v>25.89</v>
    <v>25.57</v>
    <v>25.72</v>
    <v>25.5</v>
    <v>26.18</v>
    <v>25.35</v>
  </a>
  <a r="1" c="763">
    <v>20.184999999999999</v>
    <v>20.215</v>
    <v>20.484999999999999</v>
    <v>20.385000000000002</v>
    <v>20.385000000000002</v>
    <v>20.475000000000001</v>
    <v>20.475000000000001</v>
    <v>20.75</v>
    <v>21.375</v>
    <v>21.39</v>
    <v>21.35</v>
    <v>21.23</v>
    <v>21.335000000000001</v>
    <v>21.52</v>
    <v>21.434999999999999</v>
    <v>21.645</v>
    <v>21.55</v>
    <v>21.41</v>
    <v>21.465</v>
    <v>21.555</v>
    <v>21.62</v>
    <v>21.59</v>
    <v>21.74</v>
    <v>21.8</v>
    <v>21.9</v>
    <v>21.954999999999998</v>
    <v>21.875</v>
    <v>21.934999999999999</v>
    <v>21.975000000000001</v>
    <v>22.245000000000001</v>
    <v>22.35</v>
    <v>22.59</v>
    <v>22.635000000000002</v>
    <v>22.6</v>
    <v>22.614999999999998</v>
    <v>22.785</v>
    <v>22.78</v>
    <v>22.555</v>
    <v>21.74</v>
    <v>21.59</v>
    <v>21.535</v>
    <v>21.48</v>
    <v>21.67</v>
    <v>21.655000000000001</v>
    <v>21.78</v>
    <v>21.65</v>
    <v>21.614999999999998</v>
    <v>21.75</v>
    <v>21.965</v>
    <v>22.285</v>
    <v>22.465</v>
    <v>22.434999999999999</v>
    <v>22.54</v>
    <v>22.51</v>
    <v>22.454999999999998</v>
    <v>22.36</v>
    <v>22.504999999999999</v>
    <v>22.67</v>
    <v>22.78</v>
    <v>22.734999999999999</v>
    <v>22.89</v>
    <v>23.08</v>
    <v>23.3</v>
    <v>23.245000000000001</v>
    <v>23.26</v>
    <v>23.245000000000001</v>
    <v>23.05</v>
    <v>23.01</v>
    <v>22.875</v>
    <v>22.745000000000001</v>
    <v>22.73</v>
    <v>22.68</v>
    <v>22.6</v>
    <v>22.664999999999999</v>
    <v>22.355</v>
    <v>22.175000000000001</v>
    <v>22.164999999999999</v>
    <v>22.26</v>
    <v>22.215</v>
    <v>22.1</v>
    <v>22.14</v>
    <v>22.184999999999999</v>
    <v>22.27</v>
    <v>22.265000000000001</v>
    <v>22.21</v>
    <v>22.344999999999999</v>
    <v>22.13</v>
    <v>22.05</v>
    <v>22.114999999999998</v>
    <v>21.99</v>
    <v>21.984999999999999</v>
    <v>21.984999999999999</v>
    <v>22.024999999999999</v>
    <v>22.254999999999999</v>
    <v>22.24</v>
    <v>22.074999999999999</v>
    <v>21.914999999999999</v>
    <v>21.81</v>
    <v>21.7</v>
    <v>21.64</v>
    <v>21.58</v>
    <v>21.81</v>
    <v>21.684999999999999</v>
    <v>21.905000000000001</v>
    <v>21.88</v>
    <v>21.93</v>
    <v>21.855</v>
    <v>22.045000000000002</v>
    <v>22.22</v>
    <v>22.405000000000001</v>
    <v>22.5</v>
    <v>22.33</v>
    <v>22.28</v>
    <v>22.28</v>
    <v>22</v>
    <v>22.06</v>
    <v>22.21</v>
    <v>22.6</v>
    <v>21.21</v>
    <v>21.18</v>
    <v>21.13</v>
    <v>20.83</v>
    <v>20.88</v>
    <v>20.95</v>
    <v>21.16</v>
    <v>21.61</v>
    <v>21.75</v>
    <v>21.77</v>
    <v>21.67</v>
    <v>21.85</v>
    <v>21.79</v>
    <v>21.49</v>
    <v>21.73</v>
    <v>21.66</v>
    <v>21.74</v>
    <v>21.72</v>
    <v>21.64</v>
    <v>21.9</v>
    <v>21.97</v>
    <v>22.01</v>
    <v>22.01</v>
    <v>22.12</v>
    <v>21.89</v>
    <v>22</v>
    <v>22.21</v>
    <v>22.13</v>
    <v>22.11</v>
    <v>21.77</v>
    <v>21.76</v>
    <v>21.76</v>
    <v>21.72</v>
    <v>21.62</v>
    <v>22.01</v>
    <v>22.29</v>
    <v>22.64</v>
    <v>22.25</v>
    <v>22.61</v>
    <v>22.63</v>
    <v>22.59</v>
    <v>22.61</v>
    <v>22.61</v>
    <v>22.54</v>
    <v>22.53</v>
    <v>22.63</v>
    <v>22.57</v>
    <v>22.8</v>
    <v>22.89</v>
    <v>22.89</v>
    <v>22.88</v>
    <v>23.15</v>
    <v>23.32</v>
    <v>23.32</v>
    <v>23.37</v>
    <v>23.48</v>
    <v>23.68</v>
    <v>23.51</v>
    <v>23.76</v>
    <v>23.75</v>
    <v>23.83</v>
    <v>23.9</v>
    <v>23.64</v>
    <v>23.85</v>
    <v>23.76</v>
    <v>23.88</v>
    <v>23.8</v>
    <v>23.81</v>
    <v>24.04</v>
    <v>24.26</v>
    <v>24.19</v>
    <v>24.31</v>
    <v>24.15</v>
    <v>24.02</v>
    <v>24.21</v>
    <v>24.24</v>
    <v>24.17</v>
    <v>24.09</v>
    <v>24.17</v>
    <v>23.96</v>
    <v>24.12</v>
    <v>23.79</v>
    <v>23.74</v>
    <v>23.92</v>
    <v>24.37</v>
    <v>24.61</v>
    <v>24.73</v>
    <v>24.76</v>
    <v>24.95</v>
    <v>25</v>
    <v>25.15</v>
    <v>25.22</v>
    <v>25.08</v>
    <v>25</v>
    <v>25.08</v>
    <v>25.19</v>
    <v>25.18</v>
    <v>25.33</v>
    <v>25.57</v>
    <v>25.71</v>
    <v>25.71</v>
    <v>25.88</v>
    <v>25.82</v>
    <v>26.12</v>
    <v>26.29</v>
    <v>26.02</v>
    <v>26.23</v>
    <v>26.11</v>
    <v>26.26</v>
    <v>26.57</v>
    <v>26.82</v>
    <v>26.91</v>
    <v>26.68</v>
    <v>26.47</v>
    <v>26.02</v>
    <v>26.07</v>
    <v>26.24</v>
    <v>26.47</v>
    <v>26.48</v>
    <v>26.35</v>
    <v>26.24</v>
    <v>26.39</v>
    <v>26.51</v>
    <v>26.32</v>
    <v>26.29</v>
    <v>26.29</v>
    <v>26.43</v>
    <v>26.6</v>
    <v>26.75</v>
    <v>27.2</v>
    <v>27.14</v>
    <v>27.48</v>
    <v>28.02</v>
    <v>28.19</v>
    <v>28.2</v>
    <v>28.28</v>
    <v>27.89</v>
    <v>27.58</v>
    <v>27.65</v>
    <v>28.03</v>
    <v>28.1</v>
    <v>28.25</v>
    <v>28.34</v>
    <v>28.07</v>
    <v>27.82</v>
    <v>28.02</v>
    <v>27.95</v>
    <v>28.14</v>
    <v>28.36</v>
    <v>28.28</v>
    <v>28.52</v>
    <v>28.7</v>
    <v>28.03</v>
    <v>27.85</v>
    <v>28.77</v>
    <v>28.68</v>
    <v>28.76</v>
    <v>28.72</v>
    <v>28.8</v>
    <v>28.96</v>
    <v>29.4</v>
    <v>29.58</v>
    <v>29.78</v>
    <v>29.91</v>
    <v>30.13</v>
    <v>30.28</v>
    <v>30.49</v>
    <v>30.56</v>
    <v>30.33</v>
    <v>30.58</v>
    <v>30.6</v>
    <v>29.95</v>
    <v>29.69</v>
    <v>29.79</v>
    <v>29.94</v>
    <v>29.8</v>
    <v>30</v>
    <v>29.8</v>
    <v>29.5</v>
    <v>29.24</v>
    <v>28.92</v>
    <v>28.83</v>
    <v>28.99</v>
    <v>28.89</v>
    <v>29.17</v>
    <v>29.31</v>
    <v>28.84</v>
    <v>29.01</v>
    <v>29.09</v>
    <v>29.26</v>
    <v>29.44</v>
    <v>29.85</v>
    <v>30.2</v>
    <v>30.02</v>
    <v>30.31</v>
    <v>30.31</v>
    <v>30.24</v>
    <v>30.33</v>
    <v>29.95</v>
    <v>30</v>
    <v>29.35</v>
    <v>29.81</v>
    <v>30.77</v>
    <v>32.200000000000003</v>
    <v>32.29</v>
    <v>32.35</v>
    <v>32.54</v>
    <v>32.35</v>
    <v>32.659999999999997</v>
    <v>33.020000000000003</v>
    <v>32.909999999999997</v>
    <v>33.380000000000003</v>
    <v>33.83</v>
    <v>34.119999999999997</v>
    <v>33.590000000000003</v>
    <v>33.619999999999997</v>
    <v>34.04</v>
    <v>34.47</v>
    <v>34.340000000000003</v>
    <v>34.25</v>
    <v>34.520000000000003</v>
    <v>34.659999999999997</v>
    <v>34.979999999999997</v>
    <v>33.840000000000003</v>
    <v>34.42</v>
    <v>34.75</v>
    <v>35.85</v>
    <v>35.14</v>
    <v>33.94</v>
    <v>33.049999999999997</v>
    <v>34.07</v>
    <v>34.5</v>
    <v>33.43</v>
    <v>33.32</v>
    <v>33.81</v>
    <v>33.700000000000003</v>
    <v>33.82</v>
    <v>33.79</v>
    <v>33.549999999999997</v>
    <v>33.340000000000003</v>
    <v>33.76</v>
    <v>33.299999999999997</v>
    <v>33.4</v>
    <v>33.549999999999997</v>
    <v>33.409999999999997</v>
    <v>34.130000000000003</v>
    <v>34.22</v>
    <v>34.56</v>
    <v>34.01</v>
    <v>33.97</v>
    <v>32.6</v>
    <v>31.33</v>
    <v>32</v>
    <v>31.6</v>
    <v>31.7</v>
    <v>30.68</v>
    <v>31.46</v>
    <v>31.65</v>
    <v>32.06</v>
    <v>31.75</v>
    <v>32.11</v>
    <v>32.880000000000003</v>
    <v>32.75</v>
    <v>31.18</v>
    <v>30.86</v>
    <v>30.9</v>
    <v>31.6</v>
    <v>31.72</v>
    <v>32.01</v>
    <v>32.01</v>
    <v>31.97</v>
    <v>31.95</v>
    <v>32.35</v>
    <v>31.73</v>
    <v>31.69</v>
    <v>31.68</v>
    <v>32.57</v>
    <v>33</v>
    <v>33.47</v>
    <v>33.700000000000003</v>
    <v>34.31</v>
    <v>34.29</v>
    <v>33.71</v>
    <v>34.130000000000003</v>
    <v>34.200000000000003</v>
    <v>33.369999999999997</v>
    <v>33.07</v>
    <v>33.28</v>
    <v>33.06</v>
    <v>33.36</v>
    <v>33.68</v>
    <v>33.979999999999997</v>
    <v>33.83</v>
    <v>33.54</v>
    <v>32.840000000000003</v>
    <v>32.28</v>
    <v>31.07</v>
    <v>30.73</v>
    <v>31.23</v>
    <v>30.57</v>
    <v>30.34</v>
    <v>30.41</v>
    <v>30.5</v>
    <v>30.99</v>
    <v>31.7</v>
    <v>30.75</v>
    <v>30.74</v>
    <v>31.13</v>
    <v>30.97</v>
    <v>31.1</v>
    <v>31.07</v>
    <v>31.02</v>
    <v>30.83</v>
    <v>31</v>
    <v>31.03</v>
    <v>31.12</v>
    <v>30.56</v>
    <v>30.54</v>
    <v>30.58</v>
    <v>30.21</v>
    <v>30.23</v>
    <v>30.63</v>
    <v>30.4</v>
    <v>30.3</v>
    <v>30.42</v>
    <v>30.48</v>
    <v>32.020000000000003</v>
    <v>31.68</v>
    <v>31.18</v>
    <v>31.71</v>
    <v>31.83</v>
    <v>31.48</v>
    <v>31.13</v>
    <v>31.52</v>
    <v>31.44</v>
    <v>31.31</v>
    <v>29.75</v>
    <v>29.5</v>
    <v>29.96</v>
    <v>30.32</v>
    <v>30.37</v>
    <v>30.65</v>
    <v>30.84</v>
    <v>31.08</v>
    <v>31.25</v>
    <v>31.54</v>
    <v>31.61</v>
    <v>31.43</v>
    <v>31.46</v>
    <v>31.6</v>
    <v>31.7</v>
    <v>31.38</v>
    <v>31.22</v>
    <v>31.49</v>
    <v>31.4</v>
    <v>31.11</v>
    <v>31.84</v>
    <v>31.65</v>
    <v>30.45</v>
    <v>30.61</v>
    <v>29.95</v>
    <v>29.97</v>
    <v>30.01</v>
    <v>29.84</v>
    <v>29.39</v>
    <v>29.18</v>
    <v>29.23</v>
    <v>29.08</v>
    <v>28.6</v>
    <v>28.4</v>
    <v>28.56</v>
    <v>28.63</v>
    <v>28.65</v>
    <v>28.78</v>
    <v>29.01</v>
    <v>29.19</v>
    <v>29.12</v>
    <v>29.07</v>
    <v>28.97</v>
    <v>29.05</v>
    <v>29.25</v>
    <v>29.67</v>
    <v>29.64</v>
    <v>29.44</v>
    <v>29.45</v>
    <v>29.39</v>
    <v>29.64</v>
    <v>29.82</v>
    <v>30.01</v>
    <v>29.97</v>
    <v>30.03</v>
    <v>29.31</v>
    <v>29</v>
    <v>29</v>
    <v>29.01</v>
    <v>28.14</v>
    <v>27.45</v>
    <v>26.89</v>
    <v>26.65</v>
    <v>26.62</v>
    <v>26.61</v>
    <v>26.35</v>
    <v>26.66</v>
    <v>26.69</v>
    <v>27.07</v>
    <v>27.31</v>
    <v>27.27</v>
    <v>27.24</v>
    <v>27.24</v>
    <v>26.91</v>
    <v>27.16</v>
    <v>27.08</v>
    <v>27.62</v>
    <v>27.2</v>
    <v>27.62</v>
    <v>27.65</v>
    <v>27.53</v>
    <v>27.76</v>
    <v>27.62</v>
    <v>27.52</v>
    <v>27.2</v>
    <v>27.39</v>
    <v>27.56</v>
    <v>27.09</v>
    <v>26.85</v>
    <v>26.86</v>
    <v>26.92</v>
    <v>26.81</v>
    <v>26.56</v>
    <v>26.74</v>
    <v>27.12</v>
    <v>27.34</v>
    <v>27.38</v>
    <v>27.4</v>
    <v>27.48</v>
    <v>27.7</v>
    <v>27.66</v>
    <v>27.82</v>
    <v>27.47</v>
    <v>27.4</v>
    <v>27.3</v>
    <v>28.31</v>
    <v>28.4</v>
    <v>28.69</v>
    <v>27.98</v>
    <v>28.11</v>
    <v>27.86</v>
    <v>27.05</v>
    <v>27.58</v>
    <v>26.82</v>
    <v>26.31</v>
    <v>26.85</v>
    <v>27.06</v>
    <v>26.9</v>
    <v>26.99</v>
    <v>27.25</v>
    <v>27.47</v>
    <v>28.17</v>
    <v>28.74</v>
    <v>28.83</v>
    <v>30.38</v>
    <v>30.6</v>
    <v>30.26</v>
    <v>30.51</v>
    <v>30.2</v>
    <v>30.37</v>
    <v>32.22</v>
    <v>32.229999999999997</v>
    <v>32.97</v>
    <v>33.36</v>
    <v>32.369999999999997</v>
    <v>32.630000000000003</v>
    <v>32.72</v>
    <v>33.25</v>
    <v>33.32</v>
    <v>33.659999999999997</v>
    <v>32.909999999999997</v>
    <v>34.090000000000003</v>
    <v>33.21</v>
    <v>32.619999999999997</v>
    <v>33</v>
    <v>33.06</v>
    <v>32.86</v>
    <v>32.5</v>
    <v>32.82</v>
    <v>32.69</v>
    <v>32.799999999999997</v>
    <v>33.33</v>
    <v>32.97</v>
    <v>33.450000000000003</v>
    <v>32.54</v>
    <v>32.15</v>
    <v>31.62</v>
    <v>31.54</v>
    <v>32.44</v>
    <v>32.32</v>
    <v>31.95</v>
    <v>31.69</v>
    <v>32.26</v>
    <v>31.95</v>
    <v>31.84</v>
    <v>30.77</v>
    <v>30.81</v>
    <v>31.48</v>
    <v>31.27</v>
    <v>30.99</v>
    <v>29.11</v>
    <v>28.74</v>
    <v>28.55</v>
    <v>29.11</v>
    <v>29.59</v>
    <v>29.57</v>
    <v>28.79</v>
    <v>27.42</v>
    <v>27.53</v>
    <v>27.61</v>
    <v>26.87</v>
    <v>26.76</v>
    <v>27.32</v>
    <v>27.57</v>
    <v>27.01</v>
    <v>27.34</v>
    <v>27.82</v>
    <v>27.7</v>
    <v>27.4</v>
    <v>27.6</v>
    <v>27.62</v>
    <v>27.96</v>
    <v>27.82</v>
    <v>27.68</v>
    <v>28.79</v>
    <v>29.38</v>
    <v>29.16</v>
    <v>29.13</v>
    <v>29.31</v>
    <v>29.45</v>
    <v>29.05</v>
    <v>29.34</v>
    <v>28.95</v>
    <v>28.86</v>
    <v>28.82</v>
    <v>28.88</v>
    <v>28.1</v>
    <v>27.83</v>
    <v>27.66</v>
    <v>27.63</v>
    <v>27.78</v>
    <v>28.63</v>
    <v>27.74</v>
    <v>28.32</v>
    <v>27.85</v>
    <v>27.65</v>
    <v>26.96</v>
    <v>26.91</v>
    <v>26.6</v>
    <v>26.12</v>
    <v>26.26</v>
    <v>26.44</v>
    <v>26.21</v>
    <v>26.25</v>
    <v>24.82</v>
    <v>23.85</v>
    <v>24.29</v>
    <v>25.1</v>
    <v>25.14</v>
    <v>25.44</v>
    <v>25.74</v>
    <v>25.54</v>
    <v>25.34</v>
    <v>26.12</v>
    <v>26.74</v>
    <v>26.59</v>
    <v>26.61</v>
    <v>26.68</v>
    <v>27.11</v>
    <v>27.09</v>
    <v>26.68</v>
    <v>27.23</v>
    <v>26.13</v>
    <v>26.39</v>
    <v>27.07</v>
    <v>27.59</v>
    <v>27.5</v>
    <v>27.1</v>
    <v>26.76</v>
    <v>28.08</v>
    <v>27.85</v>
    <v>27.42</v>
    <v>29.15</v>
    <v>29.04</v>
    <v>28.1</v>
    <v>28.56</v>
    <v>28.15</v>
    <v>28.42</v>
    <v>28.67</v>
    <v>28.39</v>
    <v>28.86</v>
    <v>29.18</v>
    <v>28.72</v>
    <v>28.94</v>
    <v>29.07</v>
    <v>29.1</v>
    <v>28.93</v>
    <v>28.19</v>
    <v>28.52</v>
    <v>28.38</v>
    <v>28.38</v>
    <v>28.45</v>
    <v>28.75</v>
    <v>28.4</v>
    <v>28.24</v>
    <v>28.25</v>
    <v>27.77</v>
    <v>27.88</v>
    <v>28.59</v>
    <v>28.93</v>
    <v>28.9</v>
    <v>28.84</v>
    <v>28.3</v>
    <v>27.11</v>
    <v>27.29</v>
    <v>27.11</v>
    <v>26.83</v>
    <v>26.89</v>
    <v>27</v>
    <v>26.67</v>
    <v>26.4</v>
    <v>26.11</v>
    <v>26.07</v>
    <v>26.56</v>
    <v>26.83</v>
    <v>26.41</v>
    <v>26.99</v>
    <v>26.83</v>
    <v>24.7</v>
    <v>24.98</v>
    <v>25.11</v>
    <v>25.28</v>
    <v>25.59</v>
    <v>25.89</v>
    <v>25.57</v>
    <v>25.72</v>
    <v>25.5</v>
    <v>26.18</v>
    <v>25.35</v>
  </a>
  <a r="1" c="254">
    <v>120.02200000000001</v>
    <v>120.89</v>
    <v>121.754</v>
    <v>121.976</v>
    <v>122.188</v>
    <v>122.35599999999999</v>
    <v>122.23</v>
    <v>122.422</v>
    <v>121.94799999999999</v>
    <v>122.172</v>
    <v>120.46599999999999</v>
    <v>118.90600000000001</v>
    <v>121.214</v>
    <v>121.678</v>
    <v>122.386</v>
    <v>120.806</v>
    <v>120.53400000000001</v>
    <v>120.012</v>
    <v>118.416</v>
    <v>118.75</v>
    <v>119.548</v>
    <v>118.25</v>
    <v>119.762</v>
    <v>120.062</v>
    <v>121.508</v>
    <v>121.404</v>
    <v>121.86</v>
    <v>121.39400000000001</v>
    <v>121.378</v>
    <v>121.44799999999999</v>
    <v>121.694</v>
    <v>122.16</v>
    <v>121.958</v>
    <v>122.104</v>
    <v>121.83199999999999</v>
    <v>121.374</v>
    <v>120.672</v>
    <v>120.76600000000001</v>
    <v>119.958</v>
    <v>119.46599999999999</v>
    <v>120.782</v>
    <v>121.30800000000001</v>
    <v>121.55200000000001</v>
    <v>121.836</v>
    <v>122</v>
    <v>122.26600000000001</v>
    <v>121.69</v>
    <v>123.264</v>
    <v>123.706</v>
    <v>124.074</v>
    <v>123.858</v>
    <v>124.884</v>
    <v>124.79600000000001</v>
    <v>125.006</v>
    <v>124.276</v>
    <v>125.744</v>
    <v>125.532</v>
    <v>123.76600000000001</v>
    <v>122.68600000000001</v>
    <v>122.77800000000001</v>
    <v>123.56399999999999</v>
    <v>123.33799999999999</v>
    <v>122.922</v>
    <v>122.73399999999999</v>
    <v>122.84</v>
    <v>121.85599999999999</v>
    <v>122.78400000000001</v>
    <v>124.06</v>
    <v>123.538</v>
    <v>123.21599999999999</v>
    <v>122.054</v>
    <v>123.176</v>
    <v>123.84399999999999</v>
    <v>124.044</v>
    <v>124.086</v>
    <v>122.858</v>
    <v>122.78400000000001</v>
    <v>122.53400000000001</v>
    <v>122.83799999999999</v>
    <v>124.23399999999999</v>
    <v>124.044</v>
    <v>124.398</v>
    <v>123.46</v>
    <v>124.002</v>
    <v>124.992</v>
    <v>124.71</v>
    <v>124.148</v>
    <v>124.526</v>
    <v>123.164</v>
    <v>124.494</v>
    <v>123.80800000000001</v>
    <v>122.42400000000001</v>
    <v>121.896</v>
    <v>123.548</v>
    <v>123.15</v>
    <v>122.502</v>
    <v>122.30200000000001</v>
    <v>122.65600000000001</v>
    <v>122.916</v>
    <v>122.184</v>
    <v>120.152</v>
    <v>118.946</v>
    <v>119.376</v>
    <v>119.43</v>
    <v>120.47199999999999</v>
    <v>119.212</v>
    <v>117.59</v>
    <v>118.304</v>
    <v>118.20399999999999</v>
    <v>120.658</v>
    <v>120.71</v>
    <v>119.976</v>
    <v>123.114</v>
    <v>123.252</v>
    <v>123.578</v>
    <v>123.52800000000001</v>
    <v>124.884</v>
    <v>125.352</v>
    <v>126.098</v>
    <v>127.592</v>
    <v>127.11799999999999</v>
    <v>127.012</v>
    <v>127.512</v>
    <v>127.968</v>
    <v>127.694</v>
    <v>127.52800000000001</v>
    <v>127.126</v>
    <v>127.19</v>
    <v>128.02000000000001</v>
    <v>128.434</v>
    <v>129.27799999999999</v>
    <v>130.82400000000001</v>
    <v>130.822</v>
    <v>130.73599999999999</v>
    <v>131.15799999999999</v>
    <v>130.34200000000001</v>
    <v>131.75399999999999</v>
    <v>133.55000000000001</v>
    <v>132.43</v>
    <v>131.726</v>
    <v>131.63399999999999</v>
    <v>132.81</v>
    <v>132.96199999999999</v>
    <v>134.35</v>
    <v>135.15799999999999</v>
    <v>134.74799999999999</v>
    <v>134.488</v>
    <v>134.76599999999999</v>
    <v>135.018</v>
    <v>135.428</v>
    <v>135.982</v>
    <v>135.56800000000001</v>
    <v>135.59</v>
    <v>134.92599999999999</v>
    <v>134.27600000000001</v>
    <v>132.26599999999999</v>
    <v>132.13399999999999</v>
    <v>132.286</v>
    <v>134.35599999999999</v>
    <v>135.976</v>
    <v>135.864</v>
    <v>135.91999999999999</v>
    <v>136.43600000000001</v>
    <v>136.6</v>
    <v>136.804</v>
    <v>135.62200000000001</v>
    <v>136.5</v>
    <v>135.768</v>
    <v>135.35400000000001</v>
    <v>135.57599999999999</v>
    <v>136.93199999999999</v>
    <v>137.756</v>
    <v>137.05600000000001</v>
    <v>137.624</v>
    <v>138.25</v>
    <v>137.21600000000001</v>
    <v>136.196</v>
    <v>137.54599999999999</v>
    <v>138.08199999999999</v>
    <v>138.24</v>
    <v>137.97399999999999</v>
    <v>138.20599999999999</v>
    <v>138.178</v>
    <v>136.61799999999999</v>
    <v>137.08000000000001</v>
    <v>137.578</v>
    <v>137.86600000000001</v>
    <v>136.14400000000001</v>
    <v>137.09399999999999</v>
    <v>136.52799999999999</v>
    <v>136.94999999999999</v>
    <v>135.99799999999999</v>
    <v>135.334</v>
    <v>135.97</v>
    <v>138.03399999999999</v>
    <v>139.84399999999999</v>
    <v>140.30000000000001</v>
    <v>140.202</v>
    <v>140.762</v>
    <v>140.87200000000001</v>
    <v>140.83799999999999</v>
    <v>140.91399999999999</v>
    <v>141.58799999999999</v>
    <v>140.99600000000001</v>
    <v>140.81399999999999</v>
    <v>139.464</v>
    <v>138.96799999999999</v>
    <v>138.08600000000001</v>
    <v>138.452</v>
    <v>138.126</v>
    <v>138.416</v>
    <v>138.602</v>
    <v>139.142</v>
    <v>140.31800000000001</v>
    <v>138.75200000000001</v>
    <v>138.506</v>
    <v>138.78800000000001</v>
    <v>139.886</v>
    <v>139.43600000000001</v>
    <v>139.35</v>
    <v>139.11600000000001</v>
    <v>137.964</v>
    <v>137.304</v>
    <v>138.626</v>
    <v>138.386</v>
    <v>137.672</v>
    <v>138.38399999999999</v>
    <v>139.41800000000001</v>
    <v>138.994</v>
    <v>140.702</v>
    <v>141.6</v>
    <v>141.27600000000001</v>
    <v>140.506</v>
    <v>141.108</v>
    <v>140.71199999999999</v>
    <v>140.87</v>
    <v>141.33000000000001</v>
    <v>141</v>
    <v>142.398</v>
    <v>143.64599999999999</v>
    <v>144.25399999999999</v>
    <v>143.83600000000001</v>
    <v>143.33199999999999</v>
    <v>144.048</v>
    <v>144.78800000000001</v>
    <v>144.16</v>
    <v>144.25399999999999</v>
    <v>143.072</v>
    <v>142.89599999999999</v>
    <v>143.02600000000001</v>
    <v>142.81200000000001</v>
    <v>143.596</v>
    <v>142.17599999999999</v>
    <v>142.13399999999999</v>
  </a>
  <a r="1" c="208">
    <v>121.69</v>
    <v>123.264</v>
    <v>123.706</v>
    <v>124.074</v>
    <v>123.858</v>
    <v>124.884</v>
    <v>124.79600000000001</v>
    <v>125.006</v>
    <v>124.276</v>
    <v>125.744</v>
    <v>125.532</v>
    <v>123.76600000000001</v>
    <v>122.68600000000001</v>
    <v>122.77800000000001</v>
    <v>123.56399999999999</v>
    <v>123.33799999999999</v>
    <v>122.922</v>
    <v>122.73399999999999</v>
    <v>122.84</v>
    <v>121.85599999999999</v>
    <v>122.78400000000001</v>
    <v>124.06</v>
    <v>123.538</v>
    <v>123.21599999999999</v>
    <v>122.054</v>
    <v>123.176</v>
    <v>123.84399999999999</v>
    <v>124.044</v>
    <v>124.086</v>
    <v>122.858</v>
    <v>122.78400000000001</v>
    <v>122.53400000000001</v>
    <v>122.83799999999999</v>
    <v>124.23399999999999</v>
    <v>124.044</v>
    <v>124.398</v>
    <v>123.46</v>
    <v>124.002</v>
    <v>124.992</v>
    <v>124.71</v>
    <v>124.148</v>
    <v>124.526</v>
    <v>123.164</v>
    <v>124.494</v>
    <v>123.80800000000001</v>
    <v>122.42400000000001</v>
    <v>121.896</v>
    <v>123.548</v>
    <v>123.15</v>
    <v>122.502</v>
    <v>122.30200000000001</v>
    <v>122.65600000000001</v>
    <v>122.916</v>
    <v>122.184</v>
    <v>120.152</v>
    <v>118.946</v>
    <v>119.376</v>
    <v>119.43</v>
    <v>120.47199999999999</v>
    <v>119.212</v>
    <v>117.59</v>
    <v>118.304</v>
    <v>118.20399999999999</v>
    <v>120.658</v>
    <v>120.71</v>
    <v>119.976</v>
    <v>123.114</v>
    <v>123.252</v>
    <v>123.578</v>
    <v>123.52800000000001</v>
    <v>124.884</v>
    <v>125.352</v>
    <v>126.098</v>
    <v>127.592</v>
    <v>127.11799999999999</v>
    <v>127.012</v>
    <v>127.512</v>
    <v>127.968</v>
    <v>127.694</v>
    <v>127.52800000000001</v>
    <v>127.126</v>
    <v>127.19</v>
    <v>128.02000000000001</v>
    <v>128.434</v>
    <v>129.27799999999999</v>
    <v>130.82400000000001</v>
    <v>130.822</v>
    <v>130.73599999999999</v>
    <v>131.15799999999999</v>
    <v>130.34200000000001</v>
    <v>131.75399999999999</v>
    <v>133.55000000000001</v>
    <v>132.43</v>
    <v>131.726</v>
    <v>131.63399999999999</v>
    <v>132.81</v>
    <v>132.96199999999999</v>
    <v>134.35</v>
    <v>135.15799999999999</v>
    <v>134.74799999999999</v>
    <v>134.488</v>
    <v>134.76599999999999</v>
    <v>135.018</v>
    <v>135.428</v>
    <v>135.982</v>
    <v>135.56800000000001</v>
    <v>135.59</v>
    <v>134.92599999999999</v>
    <v>134.27600000000001</v>
    <v>132.26599999999999</v>
    <v>132.13399999999999</v>
    <v>132.286</v>
    <v>134.35599999999999</v>
    <v>135.976</v>
    <v>135.864</v>
    <v>135.91999999999999</v>
    <v>136.43600000000001</v>
    <v>136.6</v>
    <v>136.804</v>
    <v>135.62200000000001</v>
    <v>136.5</v>
    <v>135.768</v>
    <v>135.35400000000001</v>
    <v>135.57599999999999</v>
    <v>136.93199999999999</v>
    <v>137.756</v>
    <v>137.05600000000001</v>
    <v>137.624</v>
    <v>138.25</v>
    <v>137.21600000000001</v>
    <v>136.196</v>
    <v>137.54599999999999</v>
    <v>138.08199999999999</v>
    <v>138.24</v>
    <v>137.97399999999999</v>
    <v>138.20599999999999</v>
    <v>138.178</v>
    <v>136.61799999999999</v>
    <v>137.08000000000001</v>
    <v>137.578</v>
    <v>137.86600000000001</v>
    <v>136.14400000000001</v>
    <v>137.09399999999999</v>
    <v>136.52799999999999</v>
    <v>136.94999999999999</v>
    <v>135.99799999999999</v>
    <v>135.334</v>
    <v>135.97</v>
    <v>138.03399999999999</v>
    <v>139.84399999999999</v>
    <v>140.30000000000001</v>
    <v>140.202</v>
    <v>140.762</v>
    <v>140.87200000000001</v>
    <v>140.83799999999999</v>
    <v>140.91399999999999</v>
    <v>141.58799999999999</v>
    <v>140.99600000000001</v>
    <v>140.81399999999999</v>
    <v>139.464</v>
    <v>138.96799999999999</v>
    <v>138.08600000000001</v>
    <v>138.452</v>
    <v>138.126</v>
    <v>138.416</v>
    <v>138.602</v>
    <v>139.142</v>
    <v>140.31800000000001</v>
    <v>138.75200000000001</v>
    <v>138.506</v>
    <v>138.78800000000001</v>
    <v>139.886</v>
    <v>139.43600000000001</v>
    <v>139.35</v>
    <v>139.11600000000001</v>
    <v>137.964</v>
    <v>137.304</v>
    <v>138.626</v>
    <v>138.386</v>
    <v>137.672</v>
    <v>138.38399999999999</v>
    <v>139.41800000000001</v>
    <v>138.994</v>
    <v>140.702</v>
    <v>141.6</v>
    <v>141.27600000000001</v>
    <v>140.506</v>
    <v>141.108</v>
    <v>140.71199999999999</v>
    <v>140.87</v>
    <v>141.33000000000001</v>
    <v>141</v>
    <v>142.398</v>
    <v>143.64599999999999</v>
    <v>144.25399999999999</v>
    <v>143.83600000000001</v>
    <v>143.33199999999999</v>
    <v>144.048</v>
    <v>144.78800000000001</v>
    <v>144.16</v>
    <v>144.25399999999999</v>
    <v>143.072</v>
    <v>142.89599999999999</v>
    <v>143.02600000000001</v>
    <v>142.81200000000001</v>
    <v>143.596</v>
    <v>142.17599999999999</v>
    <v>142.13399999999999</v>
  </a>
  <a r="1" c="761">
    <v>82.09</v>
    <v>82.501999999999995</v>
    <v>82.156000000000006</v>
    <v>81.495999999999995</v>
    <v>80.822000000000003</v>
    <v>80.873999999999995</v>
    <v>81.64</v>
    <v>82.477999999999994</v>
    <v>83.76</v>
    <v>84.152000000000001</v>
    <v>83.947999999999993</v>
    <v>84.447999999999993</v>
    <v>84.146000000000001</v>
    <v>84.54</v>
    <v>84.337999999999994</v>
    <v>84.873999999999995</v>
    <v>85.444000000000003</v>
    <v>85.762</v>
    <v>85.3</v>
    <v>85.587999999999994</v>
    <v>85.64</v>
    <v>85.713999999999999</v>
    <v>86.426000000000002</v>
    <v>86.376000000000005</v>
    <v>86.197999999999993</v>
    <v>86.084000000000003</v>
    <v>85.902000000000001</v>
    <v>85.986000000000004</v>
    <v>86.4</v>
    <v>87.38</v>
    <v>87.275999999999996</v>
    <v>87.71</v>
    <v>87.855999999999995</v>
    <v>87.918000000000006</v>
    <v>88.421999999999997</v>
    <v>88.751999999999995</v>
    <v>88.738</v>
    <v>89.084000000000003</v>
    <v>89.01</v>
    <v>89.668000000000006</v>
    <v>89.69</v>
    <v>89.83</v>
    <v>90.13</v>
    <v>89.415999999999997</v>
    <v>89.742000000000004</v>
    <v>89.427999999999997</v>
    <v>89.79</v>
    <v>89.524000000000001</v>
    <v>89.962000000000003</v>
    <v>89.558000000000007</v>
    <v>89.45</v>
    <v>89.32</v>
    <v>89.52</v>
    <v>90.15</v>
    <v>90.195999999999998</v>
    <v>89.853999999999999</v>
    <v>90.471999999999994</v>
    <v>90.53</v>
    <v>90.75</v>
    <v>90.105999999999995</v>
    <v>90.475999999999999</v>
    <v>90.82</v>
    <v>91.81</v>
    <v>91.94</v>
    <v>92.44</v>
    <v>92.846000000000004</v>
    <v>92.945999999999998</v>
    <v>93.34</v>
    <v>93.6</v>
    <v>93.012</v>
    <v>92.64</v>
    <v>94.15</v>
    <v>94.256</v>
    <v>94.483999999999995</v>
    <v>94.912000000000006</v>
    <v>94.951999999999998</v>
    <v>95.117999999999995</v>
    <v>95.91</v>
    <v>94.945999999999998</v>
    <v>95.073999999999998</v>
    <v>95.58</v>
    <v>95.99</v>
    <v>95.8</v>
    <v>94.85</v>
    <v>94.686000000000007</v>
    <v>96.33</v>
    <v>96.634</v>
    <v>96.31</v>
    <v>96.176000000000002</v>
    <v>96.218000000000004</v>
    <v>96.444000000000003</v>
    <v>97.111999999999995</v>
    <v>97.09</v>
    <v>96.44</v>
    <v>96.738</v>
    <v>97.233999999999995</v>
    <v>97.317999999999998</v>
    <v>96.622</v>
    <v>97.445999999999998</v>
    <v>97.477999999999994</v>
    <v>97.537999999999997</v>
    <v>96.947999999999993</v>
    <v>97.804000000000002</v>
    <v>98</v>
    <v>98.19</v>
    <v>99.596000000000004</v>
    <v>99.55</v>
    <v>99.256</v>
    <v>99.447999999999993</v>
    <v>99.445999999999998</v>
    <v>100.07</v>
    <v>99.206000000000003</v>
    <v>99.331999999999994</v>
    <v>99.397999999999996</v>
    <v>98.695999999999998</v>
    <v>98.866</v>
    <v>98.302000000000007</v>
    <v>98.745999999999995</v>
    <v>98.9</v>
    <v>99.341999999999999</v>
    <v>99.15</v>
    <v>97.575999999999993</v>
    <v>97.037999999999997</v>
    <v>97.268000000000001</v>
    <v>96.311999999999998</v>
    <v>96.516000000000005</v>
    <v>97.585999999999999</v>
    <v>97.658000000000001</v>
    <v>96.426000000000002</v>
    <v>98.194000000000003</v>
    <v>98.22</v>
    <v>97.983999999999995</v>
    <v>97.302000000000007</v>
    <v>98.11</v>
    <v>98.85</v>
    <v>99.504000000000005</v>
    <v>99.512</v>
    <v>99.695999999999998</v>
    <v>100</v>
    <v>99.87</v>
    <v>99.823999999999998</v>
    <v>100.56</v>
    <v>100.992</v>
    <v>100.66</v>
    <v>101.236</v>
    <v>100.98</v>
    <v>101.066</v>
    <v>101.102</v>
    <v>100.752</v>
    <v>100.934</v>
    <v>100.518</v>
    <v>100.146</v>
    <v>99.83</v>
    <v>99.195999999999998</v>
    <v>99.89</v>
    <v>99.731999999999999</v>
    <v>100.95</v>
    <v>101.274</v>
    <v>101.816</v>
    <v>102.242</v>
    <v>102.086</v>
    <v>102.626</v>
    <v>102.596</v>
    <v>102.886</v>
    <v>102.91</v>
    <v>103.47</v>
    <v>103.602</v>
    <v>104.036</v>
    <v>103.64400000000001</v>
    <v>103.774</v>
    <v>103.752</v>
    <v>103.69</v>
    <v>103.74</v>
    <v>104.13200000000001</v>
    <v>103.52800000000001</v>
    <v>103.714</v>
    <v>103.974</v>
    <v>104.21</v>
    <v>104.208</v>
    <v>104.404</v>
    <v>104.544</v>
    <v>104.952</v>
    <v>104.77200000000001</v>
    <v>105.304</v>
    <v>105.304</v>
    <v>105.48399999999999</v>
    <v>104.38</v>
    <v>103.792</v>
    <v>103.188</v>
    <v>103.646</v>
    <v>104.64</v>
    <v>102.84</v>
    <v>102.34</v>
    <v>102.48399999999999</v>
    <v>102.72199999999999</v>
    <v>102.79600000000001</v>
    <v>104.34</v>
    <v>103.29</v>
    <v>99.13</v>
    <v>96.912000000000006</v>
    <v>97.787999999999997</v>
    <v>99.128</v>
    <v>99.156000000000006</v>
    <v>99.525999999999996</v>
    <v>99.71</v>
    <v>100.72</v>
    <v>100.982</v>
    <v>102.86199999999999</v>
    <v>103.124</v>
    <v>102.89</v>
    <v>103.018</v>
    <v>103.184</v>
    <v>103.226</v>
    <v>103.17</v>
    <v>103.21</v>
    <v>103.21</v>
    <v>104.43</v>
    <v>103.994</v>
    <v>104.66</v>
    <v>103.578</v>
    <v>102.36199999999999</v>
    <v>101.72</v>
    <v>100.35</v>
    <v>101.556</v>
    <v>101.732</v>
    <v>101.23</v>
    <v>103.13</v>
    <v>103.866</v>
    <v>103.444</v>
    <v>104.062</v>
    <v>103.51</v>
    <v>104.98</v>
    <v>104.334</v>
    <v>105.02</v>
    <v>105.06399999999999</v>
    <v>105.06</v>
    <v>105.36</v>
    <v>105.70399999999999</v>
    <v>105.476</v>
    <v>105.64</v>
    <v>106.01600000000001</v>
    <v>105.77</v>
    <v>106.364</v>
    <v>106.73399999999999</v>
    <v>106.636</v>
    <v>107.456</v>
    <v>107.664</v>
    <v>108.066</v>
    <v>108.914</v>
    <v>108.712</v>
    <v>108.666</v>
    <v>109.654</v>
    <v>109.49</v>
    <v>109.09</v>
    <v>109.24</v>
    <v>108.842</v>
    <v>108.74</v>
    <v>109.06399999999999</v>
    <v>109.05</v>
    <v>109.13</v>
    <v>108.59</v>
    <v>106.708</v>
    <v>107.518</v>
    <v>106.59399999999999</v>
    <v>107.11199999999999</v>
    <v>110.48399999999999</v>
    <v>111.166</v>
    <v>111.94</v>
    <v>113.15600000000001</v>
    <v>112.76600000000001</v>
    <v>113.22799999999999</v>
    <v>113.13800000000001</v>
    <v>111.726</v>
    <v>112.02</v>
    <v>111.86199999999999</v>
    <v>111.94199999999999</v>
    <v>113.438</v>
    <v>114.76600000000001</v>
    <v>114.5</v>
    <v>114.614</v>
    <v>113.68600000000001</v>
    <v>114.226</v>
    <v>114.634</v>
    <v>115.59399999999999</v>
    <v>115.53400000000001</v>
    <v>115.884</v>
    <v>115.752</v>
    <v>115.818</v>
    <v>115.458</v>
    <v>115.602</v>
    <v>116.32</v>
    <v>116.10599999999999</v>
    <v>115.526</v>
    <v>115.69799999999999</v>
    <v>115.36</v>
    <v>115.636</v>
    <v>113.798</v>
    <v>113.928</v>
    <v>113.786</v>
    <v>114.352</v>
    <v>113.706</v>
    <v>115.14400000000001</v>
    <v>114.91200000000001</v>
    <v>115.726</v>
    <v>114.878</v>
    <v>114.88</v>
    <v>114.956</v>
    <v>113.886</v>
    <v>113.706</v>
    <v>113.498</v>
    <v>115.27200000000001</v>
    <v>115.69</v>
    <v>116.752</v>
    <v>116.152</v>
    <v>116.276</v>
    <v>117.282</v>
    <v>117.44</v>
    <v>116.872</v>
    <v>114.928</v>
    <v>116.43600000000001</v>
    <v>116.842</v>
    <v>117.086</v>
    <v>118.33799999999999</v>
    <v>117.26600000000001</v>
    <v>117.292</v>
    <v>116.90600000000001</v>
    <v>118.256</v>
    <v>118.12</v>
    <v>118.696</v>
    <v>118.408</v>
    <v>117.616</v>
    <v>118.262</v>
    <v>117.99</v>
    <v>118.58799999999999</v>
    <v>118.648</v>
    <v>119.02200000000001</v>
    <v>117.878</v>
    <v>117.97</v>
    <v>116.59399999999999</v>
    <v>114.85599999999999</v>
    <v>116.35599999999999</v>
    <v>116.596</v>
    <v>115.404</v>
    <v>115.63200000000001</v>
    <v>111.86199999999999</v>
    <v>110.21</v>
    <v>110.58</v>
    <v>108.404</v>
    <v>107.66</v>
    <v>105.34</v>
    <v>106.52</v>
    <v>105.74</v>
    <v>106.922</v>
    <v>107.422</v>
    <v>106.996</v>
    <v>108.13</v>
    <v>108.496</v>
    <v>108.26600000000001</v>
    <v>110.1</v>
    <v>110.254</v>
    <v>109.754</v>
    <v>109.32</v>
    <v>107</v>
    <v>106.33</v>
    <v>107.60599999999999</v>
    <v>107.53</v>
    <v>102.28</v>
    <v>97.331999999999994</v>
    <v>94.623999999999995</v>
    <v>97.745999999999995</v>
    <v>93.34</v>
    <v>96.981999999999999</v>
    <v>95.97</v>
    <v>98.718000000000004</v>
    <v>99.76</v>
    <v>98.61</v>
    <v>97.608000000000004</v>
    <v>96.834000000000003</v>
    <v>99.79</v>
    <v>100.54600000000001</v>
    <v>101.06399999999999</v>
    <v>101.25</v>
    <v>101.73</v>
    <v>102.14</v>
    <v>104.572</v>
    <v>104.69</v>
    <v>104.224</v>
    <v>103.68600000000001</v>
    <v>105.398</v>
    <v>105.32</v>
    <v>108.77</v>
    <v>109.49</v>
    <v>109.19</v>
    <v>109.544</v>
    <v>110.39</v>
    <v>109.714</v>
    <v>109.97</v>
    <v>109.12</v>
    <v>108.258</v>
    <v>107.136</v>
    <v>108.126</v>
    <v>108.938</v>
    <v>109.084</v>
    <v>108.596</v>
    <v>108.572</v>
    <v>108.06</v>
    <v>109.43600000000001</v>
    <v>109.438</v>
    <v>109.548</v>
    <v>109.86799999999999</v>
    <v>109.834</v>
    <v>109.908</v>
    <v>109.904</v>
    <v>108.97199999999999</v>
    <v>108.566</v>
    <v>108.944</v>
    <v>108.706</v>
    <v>108.66200000000001</v>
    <v>107.804</v>
    <v>108.072</v>
    <v>107.898</v>
    <v>108.886</v>
    <v>108.812</v>
    <v>108.79600000000001</v>
    <v>109.786</v>
    <v>109.514</v>
    <v>109.33799999999999</v>
    <v>109.604</v>
    <v>110.71</v>
    <v>109.988</v>
    <v>110.304</v>
    <v>110.30200000000001</v>
    <v>110.68600000000001</v>
    <v>111.496</v>
    <v>110.806</v>
    <v>110.946</v>
    <v>111.572</v>
    <v>110.02200000000001</v>
    <v>112.074</v>
    <v>111.758</v>
    <v>111.848</v>
    <v>111.11</v>
    <v>112.06399999999999</v>
    <v>112.33799999999999</v>
    <v>112.56</v>
    <v>113.566</v>
    <v>114.04</v>
    <v>114.514</v>
    <v>114.822</v>
    <v>111.378</v>
    <v>112.67400000000001</v>
    <v>112.432</v>
    <v>112.66800000000001</v>
    <v>112.902</v>
    <v>113.22799999999999</v>
    <v>113.93</v>
    <v>113.946</v>
    <v>114.086</v>
    <v>114.658</v>
    <v>114.548</v>
    <v>114.51</v>
    <v>113.886</v>
    <v>114.316</v>
    <v>114.94</v>
    <v>114.84</v>
    <v>114.592</v>
    <v>115.53400000000001</v>
    <v>115.20399999999999</v>
    <v>114.36799999999999</v>
    <v>114.688</v>
    <v>113.44199999999999</v>
    <v>114.19799999999999</v>
    <v>115.11199999999999</v>
    <v>114.334</v>
    <v>115.05200000000001</v>
    <v>115.098</v>
    <v>115.702</v>
    <v>116.438</v>
    <v>116.482</v>
    <v>116.61</v>
    <v>115.646</v>
    <v>115.56</v>
    <v>116.88800000000001</v>
    <v>116.956</v>
    <v>117.23399999999999</v>
    <v>117.32</v>
    <v>117.148</v>
    <v>117.01600000000001</v>
    <v>117.124</v>
    <v>117.452</v>
    <v>117.30200000000001</v>
    <v>118.13800000000001</v>
    <v>118.56</v>
    <v>119.07599999999999</v>
    <v>119.494</v>
    <v>119.312</v>
    <v>120.348</v>
    <v>120.41200000000001</v>
    <v>118.012</v>
    <v>118.902</v>
    <v>118.306</v>
    <v>119.102</v>
    <v>118.934</v>
    <v>117.73399999999999</v>
    <v>119.72</v>
    <v>120.214</v>
    <v>119.518</v>
    <v>120.02200000000001</v>
    <v>120.89</v>
    <v>121.754</v>
    <v>121.976</v>
    <v>122.188</v>
    <v>122.35599999999999</v>
    <v>122.23</v>
    <v>122.422</v>
    <v>121.94799999999999</v>
    <v>122.172</v>
    <v>120.46599999999999</v>
    <v>118.90600000000001</v>
    <v>121.214</v>
    <v>121.678</v>
    <v>122.386</v>
    <v>120.806</v>
    <v>120.53400000000001</v>
    <v>120.012</v>
    <v>118.416</v>
    <v>118.75</v>
    <v>119.548</v>
    <v>118.25</v>
    <v>119.762</v>
    <v>120.062</v>
    <v>121.508</v>
    <v>121.404</v>
    <v>121.86</v>
    <v>121.39400000000001</v>
    <v>121.378</v>
    <v>121.44799999999999</v>
    <v>121.694</v>
    <v>122.16</v>
    <v>121.958</v>
    <v>122.104</v>
    <v>121.83199999999999</v>
    <v>121.374</v>
    <v>120.672</v>
    <v>120.76600000000001</v>
    <v>119.958</v>
    <v>119.46599999999999</v>
    <v>120.782</v>
    <v>121.30800000000001</v>
    <v>121.55200000000001</v>
    <v>121.836</v>
    <v>122</v>
    <v>122.26600000000001</v>
    <v>121.69</v>
    <v>123.264</v>
    <v>123.706</v>
    <v>124.074</v>
    <v>123.858</v>
    <v>124.884</v>
    <v>124.79600000000001</v>
    <v>125.006</v>
    <v>124.276</v>
    <v>125.744</v>
    <v>125.532</v>
    <v>123.76600000000001</v>
    <v>122.68600000000001</v>
    <v>122.77800000000001</v>
    <v>123.56399999999999</v>
    <v>123.33799999999999</v>
    <v>122.922</v>
    <v>122.73399999999999</v>
    <v>122.84</v>
    <v>121.85599999999999</v>
    <v>122.78400000000001</v>
    <v>124.06</v>
    <v>123.538</v>
    <v>123.21599999999999</v>
    <v>122.054</v>
    <v>123.176</v>
    <v>123.84399999999999</v>
    <v>124.044</v>
    <v>124.086</v>
    <v>122.858</v>
    <v>122.78400000000001</v>
    <v>122.53400000000001</v>
    <v>122.83799999999999</v>
    <v>124.23399999999999</v>
    <v>124.044</v>
    <v>124.398</v>
    <v>123.46</v>
    <v>124.002</v>
    <v>124.992</v>
    <v>124.71</v>
    <v>124.148</v>
    <v>124.526</v>
    <v>123.164</v>
    <v>124.494</v>
    <v>123.80800000000001</v>
    <v>122.42400000000001</v>
    <v>121.896</v>
    <v>123.548</v>
    <v>123.15</v>
    <v>122.502</v>
    <v>122.30200000000001</v>
    <v>122.65600000000001</v>
    <v>122.916</v>
    <v>122.184</v>
    <v>120.152</v>
    <v>118.946</v>
    <v>119.376</v>
    <v>119.43</v>
    <v>120.47199999999999</v>
    <v>119.212</v>
    <v>117.59</v>
    <v>118.304</v>
    <v>118.20399999999999</v>
    <v>120.658</v>
    <v>120.71</v>
    <v>119.976</v>
    <v>123.114</v>
    <v>123.252</v>
    <v>123.578</v>
    <v>123.52800000000001</v>
    <v>124.884</v>
    <v>125.352</v>
    <v>126.098</v>
    <v>127.592</v>
    <v>127.11799999999999</v>
    <v>127.012</v>
    <v>127.512</v>
    <v>127.968</v>
    <v>127.694</v>
    <v>127.52800000000001</v>
    <v>127.126</v>
    <v>127.19</v>
    <v>128.02000000000001</v>
    <v>128.434</v>
    <v>129.27799999999999</v>
    <v>130.82400000000001</v>
    <v>130.822</v>
    <v>130.73599999999999</v>
    <v>131.15799999999999</v>
    <v>130.34200000000001</v>
    <v>131.75399999999999</v>
    <v>133.55000000000001</v>
    <v>132.43</v>
    <v>131.726</v>
    <v>131.63399999999999</v>
    <v>132.81</v>
    <v>132.96199999999999</v>
    <v>134.35</v>
    <v>135.15799999999999</v>
    <v>134.74799999999999</v>
    <v>134.488</v>
    <v>134.76599999999999</v>
    <v>135.018</v>
    <v>135.428</v>
    <v>135.982</v>
    <v>135.56800000000001</v>
    <v>135.59</v>
    <v>134.92599999999999</v>
    <v>134.27600000000001</v>
    <v>132.26599999999999</v>
    <v>132.13399999999999</v>
    <v>132.286</v>
    <v>134.35599999999999</v>
    <v>135.976</v>
    <v>135.864</v>
    <v>135.91999999999999</v>
    <v>136.43600000000001</v>
    <v>136.6</v>
    <v>136.804</v>
    <v>135.62200000000001</v>
    <v>136.5</v>
    <v>135.768</v>
    <v>135.35400000000001</v>
    <v>135.57599999999999</v>
    <v>136.93199999999999</v>
    <v>137.756</v>
    <v>137.05600000000001</v>
    <v>137.624</v>
    <v>138.25</v>
    <v>137.21600000000001</v>
    <v>136.196</v>
    <v>137.54599999999999</v>
    <v>138.08199999999999</v>
    <v>138.24</v>
    <v>137.97399999999999</v>
    <v>138.20599999999999</v>
    <v>138.178</v>
    <v>136.61799999999999</v>
    <v>137.08000000000001</v>
    <v>137.578</v>
    <v>137.86600000000001</v>
    <v>136.14400000000001</v>
    <v>137.09399999999999</v>
    <v>136.52799999999999</v>
    <v>136.94999999999999</v>
    <v>135.99799999999999</v>
    <v>135.334</v>
    <v>135.97</v>
    <v>138.03399999999999</v>
    <v>139.84399999999999</v>
    <v>140.30000000000001</v>
    <v>140.202</v>
    <v>140.762</v>
    <v>140.87200000000001</v>
    <v>140.83799999999999</v>
    <v>140.91399999999999</v>
    <v>141.58799999999999</v>
    <v>140.99600000000001</v>
    <v>140.81399999999999</v>
    <v>139.464</v>
    <v>138.96799999999999</v>
    <v>138.08600000000001</v>
    <v>138.452</v>
    <v>138.126</v>
    <v>138.416</v>
    <v>138.602</v>
    <v>139.142</v>
    <v>140.31800000000001</v>
    <v>138.75200000000001</v>
    <v>138.506</v>
    <v>138.78800000000001</v>
    <v>139.886</v>
    <v>139.43600000000001</v>
    <v>139.35</v>
    <v>139.11600000000001</v>
    <v>137.964</v>
    <v>137.304</v>
    <v>138.626</v>
    <v>138.386</v>
    <v>137.672</v>
    <v>138.38399999999999</v>
    <v>139.41800000000001</v>
    <v>138.994</v>
    <v>140.702</v>
    <v>141.6</v>
    <v>141.27600000000001</v>
    <v>140.506</v>
    <v>141.108</v>
    <v>140.71199999999999</v>
    <v>140.87</v>
    <v>141.33000000000001</v>
    <v>141</v>
    <v>142.398</v>
    <v>143.64599999999999</v>
    <v>144.25399999999999</v>
    <v>143.83600000000001</v>
    <v>143.33199999999999</v>
    <v>144.048</v>
    <v>144.78800000000001</v>
    <v>144.16</v>
    <v>144.25399999999999</v>
    <v>143.072</v>
    <v>142.89599999999999</v>
    <v>143.02600000000001</v>
    <v>142.81200000000001</v>
    <v>143.596</v>
    <v>142.17599999999999</v>
    <v>142.13399999999999</v>
  </a>
  <a r="1" c="205">
    <v>197.15</v>
    <v>196.02</v>
    <v>197.66</v>
    <v>198</v>
    <v>202.81</v>
    <v>186.96</v>
    <v>182.78</v>
    <v>186.39</v>
    <v>188.71</v>
    <v>188.39</v>
    <v>184.14</v>
    <v>184.17</v>
    <v>177.42</v>
    <v>169.97</v>
    <v>173.3</v>
    <v>173.44</v>
    <v>189.35</v>
    <v>205.95</v>
    <v>184.88</v>
    <v>180.39</v>
    <v>177.35</v>
    <v>182.42</v>
    <v>170.31</v>
    <v>166.88</v>
    <v>163.05000000000001</v>
    <v>173.21</v>
    <v>173.75</v>
    <v>179.98</v>
    <v>189.41</v>
    <v>185.17</v>
    <v>195.85</v>
    <v>193.68</v>
    <v>191.44</v>
    <v>192.64</v>
    <v>177.14</v>
    <v>160.19</v>
    <v>163.81</v>
    <v>171.8</v>
    <v>174.66</v>
    <v>172.19</v>
    <v>181.02</v>
    <v>178.91</v>
    <v>185.89</v>
    <v>192.31</v>
    <v>195.19</v>
    <v>201.48</v>
    <v>207.49</v>
    <v>213</v>
    <v>212.11</v>
    <v>212.45</v>
    <v>207.33</v>
    <v>211.52</v>
    <v>225.48</v>
    <v>221.36</v>
    <v>215.42</v>
    <v>220.65</v>
    <v>213.15</v>
    <v>218</v>
    <v>210.13</v>
    <v>203.02</v>
    <v>194.63</v>
    <v>206.34</v>
    <v>205.43</v>
    <v>211.69</v>
    <v>211.78</v>
    <v>216.29</v>
    <v>211.25</v>
    <v>193.05</v>
    <v>166.99</v>
    <v>184.02</v>
    <v>178.65</v>
    <v>190.13</v>
    <v>197.38</v>
    <v>200.99</v>
    <v>204.81</v>
    <v>207.67</v>
    <v>207.56</v>
    <v>205</v>
    <v>207.07</v>
    <v>212.36</v>
    <v>208.5</v>
    <v>211.97</v>
    <v>204.97</v>
    <v>217.5</v>
    <v>224.17</v>
    <v>244.43</v>
    <v>248.59</v>
    <v>256.79000000000002</v>
    <v>196.13</v>
    <v>193.52</v>
    <v>186.79</v>
    <v>192.62</v>
    <v>199.81</v>
    <v>197.56</v>
    <v>201.75</v>
    <v>206.73</v>
    <v>210.13</v>
    <v>212.65</v>
    <v>216.17</v>
    <v>217.54</v>
    <v>209.22</v>
    <v>228.11</v>
    <v>241.82</v>
    <v>270.82</v>
    <v>272.66000000000003</v>
    <v>265.33</v>
    <v>268.64</v>
    <v>250.11</v>
    <v>247.79</v>
    <v>236.13</v>
    <v>219.67</v>
    <v>227.44</v>
    <v>228.48</v>
    <v>235.71</v>
    <v>230.97</v>
    <v>226.87</v>
    <v>224.06</v>
    <v>218.38</v>
    <v>224.94</v>
    <v>223.48</v>
    <v>226.65</v>
    <v>237.24</v>
    <v>243.76</v>
    <v>245.28</v>
    <v>246.31</v>
    <v>242.41</v>
    <v>247.55</v>
    <v>268.83</v>
    <v>273.39999999999998</v>
    <v>275.8</v>
    <v>268.39999999999998</v>
    <v>269.52999999999997</v>
    <v>281.75</v>
    <v>273.04000000000002</v>
    <v>272.45999999999998</v>
    <v>277.66000000000003</v>
    <v>272.42</v>
    <v>272.31</v>
    <v>268.98</v>
    <v>262.32</v>
    <v>262.14999999999998</v>
    <v>265.61</v>
    <v>264.10000000000002</v>
    <v>270.38</v>
    <v>283.39</v>
    <v>278.98</v>
    <v>282.74</v>
    <v>301.33</v>
    <v>292.95999999999998</v>
    <v>284.43</v>
    <v>300.27</v>
    <v>310.58999999999997</v>
    <v>306.97000000000003</v>
    <v>311.45</v>
    <v>330.83</v>
    <v>315.77999999999997</v>
    <v>307.01</v>
    <v>301.36</v>
    <v>291.88</v>
    <v>278.91000000000003</v>
    <v>293.14</v>
    <v>280.35000000000002</v>
    <v>277.58</v>
    <v>284.89</v>
    <v>308.23</v>
    <v>299.83999999999997</v>
    <v>305.11</v>
    <v>285.51</v>
    <v>272.74</v>
    <v>284.51</v>
    <v>278.92</v>
    <v>284.3</v>
    <v>314.18</v>
    <v>311.17</v>
    <v>306.52999999999997</v>
    <v>330.36</v>
    <v>327.23</v>
    <v>324.64999999999998</v>
    <v>333.94</v>
    <v>323.60000000000002</v>
    <v>351.67</v>
    <v>353</v>
    <v>352.33</v>
    <v>358.82</v>
    <v>349.02</v>
    <v>353.99</v>
    <v>352.26</v>
    <v>347.28</v>
    <v>351</v>
    <v>349.07</v>
    <v>359.49</v>
    <v>355.01</v>
    <v>342.97</v>
    <v>341.89</v>
    <v>360.93</v>
    <v>350.87</v>
    <v>347.7</v>
    <v>324.33</v>
    <v>316.32</v>
    <v>296.3</v>
    <v>297.58</v>
    <v>291.69</v>
    <v>307.22000000000003</v>
    <v>303.61</v>
    <v>325.73</v>
  </a>
  <a r="1" c="754">
    <v>58.7</v>
    <v>59.63</v>
    <v>56.49</v>
    <v>55.53</v>
    <v>55.35</v>
    <v>55.88</v>
    <v>56.69</v>
    <v>54.95</v>
    <v>56.58</v>
    <v>64.42</v>
    <v>63.11</v>
    <v>66</v>
    <v>64.58</v>
    <v>62.18</v>
    <v>63.08</v>
    <v>63.89</v>
    <v>70.61</v>
    <v>70.81</v>
    <v>70.7</v>
    <v>72.69</v>
    <v>72.81</v>
    <v>73.849999999999994</v>
    <v>73.680000000000007</v>
    <v>73.400000000000006</v>
    <v>73.95</v>
    <v>74.540000000000006</v>
    <v>78.31</v>
    <v>77.150000000000006</v>
    <v>78.78</v>
    <v>79.819999999999993</v>
    <v>77.95</v>
    <v>76.66</v>
    <v>76.8</v>
    <v>77.52</v>
    <v>77.819999999999993</v>
    <v>78.19</v>
    <v>80.38</v>
    <v>84.66</v>
    <v>85.05</v>
    <v>84.7</v>
    <v>85.51</v>
    <v>82.83</v>
    <v>84.85</v>
    <v>84.32</v>
    <v>85.76</v>
    <v>85.55</v>
    <v>84.68</v>
    <v>83.26</v>
    <v>79.349999999999994</v>
    <v>76.39</v>
    <v>76.83</v>
    <v>76.28</v>
    <v>79.64</v>
    <v>81.63</v>
    <v>80.97</v>
    <v>80.819999999999993</v>
    <v>79.37</v>
    <v>78.45</v>
    <v>77.069999999999993</v>
    <v>77.959999999999994</v>
    <v>81.349999999999994</v>
    <v>84.68</v>
    <v>83.93</v>
    <v>82.33</v>
    <v>81.86</v>
    <v>80.180000000000007</v>
    <v>84.3</v>
    <v>82.96</v>
    <v>79.05</v>
    <v>79.59</v>
    <v>82.65</v>
    <v>80.819999999999993</v>
    <v>81.59</v>
    <v>83.35</v>
    <v>90.31</v>
    <v>107.92</v>
    <v>105.62</v>
    <v>99.88</v>
    <v>104.37</v>
    <v>101.22</v>
    <v>98.52</v>
    <v>97.99</v>
    <v>95.09</v>
    <v>99.47</v>
    <v>98.45</v>
    <v>99.08</v>
    <v>98.25</v>
    <v>97.48</v>
    <v>98.54</v>
    <v>99.92</v>
    <v>100.88</v>
    <v>95.97</v>
    <v>97.49</v>
    <v>100.75</v>
    <v>97.99</v>
    <v>97.06</v>
    <v>96.75</v>
    <v>95.9</v>
    <v>94.21</v>
    <v>91.6</v>
    <v>94.64</v>
    <v>95.17</v>
    <v>97.98</v>
    <v>96.41</v>
    <v>96.57</v>
    <v>96.08</v>
    <v>99.07</v>
    <v>96.55</v>
    <v>96.83</v>
    <v>95.66</v>
    <v>94.97</v>
    <v>94.67</v>
    <v>93.25</v>
    <v>96.16</v>
    <v>95.33</v>
    <v>97</v>
    <v>94.83</v>
    <v>96.08</v>
    <v>93.76</v>
    <v>90.34</v>
    <v>91.04</v>
    <v>88</v>
    <v>86.71</v>
    <v>84.1</v>
    <v>84.69</v>
    <v>87.88</v>
    <v>87.68</v>
    <v>86.76</v>
    <v>88.01</v>
    <v>89.65</v>
    <v>87.4</v>
    <v>88.04</v>
    <v>88.97</v>
    <v>74.400000000000006</v>
    <v>74.3</v>
    <v>74.13</v>
    <v>72.45</v>
    <v>73.34</v>
    <v>71.92</v>
    <v>73.569999999999993</v>
    <v>73.349999999999994</v>
    <v>74.25</v>
    <v>75.14</v>
    <v>75.23</v>
    <v>75.62</v>
    <v>74.38</v>
    <v>74.98</v>
    <v>73.62</v>
    <v>74.19</v>
    <v>73.87</v>
    <v>75.2</v>
    <v>67.98</v>
    <v>67.69</v>
    <v>67.430000000000007</v>
    <v>68.02</v>
    <v>69.849999999999994</v>
    <v>71.25</v>
    <v>70.73</v>
    <v>71.72</v>
    <v>72.63</v>
    <v>75.42</v>
    <v>73.510000000000005</v>
    <v>75.59</v>
    <v>77.680000000000007</v>
    <v>79.08</v>
    <v>78.45</v>
    <v>77.94</v>
    <v>78.599999999999994</v>
    <v>80.66</v>
    <v>79.28</v>
    <v>81.790000000000006</v>
    <v>82.83</v>
    <v>83.95</v>
    <v>85.05</v>
    <v>84.53</v>
    <v>86.96</v>
    <v>84.88</v>
    <v>82.58</v>
    <v>82.37</v>
    <v>82.02</v>
    <v>82.21</v>
    <v>83.43</v>
    <v>83.95</v>
    <v>80.58</v>
    <v>78.52</v>
    <v>78.66</v>
    <v>78.66</v>
    <v>80.97</v>
    <v>76</v>
    <v>78.040000000000006</v>
    <v>78.06</v>
    <v>77.37</v>
    <v>76.03</v>
    <v>77.5</v>
    <v>74.400000000000006</v>
    <v>79.459999999999994</v>
    <v>77.7</v>
    <v>76.239999999999995</v>
    <v>76.37</v>
    <v>76.819999999999993</v>
    <v>77.709999999999994</v>
    <v>76.63</v>
    <v>81.75</v>
    <v>81.459999999999994</v>
    <v>82.16</v>
    <v>82.38</v>
    <v>84.07</v>
    <v>82.33</v>
    <v>82.37</v>
    <v>80.63</v>
    <v>82.39</v>
    <v>81.64</v>
    <v>81.260000000000005</v>
    <v>79.849999999999994</v>
    <v>81.28</v>
    <v>82.14</v>
    <v>78.11</v>
    <v>78.03</v>
    <v>78.400000000000006</v>
    <v>76.05</v>
    <v>76.239999999999995</v>
    <v>76.81</v>
    <v>78.56</v>
    <v>78.86</v>
    <v>78.59</v>
    <v>79.930000000000007</v>
    <v>79.11</v>
    <v>78.09</v>
    <v>82.83</v>
    <v>82.45</v>
    <v>85.61</v>
    <v>85.5</v>
    <v>83.41</v>
    <v>82.36</v>
    <v>81.59</v>
    <v>80.89</v>
    <v>78.11</v>
    <v>79.34</v>
    <v>79.430000000000007</v>
    <v>83.43</v>
    <v>80.489999999999995</v>
    <v>81.760000000000005</v>
    <v>84.95</v>
    <v>92.46</v>
    <v>93.47</v>
    <v>93.75</v>
    <v>93.8</v>
    <v>91.34</v>
    <v>90.4</v>
    <v>90.8</v>
    <v>90.74</v>
    <v>88.46</v>
    <v>87.64</v>
    <v>89.57</v>
    <v>88.76</v>
    <v>87.94</v>
    <v>89.52</v>
    <v>89.85</v>
    <v>87.71</v>
    <v>87.55</v>
    <v>86.49</v>
    <v>87.71</v>
    <v>92.51</v>
    <v>95.66</v>
    <v>91.25</v>
    <v>93.23</v>
    <v>90.91</v>
    <v>94.16</v>
    <v>91.93</v>
    <v>89.77</v>
    <v>92.29</v>
    <v>96.37</v>
    <v>96.47</v>
    <v>104.24</v>
    <v>104.23</v>
    <v>103.73</v>
    <v>102.23</v>
    <v>99.37</v>
    <v>99.83</v>
    <v>105.05</v>
    <v>104.91</v>
    <v>110.72</v>
    <v>110.46</v>
    <v>112.96</v>
    <v>113.87</v>
    <v>111.2</v>
    <v>114.51</v>
    <v>114.89</v>
    <v>113.6</v>
    <v>114.65</v>
    <v>117.56</v>
    <v>109.1</v>
    <v>108.58</v>
    <v>112.69</v>
    <v>111.58</v>
    <v>112.58</v>
    <v>112.61</v>
    <v>110.61</v>
    <v>109.03</v>
    <v>107.68</v>
    <v>112.54</v>
    <v>114.73</v>
    <v>113.99</v>
    <v>113.67</v>
    <v>115.7</v>
    <v>112.62</v>
    <v>110.71</v>
    <v>112</v>
    <v>114.48</v>
    <v>114.82</v>
    <v>117.16</v>
    <v>119.85</v>
    <v>123.09</v>
    <v>123.93</v>
    <v>125.12</v>
    <v>126.47</v>
    <v>139.97999999999999</v>
    <v>136.44</v>
    <v>137.26</v>
    <v>138.4</v>
    <v>136.84</v>
    <v>140.13999999999999</v>
    <v>144.29</v>
    <v>141.52000000000001</v>
    <v>166.66</v>
    <v>172.49</v>
    <v>172.55</v>
    <v>172.83</v>
    <v>176.5</v>
    <v>171.16</v>
    <v>168.81</v>
    <v>160.59</v>
    <v>156.38</v>
    <v>151.96</v>
    <v>148</v>
    <v>143.13999999999999</v>
    <v>144.91999999999999</v>
    <v>140.72</v>
    <v>145.30000000000001</v>
    <v>142.91</v>
    <v>140.93</v>
    <v>143.75</v>
    <v>131.02000000000001</v>
    <v>126.75</v>
    <v>116.61</v>
    <v>120.07</v>
    <v>119.4</v>
    <v>113.7</v>
    <v>116.15</v>
    <v>116.02</v>
    <v>115.12</v>
    <v>117.58</v>
    <v>117.94</v>
    <v>119.22</v>
    <v>123.93</v>
    <v>127.5</v>
    <v>121.15</v>
    <v>118.57</v>
    <v>114.92</v>
    <v>112.69</v>
    <v>115.66</v>
    <v>119.55</v>
    <v>107.39</v>
    <v>97.08</v>
    <v>98.36</v>
    <v>97.45</v>
    <v>112.56</v>
    <v>105.5</v>
    <v>106.25</v>
    <v>107.12</v>
    <v>109.14</v>
    <v>109.55</v>
    <v>107.9</v>
    <v>102.11</v>
    <v>106.81</v>
    <v>112.8</v>
    <v>118.87</v>
    <v>121</v>
    <v>121</v>
    <v>122.23</v>
    <v>120.78</v>
    <v>122.61</v>
    <v>124.23</v>
    <v>124.64</v>
    <v>122.29</v>
    <v>121.71</v>
    <v>124.31</v>
    <v>132.34</v>
    <v>142.36000000000001</v>
    <v>150.36000000000001</v>
    <v>154.49</v>
    <v>152.80000000000001</v>
    <v>157.19</v>
    <v>157.52000000000001</v>
    <v>157.41999999999999</v>
    <v>156.52000000000001</v>
    <v>158.21</v>
    <v>158.04</v>
    <v>161.76</v>
    <v>161.97999999999999</v>
    <v>164.16</v>
    <v>165.89</v>
    <v>169.7</v>
    <v>172.57</v>
    <v>170.92</v>
    <v>176.33</v>
    <v>179.67</v>
    <v>177.8</v>
    <v>179.34</v>
    <v>179.71</v>
    <v>170.81</v>
    <v>171.97</v>
    <v>179.27</v>
    <v>181.23</v>
    <v>181.4</v>
    <v>179.3</v>
    <v>183.87</v>
    <v>186.43</v>
    <v>190.12</v>
    <v>190.96</v>
    <v>194.05</v>
    <v>195.83</v>
    <v>184.95</v>
    <v>185.64</v>
    <v>191.27</v>
    <v>192.85</v>
    <v>192.81</v>
    <v>193.49</v>
    <v>181.92</v>
    <v>181.39</v>
    <v>182.9</v>
    <v>186.97</v>
    <v>189.81</v>
    <v>191.25</v>
    <v>197.35</v>
    <v>197.76</v>
    <v>190.55</v>
    <v>189.15</v>
    <v>191.58</v>
    <v>198.42</v>
    <v>199.41</v>
    <v>199.43</v>
    <v>200.85</v>
    <v>207.68</v>
    <v>200.11</v>
    <v>208.8</v>
    <v>207.81</v>
    <v>215.53</v>
    <v>210.44</v>
    <v>204.6</v>
    <v>201.17</v>
    <v>202.33</v>
    <v>199.34</v>
    <v>195.38</v>
    <v>200.91</v>
    <v>202.37</v>
    <v>196.51</v>
    <v>193.2</v>
    <v>192.77</v>
    <v>196.17</v>
    <v>195.88</v>
    <v>198.55</v>
    <v>205.24</v>
    <v>213.42</v>
    <v>208.71</v>
    <v>208.05</v>
    <v>205.71</v>
    <v>209.98</v>
    <v>214.43</v>
    <v>217.92</v>
    <v>218.56</v>
    <v>222.97</v>
    <v>224.64</v>
    <v>221.32</v>
    <v>226.01</v>
    <v>219.24</v>
    <v>213.88</v>
    <v>223.57</v>
    <v>225.94</v>
    <v>228.28</v>
    <v>223.26</v>
    <v>217.57</v>
    <v>218.2</v>
    <v>216.34</v>
    <v>218.58</v>
    <v>214.59</v>
    <v>217.06</v>
    <v>224.56</v>
    <v>216.67</v>
    <v>221.03</v>
    <v>217.39</v>
    <v>220</v>
    <v>220.95</v>
    <v>213.82</v>
    <v>222.56</v>
    <v>217.55</v>
    <v>217.38</v>
    <v>211.4</v>
    <v>210.01</v>
    <v>213.04</v>
    <v>212.98</v>
    <v>210.73</v>
    <v>217.16</v>
    <v>217.85</v>
    <v>225.11</v>
    <v>223.99</v>
    <v>227.38</v>
    <v>222.5</v>
    <v>253.3</v>
    <v>248.11</v>
    <v>232.91</v>
    <v>228.51</v>
    <v>225.9</v>
    <v>232.81</v>
    <v>240.53</v>
    <v>234.95</v>
    <v>225.68</v>
    <v>213.54</v>
    <v>210.6</v>
    <v>202.25</v>
    <v>196.53</v>
    <v>196.2</v>
    <v>191.39</v>
    <v>186.38</v>
    <v>193.99</v>
    <v>197.49</v>
    <v>196.99</v>
    <v>200.21</v>
    <v>197.2</v>
    <v>201.26</v>
    <v>204.35</v>
    <v>204.15</v>
    <v>200.95</v>
    <v>205.86</v>
    <v>208.93</v>
    <v>213.46</v>
    <v>207.95</v>
    <v>202.44</v>
    <v>196.7</v>
    <v>197.53</v>
    <v>191.43</v>
    <v>193.83</v>
    <v>195.68</v>
    <v>202.06</v>
    <v>202.08</v>
    <v>202.66</v>
    <v>202.39</v>
    <v>200.7</v>
    <v>199.62</v>
    <v>197.15</v>
    <v>196.02</v>
    <v>197.66</v>
    <v>198</v>
    <v>202.81</v>
    <v>186.96</v>
    <v>182.78</v>
    <v>186.39</v>
    <v>188.71</v>
    <v>188.39</v>
    <v>184.14</v>
    <v>184.17</v>
    <v>177.42</v>
    <v>169.97</v>
    <v>173.3</v>
    <v>173.44</v>
    <v>189.35</v>
    <v>205.95</v>
    <v>184.88</v>
    <v>180.39</v>
    <v>177.35</v>
    <v>182.42</v>
    <v>170.31</v>
    <v>166.88</v>
    <v>163.05000000000001</v>
    <v>173.21</v>
    <v>173.75</v>
    <v>179.98</v>
    <v>189.41</v>
    <v>185.17</v>
    <v>195.85</v>
    <v>193.68</v>
    <v>191.44</v>
    <v>192.64</v>
    <v>177.14</v>
    <v>160.19</v>
    <v>163.81</v>
    <v>171.8</v>
    <v>174.66</v>
    <v>172.19</v>
    <v>181.02</v>
    <v>178.91</v>
    <v>185.89</v>
    <v>192.31</v>
    <v>195.19</v>
    <v>201.48</v>
    <v>207.49</v>
    <v>213</v>
    <v>212.11</v>
    <v>212.45</v>
    <v>207.33</v>
    <v>211.52</v>
    <v>225.48</v>
    <v>221.36</v>
    <v>215.42</v>
    <v>220.65</v>
    <v>213.15</v>
    <v>218</v>
    <v>210.13</v>
    <v>203.02</v>
    <v>194.63</v>
    <v>206.34</v>
    <v>205.43</v>
    <v>211.69</v>
    <v>211.78</v>
    <v>216.29</v>
    <v>211.25</v>
    <v>193.05</v>
    <v>166.99</v>
    <v>184.02</v>
    <v>178.65</v>
    <v>190.13</v>
    <v>197.38</v>
    <v>200.99</v>
    <v>204.81</v>
    <v>207.67</v>
    <v>207.56</v>
    <v>205</v>
    <v>207.07</v>
    <v>212.36</v>
    <v>208.5</v>
    <v>211.97</v>
    <v>204.97</v>
    <v>217.5</v>
    <v>224.17</v>
    <v>244.43</v>
    <v>248.59</v>
    <v>256.79000000000002</v>
    <v>196.13</v>
    <v>193.52</v>
    <v>186.79</v>
    <v>192.62</v>
    <v>199.81</v>
    <v>197.56</v>
    <v>201.75</v>
    <v>206.73</v>
    <v>210.13</v>
    <v>212.65</v>
    <v>216.17</v>
    <v>217.54</v>
    <v>209.22</v>
    <v>228.11</v>
    <v>241.82</v>
    <v>270.82</v>
    <v>272.66000000000003</v>
    <v>265.33</v>
    <v>268.64</v>
    <v>250.11</v>
    <v>247.79</v>
    <v>236.13</v>
    <v>219.67</v>
    <v>227.44</v>
    <v>228.48</v>
    <v>235.71</v>
    <v>230.97</v>
    <v>226.87</v>
    <v>224.06</v>
    <v>218.38</v>
    <v>224.94</v>
    <v>223.48</v>
    <v>226.65</v>
    <v>237.24</v>
    <v>243.76</v>
    <v>245.28</v>
    <v>246.31</v>
    <v>242.41</v>
    <v>247.55</v>
    <v>268.83</v>
    <v>273.39999999999998</v>
    <v>275.8</v>
    <v>268.39999999999998</v>
    <v>269.52999999999997</v>
    <v>281.75</v>
    <v>273.04000000000002</v>
    <v>272.45999999999998</v>
    <v>277.66000000000003</v>
    <v>272.42</v>
    <v>272.31</v>
    <v>268.98</v>
    <v>262.32</v>
    <v>262.14999999999998</v>
    <v>265.61</v>
    <v>264.10000000000002</v>
    <v>270.38</v>
    <v>283.39</v>
    <v>278.98</v>
    <v>282.74</v>
    <v>301.33</v>
    <v>292.95999999999998</v>
    <v>284.43</v>
    <v>300.27</v>
    <v>310.58999999999997</v>
    <v>306.97000000000003</v>
    <v>311.45</v>
    <v>330.83</v>
    <v>315.77999999999997</v>
    <v>307.01</v>
    <v>301.36</v>
    <v>291.88</v>
    <v>278.91000000000003</v>
    <v>293.14</v>
    <v>280.35000000000002</v>
    <v>277.58</v>
    <v>284.89</v>
    <v>308.23</v>
    <v>299.83999999999997</v>
    <v>305.11</v>
    <v>285.51</v>
    <v>272.74</v>
    <v>284.51</v>
    <v>278.92</v>
    <v>284.3</v>
    <v>314.18</v>
    <v>311.17</v>
    <v>306.52999999999997</v>
    <v>330.36</v>
    <v>327.23</v>
    <v>324.64999999999998</v>
    <v>333.94</v>
    <v>323.60000000000002</v>
    <v>351.67</v>
    <v>353</v>
    <v>352.33</v>
    <v>358.82</v>
    <v>349.02</v>
    <v>353.99</v>
    <v>352.26</v>
    <v>347.28</v>
    <v>351</v>
    <v>349.07</v>
    <v>359.49</v>
    <v>355.01</v>
    <v>342.97</v>
    <v>341.89</v>
    <v>360.93</v>
    <v>350.87</v>
    <v>347.7</v>
    <v>324.33</v>
    <v>316.32</v>
    <v>296.3</v>
    <v>297.58</v>
    <v>291.69</v>
    <v>307.22000000000003</v>
    <v>303.61</v>
    <v>325.73</v>
  </a>
  <a r="1" c="252">
    <v>217.16</v>
    <v>217.85</v>
    <v>225.11</v>
    <v>223.99</v>
    <v>227.38</v>
    <v>222.5</v>
    <v>253.3</v>
    <v>248.11</v>
    <v>232.91</v>
    <v>228.51</v>
    <v>225.9</v>
    <v>232.81</v>
    <v>240.53</v>
    <v>234.95</v>
    <v>225.68</v>
    <v>213.54</v>
    <v>210.6</v>
    <v>202.25</v>
    <v>196.53</v>
    <v>196.2</v>
    <v>191.39</v>
    <v>186.38</v>
    <v>193.99</v>
    <v>197.49</v>
    <v>196.99</v>
    <v>200.21</v>
    <v>197.2</v>
    <v>201.26</v>
    <v>204.35</v>
    <v>204.15</v>
    <v>200.95</v>
    <v>205.86</v>
    <v>208.93</v>
    <v>213.46</v>
    <v>207.95</v>
    <v>202.44</v>
    <v>196.7</v>
    <v>197.53</v>
    <v>191.43</v>
    <v>193.83</v>
    <v>195.68</v>
    <v>202.06</v>
    <v>202.08</v>
    <v>202.66</v>
    <v>202.39</v>
    <v>200.7</v>
    <v>199.62</v>
    <v>197.15</v>
    <v>196.02</v>
    <v>197.66</v>
    <v>198</v>
    <v>202.81</v>
    <v>186.96</v>
    <v>182.78</v>
    <v>186.39</v>
    <v>188.71</v>
    <v>188.39</v>
    <v>184.14</v>
    <v>184.17</v>
    <v>177.42</v>
    <v>169.97</v>
    <v>173.3</v>
    <v>173.44</v>
    <v>189.35</v>
    <v>205.95</v>
    <v>184.88</v>
    <v>180.39</v>
    <v>177.35</v>
    <v>182.42</v>
    <v>170.31</v>
    <v>166.88</v>
    <v>163.05000000000001</v>
    <v>173.21</v>
    <v>173.75</v>
    <v>179.98</v>
    <v>189.41</v>
    <v>185.17</v>
    <v>195.85</v>
    <v>193.68</v>
    <v>191.44</v>
    <v>192.64</v>
    <v>177.14</v>
    <v>160.19</v>
    <v>163.81</v>
    <v>171.8</v>
    <v>174.66</v>
    <v>172.19</v>
    <v>181.02</v>
    <v>178.91</v>
    <v>185.89</v>
    <v>192.31</v>
    <v>195.19</v>
    <v>201.48</v>
    <v>207.49</v>
    <v>213</v>
    <v>212.11</v>
    <v>212.45</v>
    <v>207.33</v>
    <v>211.52</v>
    <v>225.48</v>
    <v>221.36</v>
    <v>215.42</v>
    <v>220.65</v>
    <v>213.15</v>
    <v>218</v>
    <v>210.13</v>
    <v>203.02</v>
    <v>194.63</v>
    <v>206.34</v>
    <v>205.43</v>
    <v>211.69</v>
    <v>211.78</v>
    <v>216.29</v>
    <v>211.25</v>
    <v>193.05</v>
    <v>166.99</v>
    <v>184.02</v>
    <v>178.65</v>
    <v>190.13</v>
    <v>197.38</v>
    <v>200.99</v>
    <v>204.81</v>
    <v>207.67</v>
    <v>207.56</v>
    <v>205</v>
    <v>207.07</v>
    <v>212.36</v>
    <v>208.5</v>
    <v>211.97</v>
    <v>204.97</v>
    <v>217.5</v>
    <v>224.17</v>
    <v>244.43</v>
    <v>248.59</v>
    <v>256.79000000000002</v>
    <v>196.13</v>
    <v>193.52</v>
    <v>186.79</v>
    <v>192.62</v>
    <v>199.81</v>
    <v>197.56</v>
    <v>201.75</v>
    <v>206.73</v>
    <v>210.13</v>
    <v>212.65</v>
    <v>216.17</v>
    <v>217.54</v>
    <v>209.22</v>
    <v>228.11</v>
    <v>241.82</v>
    <v>270.82</v>
    <v>272.66000000000003</v>
    <v>265.33</v>
    <v>268.64</v>
    <v>250.11</v>
    <v>247.79</v>
    <v>236.13</v>
    <v>219.67</v>
    <v>227.44</v>
    <v>228.48</v>
    <v>235.71</v>
    <v>230.97</v>
    <v>226.87</v>
    <v>224.06</v>
    <v>218.38</v>
    <v>224.94</v>
    <v>223.48</v>
    <v>226.65</v>
    <v>237.24</v>
    <v>243.76</v>
    <v>245.28</v>
    <v>246.31</v>
    <v>242.41</v>
    <v>247.55</v>
    <v>268.83</v>
    <v>273.39999999999998</v>
    <v>275.8</v>
    <v>268.39999999999998</v>
    <v>269.52999999999997</v>
    <v>281.75</v>
    <v>273.04000000000002</v>
    <v>272.45999999999998</v>
    <v>277.66000000000003</v>
    <v>272.42</v>
    <v>272.31</v>
    <v>268.98</v>
    <v>262.32</v>
    <v>262.14999999999998</v>
    <v>265.61</v>
    <v>264.10000000000002</v>
    <v>270.38</v>
    <v>283.39</v>
    <v>278.98</v>
    <v>282.74</v>
    <v>301.33</v>
    <v>292.95999999999998</v>
    <v>284.43</v>
    <v>300.27</v>
    <v>310.58999999999997</v>
    <v>306.97000000000003</v>
    <v>311.45</v>
    <v>330.83</v>
    <v>315.77999999999997</v>
    <v>307.01</v>
    <v>301.36</v>
    <v>291.88</v>
    <v>278.91000000000003</v>
    <v>293.14</v>
    <v>280.35000000000002</v>
    <v>277.58</v>
    <v>284.89</v>
    <v>308.23</v>
    <v>299.83999999999997</v>
    <v>305.11</v>
    <v>285.51</v>
    <v>272.74</v>
    <v>284.51</v>
    <v>278.92</v>
    <v>284.3</v>
    <v>314.18</v>
    <v>311.17</v>
    <v>306.52999999999997</v>
    <v>330.36</v>
    <v>327.23</v>
    <v>324.64999999999998</v>
    <v>333.94</v>
    <v>323.60000000000002</v>
    <v>351.67</v>
    <v>353</v>
    <v>352.33</v>
    <v>358.82</v>
    <v>349.02</v>
    <v>353.99</v>
    <v>352.26</v>
    <v>347.28</v>
    <v>351</v>
    <v>349.07</v>
    <v>359.49</v>
    <v>355.01</v>
    <v>342.97</v>
    <v>341.89</v>
    <v>360.93</v>
    <v>350.87</v>
    <v>347.7</v>
    <v>324.33</v>
    <v>316.32</v>
    <v>296.3</v>
    <v>297.58</v>
    <v>291.69</v>
    <v>307.22000000000003</v>
    <v>303.61</v>
    <v>325.73</v>
  </a>
  <a r="1" c="205">
    <v>186.5</v>
    <v>188.85</v>
    <v>188.12</v>
    <v>187.24</v>
    <v>189.11</v>
    <v>185.04</v>
    <v>184.86</v>
    <v>184.94</v>
    <v>185.81</v>
    <v>183.14</v>
    <v>187.05</v>
    <v>186.23</v>
    <v>178.07</v>
    <v>183.32</v>
    <v>184.84</v>
    <v>187.67</v>
    <v>186.47</v>
    <v>188.52</v>
    <v>191.52</v>
    <v>192.51</v>
    <v>191.13</v>
    <v>185.61</v>
    <v>180.34</v>
    <v>174.19</v>
    <v>171.88</v>
    <v>185.41</v>
    <v>190.04</v>
    <v>188.54</v>
    <v>190.05</v>
    <v>186.94</v>
    <v>182.81</v>
    <v>184.97</v>
    <v>187.98</v>
    <v>187.9</v>
    <v>189.82</v>
    <v>191.55</v>
    <v>192.85</v>
    <v>195.56</v>
    <v>184.89</v>
    <v>177.19</v>
    <v>182.48</v>
    <v>180.05</v>
    <v>183.04</v>
    <v>183.34</v>
    <v>177.82</v>
    <v>182.65</v>
    <v>184.77</v>
    <v>186.03</v>
    <v>183.14</v>
    <v>180.25</v>
    <v>183.22</v>
    <v>181.93</v>
    <v>180.4</v>
    <v>178.56</v>
    <v>172.7</v>
    <v>175.64</v>
    <v>175.2</v>
    <v>178.68</v>
    <v>171.24</v>
    <v>167.52</v>
    <v>165.17</v>
    <v>174.4</v>
    <v>175.75</v>
    <v>177.39</v>
    <v>177.64</v>
    <v>178.1</v>
    <v>182.08</v>
    <v>183.91</v>
    <v>188.63</v>
    <v>189.31</v>
    <v>196.51</v>
    <v>198.87</v>
    <v>198.35</v>
    <v>201.68</v>
    <v>202.06</v>
    <v>199.88</v>
    <v>202.5</v>
    <v>199.64</v>
    <v>208.27</v>
    <v>216.61</v>
    <v>213.17</v>
    <v>209.25</v>
    <v>199.57</v>
    <v>198.45</v>
    <v>198.48</v>
    <v>196.5</v>
    <v>207.83</v>
    <v>211.5</v>
    <v>215.2</v>
    <v>219.44</v>
    <v>220.78</v>
    <v>225.83</v>
    <v>235.74</v>
    <v>225.32</v>
    <v>222.32</v>
    <v>220.61</v>
    <v>223.47</v>
    <v>219.51</v>
    <v>215.33</v>
    <v>214.86</v>
    <v>212.6</v>
    <v>214.25</v>
    <v>211.14</v>
    <v>224.36</v>
    <v>222.82</v>
    <v>214.75</v>
    <v>218.66</v>
    <v>205.1</v>
    <v>208.64</v>
    <v>208.19</v>
    <v>200.42</v>
    <v>204.87</v>
    <v>205.19</v>
    <v>212.45</v>
    <v>207.41</v>
    <v>204.65</v>
    <v>210.69</v>
    <v>208.65</v>
    <v>200.04</v>
    <v>199</v>
    <v>195.74</v>
    <v>192.53</v>
    <v>194.97</v>
    <v>200.09</v>
    <v>197.58</v>
    <v>194.83</v>
    <v>195.55</v>
    <v>196.93</v>
    <v>204.12</v>
    <v>202.78</v>
    <v>210.96</v>
    <v>203.53</v>
    <v>211.8</v>
    <v>212.5</v>
    <v>207.4</v>
    <v>202.81</v>
    <v>203.28</v>
    <v>207.29</v>
    <v>212.06</v>
    <v>208.76</v>
    <v>206.84</v>
    <v>196.51</v>
    <v>197.01</v>
    <v>190.01</v>
    <v>195.04</v>
    <v>200.75</v>
    <v>206.64</v>
    <v>211.94</v>
    <v>219.22</v>
    <v>218.99</v>
    <v>223.96</v>
    <v>217.55</v>
    <v>217.5</v>
    <v>224.09</v>
    <v>225.3</v>
    <v>225.16</v>
    <v>225.01</v>
    <v>219.74</v>
    <v>217.56</v>
    <v>216.85</v>
    <v>214.72</v>
    <v>208.48</v>
    <v>213.05</v>
    <v>209.66</v>
    <v>227.98</v>
    <v>217.55</v>
    <v>220.78</v>
    <v>217.44</v>
    <v>224.41</v>
    <v>228.45</v>
    <v>230.36</v>
    <v>225.73</v>
    <v>223.67</v>
    <v>218.36</v>
    <v>218.29</v>
    <v>210.96</v>
    <v>212.17</v>
    <v>213.9</v>
    <v>219.34</v>
    <v>222.27</v>
    <v>227.38</v>
    <v>228.87</v>
    <v>225.51</v>
    <v>224.58</v>
    <v>225.07</v>
    <v>228.86</v>
    <v>227.21</v>
    <v>228.38</v>
    <v>230.86</v>
    <v>233.95</v>
    <v>238.9</v>
    <v>239.24</v>
    <v>237.47</v>
    <v>230.48</v>
    <v>229.28</v>
    <v>226.32</v>
    <v>228.52</v>
    <v>221.3</v>
    <v>217.23</v>
    <v>214.13</v>
    <v>217.09</v>
    <v>216.47</v>
    <v>221.97</v>
    <v>212.21</v>
    <v>210.96</v>
  </a>
  <a r="1" c="252">
    <v>182.16</v>
    <v>186.26</v>
    <v>191.49</v>
    <v>201.03</v>
    <v>207.04</v>
    <v>202.89</v>
    <v>202.49</v>
    <v>206.88</v>
    <v>198.69</v>
    <v>195.21</v>
    <v>188.08</v>
    <v>188.15</v>
    <v>199.05</v>
    <v>193.16</v>
    <v>193.8</v>
    <v>186.86</v>
    <v>190.17</v>
    <v>186.6</v>
    <v>181.36</v>
    <v>186.52</v>
    <v>180.64</v>
    <v>178.88</v>
    <v>182.55</v>
    <v>177.82</v>
    <v>180.26</v>
    <v>177</v>
    <v>179.92</v>
    <v>181.46</v>
    <v>179.59</v>
    <v>183.38</v>
    <v>182.41</v>
    <v>185.55</v>
    <v>184.97</v>
    <v>183.78</v>
    <v>180.93</v>
    <v>175.02</v>
    <v>176.29</v>
    <v>177.72</v>
    <v>170.94</v>
    <v>174.14</v>
    <v>180.99</v>
    <v>183.69</v>
    <v>189.21</v>
    <v>188.61</v>
    <v>190.53</v>
    <v>188.22</v>
    <v>187.54</v>
    <v>186.5</v>
    <v>188.85</v>
    <v>188.12</v>
    <v>187.24</v>
    <v>189.11</v>
    <v>185.04</v>
    <v>184.86</v>
    <v>184.94</v>
    <v>185.81</v>
    <v>183.14</v>
    <v>187.05</v>
    <v>186.23</v>
    <v>178.07</v>
    <v>183.32</v>
    <v>184.84</v>
    <v>187.67</v>
    <v>186.47</v>
    <v>188.52</v>
    <v>191.52</v>
    <v>192.51</v>
    <v>191.13</v>
    <v>185.61</v>
    <v>180.34</v>
    <v>174.19</v>
    <v>171.88</v>
    <v>185.41</v>
    <v>190.04</v>
    <v>188.54</v>
    <v>190.05</v>
    <v>186.94</v>
    <v>182.81</v>
    <v>184.97</v>
    <v>187.98</v>
    <v>187.9</v>
    <v>189.82</v>
    <v>191.55</v>
    <v>192.85</v>
    <v>195.56</v>
    <v>184.89</v>
    <v>177.19</v>
    <v>182.48</v>
    <v>180.05</v>
    <v>183.04</v>
    <v>183.34</v>
    <v>177.82</v>
    <v>182.65</v>
    <v>184.77</v>
    <v>186.03</v>
    <v>183.14</v>
    <v>180.25</v>
    <v>183.22</v>
    <v>181.93</v>
    <v>180.4</v>
    <v>178.56</v>
    <v>172.7</v>
    <v>175.64</v>
    <v>175.2</v>
    <v>178.68</v>
    <v>171.24</v>
    <v>167.52</v>
    <v>165.17</v>
    <v>174.4</v>
    <v>175.75</v>
    <v>177.39</v>
    <v>177.64</v>
    <v>178.1</v>
    <v>182.08</v>
    <v>183.91</v>
    <v>188.63</v>
    <v>189.31</v>
    <v>196.51</v>
    <v>198.87</v>
    <v>198.35</v>
    <v>201.68</v>
    <v>202.06</v>
    <v>199.88</v>
    <v>202.5</v>
    <v>199.64</v>
    <v>208.27</v>
    <v>216.61</v>
    <v>213.17</v>
    <v>209.25</v>
    <v>199.57</v>
    <v>198.45</v>
    <v>198.48</v>
    <v>196.5</v>
    <v>207.83</v>
    <v>211.5</v>
    <v>215.2</v>
    <v>219.44</v>
    <v>220.78</v>
    <v>225.83</v>
    <v>235.74</v>
    <v>225.32</v>
    <v>222.32</v>
    <v>220.61</v>
    <v>223.47</v>
    <v>219.51</v>
    <v>215.33</v>
    <v>214.86</v>
    <v>212.6</v>
    <v>214.25</v>
    <v>211.14</v>
    <v>224.36</v>
    <v>222.82</v>
    <v>214.75</v>
    <v>218.66</v>
    <v>205.1</v>
    <v>208.64</v>
    <v>208.19</v>
    <v>200.42</v>
    <v>204.87</v>
    <v>205.19</v>
    <v>212.45</v>
    <v>207.41</v>
    <v>204.65</v>
    <v>210.69</v>
    <v>208.65</v>
    <v>200.04</v>
    <v>199</v>
    <v>195.74</v>
    <v>192.53</v>
    <v>194.97</v>
    <v>200.09</v>
    <v>197.58</v>
    <v>194.83</v>
    <v>195.55</v>
    <v>196.93</v>
    <v>204.12</v>
    <v>202.78</v>
    <v>210.96</v>
    <v>203.53</v>
    <v>211.8</v>
    <v>212.5</v>
    <v>207.4</v>
    <v>202.81</v>
    <v>203.28</v>
    <v>207.29</v>
    <v>212.06</v>
    <v>208.76</v>
    <v>206.84</v>
    <v>196.51</v>
    <v>197.01</v>
    <v>190.01</v>
    <v>195.04</v>
    <v>200.75</v>
    <v>206.64</v>
    <v>211.94</v>
    <v>219.22</v>
    <v>218.99</v>
    <v>223.96</v>
    <v>217.55</v>
    <v>217.5</v>
    <v>224.09</v>
    <v>225.3</v>
    <v>225.16</v>
    <v>225.01</v>
    <v>219.74</v>
    <v>217.56</v>
    <v>216.85</v>
    <v>214.72</v>
    <v>208.48</v>
    <v>213.05</v>
    <v>209.66</v>
    <v>227.98</v>
    <v>217.55</v>
    <v>220.78</v>
    <v>217.44</v>
    <v>224.41</v>
    <v>228.45</v>
    <v>230.36</v>
    <v>225.73</v>
    <v>223.67</v>
    <v>218.36</v>
    <v>218.29</v>
    <v>210.96</v>
    <v>212.17</v>
    <v>213.9</v>
    <v>219.34</v>
    <v>222.27</v>
    <v>227.38</v>
    <v>228.87</v>
    <v>225.51</v>
    <v>224.58</v>
    <v>225.07</v>
    <v>228.86</v>
    <v>227.21</v>
    <v>228.38</v>
    <v>230.86</v>
    <v>233.95</v>
    <v>238.9</v>
    <v>239.24</v>
    <v>237.47</v>
    <v>230.48</v>
    <v>229.28</v>
    <v>226.32</v>
    <v>228.52</v>
    <v>221.3</v>
    <v>217.23</v>
    <v>214.13</v>
    <v>217.09</v>
    <v>216.47</v>
    <v>221.97</v>
    <v>212.21</v>
    <v>210.96</v>
  </a>
  <a r="1" c="754">
    <v>42.975000000000001</v>
    <v>43.662999999999997</v>
    <v>41.779000000000003</v>
    <v>40.326000000000001</v>
    <v>40.5</v>
    <v>41.161000000000001</v>
    <v>40.78</v>
    <v>42.325000000000003</v>
    <v>43.506</v>
    <v>45.005000000000003</v>
    <v>45.750999999999998</v>
    <v>45.954999999999998</v>
    <v>46.573999999999998</v>
    <v>46.95</v>
    <v>48.335000000000001</v>
    <v>48.62</v>
    <v>49.655999999999999</v>
    <v>48.887999999999998</v>
    <v>49.48</v>
    <v>49.298000000000002</v>
    <v>50.408999999999999</v>
    <v>49.944000000000003</v>
    <v>48.716000000000001</v>
    <v>47.776000000000003</v>
    <v>48.241999999999997</v>
    <v>47.820999999999998</v>
    <v>48.14</v>
    <v>46.77</v>
    <v>46.765000000000001</v>
    <v>45.51</v>
    <v>46.566000000000003</v>
    <v>45.503</v>
    <v>46.595999999999997</v>
    <v>47.506</v>
    <v>46.627000000000002</v>
    <v>47.656999999999996</v>
    <v>48.088000000000001</v>
    <v>48.35</v>
    <v>48.89</v>
    <v>50.076999999999998</v>
    <v>49.603999999999999</v>
    <v>48.110999999999997</v>
    <v>48.99</v>
    <v>48.83</v>
    <v>49.279000000000003</v>
    <v>49.417000000000002</v>
    <v>49.521999999999998</v>
    <v>49.521999999999998</v>
    <v>48.167999999999999</v>
    <v>47.569000000000003</v>
    <v>47.997999999999998</v>
    <v>49.097000000000001</v>
    <v>52.253</v>
    <v>53.14</v>
    <v>54.35</v>
    <v>54.822000000000003</v>
    <v>54.71</v>
    <v>56.381999999999998</v>
    <v>56.052999999999997</v>
    <v>57.106999999999999</v>
    <v>59.491</v>
    <v>59.654000000000003</v>
    <v>59.872999999999998</v>
    <v>61.362000000000002</v>
    <v>61.616999999999997</v>
    <v>61.030999999999999</v>
    <v>62.465000000000003</v>
    <v>62.774000000000001</v>
    <v>61.527000000000001</v>
    <v>63.027000000000001</v>
    <v>66.16</v>
    <v>69.331999999999994</v>
    <v>68.222999999999999</v>
    <v>70.099000000000004</v>
    <v>69.641000000000005</v>
    <v>72.132999999999996</v>
    <v>72.248000000000005</v>
    <v>72.128</v>
    <v>73.900000000000006</v>
    <v>72.658000000000001</v>
    <v>72.613</v>
    <v>69.451999999999998</v>
    <v>67.471999999999994</v>
    <v>78.537999999999997</v>
    <v>78.816999999999993</v>
    <v>79.091999999999999</v>
    <v>78.700999999999993</v>
    <v>77.662999999999997</v>
    <v>79.111999999999995</v>
    <v>82.278999999999996</v>
    <v>85.236999999999995</v>
    <v>85.963999999999999</v>
    <v>88.7</v>
    <v>92.668999999999997</v>
    <v>87.528000000000006</v>
    <v>85.774000000000001</v>
    <v>91.912999999999997</v>
    <v>90.888000000000005</v>
    <v>87.944000000000003</v>
    <v>87.836500000000001</v>
    <v>88.454999999999998</v>
    <v>89.397999999999996</v>
    <v>90.372</v>
    <v>91.435000000000002</v>
    <v>94.289000000000001</v>
    <v>95.001999999999995</v>
    <v>92.561000000000007</v>
    <v>90.25</v>
    <v>90.355999999999995</v>
    <v>90.363</v>
    <v>89.451999999999998</v>
    <v>88.963999999999999</v>
    <v>85.905000000000001</v>
    <v>88.007999999999996</v>
    <v>87.132999999999996</v>
    <v>85.353999999999999</v>
    <v>87.039000000000001</v>
    <v>90.616</v>
    <v>88.186000000000007</v>
    <v>86.001000000000005</v>
    <v>87.415000000000006</v>
    <v>84.034999999999997</v>
    <v>84.671000000000006</v>
    <v>76.2</v>
    <v>79.518000000000001</v>
    <v>82.423000000000002</v>
    <v>79.677000000000007</v>
    <v>82.632000000000005</v>
    <v>87.734999999999999</v>
    <v>87.757000000000005</v>
    <v>86.402000000000001</v>
    <v>83.040999999999997</v>
    <v>85.816999999999993</v>
    <v>88.789000000000001</v>
    <v>92.14</v>
    <v>90.554000000000002</v>
    <v>90.412000000000006</v>
    <v>88.747</v>
    <v>89.878</v>
    <v>90.399000000000001</v>
    <v>91.355999999999995</v>
    <v>94.63</v>
    <v>94.358999999999995</v>
    <v>92.478999999999999</v>
    <v>94.78</v>
    <v>95.385999999999996</v>
    <v>94.95</v>
    <v>103.79900000000001</v>
    <v>106.46899999999999</v>
    <v>113.901</v>
    <v>114.825</v>
    <v>110.5</v>
    <v>109.633</v>
    <v>115</v>
    <v>116.437</v>
    <v>122.44</v>
    <v>120.998</v>
    <v>120.88800000000001</v>
    <v>121.79</v>
    <v>120.91</v>
    <v>125.2</v>
    <v>129.61000000000001</v>
    <v>131.88</v>
    <v>130.97999999999999</v>
    <v>135.58000000000001</v>
    <v>130.78</v>
    <v>126.57</v>
    <v>118.11</v>
    <v>126.09</v>
    <v>126.4</v>
    <v>123.99</v>
    <v>123.54</v>
    <v>124.3</v>
    <v>122.67</v>
    <v>128.28</v>
    <v>125.83</v>
    <v>128.19999999999999</v>
    <v>131.38</v>
    <v>134.91</v>
    <v>127.4</v>
    <v>129.24</v>
    <v>128.44</v>
    <v>126.36</v>
    <v>117.99</v>
    <v>121.09</v>
    <v>117.93</v>
    <v>123.54</v>
    <v>122.59</v>
    <v>114.25</v>
    <v>112.28</v>
    <v>113.06</v>
    <v>111.59</v>
    <v>103.73</v>
    <v>117.02</v>
    <v>109.21</v>
    <v>107.27</v>
    <v>100.45</v>
    <v>104.25</v>
    <v>98.91</v>
    <v>104.97</v>
    <v>104.75</v>
    <v>109.02</v>
    <v>116.14</v>
    <v>118.08</v>
    <v>122.86</v>
    <v>124.58</v>
    <v>130</v>
    <v>127.25</v>
    <v>128.5</v>
    <v>123.74</v>
    <v>129.37</v>
    <v>126.46</v>
    <v>128.30000000000001</v>
    <v>125.61</v>
    <v>117.59</v>
    <v>119.37</v>
    <v>108</v>
    <v>106.21</v>
    <v>107.21</v>
    <v>102.83</v>
    <v>106.47</v>
    <v>108.1</v>
    <v>116.91</v>
    <v>119.14</v>
    <v>119.1</v>
    <v>116.78</v>
    <v>115.59</v>
    <v>113.37</v>
    <v>117.87</v>
    <v>116</v>
    <v>116.26</v>
    <v>120.87</v>
    <v>123.51</v>
    <v>124.04</v>
    <v>121.4</v>
    <v>121.44</v>
    <v>117</v>
    <v>118.85</v>
    <v>122.85</v>
    <v>124.92</v>
    <v>127.72</v>
    <v>132.88999999999999</v>
    <v>132.65</v>
    <v>134.81</v>
    <v>134.80000000000001</v>
    <v>138.07</v>
    <v>131.6</v>
    <v>135.72</v>
    <v>136.93</v>
    <v>138</v>
    <v>143.71</v>
    <v>143.59</v>
    <v>139.56</v>
    <v>140.41</v>
    <v>141.54</v>
    <v>140.52000000000001</v>
    <v>141.25</v>
    <v>139.33500000000001</v>
    <v>132.76</v>
    <v>135.4</v>
    <v>136.05000000000001</v>
    <v>139.91</v>
    <v>145.61000000000001</v>
    <v>148.88</v>
    <v>147.63</v>
    <v>145.26</v>
    <v>148.29</v>
    <v>146.27000000000001</v>
    <v>146.76</v>
    <v>141.97999999999999</v>
    <v>140.15</v>
    <v>147.01</v>
    <v>145.88999999999999</v>
    <v>146.66999999999999</v>
    <v>141.94999999999999</v>
    <v>136.02000000000001</v>
    <v>136.91999999999999</v>
    <v>135.34</v>
    <v>138.25</v>
    <v>138.63</v>
    <v>140.26</v>
    <v>145.13999999999999</v>
    <v>145.06</v>
    <v>142.44</v>
    <v>138.81</v>
    <v>135.07</v>
    <v>139.31</v>
    <v>137.34</v>
    <v>134.25</v>
    <v>132</v>
    <v>130.38999999999999</v>
    <v>128.91</v>
    <v>130.68</v>
    <v>134.69999999999999</v>
    <v>139.66999999999999</v>
    <v>140.22</v>
    <v>139.93</v>
    <v>137.01</v>
    <v>137.49</v>
    <v>134.29</v>
    <v>138.31</v>
    <v>144.47</v>
    <v>149.43</v>
    <v>140.13999999999999</v>
    <v>140.11000000000001</v>
    <v>135.91</v>
    <v>133.22999999999999</v>
    <v>131.76</v>
    <v>136.24</v>
    <v>133.57</v>
    <v>137.71</v>
    <v>140.83000000000001</v>
    <v>147.07</v>
    <v>147.22</v>
    <v>142.62</v>
    <v>118.42</v>
    <v>128.99</v>
    <v>123.7</v>
    <v>124.65</v>
    <v>120.07</v>
    <v>116.66</v>
    <v>118.65</v>
    <v>124.83</v>
    <v>128.68</v>
    <v>129.84</v>
    <v>133.57</v>
    <v>132.80000000000001</v>
    <v>131.13999999999999</v>
    <v>135.29</v>
    <v>138.85</v>
    <v>139.4</v>
    <v>139.22999999999999</v>
    <v>140.11000000000001</v>
    <v>134.43</v>
    <v>130.28</v>
    <v>126.63</v>
    <v>131.28</v>
    <v>120.15</v>
    <v>124.92</v>
    <v>114.06</v>
    <v>115.99</v>
    <v>117.3</v>
    <v>110.57</v>
    <v>112.69</v>
    <v>106.98</v>
    <v>108.76</v>
    <v>115.74</v>
    <v>115.58</v>
    <v>121.67</v>
    <v>119.53</v>
    <v>115.43</v>
    <v>117.52</v>
    <v>118.53</v>
    <v>117.7</v>
    <v>121.41</v>
    <v>120.69</v>
    <v>113.76</v>
    <v>111.43</v>
    <v>109.67</v>
    <v>108.38</v>
    <v>110.15</v>
    <v>110.42</v>
    <v>101.8</v>
    <v>94.31</v>
    <v>97.64</v>
    <v>96.3</v>
    <v>114.33</v>
    <v>107.57</v>
    <v>110.93</v>
    <v>110.71</v>
    <v>112.2</v>
    <v>104.49</v>
    <v>101.49</v>
    <v>96.91</v>
    <v>98.89</v>
    <v>102.71</v>
    <v>106.43</v>
    <v>111.01</v>
    <v>108.73</v>
    <v>109.02</v>
    <v>108.92</v>
    <v>111.61</v>
    <v>114.5</v>
    <v>113.82</v>
    <v>113.54</v>
    <v>117.06</v>
    <v>117.37</v>
    <v>116.65</v>
    <v>123</v>
    <v>129.93</v>
    <v>135.34</v>
    <v>134.83000000000001</v>
    <v>135.4</v>
    <v>135.57</v>
    <v>134.38</v>
    <v>131.80000000000001</v>
    <v>132.83000000000001</v>
    <v>131.29</v>
    <v>135.5</v>
    <v>134.81</v>
    <v>139.19</v>
    <v>135.13</v>
    <v>137.38</v>
    <v>141.22</v>
    <v>141.91999999999999</v>
    <v>139.99</v>
    <v>141.72</v>
    <v>142.63</v>
    <v>143.96</v>
    <v>142.83000000000001</v>
    <v>145</v>
    <v>141.97</v>
    <v>144.69</v>
    <v>144.12</v>
    <v>145.47999999999999</v>
    <v>143.85</v>
    <v>144.16999999999999</v>
    <v>147.9</v>
    <v>154.31</v>
    <v>155.02000000000001</v>
    <v>157.75</v>
    <v>157.99</v>
    <v>153.30000000000001</v>
    <v>157.25</v>
    <v>159.34</v>
    <v>158.24</v>
    <v>160</v>
    <v>162.88</v>
    <v>164.1</v>
    <v>164.92</v>
    <v>164.07</v>
    <v>170.7</v>
    <v>171.37</v>
    <v>173</v>
    <v>172.41</v>
    <v>171.38</v>
    <v>167.03</v>
    <v>170.78</v>
    <v>173.74</v>
    <v>173.5</v>
    <v>176.75</v>
    <v>175.51</v>
    <v>179.27</v>
    <v>177.87</v>
    <v>173.72</v>
    <v>180</v>
    <v>178.26</v>
    <v>179.42</v>
    <v>180.77</v>
    <v>182.7</v>
    <v>182.06</v>
    <v>183.16</v>
    <v>181.59</v>
    <v>182.02</v>
    <v>180.45</v>
    <v>182.01</v>
    <v>175.64</v>
    <v>175.4</v>
    <v>174.98</v>
    <v>177.99</v>
    <v>179.81</v>
    <v>181.77</v>
    <v>181.6</v>
    <v>180.17</v>
    <v>174.18</v>
    <v>170.78</v>
    <v>170.62</v>
    <v>171.66</v>
    <v>167.02</v>
    <v>168.31</v>
    <v>170.76</v>
    <v>177.33</v>
    <v>177.17</v>
    <v>177.82</v>
    <v>177.75</v>
    <v>174.88</v>
    <v>170.29</v>
    <v>176.24</v>
    <v>176.67</v>
    <v>183.61</v>
    <v>178.43</v>
    <v>176.97</v>
    <v>177.69</v>
    <v>178.19</v>
    <v>181.85</v>
    <v>186.58</v>
    <v>187.24</v>
    <v>188.89</v>
    <v>187.62</v>
    <v>185.54</v>
    <v>185.04</v>
    <v>189.11</v>
    <v>192.57</v>
    <v>183.16</v>
    <v>188.32</v>
    <v>180.03</v>
    <v>179.83</v>
    <v>181.81</v>
    <v>183.22</v>
    <v>182.64</v>
    <v>181.16</v>
    <v>180.28</v>
    <v>182.16</v>
    <v>186.26</v>
    <v>191.49</v>
    <v>201.03</v>
    <v>207.04</v>
    <v>202.89</v>
    <v>202.49</v>
    <v>206.88</v>
    <v>198.69</v>
    <v>195.21</v>
    <v>188.08</v>
    <v>188.15</v>
    <v>199.05</v>
    <v>193.16</v>
    <v>193.8</v>
    <v>186.86</v>
    <v>190.17</v>
    <v>186.6</v>
    <v>181.36</v>
    <v>186.52</v>
    <v>180.64</v>
    <v>178.88</v>
    <v>182.55</v>
    <v>177.82</v>
    <v>180.26</v>
    <v>177</v>
    <v>179.92</v>
    <v>181.46</v>
    <v>179.59</v>
    <v>183.38</v>
    <v>182.41</v>
    <v>185.55</v>
    <v>184.97</v>
    <v>183.78</v>
    <v>180.93</v>
    <v>175.02</v>
    <v>176.29</v>
    <v>177.72</v>
    <v>170.94</v>
    <v>174.14</v>
    <v>180.99</v>
    <v>183.69</v>
    <v>189.21</v>
    <v>188.61</v>
    <v>190.53</v>
    <v>188.22</v>
    <v>187.54</v>
    <v>186.5</v>
    <v>188.85</v>
    <v>188.12</v>
    <v>187.24</v>
    <v>189.11</v>
    <v>185.04</v>
    <v>184.86</v>
    <v>184.94</v>
    <v>185.81</v>
    <v>183.14</v>
    <v>187.05</v>
    <v>186.23</v>
    <v>178.07</v>
    <v>183.32</v>
    <v>184.84</v>
    <v>187.67</v>
    <v>186.47</v>
    <v>188.52</v>
    <v>191.52</v>
    <v>192.51</v>
    <v>191.13</v>
    <v>185.61</v>
    <v>180.34</v>
    <v>174.19</v>
    <v>171.88</v>
    <v>185.41</v>
    <v>190.04</v>
    <v>188.54</v>
    <v>190.05</v>
    <v>186.94</v>
    <v>182.81</v>
    <v>184.97</v>
    <v>187.98</v>
    <v>187.9</v>
    <v>189.82</v>
    <v>191.55</v>
    <v>192.85</v>
    <v>195.56</v>
    <v>184.89</v>
    <v>177.19</v>
    <v>182.48</v>
    <v>180.05</v>
    <v>183.04</v>
    <v>183.34</v>
    <v>177.82</v>
    <v>182.65</v>
    <v>184.77</v>
    <v>186.03</v>
    <v>183.14</v>
    <v>180.25</v>
    <v>183.22</v>
    <v>181.93</v>
    <v>180.4</v>
    <v>178.56</v>
    <v>172.7</v>
    <v>175.64</v>
    <v>175.2</v>
    <v>178.68</v>
    <v>171.24</v>
    <v>167.52</v>
    <v>165.17</v>
    <v>174.4</v>
    <v>175.75</v>
    <v>177.39</v>
    <v>177.64</v>
    <v>178.1</v>
    <v>182.08</v>
    <v>183.91</v>
    <v>188.63</v>
    <v>189.31</v>
    <v>196.51</v>
    <v>198.87</v>
    <v>198.35</v>
    <v>201.68</v>
    <v>202.06</v>
    <v>199.88</v>
    <v>202.5</v>
    <v>199.64</v>
    <v>208.27</v>
    <v>216.61</v>
    <v>213.17</v>
    <v>209.25</v>
    <v>199.57</v>
    <v>198.45</v>
    <v>198.48</v>
    <v>196.5</v>
    <v>207.83</v>
    <v>211.5</v>
    <v>215.2</v>
    <v>219.44</v>
    <v>220.78</v>
    <v>225.83</v>
    <v>235.74</v>
    <v>225.32</v>
    <v>222.32</v>
    <v>220.61</v>
    <v>223.47</v>
    <v>219.51</v>
    <v>215.33</v>
    <v>214.86</v>
    <v>212.6</v>
    <v>214.25</v>
    <v>211.14</v>
    <v>224.36</v>
    <v>222.82</v>
    <v>214.75</v>
    <v>218.66</v>
    <v>205.1</v>
    <v>208.64</v>
    <v>208.19</v>
    <v>200.42</v>
    <v>204.87</v>
    <v>205.19</v>
    <v>212.45</v>
    <v>207.41</v>
    <v>204.65</v>
    <v>210.69</v>
    <v>208.65</v>
    <v>200.04</v>
    <v>199</v>
    <v>195.74</v>
    <v>192.53</v>
    <v>194.97</v>
    <v>200.09</v>
    <v>197.58</v>
    <v>194.83</v>
    <v>195.55</v>
    <v>196.93</v>
    <v>204.12</v>
    <v>202.78</v>
    <v>210.96</v>
    <v>203.53</v>
    <v>211.8</v>
    <v>212.5</v>
    <v>207.4</v>
    <v>202.81</v>
    <v>203.28</v>
    <v>207.29</v>
    <v>212.06</v>
    <v>208.76</v>
    <v>206.84</v>
    <v>196.51</v>
    <v>197.01</v>
    <v>190.01</v>
    <v>195.04</v>
    <v>200.75</v>
    <v>206.64</v>
    <v>211.94</v>
    <v>219.22</v>
    <v>218.99</v>
    <v>223.96</v>
    <v>217.55</v>
    <v>217.5</v>
    <v>224.09</v>
    <v>225.3</v>
    <v>225.16</v>
    <v>225.01</v>
    <v>219.74</v>
    <v>217.56</v>
    <v>216.85</v>
    <v>214.72</v>
    <v>208.48</v>
    <v>213.05</v>
    <v>209.66</v>
    <v>227.98</v>
    <v>217.55</v>
    <v>220.78</v>
    <v>217.44</v>
    <v>224.41</v>
    <v>228.45</v>
    <v>230.36</v>
    <v>225.73</v>
    <v>223.67</v>
    <v>218.36</v>
    <v>218.29</v>
    <v>210.96</v>
    <v>212.17</v>
    <v>213.9</v>
    <v>219.34</v>
    <v>222.27</v>
    <v>227.38</v>
    <v>228.87</v>
    <v>225.51</v>
    <v>224.58</v>
    <v>225.07</v>
    <v>228.86</v>
    <v>227.21</v>
    <v>228.38</v>
    <v>230.86</v>
    <v>233.95</v>
    <v>238.9</v>
    <v>239.24</v>
    <v>237.47</v>
    <v>230.48</v>
    <v>229.28</v>
    <v>226.32</v>
    <v>228.52</v>
    <v>221.3</v>
    <v>217.23</v>
    <v>214.13</v>
    <v>217.09</v>
    <v>216.47</v>
    <v>221.97</v>
    <v>212.21</v>
    <v>210.96</v>
  </a>
  <a r="1" c="205">
    <v>1069.8599999999999</v>
    <v>1163.78</v>
    <v>1228.19</v>
    <v>1242.19</v>
    <v>1228.47</v>
    <v>1194.32</v>
    <v>1273.8800000000001</v>
    <v>1281.23</v>
    <v>1270.1600000000001</v>
    <v>1263.72</v>
    <v>1331.6</v>
    <v>1358.57</v>
    <v>1326.07</v>
    <v>1360.09</v>
    <v>1395</v>
    <v>1389.04</v>
    <v>1413.35</v>
    <v>1454.59</v>
    <v>1422.92</v>
    <v>1455.16</v>
    <v>1423</v>
    <v>1441.39</v>
    <v>1395.88</v>
    <v>1339.13</v>
    <v>1350.16</v>
    <v>1413.01</v>
    <v>1429.49</v>
    <v>1413.62</v>
    <v>1435.63</v>
    <v>1406.87</v>
    <v>1406.61</v>
    <v>1419.78</v>
    <v>1468.72</v>
    <v>1458.93</v>
    <v>1469.59</v>
    <v>1485.99</v>
    <v>1497.8</v>
    <v>1526.51</v>
    <v>1463.8</v>
    <v>1450.56</v>
    <v>1423.54</v>
    <v>1360.94</v>
    <v>1399.37</v>
    <v>1368.36</v>
    <v>1292.8</v>
    <v>1357.42</v>
    <v>1383.4</v>
    <v>1386.68</v>
    <v>1351.58</v>
    <v>1345.69</v>
    <v>1375.56</v>
    <v>1389.16</v>
    <v>1355.17</v>
    <v>1366.39</v>
    <v>1317.25</v>
    <v>1369.62</v>
    <v>1399.42</v>
    <v>1393.89</v>
    <v>1329.5</v>
    <v>1302.47</v>
    <v>1253.96</v>
    <v>1320.83</v>
    <v>1359.76</v>
    <v>1317.23</v>
    <v>1304.01</v>
    <v>1306.45</v>
    <v>1421.05</v>
    <v>1448.64</v>
    <v>1478.28</v>
    <v>1500.2</v>
    <v>1518.3</v>
    <v>1481.77</v>
    <v>1410.83</v>
    <v>1459.8</v>
    <v>1476.5</v>
    <v>1458.97</v>
    <v>1443.66</v>
    <v>1417.8</v>
    <v>1457.7</v>
    <v>1432.44</v>
    <v>1384.56</v>
    <v>1394.08</v>
    <v>1438.99</v>
    <v>1427.02</v>
    <v>1386.21</v>
    <v>1442.92</v>
    <v>1544.74</v>
    <v>1516.6</v>
    <v>1592.02</v>
    <v>1565.81</v>
    <v>1520.94</v>
    <v>1581.58</v>
    <v>1584.51</v>
    <v>1501.81</v>
    <v>1472.39</v>
    <v>1459.44</v>
    <v>1550.13</v>
    <v>1592</v>
    <v>1632.9</v>
    <v>1632.03</v>
    <v>1597.87</v>
    <v>1605.77</v>
    <v>1612.76</v>
    <v>1628.57</v>
    <v>1705.37</v>
    <v>1726.36</v>
    <v>1757.47</v>
    <v>1641.74</v>
    <v>1749.04</v>
    <v>1777.77</v>
    <v>1734.19</v>
    <v>1899.48</v>
    <v>1863.55</v>
    <v>1892.66</v>
    <v>1803.89</v>
    <v>1867.83</v>
    <v>1929.68</v>
    <v>1929.25</v>
    <v>1778.46</v>
    <v>1762.77</v>
    <v>1841.18</v>
    <v>1794.62</v>
    <v>1883.11</v>
    <v>1989.44</v>
    <v>1843.04</v>
    <v>1769.32</v>
    <v>1825.07</v>
    <v>1747.28</v>
    <v>1768.65</v>
    <v>1804.25</v>
    <v>1797.32</v>
    <v>1726.04</v>
    <v>1775.64</v>
    <v>1815.27</v>
    <v>1784.87</v>
    <v>1747.58</v>
    <v>1739.02</v>
    <v>1801.51</v>
    <v>1801.86</v>
    <v>1803</v>
    <v>1757.09</v>
    <v>1655.26</v>
    <v>1582.95</v>
    <v>1550.69</v>
    <v>1651.44</v>
    <v>1629</v>
    <v>1642.52</v>
    <v>1711.89</v>
    <v>1678.22</v>
    <v>1704.37</v>
    <v>1740.99</v>
    <v>1733.48</v>
    <v>1799.38</v>
    <v>1810.07</v>
    <v>1847.9</v>
    <v>1844.08</v>
    <v>1883.12</v>
    <v>1802.98</v>
    <v>1751.73</v>
    <v>1750.31</v>
    <v>1763.76</v>
    <v>1740.13</v>
    <v>1744.16</v>
    <v>1745.64</v>
    <v>1735.01</v>
    <v>1696.16</v>
    <v>1696.01</v>
    <v>1665.14</v>
    <v>1682.3</v>
    <v>1646.19</v>
    <v>1714.88</v>
    <v>1764.85</v>
    <v>1729.52</v>
    <v>1687.43</v>
    <v>1698.3</v>
    <v>1575.15</v>
    <v>1591.48</v>
    <v>1602.22</v>
    <v>1629.67</v>
    <v>1679.92</v>
    <v>1711.32</v>
    <v>1747.9</v>
    <v>1744.61</v>
    <v>1722.5</v>
    <v>1743.94</v>
    <v>1771.41</v>
    <v>1834.39</v>
    <v>1811.67</v>
    <v>1808.49</v>
    <v>1867.31</v>
    <v>1859.86</v>
    <v>1834.1</v>
    <v>1804.96</v>
    <v>1769.79</v>
    <v>1780.34</v>
    <v>1750.24</v>
    <v>1717.76</v>
    <v>1650</v>
    <v>1657.44</v>
    <v>1641.52</v>
    <v>1647.12</v>
    <v>1630.84</v>
    <v>1676.69</v>
    <v>1560.54</v>
    <v>1571.8</v>
  </a>
  <a r="1" c="252">
    <v>1036.4100000000001</v>
    <v>1033.0999999999999</v>
    <v>1059.98</v>
    <v>1052.48</v>
    <v>1070.8399999999999</v>
    <v>1075.45</v>
    <v>1059.23</v>
    <v>1066.82</v>
    <v>1030.1400000000001</v>
    <v>1043.75</v>
    <v>1029.2</v>
    <v>1016.96</v>
    <v>1038.79</v>
    <v>1022.42</v>
    <v>1037.33</v>
    <v>1019.86</v>
    <v>1006.98</v>
    <v>1020</v>
    <v>1004.06</v>
    <v>1039.33</v>
    <v>981.04</v>
    <v>966.57</v>
    <v>987.82</v>
    <v>1003.22</v>
    <v>1040.97</v>
    <v>1060</v>
    <v>1087.99</v>
    <v>1108.78</v>
    <v>1140.92</v>
    <v>1110.08</v>
    <v>1099.47</v>
    <v>1119.69</v>
    <v>1111.44</v>
    <v>1119.32</v>
    <v>1122.8399999999999</v>
    <v>1080.8499999999999</v>
    <v>1087.82</v>
    <v>1076.05</v>
    <v>1015.43</v>
    <v>1036.31</v>
    <v>1056.02</v>
    <v>1056.98</v>
    <v>1061.8399999999999</v>
    <v>1065.52</v>
    <v>1072.75</v>
    <v>1065.9949999999999</v>
    <v>1072.1400000000001</v>
    <v>1069.8599999999999</v>
    <v>1163.78</v>
    <v>1228.19</v>
    <v>1242.19</v>
    <v>1228.47</v>
    <v>1194.32</v>
    <v>1273.8800000000001</v>
    <v>1281.23</v>
    <v>1270.1600000000001</v>
    <v>1263.72</v>
    <v>1331.6</v>
    <v>1358.57</v>
    <v>1326.07</v>
    <v>1360.09</v>
    <v>1395</v>
    <v>1389.04</v>
    <v>1413.35</v>
    <v>1454.59</v>
    <v>1422.92</v>
    <v>1455.16</v>
    <v>1423</v>
    <v>1441.39</v>
    <v>1395.88</v>
    <v>1339.13</v>
    <v>1350.16</v>
    <v>1413.01</v>
    <v>1429.49</v>
    <v>1413.62</v>
    <v>1435.63</v>
    <v>1406.87</v>
    <v>1406.61</v>
    <v>1419.78</v>
    <v>1468.72</v>
    <v>1458.93</v>
    <v>1469.59</v>
    <v>1485.99</v>
    <v>1497.8</v>
    <v>1526.51</v>
    <v>1463.8</v>
    <v>1450.56</v>
    <v>1423.54</v>
    <v>1360.94</v>
    <v>1399.37</v>
    <v>1368.36</v>
    <v>1292.8</v>
    <v>1357.42</v>
    <v>1383.4</v>
    <v>1386.68</v>
    <v>1351.58</v>
    <v>1345.69</v>
    <v>1375.56</v>
    <v>1389.16</v>
    <v>1355.17</v>
    <v>1366.39</v>
    <v>1317.25</v>
    <v>1369.62</v>
    <v>1399.42</v>
    <v>1393.89</v>
    <v>1329.5</v>
    <v>1302.47</v>
    <v>1253.96</v>
    <v>1320.83</v>
    <v>1359.76</v>
    <v>1317.23</v>
    <v>1304.01</v>
    <v>1306.45</v>
    <v>1421.05</v>
    <v>1448.64</v>
    <v>1478.28</v>
    <v>1500.2</v>
    <v>1518.3</v>
    <v>1481.77</v>
    <v>1410.83</v>
    <v>1459.8</v>
    <v>1476.5</v>
    <v>1458.97</v>
    <v>1443.66</v>
    <v>1417.8</v>
    <v>1457.7</v>
    <v>1432.44</v>
    <v>1384.56</v>
    <v>1394.08</v>
    <v>1438.99</v>
    <v>1427.02</v>
    <v>1386.21</v>
    <v>1442.92</v>
    <v>1544.74</v>
    <v>1516.6</v>
    <v>1592.02</v>
    <v>1565.81</v>
    <v>1520.94</v>
    <v>1581.58</v>
    <v>1584.51</v>
    <v>1501.81</v>
    <v>1472.39</v>
    <v>1459.44</v>
    <v>1550.13</v>
    <v>1592</v>
    <v>1632.9</v>
    <v>1632.03</v>
    <v>1597.87</v>
    <v>1605.77</v>
    <v>1612.76</v>
    <v>1628.57</v>
    <v>1705.37</v>
    <v>1726.36</v>
    <v>1757.47</v>
    <v>1641.74</v>
    <v>1749.04</v>
    <v>1777.77</v>
    <v>1734.19</v>
    <v>1899.48</v>
    <v>1863.55</v>
    <v>1892.66</v>
    <v>1803.89</v>
    <v>1867.83</v>
    <v>1929.68</v>
    <v>1929.25</v>
    <v>1778.46</v>
    <v>1762.77</v>
    <v>1841.18</v>
    <v>1794.62</v>
    <v>1883.11</v>
    <v>1989.44</v>
    <v>1843.04</v>
    <v>1769.32</v>
    <v>1825.07</v>
    <v>1747.28</v>
    <v>1768.65</v>
    <v>1804.25</v>
    <v>1797.32</v>
    <v>1726.04</v>
    <v>1775.64</v>
    <v>1815.27</v>
    <v>1784.87</v>
    <v>1747.58</v>
    <v>1739.02</v>
    <v>1801.51</v>
    <v>1801.86</v>
    <v>1803</v>
    <v>1757.09</v>
    <v>1655.26</v>
    <v>1582.95</v>
    <v>1550.69</v>
    <v>1651.44</v>
    <v>1629</v>
    <v>1642.52</v>
    <v>1711.89</v>
    <v>1678.22</v>
    <v>1704.37</v>
    <v>1740.99</v>
    <v>1733.48</v>
    <v>1799.38</v>
    <v>1810.07</v>
    <v>1847.9</v>
    <v>1844.08</v>
    <v>1883.12</v>
    <v>1802.98</v>
    <v>1751.73</v>
    <v>1750.31</v>
    <v>1763.76</v>
    <v>1740.13</v>
    <v>1744.16</v>
    <v>1745.64</v>
    <v>1735.01</v>
    <v>1696.16</v>
    <v>1696.01</v>
    <v>1665.14</v>
    <v>1682.3</v>
    <v>1646.19</v>
    <v>1714.88</v>
    <v>1764.85</v>
    <v>1729.52</v>
    <v>1687.43</v>
    <v>1698.3</v>
    <v>1575.15</v>
    <v>1591.48</v>
    <v>1602.22</v>
    <v>1629.67</v>
    <v>1679.92</v>
    <v>1711.32</v>
    <v>1747.9</v>
    <v>1744.61</v>
    <v>1722.5</v>
    <v>1743.94</v>
    <v>1771.41</v>
    <v>1834.39</v>
    <v>1811.67</v>
    <v>1808.49</v>
    <v>1867.31</v>
    <v>1859.86</v>
    <v>1834.1</v>
    <v>1804.96</v>
    <v>1769.79</v>
    <v>1780.34</v>
    <v>1750.24</v>
    <v>1717.76</v>
    <v>1650</v>
    <v>1657.44</v>
    <v>1641.52</v>
    <v>1647.12</v>
    <v>1630.84</v>
    <v>1676.69</v>
    <v>1560.54</v>
    <v>1571.8</v>
  </a>
  <a r="1" c="754">
    <v>587.79</v>
    <v>600.75</v>
    <v>583.34</v>
    <v>588.20000000000005</v>
    <v>590</v>
    <v>588.88</v>
    <v>598.80999999999995</v>
    <v>608.27</v>
    <v>631.39</v>
    <v>642.41</v>
    <v>637.44000000000005</v>
    <v>636.30999999999995</v>
    <v>639.29</v>
    <v>634.26</v>
    <v>661.28</v>
    <v>654.6</v>
    <v>675.41</v>
    <v>678</v>
    <v>680.87</v>
    <v>686.09</v>
    <v>694.31</v>
    <v>684.42</v>
    <v>684.8</v>
    <v>691.18</v>
    <v>688.38</v>
    <v>675.99</v>
    <v>687.61</v>
    <v>683.76</v>
    <v>692.2</v>
    <v>690.32</v>
    <v>694.53</v>
    <v>692.08</v>
    <v>699.65</v>
    <v>696.43</v>
    <v>710.24</v>
    <v>720.56</v>
    <v>735.29</v>
    <v>753.71</v>
    <v>752.96</v>
    <v>742.06</v>
    <v>744.72</v>
    <v>729.61</v>
    <v>755.27</v>
    <v>752.53</v>
    <v>762.68</v>
    <v>764.03</v>
    <v>757.85</v>
    <v>756.92</v>
    <v>716.92</v>
    <v>703.37</v>
    <v>700.29</v>
    <v>703.34</v>
    <v>720.84</v>
    <v>715.95</v>
    <v>717.79</v>
    <v>718.53</v>
    <v>713.22</v>
    <v>706.5</v>
    <v>712.27</v>
    <v>744.53</v>
    <v>757.83</v>
    <v>766.68</v>
    <v>778.39</v>
    <v>847.31</v>
    <v>869.08</v>
    <v>867.75</v>
    <v>882.62</v>
    <v>868.03</v>
    <v>869.82</v>
    <v>890.54</v>
    <v>890.66</v>
    <v>898.54</v>
    <v>904.89</v>
    <v>922.23</v>
    <v>922.94</v>
    <v>949.6</v>
    <v>929.21</v>
    <v>903.32</v>
    <v>924.44</v>
    <v>929.84</v>
    <v>928.94</v>
    <v>909.57</v>
    <v>908.21</v>
    <v>951.85</v>
    <v>933.25</v>
    <v>947.59</v>
    <v>941.37</v>
    <v>939.5</v>
    <v>951.68</v>
    <v>990.94</v>
    <v>998.04</v>
    <v>968.84</v>
    <v>1003.93</v>
    <v>1047.3900000000001</v>
    <v>994.33</v>
    <v>962.67</v>
    <v>984.29</v>
    <v>968.78</v>
    <v>959.78</v>
    <v>940.21</v>
    <v>941.34</v>
    <v>951.91</v>
    <v>970.92</v>
    <v>990.79</v>
    <v>979.96</v>
    <v>978.93</v>
    <v>971.3</v>
    <v>974.01</v>
    <v>970.47</v>
    <v>992.95</v>
    <v>966.71</v>
    <v>980.27</v>
    <v>953.41</v>
    <v>979.55</v>
    <v>982.71</v>
    <v>989.83</v>
    <v>974.61</v>
    <v>992.18</v>
    <v>961.84</v>
    <v>954.82</v>
    <v>976.92</v>
    <v>907.61</v>
    <v>889.03</v>
    <v>859.54</v>
    <v>872.05</v>
    <v>901.57</v>
    <v>892.32</v>
    <v>902.51</v>
    <v>918.97</v>
    <v>909.77</v>
    <v>872.47</v>
    <v>852.84</v>
    <v>870.28</v>
    <v>901.63</v>
    <v>916.92</v>
    <v>908.22</v>
    <v>911.47</v>
    <v>913.54</v>
    <v>930.29</v>
    <v>917.24</v>
    <v>915.03</v>
    <v>937.42</v>
    <v>919.54</v>
    <v>924.97</v>
    <v>939.44</v>
    <v>925.27</v>
    <v>922.33</v>
    <v>934.25</v>
    <v>956.22</v>
    <v>991.85</v>
    <v>957.88</v>
    <v>966.12</v>
    <v>960.35</v>
    <v>965.48</v>
    <v>950.81</v>
    <v>1041.3399999999999</v>
    <v>1052.6099999999999</v>
    <v>1028.42</v>
    <v>1041.71</v>
    <v>1036.01</v>
    <v>1068.8599999999999</v>
    <v>1052.71</v>
    <v>1027.9000000000001</v>
    <v>1052.47</v>
    <v>1061.3800000000001</v>
    <v>1050.74</v>
    <v>1036.5999999999999</v>
    <v>1002.01</v>
    <v>1023.34</v>
    <v>1016.6</v>
    <v>1028.01</v>
    <v>1022.73</v>
    <v>1033.49</v>
    <v>1047.8900000000001</v>
    <v>1071.4100000000001</v>
    <v>1074.48</v>
    <v>1077.3900000000001</v>
    <v>1059.97</v>
    <v>1098.95</v>
    <v>1062.5</v>
    <v>1085.26</v>
    <v>1063.6300000000001</v>
    <v>1068.19</v>
    <v>932.05499999999995</v>
    <v>924.15</v>
    <v>895.37</v>
    <v>941.26</v>
    <v>932.81</v>
    <v>872.75</v>
    <v>862.63</v>
    <v>888.39</v>
    <v>870.55</v>
    <v>860.24</v>
    <v>936.7</v>
    <v>883.71</v>
    <v>809.35</v>
    <v>820.35</v>
    <v>843.01</v>
    <v>836.35</v>
    <v>876.65</v>
    <v>860.55</v>
    <v>852.86</v>
    <v>869.49</v>
    <v>879.58</v>
    <v>928.25</v>
    <v>918.66</v>
    <v>933.15</v>
    <v>926.18</v>
    <v>943.61</v>
    <v>907.71</v>
    <v>907.26</v>
    <v>883.31</v>
    <v>889.88</v>
    <v>888.13</v>
    <v>887.71</v>
    <v>903.87</v>
    <v>845.39</v>
    <v>811.48</v>
    <v>795.6</v>
    <v>752.79</v>
    <v>749.82</v>
    <v>751.38</v>
    <v>800.14</v>
    <v>800.17</v>
    <v>816.36</v>
    <v>803.04</v>
    <v>805.69</v>
    <v>787.84</v>
    <v>828.16</v>
    <v>795.28</v>
    <v>803.5</v>
    <v>814</v>
    <v>818.18</v>
    <v>852.44</v>
    <v>841.54</v>
    <v>833.25</v>
    <v>822.35</v>
    <v>832.19</v>
    <v>832.41</v>
    <v>833</v>
    <v>817.25</v>
    <v>824.26</v>
    <v>845.9</v>
    <v>833.97</v>
    <v>840.69</v>
    <v>872.27</v>
    <v>730.43</v>
    <v>683.52</v>
    <v>700.6</v>
    <v>723.26</v>
    <v>714.1</v>
    <v>720.91</v>
    <v>708.62</v>
    <v>710.81</v>
    <v>711.7</v>
    <v>708.65</v>
    <v>715.14</v>
    <v>683.83</v>
    <v>672.55</v>
    <v>674.73</v>
    <v>671.16</v>
    <v>676.46</v>
    <v>661.43</v>
    <v>677.21</v>
    <v>669.47</v>
    <v>671.31</v>
    <v>669.18</v>
    <v>673.41</v>
    <v>692.96</v>
    <v>658.63</v>
    <v>665.23</v>
    <v>662.16</v>
    <v>658.43</v>
    <v>672.16</v>
    <v>672.88</v>
    <v>684.47</v>
    <v>671.97</v>
    <v>670.48</v>
    <v>686.61</v>
    <v>711.47</v>
    <v>718.06</v>
    <v>719.92</v>
    <v>711.5</v>
    <v>708.98</v>
    <v>706.52</v>
    <v>705.27</v>
    <v>714.43</v>
    <v>713.1</v>
    <v>718.58</v>
    <v>722.38</v>
    <v>735.19</v>
    <v>719.49</v>
    <v>710.26</v>
    <v>705.68</v>
    <v>721.04</v>
    <v>719.71</v>
    <v>715.86</v>
    <v>713.59</v>
    <v>696.15</v>
    <v>693.08</v>
    <v>700.42</v>
    <v>714.36</v>
    <v>768.51</v>
    <v>757.58</v>
    <v>743.98</v>
    <v>739.01</v>
    <v>727.41</v>
    <v>736.29</v>
    <v>726.3</v>
    <v>750.28</v>
    <v>756.33</v>
    <v>763</v>
    <v>766.71</v>
    <v>746.24</v>
    <v>732.25</v>
    <v>690.15</v>
    <v>683.35</v>
    <v>712.65</v>
    <v>736.99</v>
    <v>739.31</v>
    <v>731.05499999999995</v>
    <v>731.41</v>
    <v>742.59</v>
    <v>739.13</v>
    <v>727.7</v>
    <v>744.08</v>
    <v>752.98</v>
    <v>756.17</v>
    <v>776.99</v>
    <v>751.55</v>
    <v>744.22</v>
    <v>744.8</v>
    <v>743.09</v>
    <v>737.21</v>
    <v>735.96</v>
    <v>730.19</v>
    <v>746.93</v>
    <v>697.7</v>
    <v>709.08</v>
    <v>699.86</v>
    <v>708.22</v>
    <v>739.75</v>
    <v>714.84</v>
    <v>732.22</v>
    <v>683.11</v>
    <v>690.21</v>
    <v>703.37</v>
    <v>694.59</v>
    <v>714</v>
    <v>730.33</v>
    <v>731.11</v>
    <v>734.91</v>
    <v>734.06</v>
    <v>716.22</v>
    <v>727.84</v>
    <v>726.74</v>
    <v>705.76</v>
    <v>690.63</v>
    <v>674.58</v>
    <v>662.63</v>
    <v>667.34</v>
    <v>669.01</v>
    <v>623.22</v>
    <v>605.54999999999995</v>
    <v>615.84</v>
    <v>595.37</v>
    <v>687.26</v>
    <v>649.54999999999995</v>
    <v>668.81</v>
    <v>672.87</v>
    <v>683.16</v>
    <v>634.92999999999995</v>
    <v>640.16</v>
    <v>624.69000000000005</v>
    <v>638.69000000000005</v>
    <v>657.98</v>
    <v>675</v>
    <v>677.27</v>
    <v>672.76</v>
    <v>666.11</v>
    <v>668.08</v>
    <v>666.72</v>
    <v>690.33</v>
    <v>683.36</v>
    <v>679.99</v>
    <v>700.39</v>
    <v>708.03</v>
    <v>706.21</v>
    <v>750.2</v>
    <v>763.9</v>
    <v>768.91</v>
    <v>758.36</v>
    <v>748.1</v>
    <v>749.13</v>
    <v>748.76</v>
    <v>737.17</v>
    <v>740.7</v>
    <v>732.49</v>
    <v>756.79</v>
    <v>746.51</v>
    <v>747.06500000000005</v>
    <v>736.77</v>
    <v>746.53</v>
    <v>747.25</v>
    <v>742.78</v>
    <v>747.76</v>
    <v>753.02</v>
    <v>770.2</v>
    <v>784.97</v>
    <v>784.09</v>
    <v>786.21</v>
    <v>761</v>
    <v>775.23</v>
    <v>759.86</v>
    <v>761.64</v>
    <v>756.53</v>
    <v>779.72</v>
    <v>813.36</v>
    <v>815.24</v>
    <v>798.09</v>
    <v>795.95</v>
    <v>801.39</v>
    <v>790.47</v>
    <v>799.59</v>
    <v>794.5</v>
    <v>785.09</v>
    <v>794.1</v>
    <v>799.83</v>
    <v>802.09</v>
    <v>801.93</v>
    <v>806.73</v>
    <v>823.02</v>
    <v>754.45</v>
    <v>744.91</v>
    <v>734.58</v>
    <v>719.68</v>
    <v>705.48</v>
    <v>716.93</v>
    <v>725.08</v>
    <v>711.25</v>
    <v>729.99</v>
    <v>718.49</v>
    <v>721.45</v>
    <v>694.71</v>
    <v>689.82</v>
    <v>699.36</v>
    <v>689.63</v>
    <v>690.96</v>
    <v>713.12</v>
    <v>722.32</v>
    <v>721.31</v>
    <v>741.79</v>
    <v>755.57</v>
    <v>755.21</v>
    <v>742.16</v>
    <v>747.55</v>
    <v>743.61</v>
    <v>749.49</v>
    <v>735.4</v>
    <v>754.89</v>
    <v>754.46</v>
    <v>763.2</v>
    <v>770</v>
    <v>763.46</v>
    <v>742.62</v>
    <v>725.85</v>
    <v>736.82</v>
    <v>753.43</v>
    <v>781.7</v>
    <v>796.25</v>
    <v>805.13</v>
    <v>793.14</v>
    <v>804.16</v>
    <v>813.87</v>
    <v>867.3</v>
    <v>878.42</v>
    <v>872.27</v>
    <v>927.8</v>
    <v>932.15</v>
    <v>957.8</v>
    <v>963.51</v>
    <v>946.94</v>
    <v>949.55</v>
    <v>951.52</v>
    <v>962.61</v>
    <v>968.09</v>
    <v>1003.27</v>
    <v>1030.17</v>
    <v>1032.22</v>
    <v>1043.3</v>
    <v>1002.3</v>
    <v>987.81</v>
    <v>980.54</v>
    <v>936.19</v>
    <v>984.66</v>
    <v>983.18</v>
    <v>1009.81</v>
    <v>1019.59</v>
    <v>1029.27</v>
    <v>1042.1500000000001</v>
    <v>1025.02</v>
    <v>1011.5650000000001</v>
    <v>1036.4100000000001</v>
    <v>1033.0999999999999</v>
    <v>1059.98</v>
    <v>1052.48</v>
    <v>1070.8399999999999</v>
    <v>1075.45</v>
    <v>1059.23</v>
    <v>1066.82</v>
    <v>1030.1400000000001</v>
    <v>1043.75</v>
    <v>1029.2</v>
    <v>1016.96</v>
    <v>1038.79</v>
    <v>1022.42</v>
    <v>1037.33</v>
    <v>1019.86</v>
    <v>1006.98</v>
    <v>1020</v>
    <v>1004.06</v>
    <v>1039.33</v>
    <v>981.04</v>
    <v>966.57</v>
    <v>987.82</v>
    <v>1003.22</v>
    <v>1040.97</v>
    <v>1060</v>
    <v>1087.99</v>
    <v>1108.78</v>
    <v>1140.92</v>
    <v>1110.08</v>
    <v>1099.47</v>
    <v>1119.69</v>
    <v>1111.44</v>
    <v>1119.32</v>
    <v>1122.8399999999999</v>
    <v>1080.8499999999999</v>
    <v>1087.82</v>
    <v>1076.05</v>
    <v>1015.43</v>
    <v>1036.31</v>
    <v>1056.02</v>
    <v>1056.98</v>
    <v>1061.8399999999999</v>
    <v>1065.52</v>
    <v>1072.75</v>
    <v>1065.9949999999999</v>
    <v>1072.1400000000001</v>
    <v>1069.8599999999999</v>
    <v>1163.78</v>
    <v>1228.19</v>
    <v>1242.19</v>
    <v>1228.47</v>
    <v>1194.32</v>
    <v>1273.8800000000001</v>
    <v>1281.23</v>
    <v>1270.1600000000001</v>
    <v>1263.72</v>
    <v>1331.6</v>
    <v>1358.57</v>
    <v>1326.07</v>
    <v>1360.09</v>
    <v>1395</v>
    <v>1389.04</v>
    <v>1413.35</v>
    <v>1454.59</v>
    <v>1422.92</v>
    <v>1455.16</v>
    <v>1423</v>
    <v>1441.39</v>
    <v>1395.88</v>
    <v>1339.13</v>
    <v>1350.16</v>
    <v>1413.01</v>
    <v>1429.49</v>
    <v>1413.62</v>
    <v>1435.63</v>
    <v>1406.87</v>
    <v>1406.61</v>
    <v>1419.78</v>
    <v>1468.72</v>
    <v>1458.93</v>
    <v>1469.59</v>
    <v>1485.99</v>
    <v>1497.8</v>
    <v>1526.51</v>
    <v>1463.8</v>
    <v>1450.56</v>
    <v>1423.54</v>
    <v>1360.94</v>
    <v>1399.37</v>
    <v>1368.36</v>
    <v>1292.8</v>
    <v>1357.42</v>
    <v>1383.4</v>
    <v>1386.68</v>
    <v>1351.58</v>
    <v>1345.69</v>
    <v>1375.56</v>
    <v>1389.16</v>
    <v>1355.17</v>
    <v>1366.39</v>
    <v>1317.25</v>
    <v>1369.62</v>
    <v>1399.42</v>
    <v>1393.89</v>
    <v>1329.5</v>
    <v>1302.47</v>
    <v>1253.96</v>
    <v>1320.83</v>
    <v>1359.76</v>
    <v>1317.23</v>
    <v>1304.01</v>
    <v>1306.45</v>
    <v>1421.05</v>
    <v>1448.64</v>
    <v>1478.28</v>
    <v>1500.2</v>
    <v>1518.3</v>
    <v>1481.77</v>
    <v>1410.83</v>
    <v>1459.8</v>
    <v>1476.5</v>
    <v>1458.97</v>
    <v>1443.66</v>
    <v>1417.8</v>
    <v>1457.7</v>
    <v>1432.44</v>
    <v>1384.56</v>
    <v>1394.08</v>
    <v>1438.99</v>
    <v>1427.02</v>
    <v>1386.21</v>
    <v>1442.92</v>
    <v>1544.74</v>
    <v>1516.6</v>
    <v>1592.02</v>
    <v>1565.81</v>
    <v>1520.94</v>
    <v>1581.58</v>
    <v>1584.51</v>
    <v>1501.81</v>
    <v>1472.39</v>
    <v>1459.44</v>
    <v>1550.13</v>
    <v>1592</v>
    <v>1632.9</v>
    <v>1632.03</v>
    <v>1597.87</v>
    <v>1605.77</v>
    <v>1612.76</v>
    <v>1628.57</v>
    <v>1705.37</v>
    <v>1726.36</v>
    <v>1757.47</v>
    <v>1641.74</v>
    <v>1749.04</v>
    <v>1777.77</v>
    <v>1734.19</v>
    <v>1899.48</v>
    <v>1863.55</v>
    <v>1892.66</v>
    <v>1803.89</v>
    <v>1867.83</v>
    <v>1929.68</v>
    <v>1929.25</v>
    <v>1778.46</v>
    <v>1762.77</v>
    <v>1841.18</v>
    <v>1794.62</v>
    <v>1883.11</v>
    <v>1989.44</v>
    <v>1843.04</v>
    <v>1769.32</v>
    <v>1825.07</v>
    <v>1747.28</v>
    <v>1768.65</v>
    <v>1804.25</v>
    <v>1797.32</v>
    <v>1726.04</v>
    <v>1775.64</v>
    <v>1815.27</v>
    <v>1784.87</v>
    <v>1747.58</v>
    <v>1739.02</v>
    <v>1801.51</v>
    <v>1801.86</v>
    <v>1803</v>
    <v>1757.09</v>
    <v>1655.26</v>
    <v>1582.95</v>
    <v>1550.69</v>
    <v>1651.44</v>
    <v>1629</v>
    <v>1642.52</v>
    <v>1711.89</v>
    <v>1678.22</v>
    <v>1704.37</v>
    <v>1740.99</v>
    <v>1733.48</v>
    <v>1799.38</v>
    <v>1810.07</v>
    <v>1847.9</v>
    <v>1844.08</v>
    <v>1883.12</v>
    <v>1802.98</v>
    <v>1751.73</v>
    <v>1750.31</v>
    <v>1763.76</v>
    <v>1740.13</v>
    <v>1744.16</v>
    <v>1745.64</v>
    <v>1735.01</v>
    <v>1696.16</v>
    <v>1696.01</v>
    <v>1665.14</v>
    <v>1682.3</v>
    <v>1646.19</v>
    <v>1714.88</v>
    <v>1764.85</v>
    <v>1729.52</v>
    <v>1687.43</v>
    <v>1698.3</v>
    <v>1575.15</v>
    <v>1591.48</v>
    <v>1602.22</v>
    <v>1629.67</v>
    <v>1679.92</v>
    <v>1711.32</v>
    <v>1747.9</v>
    <v>1744.61</v>
    <v>1722.5</v>
    <v>1743.94</v>
    <v>1771.41</v>
    <v>1834.39</v>
    <v>1811.67</v>
    <v>1808.49</v>
    <v>1867.31</v>
    <v>1859.86</v>
    <v>1834.1</v>
    <v>1804.96</v>
    <v>1769.79</v>
    <v>1780.34</v>
    <v>1750.24</v>
    <v>1717.76</v>
    <v>1650</v>
    <v>1657.44</v>
    <v>1641.52</v>
    <v>1647.12</v>
    <v>1630.84</v>
    <v>1676.69</v>
    <v>1560.54</v>
    <v>1571.8</v>
  </a>
  <a r="1" c="254">
    <v>28.89</v>
    <v>29.074999999999999</v>
    <v>29.175000000000001</v>
    <v>29.184999999999999</v>
    <v>29.545000000000002</v>
    <v>29.504999999999999</v>
    <v>29.495000000000001</v>
    <v>29.83</v>
    <v>29.515000000000001</v>
    <v>29.5</v>
    <v>29.015000000000001</v>
    <v>28.57</v>
    <v>29.245000000000001</v>
    <v>29.315000000000001</v>
    <v>29.4</v>
    <v>29.035</v>
    <v>29.18</v>
    <v>29.035</v>
    <v>28.67</v>
    <v>28.745000000000001</v>
    <v>28.855</v>
    <v>28.295000000000002</v>
    <v>28.57</v>
    <v>28.434999999999999</v>
    <v>28.864999999999998</v>
    <v>28.855</v>
    <v>28.914999999999999</v>
    <v>28.82</v>
    <v>28.79</v>
    <v>28.77</v>
    <v>28.844999999999999</v>
    <v>29.125</v>
    <v>29.11</v>
    <v>29.164999999999999</v>
    <v>29.245000000000001</v>
    <v>29.02</v>
    <v>28.664999999999999</v>
    <v>28.83</v>
    <v>28.425000000000001</v>
    <v>28.265000000000001</v>
    <v>28.715</v>
    <v>28.995000000000001</v>
    <v>29.004999999999999</v>
    <v>29.17</v>
    <v>29.565000000000001</v>
    <v>29.77</v>
    <v>30.33</v>
    <v>30.925000000000001</v>
    <v>31.23</v>
    <v>31.184999999999999</v>
    <v>31.024999999999999</v>
    <v>31.33</v>
    <v>31.41</v>
    <v>31.454999999999998</v>
    <v>31.504999999999999</v>
    <v>32.104999999999997</v>
    <v>31.914999999999999</v>
    <v>31.96</v>
    <v>31.495000000000001</v>
    <v>31.995000000000001</v>
    <v>32.22</v>
    <v>32.145000000000003</v>
    <v>32.19</v>
    <v>32.424999999999997</v>
    <v>32.875</v>
    <v>32.409999999999997</v>
    <v>32.42</v>
    <v>32.494999999999997</v>
    <v>33.045000000000002</v>
    <v>32.805</v>
    <v>32.53</v>
    <v>32.984999999999999</v>
    <v>33.28</v>
    <v>33.35</v>
    <v>33.984999999999999</v>
    <v>33.994999999999997</v>
    <v>33.96</v>
    <v>34.085000000000001</v>
    <v>33.954999999999998</v>
    <v>34.47</v>
    <v>34.344999999999999</v>
    <v>34.875</v>
    <v>34.71</v>
    <v>35.549999999999997</v>
    <v>35.835000000000001</v>
    <v>35.76</v>
    <v>35.564999999999998</v>
    <v>35.11</v>
    <v>33.234999999999999</v>
    <v>33.86</v>
    <v>33.14</v>
    <v>32.840000000000003</v>
    <v>32.844999999999999</v>
    <v>33.75</v>
    <v>33.659999999999997</v>
    <v>32.844999999999999</v>
    <v>32.814999999999998</v>
    <v>33.354999999999997</v>
    <v>33.729999999999997</v>
    <v>33.5</v>
    <v>32.844999999999999</v>
    <v>32.159999999999997</v>
    <v>32.68</v>
    <v>32.42</v>
    <v>33.045000000000002</v>
    <v>32.119999999999997</v>
    <v>31.69</v>
    <v>31.785</v>
    <v>31.555</v>
    <v>32.92</v>
    <v>32.32</v>
    <v>32.42</v>
    <v>34.479999999999997</v>
    <v>34.405000000000001</v>
    <v>34.67</v>
    <v>34.6</v>
    <v>35.325000000000003</v>
    <v>35.549999999999997</v>
    <v>35.71</v>
    <v>36.56</v>
    <v>35.984999999999999</v>
    <v>36.020000000000003</v>
    <v>36.585000000000001</v>
    <v>36.53</v>
    <v>36.895000000000003</v>
    <v>36.984999999999999</v>
    <v>36.435000000000002</v>
    <v>36.61</v>
    <v>36.770000000000003</v>
    <v>37.465000000000003</v>
    <v>38.31</v>
    <v>39.354999999999997</v>
    <v>39.305</v>
    <v>39.700000000000003</v>
    <v>39.784999999999997</v>
    <v>38.085000000000001</v>
    <v>39.159999999999997</v>
    <v>39.825000000000003</v>
    <v>38.64</v>
    <v>38.325000000000003</v>
    <v>37.734999999999999</v>
    <v>38.72</v>
    <v>39.04</v>
    <v>39.664999999999999</v>
    <v>40.51</v>
    <v>40.89</v>
    <v>41.134999999999998</v>
    <v>41.33</v>
    <v>41.454999999999998</v>
    <v>42.46</v>
    <v>42.64</v>
    <v>42.365000000000002</v>
    <v>41.524999999999999</v>
    <v>39.89</v>
    <v>39.85</v>
    <v>39.46</v>
    <v>39.270000000000003</v>
    <v>39.85</v>
    <v>41.325000000000003</v>
    <v>42.625</v>
    <v>42.33</v>
    <v>43.125</v>
    <v>44.295000000000002</v>
    <v>43.875</v>
    <v>44.78</v>
    <v>42.41</v>
    <v>42.475000000000001</v>
    <v>42.975000000000001</v>
    <v>42.365000000000002</v>
    <v>41.76</v>
    <v>42.945</v>
    <v>42.155000000000001</v>
    <v>41.26</v>
    <v>42.41</v>
    <v>42.42</v>
    <v>40.53</v>
    <v>40.234999999999999</v>
    <v>41.29</v>
    <v>41.505000000000003</v>
    <v>40.229999999999997</v>
    <v>40.325000000000003</v>
    <v>40.015000000000001</v>
    <v>39.395000000000003</v>
    <v>38.615000000000002</v>
    <v>38.950000000000003</v>
    <v>40.094999999999999</v>
    <v>40.034999999999997</v>
    <v>39.549999999999997</v>
    <v>39.200000000000003</v>
    <v>38.409999999999997</v>
    <v>37.924999999999997</v>
    <v>36.82</v>
    <v>37.81</v>
    <v>38.475000000000001</v>
    <v>38.39</v>
    <v>39.725000000000001</v>
    <v>39.81</v>
    <v>39.450000000000003</v>
    <v>39.344999999999999</v>
    <v>39.085000000000001</v>
    <v>39.5</v>
    <v>40.32</v>
    <v>40.655000000000001</v>
    <v>40.375</v>
    <v>41.274999999999999</v>
    <v>39.445</v>
    <v>39.659999999999997</v>
    <v>39.79</v>
    <v>40.380000000000003</v>
    <v>39.69</v>
    <v>40.344999999999999</v>
    <v>40.57</v>
    <v>40.83</v>
    <v>40.954999999999998</v>
    <v>40.520000000000003</v>
    <v>40.85</v>
    <v>40.69</v>
    <v>40.875</v>
    <v>41.585000000000001</v>
    <v>42.024999999999999</v>
    <v>42.204999999999998</v>
    <v>41.93</v>
    <v>41.17</v>
    <v>41.72</v>
    <v>40.479999999999997</v>
    <v>40.234999999999999</v>
    <v>40.784999999999997</v>
    <v>41.4</v>
    <v>41.255000000000003</v>
    <v>42.484999999999999</v>
    <v>42.725000000000001</v>
    <v>42.46</v>
    <v>41.99</v>
    <v>42.405000000000001</v>
    <v>41.7</v>
    <v>42.32</v>
    <v>41.88</v>
    <v>41.935000000000002</v>
    <v>42.924999999999997</v>
    <v>43.82</v>
    <v>43.58</v>
    <v>43.08</v>
    <v>42.204999999999998</v>
    <v>42.32</v>
    <v>42.06</v>
    <v>41.424999999999997</v>
    <v>41.155000000000001</v>
    <v>40.115000000000002</v>
    <v>39.625</v>
    <v>40.119999999999997</v>
    <v>39.76</v>
    <v>40.19</v>
    <v>39.064999999999998</v>
    <v>39.255000000000003</v>
  </a>
  <a r="1" c="208">
    <v>30.33</v>
    <v>30.925000000000001</v>
    <v>31.23</v>
    <v>31.184999999999999</v>
    <v>31.024999999999999</v>
    <v>31.33</v>
    <v>31.41</v>
    <v>31.454999999999998</v>
    <v>31.504999999999999</v>
    <v>32.104999999999997</v>
    <v>31.914999999999999</v>
    <v>31.96</v>
    <v>31.495000000000001</v>
    <v>31.995000000000001</v>
    <v>32.22</v>
    <v>32.145000000000003</v>
    <v>32.19</v>
    <v>32.424999999999997</v>
    <v>32.875</v>
    <v>32.409999999999997</v>
    <v>32.42</v>
    <v>32.494999999999997</v>
    <v>33.045000000000002</v>
    <v>32.805</v>
    <v>32.53</v>
    <v>32.984999999999999</v>
    <v>33.28</v>
    <v>33.35</v>
    <v>33.984999999999999</v>
    <v>33.994999999999997</v>
    <v>33.96</v>
    <v>34.085000000000001</v>
    <v>33.954999999999998</v>
    <v>34.47</v>
    <v>34.344999999999999</v>
    <v>34.875</v>
    <v>34.71</v>
    <v>35.549999999999997</v>
    <v>35.835000000000001</v>
    <v>35.76</v>
    <v>35.564999999999998</v>
    <v>35.11</v>
    <v>33.234999999999999</v>
    <v>33.86</v>
    <v>33.14</v>
    <v>32.840000000000003</v>
    <v>32.844999999999999</v>
    <v>33.75</v>
    <v>33.659999999999997</v>
    <v>32.844999999999999</v>
    <v>32.814999999999998</v>
    <v>33.354999999999997</v>
    <v>33.729999999999997</v>
    <v>33.5</v>
    <v>32.844999999999999</v>
    <v>32.159999999999997</v>
    <v>32.68</v>
    <v>32.42</v>
    <v>33.045000000000002</v>
    <v>32.119999999999997</v>
    <v>31.69</v>
    <v>31.785</v>
    <v>31.555</v>
    <v>32.92</v>
    <v>32.32</v>
    <v>32.42</v>
    <v>34.479999999999997</v>
    <v>34.405000000000001</v>
    <v>34.67</v>
    <v>34.6</v>
    <v>35.325000000000003</v>
    <v>35.549999999999997</v>
    <v>35.71</v>
    <v>36.56</v>
    <v>35.984999999999999</v>
    <v>36.020000000000003</v>
    <v>36.585000000000001</v>
    <v>36.53</v>
    <v>36.895000000000003</v>
    <v>36.984999999999999</v>
    <v>36.435000000000002</v>
    <v>36.61</v>
    <v>36.770000000000003</v>
    <v>37.465000000000003</v>
    <v>38.31</v>
    <v>39.354999999999997</v>
    <v>39.305</v>
    <v>39.700000000000003</v>
    <v>39.784999999999997</v>
    <v>38.085000000000001</v>
    <v>39.159999999999997</v>
    <v>39.825000000000003</v>
    <v>38.64</v>
    <v>38.325000000000003</v>
    <v>37.734999999999999</v>
    <v>38.72</v>
    <v>39.04</v>
    <v>39.664999999999999</v>
    <v>40.51</v>
    <v>40.89</v>
    <v>41.134999999999998</v>
    <v>41.33</v>
    <v>41.454999999999998</v>
    <v>42.46</v>
    <v>42.64</v>
    <v>42.365000000000002</v>
    <v>41.524999999999999</v>
    <v>39.89</v>
    <v>39.85</v>
    <v>39.46</v>
    <v>39.270000000000003</v>
    <v>39.85</v>
    <v>41.325000000000003</v>
    <v>42.625</v>
    <v>42.33</v>
    <v>43.125</v>
    <v>44.295000000000002</v>
    <v>43.875</v>
    <v>44.78</v>
    <v>42.41</v>
    <v>42.475000000000001</v>
    <v>42.975000000000001</v>
    <v>42.365000000000002</v>
    <v>41.76</v>
    <v>42.945</v>
    <v>42.155000000000001</v>
    <v>41.26</v>
    <v>42.41</v>
    <v>42.42</v>
    <v>40.53</v>
    <v>40.234999999999999</v>
    <v>41.29</v>
    <v>41.505000000000003</v>
    <v>40.229999999999997</v>
    <v>40.325000000000003</v>
    <v>40.015000000000001</v>
    <v>39.395000000000003</v>
    <v>38.615000000000002</v>
    <v>38.950000000000003</v>
    <v>40.094999999999999</v>
    <v>40.034999999999997</v>
    <v>39.549999999999997</v>
    <v>39.200000000000003</v>
    <v>38.409999999999997</v>
    <v>37.924999999999997</v>
    <v>36.82</v>
    <v>37.81</v>
    <v>38.475000000000001</v>
    <v>38.39</v>
    <v>39.725000000000001</v>
    <v>39.81</v>
    <v>39.450000000000003</v>
    <v>39.344999999999999</v>
    <v>39.085000000000001</v>
    <v>39.5</v>
    <v>40.32</v>
    <v>40.655000000000001</v>
    <v>40.375</v>
    <v>41.274999999999999</v>
    <v>39.445</v>
    <v>39.659999999999997</v>
    <v>39.79</v>
    <v>40.380000000000003</v>
    <v>39.69</v>
    <v>40.344999999999999</v>
    <v>40.57</v>
    <v>40.83</v>
    <v>40.954999999999998</v>
    <v>40.520000000000003</v>
    <v>40.85</v>
    <v>40.69</v>
    <v>40.875</v>
    <v>41.585000000000001</v>
    <v>42.024999999999999</v>
    <v>42.204999999999998</v>
    <v>41.93</v>
    <v>41.17</v>
    <v>41.72</v>
    <v>40.479999999999997</v>
    <v>40.234999999999999</v>
    <v>40.784999999999997</v>
    <v>41.4</v>
    <v>41.255000000000003</v>
    <v>42.484999999999999</v>
    <v>42.725000000000001</v>
    <v>42.46</v>
    <v>41.99</v>
    <v>42.405000000000001</v>
    <v>41.7</v>
    <v>42.32</v>
    <v>41.88</v>
    <v>41.935000000000002</v>
    <v>42.924999999999997</v>
    <v>43.82</v>
    <v>43.58</v>
    <v>43.08</v>
    <v>42.204999999999998</v>
    <v>42.32</v>
    <v>42.06</v>
    <v>41.424999999999997</v>
    <v>41.155000000000001</v>
    <v>40.115000000000002</v>
    <v>39.625</v>
    <v>40.119999999999997</v>
    <v>39.76</v>
    <v>40.19</v>
    <v>39.064999999999998</v>
    <v>39.255000000000003</v>
  </a>
  <a r="1" c="761">
    <v>20.385000000000002</v>
    <v>20.53</v>
    <v>20.420000000000002</v>
    <v>20.239999999999998</v>
    <v>20.25</v>
    <v>20.23</v>
    <v>20.16</v>
    <v>20.52</v>
    <v>20.82</v>
    <v>21.035</v>
    <v>21.23</v>
    <v>21.21</v>
    <v>21.1</v>
    <v>21.114999999999998</v>
    <v>21.13</v>
    <v>21.14</v>
    <v>21.335000000000001</v>
    <v>21.515000000000001</v>
    <v>21.42</v>
    <v>21.414999999999999</v>
    <v>21.414999999999999</v>
    <v>21.44</v>
    <v>21.434999999999999</v>
    <v>21.43</v>
    <v>21.34</v>
    <v>21.24</v>
    <v>21.434999999999999</v>
    <v>21.46</v>
    <v>21.57</v>
    <v>21.8</v>
    <v>21.754999999999999</v>
    <v>21.785</v>
    <v>21.86</v>
    <v>21.895</v>
    <v>21.965</v>
    <v>22.015000000000001</v>
    <v>21.914999999999999</v>
    <v>21.885000000000002</v>
    <v>22.19</v>
    <v>22.385000000000002</v>
    <v>22.195</v>
    <v>22.37</v>
    <v>22.274999999999999</v>
    <v>22.33</v>
    <v>22.37</v>
    <v>22.45</v>
    <v>22.65</v>
    <v>22.6</v>
    <v>22.745000000000001</v>
    <v>22.475000000000001</v>
    <v>22.484999999999999</v>
    <v>22.59</v>
    <v>22.555</v>
    <v>22.43</v>
    <v>22.3</v>
    <v>22.245000000000001</v>
    <v>22.49</v>
    <v>22.465</v>
    <v>22.24</v>
    <v>21.885000000000002</v>
    <v>22.074999999999999</v>
    <v>22.274999999999999</v>
    <v>22.344999999999999</v>
    <v>22.31</v>
    <v>22.504999999999999</v>
    <v>22.57</v>
    <v>22.605</v>
    <v>22.835000000000001</v>
    <v>22.645</v>
    <v>22.7</v>
    <v>22.754999999999999</v>
    <v>22.97</v>
    <v>23.035</v>
    <v>23.375</v>
    <v>23.39</v>
    <v>23.395</v>
    <v>23.335000000000001</v>
    <v>23.635000000000002</v>
    <v>23.21</v>
    <v>23.53</v>
    <v>23.54</v>
    <v>23.61</v>
    <v>23.585000000000001</v>
    <v>23.504999999999999</v>
    <v>23.47</v>
    <v>23.635000000000002</v>
    <v>23.54</v>
    <v>23.414999999999999</v>
    <v>23.465</v>
    <v>23.254999999999999</v>
    <v>23.38</v>
    <v>23.605</v>
    <v>23.635000000000002</v>
    <v>23.45</v>
    <v>23.71</v>
    <v>23.815000000000001</v>
    <v>23.85</v>
    <v>23.73</v>
    <v>23.815000000000001</v>
    <v>23.64</v>
    <v>23.82</v>
    <v>23.625</v>
    <v>23.684999999999999</v>
    <v>23.58</v>
    <v>23.62</v>
    <v>24.01</v>
    <v>23.984999999999999</v>
    <v>23.965</v>
    <v>24.035</v>
    <v>24.02</v>
    <v>24.184999999999999</v>
    <v>24.225000000000001</v>
    <v>24.08</v>
    <v>24.36</v>
    <v>24.15</v>
    <v>24.33</v>
    <v>24.44</v>
    <v>24.27</v>
    <v>24.4</v>
    <v>24.19</v>
    <v>24.18</v>
    <v>23.555</v>
    <v>23.515000000000001</v>
    <v>23.695</v>
    <v>23.535</v>
    <v>23.56</v>
    <v>23.71</v>
    <v>23.745000000000001</v>
    <v>23.58</v>
    <v>23.895</v>
    <v>24.05</v>
    <v>23.94</v>
    <v>24.105</v>
    <v>24.225000000000001</v>
    <v>24.265000000000001</v>
    <v>24.175000000000001</v>
    <v>24.274999999999999</v>
    <v>24.114999999999998</v>
    <v>24.19</v>
    <v>24.225000000000001</v>
    <v>24.23</v>
    <v>24.535</v>
    <v>24.484999999999999</v>
    <v>24.48</v>
    <v>24.515000000000001</v>
    <v>24.38</v>
    <v>24.475000000000001</v>
    <v>24.545000000000002</v>
    <v>24.49</v>
    <v>24.58</v>
    <v>24.434999999999999</v>
    <v>24.1</v>
    <v>23.93</v>
    <v>23.62</v>
    <v>24.135000000000002</v>
    <v>23.39</v>
    <v>23.984999999999999</v>
    <v>24.125</v>
    <v>24.29</v>
    <v>24.38</v>
    <v>24.26</v>
    <v>24.52</v>
    <v>24.52</v>
    <v>24.754999999999999</v>
    <v>24.83</v>
    <v>25.1</v>
    <v>25.21</v>
    <v>25.23</v>
    <v>25.22</v>
    <v>25.15</v>
    <v>25.05</v>
    <v>25.07</v>
    <v>25.22</v>
    <v>25.385000000000002</v>
    <v>25.32</v>
    <v>25.2</v>
    <v>25.495000000000001</v>
    <v>25.585000000000001</v>
    <v>25.62</v>
    <v>25.9</v>
    <v>25.864999999999998</v>
    <v>26.06</v>
    <v>26.094999999999999</v>
    <v>26.04</v>
    <v>25.965</v>
    <v>25.954999999999998</v>
    <v>25.555</v>
    <v>25.385000000000002</v>
    <v>25.13</v>
    <v>25.12</v>
    <v>25.25</v>
    <v>25.04</v>
    <v>24.9</v>
    <v>25.035</v>
    <v>25.074999999999999</v>
    <v>25.024999999999999</v>
    <v>25.55</v>
    <v>25.335000000000001</v>
    <v>24.295000000000002</v>
    <v>23.335000000000001</v>
    <v>23.61</v>
    <v>24.234999999999999</v>
    <v>24.33</v>
    <v>24.57</v>
    <v>24.625</v>
    <v>24.73</v>
    <v>24.7</v>
    <v>25.19</v>
    <v>25.315000000000001</v>
    <v>25.234999999999999</v>
    <v>25.17</v>
    <v>25.02</v>
    <v>25.204999999999998</v>
    <v>25.14</v>
    <v>25.055</v>
    <v>25.145</v>
    <v>25.3</v>
    <v>25.204999999999998</v>
    <v>25.28</v>
    <v>24.92</v>
    <v>24.795000000000002</v>
    <v>24.734999999999999</v>
    <v>24.27</v>
    <v>24.54</v>
    <v>24.48</v>
    <v>24.41</v>
    <v>24.84</v>
    <v>24.954999999999998</v>
    <v>24.945</v>
    <v>24.975000000000001</v>
    <v>24.934999999999999</v>
    <v>25.155000000000001</v>
    <v>25.13</v>
    <v>25.335000000000001</v>
    <v>25.574999999999999</v>
    <v>25.66</v>
    <v>25.995000000000001</v>
    <v>25.79</v>
    <v>25.22</v>
    <v>25.33</v>
    <v>25.39</v>
    <v>25.225000000000001</v>
    <v>25.33</v>
    <v>25.215</v>
    <v>25.35</v>
    <v>25.434999999999999</v>
    <v>25.5</v>
    <v>25.69</v>
    <v>25.81</v>
    <v>25.68</v>
    <v>25.75</v>
    <v>26.02</v>
    <v>25.805</v>
    <v>25.66</v>
    <v>25.62</v>
    <v>25.555</v>
    <v>25.434999999999999</v>
    <v>25.484999999999999</v>
    <v>25.39</v>
    <v>25.35</v>
    <v>25.065000000000001</v>
    <v>24.8</v>
    <v>25.105</v>
    <v>24.94</v>
    <v>25.05</v>
    <v>25.24</v>
    <v>25.405000000000001</v>
    <v>25.37</v>
    <v>25.245000000000001</v>
    <v>24.925000000000001</v>
    <v>24.85</v>
    <v>24.94</v>
    <v>24.92</v>
    <v>24.995000000000001</v>
    <v>25.035</v>
    <v>25</v>
    <v>25.06</v>
    <v>25.594999999999999</v>
    <v>25.49</v>
    <v>25.344999999999999</v>
    <v>24.93</v>
    <v>24.85</v>
    <v>25.07</v>
    <v>25.305</v>
    <v>25.175000000000001</v>
    <v>25.49</v>
    <v>25.495000000000001</v>
    <v>25.315000000000001</v>
    <v>25.465</v>
    <v>25.344999999999999</v>
    <v>25.594999999999999</v>
    <v>25.524999999999999</v>
    <v>25.64</v>
    <v>25.62</v>
    <v>25.36</v>
    <v>25.344999999999999</v>
    <v>25.21</v>
    <v>24.954999999999998</v>
    <v>25.114999999999998</v>
    <v>24.95</v>
    <v>24.855</v>
    <v>25.36</v>
    <v>25.35</v>
    <v>25.51</v>
    <v>25.4</v>
    <v>25.46</v>
    <v>25.395</v>
    <v>25.12</v>
    <v>24.914999999999999</v>
    <v>24.84</v>
    <v>25.245000000000001</v>
    <v>25.32</v>
    <v>25.42</v>
    <v>25.37</v>
    <v>25.395</v>
    <v>25.52</v>
    <v>25.59</v>
    <v>25.434999999999999</v>
    <v>24.5</v>
    <v>24.774999999999999</v>
    <v>25.03</v>
    <v>25.23</v>
    <v>25.425000000000001</v>
    <v>25.32</v>
    <v>25.475000000000001</v>
    <v>25.44</v>
    <v>25.47</v>
    <v>25.434999999999999</v>
    <v>25.655000000000001</v>
    <v>25.48</v>
    <v>25.265000000000001</v>
    <v>25.33</v>
    <v>25.145</v>
    <v>25.32</v>
    <v>25.414999999999999</v>
    <v>25.46</v>
    <v>25.37</v>
    <v>25.405000000000001</v>
    <v>25.184999999999999</v>
    <v>24.73</v>
    <v>25.08</v>
    <v>24.734999999999999</v>
    <v>24.27</v>
    <v>24.265000000000001</v>
    <v>23.76</v>
    <v>23.745000000000001</v>
    <v>23.795000000000002</v>
    <v>23.454999999999998</v>
    <v>23.395</v>
    <v>23.074999999999999</v>
    <v>23.36</v>
    <v>23.335000000000001</v>
    <v>23.54</v>
    <v>23.824999999999999</v>
    <v>23.81</v>
    <v>23.954999999999998</v>
    <v>24.035</v>
    <v>24.164999999999999</v>
    <v>24.405000000000001</v>
    <v>24.364999999999998</v>
    <v>24.285</v>
    <v>24.27</v>
    <v>23.785</v>
    <v>23.535</v>
    <v>23.914999999999999</v>
    <v>23.875</v>
    <v>22.914999999999999</v>
    <v>21.925000000000001</v>
    <v>21.274999999999999</v>
    <v>21.8</v>
    <v>20.82</v>
    <v>21.664999999999999</v>
    <v>21.87</v>
    <v>22.16</v>
    <v>22.484999999999999</v>
    <v>22.274999999999999</v>
    <v>22.375</v>
    <v>22.29</v>
    <v>22.835000000000001</v>
    <v>22.91</v>
    <v>22.86</v>
    <v>22.934999999999999</v>
    <v>23.05</v>
    <v>23.234999999999999</v>
    <v>23.984999999999999</v>
    <v>24.335000000000001</v>
    <v>24.08</v>
    <v>23.83</v>
    <v>23.92</v>
    <v>24.07</v>
    <v>24.864999999999998</v>
    <v>24.81</v>
    <v>24.92</v>
    <v>25.05</v>
    <v>25.07</v>
    <v>24.844999999999999</v>
    <v>24.695</v>
    <v>24.73</v>
    <v>24.66</v>
    <v>24.52</v>
    <v>24.645</v>
    <v>24.65</v>
    <v>24.78</v>
    <v>24.63</v>
    <v>24.414999999999999</v>
    <v>24.344999999999999</v>
    <v>24.574999999999999</v>
    <v>24.59</v>
    <v>24.885000000000002</v>
    <v>24.94</v>
    <v>25.074999999999999</v>
    <v>25.29</v>
    <v>25.335000000000001</v>
    <v>25.145</v>
    <v>24.83</v>
    <v>25.12</v>
    <v>24.87</v>
    <v>24.914999999999999</v>
    <v>24.64</v>
    <v>24.765000000000001</v>
    <v>24.695</v>
    <v>25.24</v>
    <v>25.33</v>
    <v>25.38</v>
    <v>25.375</v>
    <v>25.28</v>
    <v>25.344999999999999</v>
    <v>25.46</v>
    <v>25.785</v>
    <v>25.495000000000001</v>
    <v>25.49</v>
    <v>25.54</v>
    <v>25.58</v>
    <v>25.645</v>
    <v>25.54</v>
    <v>25.484999999999999</v>
    <v>25.8</v>
    <v>25.675000000000001</v>
    <v>26.094999999999999</v>
    <v>25.914999999999999</v>
    <v>25.954999999999998</v>
    <v>25.64</v>
    <v>25.87</v>
    <v>25.69</v>
    <v>25.65</v>
    <v>25.725000000000001</v>
    <v>25.92</v>
    <v>26.045000000000002</v>
    <v>26.045000000000002</v>
    <v>25.57</v>
    <v>25.7</v>
    <v>25.77</v>
    <v>25.63</v>
    <v>26.01</v>
    <v>25.895</v>
    <v>26.094999999999999</v>
    <v>26.12</v>
    <v>26.195</v>
    <v>26.055</v>
    <v>26.145</v>
    <v>26.015000000000001</v>
    <v>25.82</v>
    <v>25.91</v>
    <v>26.04</v>
    <v>26.085000000000001</v>
    <v>25.87</v>
    <v>25.93</v>
    <v>25.89</v>
    <v>25.5</v>
    <v>25.53</v>
    <v>25.425000000000001</v>
    <v>25.7</v>
    <v>25.76</v>
    <v>25.795000000000002</v>
    <v>25.97</v>
    <v>26.135000000000002</v>
    <v>26.54</v>
    <v>26.684999999999999</v>
    <v>26.75</v>
    <v>26.82</v>
    <v>26.79</v>
    <v>26.95</v>
    <v>27.07</v>
    <v>27.085000000000001</v>
    <v>27.17</v>
    <v>27.45</v>
    <v>27.3</v>
    <v>27.175000000000001</v>
    <v>26.98</v>
    <v>27.164999999999999</v>
    <v>27.094999999999999</v>
    <v>27.42</v>
    <v>27.515000000000001</v>
    <v>27.725000000000001</v>
    <v>27.93</v>
    <v>27.954999999999998</v>
    <v>28.215</v>
    <v>28.19</v>
    <v>27.54</v>
    <v>28.16</v>
    <v>27.85</v>
    <v>28.285</v>
    <v>28.594999999999999</v>
    <v>28.33</v>
    <v>28.905000000000001</v>
    <v>28.79</v>
    <v>28.785</v>
    <v>28.89</v>
    <v>29.074999999999999</v>
    <v>29.175000000000001</v>
    <v>29.184999999999999</v>
    <v>29.545000000000002</v>
    <v>29.504999999999999</v>
    <v>29.495000000000001</v>
    <v>29.83</v>
    <v>29.515000000000001</v>
    <v>29.5</v>
    <v>29.015000000000001</v>
    <v>28.57</v>
    <v>29.245000000000001</v>
    <v>29.315000000000001</v>
    <v>29.4</v>
    <v>29.035</v>
    <v>29.18</v>
    <v>29.035</v>
    <v>28.67</v>
    <v>28.745000000000001</v>
    <v>28.855</v>
    <v>28.295000000000002</v>
    <v>28.57</v>
    <v>28.434999999999999</v>
    <v>28.864999999999998</v>
    <v>28.855</v>
    <v>28.914999999999999</v>
    <v>28.82</v>
    <v>28.79</v>
    <v>28.77</v>
    <v>28.844999999999999</v>
    <v>29.125</v>
    <v>29.11</v>
    <v>29.164999999999999</v>
    <v>29.245000000000001</v>
    <v>29.02</v>
    <v>28.664999999999999</v>
    <v>28.83</v>
    <v>28.425000000000001</v>
    <v>28.265000000000001</v>
    <v>28.715</v>
    <v>28.995000000000001</v>
    <v>29.004999999999999</v>
    <v>29.17</v>
    <v>29.565000000000001</v>
    <v>29.77</v>
    <v>30.33</v>
    <v>30.925000000000001</v>
    <v>31.23</v>
    <v>31.184999999999999</v>
    <v>31.024999999999999</v>
    <v>31.33</v>
    <v>31.41</v>
    <v>31.454999999999998</v>
    <v>31.504999999999999</v>
    <v>32.104999999999997</v>
    <v>31.914999999999999</v>
    <v>31.96</v>
    <v>31.495000000000001</v>
    <v>31.995000000000001</v>
    <v>32.22</v>
    <v>32.145000000000003</v>
    <v>32.19</v>
    <v>32.424999999999997</v>
    <v>32.875</v>
    <v>32.409999999999997</v>
    <v>32.42</v>
    <v>32.494999999999997</v>
    <v>33.045000000000002</v>
    <v>32.805</v>
    <v>32.53</v>
    <v>32.984999999999999</v>
    <v>33.28</v>
    <v>33.35</v>
    <v>33.984999999999999</v>
    <v>33.994999999999997</v>
    <v>33.96</v>
    <v>34.085000000000001</v>
    <v>33.954999999999998</v>
    <v>34.47</v>
    <v>34.344999999999999</v>
    <v>34.875</v>
    <v>34.71</v>
    <v>35.549999999999997</v>
    <v>35.835000000000001</v>
    <v>35.76</v>
    <v>35.564999999999998</v>
    <v>35.11</v>
    <v>33.234999999999999</v>
    <v>33.86</v>
    <v>33.14</v>
    <v>32.840000000000003</v>
    <v>32.844999999999999</v>
    <v>33.75</v>
    <v>33.659999999999997</v>
    <v>32.844999999999999</v>
    <v>32.814999999999998</v>
    <v>33.354999999999997</v>
    <v>33.729999999999997</v>
    <v>33.5</v>
    <v>32.844999999999999</v>
    <v>32.159999999999997</v>
    <v>32.68</v>
    <v>32.42</v>
    <v>33.045000000000002</v>
    <v>32.119999999999997</v>
    <v>31.69</v>
    <v>31.785</v>
    <v>31.555</v>
    <v>32.92</v>
    <v>32.32</v>
    <v>32.42</v>
    <v>34.479999999999997</v>
    <v>34.405000000000001</v>
    <v>34.67</v>
    <v>34.6</v>
    <v>35.325000000000003</v>
    <v>35.549999999999997</v>
    <v>35.71</v>
    <v>36.56</v>
    <v>35.984999999999999</v>
    <v>36.020000000000003</v>
    <v>36.585000000000001</v>
    <v>36.53</v>
    <v>36.895000000000003</v>
    <v>36.984999999999999</v>
    <v>36.435000000000002</v>
    <v>36.61</v>
    <v>36.770000000000003</v>
    <v>37.465000000000003</v>
    <v>38.31</v>
    <v>39.354999999999997</v>
    <v>39.305</v>
    <v>39.700000000000003</v>
    <v>39.784999999999997</v>
    <v>38.085000000000001</v>
    <v>39.159999999999997</v>
    <v>39.825000000000003</v>
    <v>38.64</v>
    <v>38.325000000000003</v>
    <v>37.734999999999999</v>
    <v>38.72</v>
    <v>39.04</v>
    <v>39.664999999999999</v>
    <v>40.51</v>
    <v>40.89</v>
    <v>41.134999999999998</v>
    <v>41.33</v>
    <v>41.454999999999998</v>
    <v>42.46</v>
    <v>42.64</v>
    <v>42.365000000000002</v>
    <v>41.524999999999999</v>
    <v>39.89</v>
    <v>39.85</v>
    <v>39.46</v>
    <v>39.270000000000003</v>
    <v>39.85</v>
    <v>41.325000000000003</v>
    <v>42.625</v>
    <v>42.33</v>
    <v>43.125</v>
    <v>44.295000000000002</v>
    <v>43.875</v>
    <v>44.78</v>
    <v>42.41</v>
    <v>42.475000000000001</v>
    <v>42.975000000000001</v>
    <v>42.365000000000002</v>
    <v>41.76</v>
    <v>42.945</v>
    <v>42.155000000000001</v>
    <v>41.26</v>
    <v>42.41</v>
    <v>42.42</v>
    <v>40.53</v>
    <v>40.234999999999999</v>
    <v>41.29</v>
    <v>41.505000000000003</v>
    <v>40.229999999999997</v>
    <v>40.325000000000003</v>
    <v>40.015000000000001</v>
    <v>39.395000000000003</v>
    <v>38.615000000000002</v>
    <v>38.950000000000003</v>
    <v>40.094999999999999</v>
    <v>40.034999999999997</v>
    <v>39.549999999999997</v>
    <v>39.200000000000003</v>
    <v>38.409999999999997</v>
    <v>37.924999999999997</v>
    <v>36.82</v>
    <v>37.81</v>
    <v>38.475000000000001</v>
    <v>38.39</v>
    <v>39.725000000000001</v>
    <v>39.81</v>
    <v>39.450000000000003</v>
    <v>39.344999999999999</v>
    <v>39.085000000000001</v>
    <v>39.5</v>
    <v>40.32</v>
    <v>40.655000000000001</v>
    <v>40.375</v>
    <v>41.274999999999999</v>
    <v>39.445</v>
    <v>39.659999999999997</v>
    <v>39.79</v>
    <v>40.380000000000003</v>
    <v>39.69</v>
    <v>40.344999999999999</v>
    <v>40.57</v>
    <v>40.83</v>
    <v>40.954999999999998</v>
    <v>40.520000000000003</v>
    <v>40.85</v>
    <v>40.69</v>
    <v>40.875</v>
    <v>41.585000000000001</v>
    <v>42.024999999999999</v>
    <v>42.204999999999998</v>
    <v>41.93</v>
    <v>41.17</v>
    <v>41.72</v>
    <v>40.479999999999997</v>
    <v>40.234999999999999</v>
    <v>40.784999999999997</v>
    <v>41.4</v>
    <v>41.255000000000003</v>
    <v>42.484999999999999</v>
    <v>42.725000000000001</v>
    <v>42.46</v>
    <v>41.99</v>
    <v>42.405000000000001</v>
    <v>41.7</v>
    <v>42.32</v>
    <v>41.88</v>
    <v>41.935000000000002</v>
    <v>42.924999999999997</v>
    <v>43.82</v>
    <v>43.58</v>
    <v>43.08</v>
    <v>42.204999999999998</v>
    <v>42.32</v>
    <v>42.06</v>
    <v>41.424999999999997</v>
    <v>41.155000000000001</v>
    <v>40.115000000000002</v>
    <v>39.625</v>
    <v>40.119999999999997</v>
    <v>39.76</v>
    <v>40.19</v>
    <v>39.064999999999998</v>
    <v>39.255000000000003</v>
  </a>
  <a r="1" c="254">
    <v>45.814999999999998</v>
    <v>46.96</v>
    <v>47.04</v>
    <v>46.95</v>
    <v>47.375</v>
    <v>47.31</v>
    <v>47.145000000000003</v>
    <v>47.344999999999999</v>
    <v>46.61</v>
    <v>47.38</v>
    <v>46.414999999999999</v>
    <v>45.6</v>
    <v>46.53</v>
    <v>46.234999999999999</v>
    <v>46.765000000000001</v>
    <v>45.875</v>
    <v>45.835000000000001</v>
    <v>45.645000000000003</v>
    <v>44.61</v>
    <v>45.094999999999999</v>
    <v>45.09</v>
    <v>43.73</v>
    <v>44.53</v>
    <v>44.195</v>
    <v>45.16</v>
    <v>45.195</v>
    <v>45.634999999999998</v>
    <v>45.14</v>
    <v>45.174999999999997</v>
    <v>45.125</v>
    <v>45.685000000000002</v>
    <v>45.755000000000003</v>
    <v>46.02</v>
    <v>45.8</v>
    <v>45.825000000000003</v>
    <v>45.57</v>
    <v>45.06</v>
    <v>45.505000000000003</v>
    <v>45.16</v>
    <v>44.435000000000002</v>
    <v>44.865000000000002</v>
    <v>45.21</v>
    <v>45.3</v>
    <v>45.38</v>
    <v>45.44</v>
    <v>45.5</v>
    <v>45.95</v>
    <v>46.685000000000002</v>
    <v>46.26</v>
    <v>46.58</v>
    <v>46</v>
    <v>46.42</v>
    <v>46.424999999999997</v>
    <v>46.62</v>
    <v>46.375</v>
    <v>47.215000000000003</v>
    <v>47.664999999999999</v>
    <v>46.95</v>
    <v>46.594999999999999</v>
    <v>46.84</v>
    <v>47.055</v>
    <v>47.005000000000003</v>
    <v>46.8</v>
    <v>47.335000000000001</v>
    <v>47.505000000000003</v>
    <v>47.884999999999998</v>
    <v>48.11</v>
    <v>48.575000000000003</v>
    <v>49.255000000000003</v>
    <v>49.174999999999997</v>
    <v>48.784999999999997</v>
    <v>49.77</v>
    <v>50.47</v>
    <v>50.65</v>
    <v>51.44</v>
    <v>51.16</v>
    <v>51.24</v>
    <v>51.22</v>
    <v>51.29</v>
    <v>51.36</v>
    <v>51.32</v>
    <v>51.6</v>
    <v>51.1</v>
    <v>51.67</v>
    <v>52.14</v>
    <v>52.14</v>
    <v>52.03</v>
    <v>51.82</v>
    <v>49.814999999999998</v>
    <v>50.46</v>
    <v>49.945</v>
    <v>49.424999999999997</v>
    <v>48.884999999999998</v>
    <v>50.5</v>
    <v>50.22</v>
    <v>50.15</v>
    <v>49.795000000000002</v>
    <v>50.02</v>
    <v>50.13</v>
    <v>50.26</v>
    <v>49.19</v>
    <v>48.5</v>
    <v>48.844999999999999</v>
    <v>49.215000000000003</v>
    <v>50.29</v>
    <v>48.97</v>
    <v>48.03</v>
    <v>47.87</v>
    <v>47.88</v>
    <v>49.615000000000002</v>
    <v>49.465000000000003</v>
    <v>48.89</v>
    <v>51.33</v>
    <v>51.71</v>
    <v>52.46</v>
    <v>52.3</v>
    <v>53.08</v>
    <v>52.59</v>
    <v>52.79</v>
    <v>53.89</v>
    <v>53.69</v>
    <v>53.73</v>
    <v>54.48</v>
    <v>55.15</v>
    <v>55.29</v>
    <v>55.2</v>
    <v>54.58</v>
    <v>54.86</v>
    <v>56.15</v>
    <v>56.48</v>
    <v>57.07</v>
    <v>58.4</v>
    <v>57.62</v>
    <v>58.19</v>
    <v>58.73</v>
    <v>57.25</v>
    <v>58.56</v>
    <v>58.65</v>
    <v>57.47</v>
    <v>56.48</v>
    <v>55.19</v>
    <v>56.22</v>
    <v>56.61</v>
    <v>57.83</v>
    <v>59.04</v>
    <v>58.9</v>
    <v>58.01</v>
    <v>57.91</v>
    <v>57.54</v>
    <v>57.65</v>
    <v>58.92</v>
    <v>59.42</v>
    <v>58.7</v>
    <v>57.31</v>
    <v>57.15</v>
    <v>55.89</v>
    <v>55.01</v>
    <v>55.62</v>
    <v>56.75</v>
    <v>57.73</v>
    <v>57.95</v>
    <v>58.25</v>
    <v>58.98</v>
    <v>59.12</v>
    <v>59.63</v>
    <v>57.86</v>
    <v>57.87</v>
    <v>57.92</v>
    <v>56.9</v>
    <v>56.94</v>
    <v>58.35</v>
    <v>57.99</v>
    <v>56.49</v>
    <v>56.99</v>
    <v>57.23</v>
    <v>55.06</v>
    <v>54.77</v>
    <v>56.08</v>
    <v>56.18</v>
    <v>55.62</v>
    <v>56.14</v>
    <v>55.32</v>
    <v>54.03</v>
    <v>53.9</v>
    <v>53.98</v>
    <v>54.76</v>
    <v>54.9</v>
    <v>54.55</v>
    <v>54.46</v>
    <v>53.12</v>
    <v>52.3</v>
    <v>50.87</v>
    <v>52.58</v>
    <v>53.71</v>
    <v>54.52</v>
    <v>55.96</v>
    <v>56.37</v>
    <v>56.27</v>
    <v>56.36</v>
    <v>56.03</v>
    <v>56.46</v>
    <v>57.21</v>
    <v>56.78</v>
    <v>56.53</v>
    <v>57</v>
    <v>55.32</v>
    <v>54.51</v>
    <v>54.21</v>
    <v>54.04</v>
    <v>53.06</v>
    <v>53.64</v>
    <v>53.87</v>
    <v>54.27</v>
    <v>54.07</v>
    <v>53.36</v>
    <v>52.64</v>
    <v>52.69</v>
    <v>53.17</v>
    <v>53.72</v>
    <v>54.18</v>
    <v>54.66</v>
    <v>53.92</v>
    <v>53.29</v>
    <v>54.29</v>
    <v>52.02</v>
    <v>52.1</v>
    <v>52.97</v>
    <v>53.65</v>
    <v>53.73</v>
    <v>54.89</v>
    <v>55.4</v>
    <v>55.05</v>
    <v>54.41</v>
    <v>54.79</v>
    <v>54.23</v>
    <v>54.81</v>
    <v>54.72</v>
    <v>55.14</v>
    <v>56.74</v>
    <v>56.93</v>
    <v>57.32</v>
    <v>56.13</v>
    <v>55.89</v>
    <v>56.41</v>
    <v>56.41</v>
    <v>55.47</v>
    <v>55.13</v>
    <v>53.34</v>
    <v>53.21</v>
    <v>53.07</v>
    <v>52.14</v>
    <v>52.87</v>
    <v>50.82</v>
    <v>50.89</v>
  </a>
  <a r="1" c="208">
    <v>45.95</v>
    <v>46.685000000000002</v>
    <v>46.26</v>
    <v>46.58</v>
    <v>46</v>
    <v>46.42</v>
    <v>46.424999999999997</v>
    <v>46.62</v>
    <v>46.375</v>
    <v>47.215000000000003</v>
    <v>47.664999999999999</v>
    <v>46.95</v>
    <v>46.594999999999999</v>
    <v>46.84</v>
    <v>47.055</v>
    <v>47.005000000000003</v>
    <v>46.8</v>
    <v>47.335000000000001</v>
    <v>47.505000000000003</v>
    <v>47.884999999999998</v>
    <v>48.11</v>
    <v>48.575000000000003</v>
    <v>49.255000000000003</v>
    <v>49.174999999999997</v>
    <v>48.784999999999997</v>
    <v>49.77</v>
    <v>50.47</v>
    <v>50.65</v>
    <v>51.44</v>
    <v>51.16</v>
    <v>51.24</v>
    <v>51.22</v>
    <v>51.29</v>
    <v>51.36</v>
    <v>51.32</v>
    <v>51.6</v>
    <v>51.1</v>
    <v>51.67</v>
    <v>52.14</v>
    <v>52.14</v>
    <v>52.03</v>
    <v>51.82</v>
    <v>49.814999999999998</v>
    <v>50.46</v>
    <v>49.945</v>
    <v>49.424999999999997</v>
    <v>48.884999999999998</v>
    <v>50.5</v>
    <v>50.22</v>
    <v>50.15</v>
    <v>49.795000000000002</v>
    <v>50.02</v>
    <v>50.13</v>
    <v>50.26</v>
    <v>49.19</v>
    <v>48.5</v>
    <v>48.844999999999999</v>
    <v>49.215000000000003</v>
    <v>50.29</v>
    <v>48.97</v>
    <v>48.03</v>
    <v>47.87</v>
    <v>47.88</v>
    <v>49.615000000000002</v>
    <v>49.465000000000003</v>
    <v>48.89</v>
    <v>51.33</v>
    <v>51.71</v>
    <v>52.46</v>
    <v>52.3</v>
    <v>53.08</v>
    <v>52.59</v>
    <v>52.79</v>
    <v>53.89</v>
    <v>53.69</v>
    <v>53.73</v>
    <v>54.48</v>
    <v>55.15</v>
    <v>55.29</v>
    <v>55.2</v>
    <v>54.58</v>
    <v>54.86</v>
    <v>56.15</v>
    <v>56.48</v>
    <v>57.07</v>
    <v>58.4</v>
    <v>57.62</v>
    <v>58.19</v>
    <v>58.73</v>
    <v>57.25</v>
    <v>58.56</v>
    <v>58.65</v>
    <v>57.47</v>
    <v>56.48</v>
    <v>55.19</v>
    <v>56.22</v>
    <v>56.61</v>
    <v>57.83</v>
    <v>59.04</v>
    <v>58.9</v>
    <v>58.01</v>
    <v>57.91</v>
    <v>57.54</v>
    <v>57.65</v>
    <v>58.92</v>
    <v>59.42</v>
    <v>58.7</v>
    <v>57.31</v>
    <v>57.15</v>
    <v>55.89</v>
    <v>55.01</v>
    <v>55.62</v>
    <v>56.75</v>
    <v>57.73</v>
    <v>57.95</v>
    <v>58.25</v>
    <v>58.98</v>
    <v>59.12</v>
    <v>59.63</v>
    <v>57.86</v>
    <v>57.87</v>
    <v>57.92</v>
    <v>56.9</v>
    <v>56.94</v>
    <v>58.35</v>
    <v>57.99</v>
    <v>56.49</v>
    <v>56.99</v>
    <v>57.23</v>
    <v>55.06</v>
    <v>54.77</v>
    <v>56.08</v>
    <v>56.18</v>
    <v>55.62</v>
    <v>56.14</v>
    <v>55.32</v>
    <v>54.03</v>
    <v>53.9</v>
    <v>53.98</v>
    <v>54.76</v>
    <v>54.9</v>
    <v>54.55</v>
    <v>54.46</v>
    <v>53.12</v>
    <v>52.3</v>
    <v>50.87</v>
    <v>52.58</v>
    <v>53.71</v>
    <v>54.52</v>
    <v>55.96</v>
    <v>56.37</v>
    <v>56.27</v>
    <v>56.36</v>
    <v>56.03</v>
    <v>56.46</v>
    <v>57.21</v>
    <v>56.78</v>
    <v>56.53</v>
    <v>57</v>
    <v>55.32</v>
    <v>54.51</v>
    <v>54.21</v>
    <v>54.04</v>
    <v>53.06</v>
    <v>53.64</v>
    <v>53.87</v>
    <v>54.27</v>
    <v>54.07</v>
    <v>53.36</v>
    <v>52.64</v>
    <v>52.69</v>
    <v>53.17</v>
    <v>53.72</v>
    <v>54.18</v>
    <v>54.66</v>
    <v>53.92</v>
    <v>53.29</v>
    <v>54.29</v>
    <v>52.02</v>
    <v>52.1</v>
    <v>52.97</v>
    <v>53.65</v>
    <v>53.73</v>
    <v>54.89</v>
    <v>55.4</v>
    <v>55.05</v>
    <v>54.41</v>
    <v>54.79</v>
    <v>54.23</v>
    <v>54.81</v>
    <v>54.72</v>
    <v>55.14</v>
    <v>56.74</v>
    <v>56.93</v>
    <v>57.32</v>
    <v>56.13</v>
    <v>55.89</v>
    <v>56.41</v>
    <v>56.41</v>
    <v>55.47</v>
    <v>55.13</v>
    <v>53.34</v>
    <v>53.21</v>
    <v>53.07</v>
    <v>52.14</v>
    <v>52.87</v>
    <v>50.82</v>
    <v>50.89</v>
  </a>
  <a r="1" c="761">
    <v>27.78</v>
    <v>27.97</v>
    <v>27.785</v>
    <v>27.91</v>
    <v>27.63</v>
    <v>27.38</v>
    <v>27.565000000000001</v>
    <v>27.914999999999999</v>
    <v>28.12</v>
    <v>28.484999999999999</v>
    <v>28.38</v>
    <v>28.335000000000001</v>
    <v>28.24</v>
    <v>28.58</v>
    <v>28.61</v>
    <v>28.754999999999999</v>
    <v>29.295000000000002</v>
    <v>29.585000000000001</v>
    <v>29.385000000000002</v>
    <v>29.515000000000001</v>
    <v>29.535</v>
    <v>29.635000000000002</v>
    <v>29.8</v>
    <v>29.734999999999999</v>
    <v>29.704999999999998</v>
    <v>29.67</v>
    <v>29.765000000000001</v>
    <v>29.82</v>
    <v>29.99</v>
    <v>30.355</v>
    <v>30.385000000000002</v>
    <v>30.495000000000001</v>
    <v>30.87</v>
    <v>30.745000000000001</v>
    <v>31.085000000000001</v>
    <v>31.285</v>
    <v>31.045000000000002</v>
    <v>30.96</v>
    <v>31.655000000000001</v>
    <v>31.995000000000001</v>
    <v>31.725000000000001</v>
    <v>31.914999999999999</v>
    <v>32.15</v>
    <v>31.934999999999999</v>
    <v>32.034999999999997</v>
    <v>32.090000000000003</v>
    <v>32.204999999999998</v>
    <v>32.115000000000002</v>
    <v>31.96</v>
    <v>31.37</v>
    <v>31.475000000000001</v>
    <v>31.324999999999999</v>
    <v>31.36</v>
    <v>31.385000000000002</v>
    <v>31.414999999999999</v>
    <v>31.234999999999999</v>
    <v>31.475000000000001</v>
    <v>31.414999999999999</v>
    <v>31.26</v>
    <v>30.824999999999999</v>
    <v>31.055</v>
    <v>30.925000000000001</v>
    <v>31.36</v>
    <v>31.3</v>
    <v>31.59</v>
    <v>31.504999999999999</v>
    <v>31.704999999999998</v>
    <v>31.805</v>
    <v>31.87</v>
    <v>31.725000000000001</v>
    <v>31.79</v>
    <v>32.234999999999999</v>
    <v>32.104999999999997</v>
    <v>32.314999999999998</v>
    <v>32.61</v>
    <v>32.65</v>
    <v>32.765000000000001</v>
    <v>33.244999999999997</v>
    <v>32.6</v>
    <v>32.914999999999999</v>
    <v>33.274999999999999</v>
    <v>33.545000000000002</v>
    <v>33.35</v>
    <v>32.94</v>
    <v>33.075000000000003</v>
    <v>33.69</v>
    <v>33.664999999999999</v>
    <v>33.695</v>
    <v>33.744999999999997</v>
    <v>33.729999999999997</v>
    <v>34.125</v>
    <v>34.255000000000003</v>
    <v>34.314999999999998</v>
    <v>34.125</v>
    <v>34.435000000000002</v>
    <v>34.835000000000001</v>
    <v>34.94</v>
    <v>34.484999999999999</v>
    <v>34.82</v>
    <v>34.924999999999997</v>
    <v>34.950000000000003</v>
    <v>34.81</v>
    <v>35.049999999999997</v>
    <v>35.07</v>
    <v>35.344999999999999</v>
    <v>35.924999999999997</v>
    <v>36.024999999999999</v>
    <v>35.93</v>
    <v>35.92</v>
    <v>35.86</v>
    <v>36.06</v>
    <v>35.704999999999998</v>
    <v>35.945</v>
    <v>36.155000000000001</v>
    <v>35.524999999999999</v>
    <v>35.78</v>
    <v>35.54</v>
    <v>35.645000000000003</v>
    <v>35.645000000000003</v>
    <v>35.9</v>
    <v>35.81</v>
    <v>35.159999999999997</v>
    <v>34.945</v>
    <v>35.604999999999997</v>
    <v>35.229999999999997</v>
    <v>34.99</v>
    <v>35.4</v>
    <v>35.645000000000003</v>
    <v>35.29</v>
    <v>36.064999999999998</v>
    <v>36.299999999999997</v>
    <v>35.895000000000003</v>
    <v>35.67</v>
    <v>36.024999999999999</v>
    <v>36.6</v>
    <v>36.92</v>
    <v>37.164999999999999</v>
    <v>37.265000000000001</v>
    <v>37.354999999999997</v>
    <v>37.375</v>
    <v>37.414999999999999</v>
    <v>37.954999999999998</v>
    <v>37.795000000000002</v>
    <v>37.454999999999998</v>
    <v>37.74</v>
    <v>37.83</v>
    <v>38.06</v>
    <v>37.924999999999997</v>
    <v>38.22</v>
    <v>38.299999999999997</v>
    <v>38.164999999999999</v>
    <v>37.395000000000003</v>
    <v>37.49</v>
    <v>37.159999999999997</v>
    <v>37.325000000000003</v>
    <v>37.06</v>
    <v>37.619999999999997</v>
    <v>37.479999999999997</v>
    <v>37.44</v>
    <v>37.71</v>
    <v>37.43</v>
    <v>38.024999999999999</v>
    <v>37.78</v>
    <v>37.494999999999997</v>
    <v>37.414999999999999</v>
    <v>37.814999999999998</v>
    <v>37.89</v>
    <v>37.96</v>
    <v>37.82</v>
    <v>37.515000000000001</v>
    <v>37.234999999999999</v>
    <v>36.965000000000003</v>
    <v>36.975000000000001</v>
    <v>37.064999999999998</v>
    <v>36.71</v>
    <v>36.729999999999997</v>
    <v>37.19</v>
    <v>37.435000000000002</v>
    <v>37.234999999999999</v>
    <v>37.54</v>
    <v>37.484999999999999</v>
    <v>37.875</v>
    <v>38.414999999999999</v>
    <v>38.61</v>
    <v>38.32</v>
    <v>38.424999999999997</v>
    <v>37.755000000000003</v>
    <v>37.325000000000003</v>
    <v>37.07</v>
    <v>37.365000000000002</v>
    <v>37.835000000000001</v>
    <v>37.185000000000002</v>
    <v>36.65</v>
    <v>36.914999999999999</v>
    <v>36.880000000000003</v>
    <v>36.704999999999998</v>
    <v>37.795000000000002</v>
    <v>36.880000000000003</v>
    <v>35.125</v>
    <v>34.305</v>
    <v>34.534999999999997</v>
    <v>35.234999999999999</v>
    <v>35.414999999999999</v>
    <v>35.414999999999999</v>
    <v>35.585000000000001</v>
    <v>35.85</v>
    <v>35.99</v>
    <v>36.6</v>
    <v>36.840000000000003</v>
    <v>36.725000000000001</v>
    <v>36.93</v>
    <v>36.975000000000001</v>
    <v>37.024999999999999</v>
    <v>37.094999999999999</v>
    <v>36.96</v>
    <v>37.045000000000002</v>
    <v>37.51</v>
    <v>37.484999999999999</v>
    <v>37.674999999999997</v>
    <v>37.015000000000001</v>
    <v>36.54</v>
    <v>36.270000000000003</v>
    <v>35.655000000000001</v>
    <v>36.104999999999997</v>
    <v>36.265000000000001</v>
    <v>36.314999999999998</v>
    <v>37.075000000000003</v>
    <v>37.450000000000003</v>
    <v>37.369999999999997</v>
    <v>37.994999999999997</v>
    <v>37.865000000000002</v>
    <v>38.564999999999998</v>
    <v>38.56</v>
    <v>38.700000000000003</v>
    <v>39.064999999999998</v>
    <v>38.835000000000001</v>
    <v>39.17</v>
    <v>39.18</v>
    <v>39.195</v>
    <v>39.045000000000002</v>
    <v>38.984999999999999</v>
    <v>38.795000000000002</v>
    <v>38.869999999999997</v>
    <v>39.03</v>
    <v>39.094999999999999</v>
    <v>39.47</v>
    <v>39.26</v>
    <v>39.475000000000001</v>
    <v>39.805</v>
    <v>39.47</v>
    <v>39.450000000000003</v>
    <v>40.015000000000001</v>
    <v>39.805</v>
    <v>39.615000000000002</v>
    <v>39.54</v>
    <v>39.344999999999999</v>
    <v>39.494999999999997</v>
    <v>39.715000000000003</v>
    <v>39.905000000000001</v>
    <v>39.555</v>
    <v>39.204999999999998</v>
    <v>38.21</v>
    <v>38.555</v>
    <v>38.5</v>
    <v>38.645000000000003</v>
    <v>39.805</v>
    <v>40</v>
    <v>40.18</v>
    <v>40.9</v>
    <v>40.22</v>
    <v>40.284999999999997</v>
    <v>40.375</v>
    <v>40.045000000000002</v>
    <v>39.979999999999997</v>
    <v>40.005000000000003</v>
    <v>39.795000000000002</v>
    <v>40.69</v>
    <v>41.19</v>
    <v>41.295000000000002</v>
    <v>41.094999999999999</v>
    <v>40.51</v>
    <v>40.534999999999997</v>
    <v>40.92</v>
    <v>41.115000000000002</v>
    <v>40.965000000000003</v>
    <v>41.115000000000002</v>
    <v>41.17</v>
    <v>41.055</v>
    <v>40.619999999999997</v>
    <v>40.6</v>
    <v>40.85</v>
    <v>40.75</v>
    <v>40.494999999999997</v>
    <v>40.564999999999998</v>
    <v>40.384999999999998</v>
    <v>40.57</v>
    <v>39.524999999999999</v>
    <v>39.770000000000003</v>
    <v>39.594999999999999</v>
    <v>39.67</v>
    <v>39.369999999999997</v>
    <v>40.06</v>
    <v>39.97</v>
    <v>40.57</v>
    <v>40.274999999999999</v>
    <v>40.049999999999997</v>
    <v>40.255000000000003</v>
    <v>39.64</v>
    <v>39.43</v>
    <v>39.625</v>
    <v>40.28</v>
    <v>40.484999999999999</v>
    <v>41.005000000000003</v>
    <v>40.92</v>
    <v>41.034999999999997</v>
    <v>41.965000000000003</v>
    <v>41.935000000000002</v>
    <v>41.7</v>
    <v>39.159999999999997</v>
    <v>38.664999999999999</v>
    <v>39.314999999999998</v>
    <v>39.895000000000003</v>
    <v>40.49</v>
    <v>39.515000000000001</v>
    <v>39.295000000000002</v>
    <v>39.54</v>
    <v>40.1</v>
    <v>40.375</v>
    <v>40.31</v>
    <v>40.225000000000001</v>
    <v>39.625</v>
    <v>40</v>
    <v>40.270000000000003</v>
    <v>40.39</v>
    <v>40.700000000000003</v>
    <v>40.68</v>
    <v>40.590000000000003</v>
    <v>40.515000000000001</v>
    <v>39.630000000000003</v>
    <v>38.82</v>
    <v>39.765000000000001</v>
    <v>39.42</v>
    <v>38.515000000000001</v>
    <v>38.284999999999997</v>
    <v>37.049999999999997</v>
    <v>36.975000000000001</v>
    <v>36.86</v>
    <v>36.445</v>
    <v>36.25</v>
    <v>35.799999999999997</v>
    <v>36.685000000000002</v>
    <v>36.125</v>
    <v>36.799999999999997</v>
    <v>37.15</v>
    <v>37.015000000000001</v>
    <v>37.695</v>
    <v>37.755000000000003</v>
    <v>37.354999999999997</v>
    <v>37.92</v>
    <v>37.975000000000001</v>
    <v>37.335000000000001</v>
    <v>36.93</v>
    <v>36.21</v>
    <v>35.545000000000002</v>
    <v>36.18</v>
    <v>36.195</v>
    <v>34.549999999999997</v>
    <v>32.94</v>
    <v>31.92</v>
    <v>33.07</v>
    <v>31.675000000000001</v>
    <v>33.094999999999999</v>
    <v>32.954999999999998</v>
    <v>33.85</v>
    <v>34.43</v>
    <v>34.07</v>
    <v>33.884999999999998</v>
    <v>33.51</v>
    <v>34.590000000000003</v>
    <v>34.914999999999999</v>
    <v>35.450000000000003</v>
    <v>35.534999999999997</v>
    <v>35.435000000000002</v>
    <v>35.590000000000003</v>
    <v>36.875</v>
    <v>37.07</v>
    <v>36.884999999999998</v>
    <v>36.81</v>
    <v>37.594999999999999</v>
    <v>37.435000000000002</v>
    <v>38.74</v>
    <v>39.195</v>
    <v>39.204999999999998</v>
    <v>39.405000000000001</v>
    <v>39.49</v>
    <v>39.36</v>
    <v>39.700000000000003</v>
    <v>39.465000000000003</v>
    <v>39.14</v>
    <v>38.840000000000003</v>
    <v>39.36</v>
    <v>39.784999999999997</v>
    <v>39.700000000000003</v>
    <v>39.49</v>
    <v>39.325000000000003</v>
    <v>38.909999999999997</v>
    <v>39.445</v>
    <v>39.634999999999998</v>
    <v>39.494999999999997</v>
    <v>39.869999999999997</v>
    <v>39.744999999999997</v>
    <v>39.875</v>
    <v>39.814999999999998</v>
    <v>39.71</v>
    <v>39.58</v>
    <v>40.229999999999997</v>
    <v>39.950000000000003</v>
    <v>39.950000000000003</v>
    <v>39.619999999999997</v>
    <v>39.68</v>
    <v>39.61</v>
    <v>40.42</v>
    <v>40.08</v>
    <v>40.145000000000003</v>
    <v>40.880000000000003</v>
    <v>40.734999999999999</v>
    <v>40.44</v>
    <v>40.54</v>
    <v>41.08</v>
    <v>40.6</v>
    <v>40.68</v>
    <v>40.729999999999997</v>
    <v>40.9</v>
    <v>41.05</v>
    <v>40.924999999999997</v>
    <v>40.945</v>
    <v>41.58</v>
    <v>40.950000000000003</v>
    <v>42.43</v>
    <v>42.49</v>
    <v>42.375</v>
    <v>41.844999999999999</v>
    <v>42.4</v>
    <v>42.41</v>
    <v>42.534999999999997</v>
    <v>42.83</v>
    <v>42.76</v>
    <v>43.024999999999999</v>
    <v>43.41</v>
    <v>42.075000000000003</v>
    <v>42.725000000000001</v>
    <v>42.05</v>
    <v>41.965000000000003</v>
    <v>42.47</v>
    <v>42.505000000000003</v>
    <v>42.335000000000001</v>
    <v>42.634999999999998</v>
    <v>42.4</v>
    <v>42.625</v>
    <v>42.475000000000001</v>
    <v>42.49</v>
    <v>41.984999999999999</v>
    <v>42.14</v>
    <v>42.774999999999999</v>
    <v>42.47</v>
    <v>42.64</v>
    <v>42.975000000000001</v>
    <v>42.97</v>
    <v>42.22</v>
    <v>42.06</v>
    <v>41.74</v>
    <v>41.695</v>
    <v>42.12</v>
    <v>42.045000000000002</v>
    <v>42.674999999999997</v>
    <v>42.494999999999997</v>
    <v>43.625</v>
    <v>43.835000000000001</v>
    <v>43.69</v>
    <v>44.024999999999999</v>
    <v>43.16</v>
    <v>43.045000000000002</v>
    <v>43.99</v>
    <v>43.805</v>
    <v>44.064999999999998</v>
    <v>44.164999999999999</v>
    <v>44.43</v>
    <v>43.75</v>
    <v>43.92</v>
    <v>44.18</v>
    <v>44.41</v>
    <v>44.8</v>
    <v>44.98</v>
    <v>44.95</v>
    <v>45.39</v>
    <v>45.115000000000002</v>
    <v>45.575000000000003</v>
    <v>45.765000000000001</v>
    <v>45</v>
    <v>45.414999999999999</v>
    <v>45.09</v>
    <v>46.125</v>
    <v>45.844999999999999</v>
    <v>45.46</v>
    <v>46.015000000000001</v>
    <v>46.234999999999999</v>
    <v>45.26</v>
    <v>45.814999999999998</v>
    <v>46.96</v>
    <v>47.04</v>
    <v>46.95</v>
    <v>47.375</v>
    <v>47.31</v>
    <v>47.145000000000003</v>
    <v>47.344999999999999</v>
    <v>46.61</v>
    <v>47.38</v>
    <v>46.414999999999999</v>
    <v>45.6</v>
    <v>46.53</v>
    <v>46.234999999999999</v>
    <v>46.765000000000001</v>
    <v>45.875</v>
    <v>45.835000000000001</v>
    <v>45.645000000000003</v>
    <v>44.61</v>
    <v>45.094999999999999</v>
    <v>45.09</v>
    <v>43.73</v>
    <v>44.53</v>
    <v>44.195</v>
    <v>45.16</v>
    <v>45.195</v>
    <v>45.634999999999998</v>
    <v>45.14</v>
    <v>45.174999999999997</v>
    <v>45.125</v>
    <v>45.685000000000002</v>
    <v>45.755000000000003</v>
    <v>46.02</v>
    <v>45.8</v>
    <v>45.825000000000003</v>
    <v>45.57</v>
    <v>45.06</v>
    <v>45.505000000000003</v>
    <v>45.16</v>
    <v>44.435000000000002</v>
    <v>44.865000000000002</v>
    <v>45.21</v>
    <v>45.3</v>
    <v>45.38</v>
    <v>45.44</v>
    <v>45.5</v>
    <v>45.95</v>
    <v>46.685000000000002</v>
    <v>46.26</v>
    <v>46.58</v>
    <v>46</v>
    <v>46.42</v>
    <v>46.424999999999997</v>
    <v>46.62</v>
    <v>46.375</v>
    <v>47.215000000000003</v>
    <v>47.664999999999999</v>
    <v>46.95</v>
    <v>46.594999999999999</v>
    <v>46.84</v>
    <v>47.055</v>
    <v>47.005000000000003</v>
    <v>46.8</v>
    <v>47.335000000000001</v>
    <v>47.505000000000003</v>
    <v>47.884999999999998</v>
    <v>48.11</v>
    <v>48.575000000000003</v>
    <v>49.255000000000003</v>
    <v>49.174999999999997</v>
    <v>48.784999999999997</v>
    <v>49.77</v>
    <v>50.47</v>
    <v>50.65</v>
    <v>51.44</v>
    <v>51.16</v>
    <v>51.24</v>
    <v>51.22</v>
    <v>51.29</v>
    <v>51.36</v>
    <v>51.32</v>
    <v>51.6</v>
    <v>51.1</v>
    <v>51.67</v>
    <v>52.14</v>
    <v>52.14</v>
    <v>52.03</v>
    <v>51.82</v>
    <v>49.814999999999998</v>
    <v>50.46</v>
    <v>49.945</v>
    <v>49.424999999999997</v>
    <v>48.884999999999998</v>
    <v>50.5</v>
    <v>50.22</v>
    <v>50.15</v>
    <v>49.795000000000002</v>
    <v>50.02</v>
    <v>50.13</v>
    <v>50.26</v>
    <v>49.19</v>
    <v>48.5</v>
    <v>48.844999999999999</v>
    <v>49.215000000000003</v>
    <v>50.29</v>
    <v>48.97</v>
    <v>48.03</v>
    <v>47.87</v>
    <v>47.88</v>
    <v>49.615000000000002</v>
    <v>49.465000000000003</v>
    <v>48.89</v>
    <v>51.33</v>
    <v>51.71</v>
    <v>52.46</v>
    <v>52.3</v>
    <v>53.08</v>
    <v>52.59</v>
    <v>52.79</v>
    <v>53.89</v>
    <v>53.69</v>
    <v>53.73</v>
    <v>54.48</v>
    <v>55.15</v>
    <v>55.29</v>
    <v>55.2</v>
    <v>54.58</v>
    <v>54.86</v>
    <v>56.15</v>
    <v>56.48</v>
    <v>57.07</v>
    <v>58.4</v>
    <v>57.62</v>
    <v>58.19</v>
    <v>58.73</v>
    <v>57.25</v>
    <v>58.56</v>
    <v>58.65</v>
    <v>57.47</v>
    <v>56.48</v>
    <v>55.19</v>
    <v>56.22</v>
    <v>56.61</v>
    <v>57.83</v>
    <v>59.04</v>
    <v>58.9</v>
    <v>58.01</v>
    <v>57.91</v>
    <v>57.54</v>
    <v>57.65</v>
    <v>58.92</v>
    <v>59.42</v>
    <v>58.7</v>
    <v>57.31</v>
    <v>57.15</v>
    <v>55.89</v>
    <v>55.01</v>
    <v>55.62</v>
    <v>56.75</v>
    <v>57.73</v>
    <v>57.95</v>
    <v>58.25</v>
    <v>58.98</v>
    <v>59.12</v>
    <v>59.63</v>
    <v>57.86</v>
    <v>57.87</v>
    <v>57.92</v>
    <v>56.9</v>
    <v>56.94</v>
    <v>58.35</v>
    <v>57.99</v>
    <v>56.49</v>
    <v>56.99</v>
    <v>57.23</v>
    <v>55.06</v>
    <v>54.77</v>
    <v>56.08</v>
    <v>56.18</v>
    <v>55.62</v>
    <v>56.14</v>
    <v>55.32</v>
    <v>54.03</v>
    <v>53.9</v>
    <v>53.98</v>
    <v>54.76</v>
    <v>54.9</v>
    <v>54.55</v>
    <v>54.46</v>
    <v>53.12</v>
    <v>52.3</v>
    <v>50.87</v>
    <v>52.58</v>
    <v>53.71</v>
    <v>54.52</v>
    <v>55.96</v>
    <v>56.37</v>
    <v>56.27</v>
    <v>56.36</v>
    <v>56.03</v>
    <v>56.46</v>
    <v>57.21</v>
    <v>56.78</v>
    <v>56.53</v>
    <v>57</v>
    <v>55.32</v>
    <v>54.51</v>
    <v>54.21</v>
    <v>54.04</v>
    <v>53.06</v>
    <v>53.64</v>
    <v>53.87</v>
    <v>54.27</v>
    <v>54.07</v>
    <v>53.36</v>
    <v>52.64</v>
    <v>52.69</v>
    <v>53.17</v>
    <v>53.72</v>
    <v>54.18</v>
    <v>54.66</v>
    <v>53.92</v>
    <v>53.29</v>
    <v>54.29</v>
    <v>52.02</v>
    <v>52.1</v>
    <v>52.97</v>
    <v>53.65</v>
    <v>53.73</v>
    <v>54.89</v>
    <v>55.4</v>
    <v>55.05</v>
    <v>54.41</v>
    <v>54.79</v>
    <v>54.23</v>
    <v>54.81</v>
    <v>54.72</v>
    <v>55.14</v>
    <v>56.74</v>
    <v>56.93</v>
    <v>57.32</v>
    <v>56.13</v>
    <v>55.89</v>
    <v>56.41</v>
    <v>56.41</v>
    <v>55.47</v>
    <v>55.13</v>
    <v>53.34</v>
    <v>53.21</v>
    <v>53.07</v>
    <v>52.14</v>
    <v>52.87</v>
    <v>50.82</v>
    <v>50.89</v>
  </a>
  <a r="1" c="205">
    <v>59.05</v>
    <v>62.36</v>
    <v>64.7</v>
    <v>69.540000000000006</v>
    <v>69.77</v>
    <v>68.36</v>
    <v>66.27</v>
    <v>69.260000000000005</v>
    <v>67.150000000000006</v>
    <v>69.28</v>
    <v>68.92</v>
    <v>70.33</v>
    <v>66.78</v>
    <v>65.319999999999993</v>
    <v>68.36</v>
    <v>65.319999999999993</v>
    <v>67.63</v>
    <v>66.81</v>
    <v>64.569999999999993</v>
    <v>63.51</v>
    <v>59.82</v>
    <v>58.55</v>
    <v>55.97</v>
    <v>53.55</v>
    <v>52.44</v>
    <v>54.91</v>
    <v>57.12</v>
    <v>55.88</v>
    <v>53.61</v>
    <v>50.78</v>
    <v>51.95</v>
    <v>52.56</v>
    <v>56.16</v>
    <v>59.96</v>
    <v>58.37</v>
    <v>57.29</v>
    <v>57.95</v>
    <v>53.71</v>
    <v>55.41</v>
    <v>53.25</v>
    <v>53.31</v>
    <v>51.4</v>
    <v>51.29</v>
    <v>53.05</v>
    <v>52.26</v>
    <v>52.32</v>
    <v>50.9</v>
    <v>52.68</v>
    <v>49.53</v>
    <v>49.98</v>
    <v>50.88</v>
    <v>50.84</v>
    <v>48.69</v>
    <v>48.74</v>
    <v>46.96</v>
    <v>49.14</v>
    <v>48.83</v>
    <v>46.76</v>
    <v>45.53</v>
    <v>42.62</v>
    <v>42.37</v>
    <v>45.22</v>
    <v>47.03</v>
    <v>47.39</v>
    <v>47.3</v>
    <v>46.814999999999998</v>
    <v>47.5</v>
    <v>44.16</v>
    <v>42.94</v>
    <v>45.98</v>
    <v>49.53</v>
    <v>56.41</v>
    <v>54.42</v>
    <v>55.87</v>
    <v>56.78</v>
    <v>55.15</v>
    <v>55.51</v>
    <v>51.44</v>
    <v>52.12</v>
    <v>52.68</v>
    <v>51.1</v>
    <v>50.02</v>
    <v>55.48</v>
    <v>55</v>
    <v>55.81</v>
    <v>54.07</v>
    <v>53.5</v>
    <v>49.47</v>
    <v>49.86</v>
    <v>48.46</v>
    <v>46.95</v>
    <v>45.9</v>
    <v>45.48</v>
    <v>43.93</v>
    <v>43.62</v>
    <v>45.53</v>
    <v>45.88</v>
    <v>46.49</v>
    <v>46.18</v>
    <v>46.66</v>
    <v>47.17</v>
    <v>51.29</v>
    <v>50.47</v>
    <v>52.8</v>
    <v>49.62</v>
    <v>47.51</v>
    <v>52.26</v>
    <v>46.43</v>
    <v>48.59</v>
    <v>48.82</v>
    <v>49.48</v>
    <v>49.59</v>
    <v>47.82</v>
    <v>52.32</v>
    <v>50.56</v>
    <v>48.79</v>
    <v>50.84</v>
    <v>47.85</v>
    <v>48.61</v>
    <v>51.94</v>
    <v>54.87</v>
    <v>56.14</v>
    <v>58.31</v>
    <v>57.93</v>
    <v>61.6</v>
    <v>60.27</v>
    <v>60.7</v>
    <v>60.09</v>
    <v>57.27</v>
    <v>61.5</v>
    <v>58.23</v>
    <v>55.93</v>
    <v>58.67</v>
    <v>57.25</v>
    <v>53.59</v>
    <v>52.47</v>
    <v>48.41</v>
    <v>48.98</v>
    <v>46.96</v>
    <v>46.01</v>
    <v>42.69</v>
    <v>42.91</v>
    <v>42.9</v>
    <v>41.55</v>
    <v>44.29</v>
    <v>43.87</v>
    <v>46.05</v>
    <v>47.05</v>
    <v>46.7</v>
    <v>46.12</v>
    <v>52.05</v>
    <v>55.06</v>
    <v>55.69</v>
    <v>54.61</v>
    <v>54.29</v>
    <v>52.1</v>
    <v>51.64</v>
    <v>49.36</v>
    <v>61.25</v>
    <v>66.650000000000006</v>
    <v>72.69</v>
    <v>66.17</v>
    <v>68.73</v>
    <v>68.48</v>
    <v>70.69</v>
    <v>64.040000000000006</v>
    <v>63.05</v>
    <v>62.27</v>
    <v>61.94</v>
    <v>64.66</v>
    <v>64.62</v>
    <v>64.290000000000006</v>
    <v>61.28</v>
    <v>58.74</v>
    <v>59.01</v>
    <v>62.21</v>
    <v>68.849999999999994</v>
    <v>69.97</v>
    <v>80.36</v>
    <v>77.84</v>
    <v>78.03</v>
    <v>77.19</v>
    <v>76.59</v>
    <v>82.24</v>
    <v>85.01</v>
    <v>85.08</v>
    <v>82.58</v>
    <v>81.900000000000006</v>
    <v>76.5</v>
    <v>76.63</v>
    <v>83.55</v>
    <v>71.98</v>
    <v>70.349999999999994</v>
    <v>69.28</v>
    <v>70.930000000000007</v>
    <v>67.989999999999995</v>
    <v>68.22</v>
    <v>68.319999999999993</v>
    <v>71.13</v>
    <v>64.72</v>
    <v>64.34</v>
    <v>66.75</v>
    <v>67.760000000000005</v>
    <v>63.81</v>
    <v>67.614999999999995</v>
  </a>
  <a r="1" c="252">
    <v>87.034999999999997</v>
    <v>89.23</v>
    <v>91.58</v>
    <v>86.59</v>
    <v>88.84</v>
    <v>86.27</v>
    <v>89.85</v>
    <v>88.71</v>
    <v>84.49</v>
    <v>82.26</v>
    <v>72.09</v>
    <v>71.56</v>
    <v>71.78</v>
    <v>71.56</v>
    <v>71.099999999999994</v>
    <v>67.94</v>
    <v>68.48</v>
    <v>66.39</v>
    <v>66.77</v>
    <v>69.09</v>
    <v>65.69</v>
    <v>70.290000000000006</v>
    <v>76.06</v>
    <v>76.84</v>
    <v>77.209999999999994</v>
    <v>77.930000000000007</v>
    <v>74.069999999999993</v>
    <v>73.97</v>
    <v>74.91</v>
    <v>76.33</v>
    <v>76.66</v>
    <v>77.040000000000006</v>
    <v>75.88</v>
    <v>75.069999999999993</v>
    <v>73.86</v>
    <v>70.61</v>
    <v>68.67</v>
    <v>68.11</v>
    <v>64.614999999999995</v>
    <v>62.21</v>
    <v>64.459999999999994</v>
    <v>65.92</v>
    <v>64.72</v>
    <v>64.260000000000005</v>
    <v>62.7</v>
    <v>61.47</v>
    <v>60.39</v>
    <v>59.05</v>
    <v>62.36</v>
    <v>64.7</v>
    <v>69.540000000000006</v>
    <v>69.77</v>
    <v>68.36</v>
    <v>66.27</v>
    <v>69.260000000000005</v>
    <v>67.150000000000006</v>
    <v>69.28</v>
    <v>68.92</v>
    <v>70.33</v>
    <v>66.78</v>
    <v>65.319999999999993</v>
    <v>68.36</v>
    <v>65.319999999999993</v>
    <v>67.63</v>
    <v>66.81</v>
    <v>64.569999999999993</v>
    <v>63.51</v>
    <v>59.82</v>
    <v>58.55</v>
    <v>55.97</v>
    <v>53.55</v>
    <v>52.44</v>
    <v>54.91</v>
    <v>57.12</v>
    <v>55.88</v>
    <v>53.61</v>
    <v>50.78</v>
    <v>51.95</v>
    <v>52.56</v>
    <v>56.16</v>
    <v>59.96</v>
    <v>58.37</v>
    <v>57.29</v>
    <v>57.95</v>
    <v>53.71</v>
    <v>55.41</v>
    <v>53.25</v>
    <v>53.31</v>
    <v>51.4</v>
    <v>51.29</v>
    <v>53.05</v>
    <v>52.26</v>
    <v>52.32</v>
    <v>50.9</v>
    <v>52.68</v>
    <v>49.53</v>
    <v>49.98</v>
    <v>50.88</v>
    <v>50.84</v>
    <v>48.69</v>
    <v>48.74</v>
    <v>46.96</v>
    <v>49.14</v>
    <v>48.83</v>
    <v>46.76</v>
    <v>45.53</v>
    <v>42.62</v>
    <v>42.37</v>
    <v>45.22</v>
    <v>47.03</v>
    <v>47.39</v>
    <v>47.3</v>
    <v>46.814999999999998</v>
    <v>47.5</v>
    <v>44.16</v>
    <v>42.94</v>
    <v>45.98</v>
    <v>49.53</v>
    <v>56.41</v>
    <v>54.42</v>
    <v>55.87</v>
    <v>56.78</v>
    <v>55.15</v>
    <v>55.51</v>
    <v>51.44</v>
    <v>52.12</v>
    <v>52.68</v>
    <v>51.1</v>
    <v>50.02</v>
    <v>55.48</v>
    <v>55</v>
    <v>55.81</v>
    <v>54.07</v>
    <v>53.5</v>
    <v>49.47</v>
    <v>49.86</v>
    <v>48.46</v>
    <v>46.95</v>
    <v>45.9</v>
    <v>45.48</v>
    <v>43.93</v>
    <v>43.62</v>
    <v>45.53</v>
    <v>45.88</v>
    <v>46.49</v>
    <v>46.18</v>
    <v>46.66</v>
    <v>47.17</v>
    <v>51.29</v>
    <v>50.47</v>
    <v>52.8</v>
    <v>49.62</v>
    <v>47.51</v>
    <v>52.26</v>
    <v>46.43</v>
    <v>48.59</v>
    <v>48.82</v>
    <v>49.48</v>
    <v>49.59</v>
    <v>47.82</v>
    <v>52.32</v>
    <v>50.56</v>
    <v>48.79</v>
    <v>50.84</v>
    <v>47.85</v>
    <v>48.61</v>
    <v>51.94</v>
    <v>54.87</v>
    <v>56.14</v>
    <v>58.31</v>
    <v>57.93</v>
    <v>61.6</v>
    <v>60.27</v>
    <v>60.7</v>
    <v>60.09</v>
    <v>57.27</v>
    <v>61.5</v>
    <v>58.23</v>
    <v>55.93</v>
    <v>58.67</v>
    <v>57.25</v>
    <v>53.59</v>
    <v>52.47</v>
    <v>48.41</v>
    <v>48.98</v>
    <v>46.96</v>
    <v>46.01</v>
    <v>42.69</v>
    <v>42.91</v>
    <v>42.9</v>
    <v>41.55</v>
    <v>44.29</v>
    <v>43.87</v>
    <v>46.05</v>
    <v>47.05</v>
    <v>46.7</v>
    <v>46.12</v>
    <v>52.05</v>
    <v>55.06</v>
    <v>55.69</v>
    <v>54.61</v>
    <v>54.29</v>
    <v>52.1</v>
    <v>51.64</v>
    <v>49.36</v>
    <v>61.25</v>
    <v>66.650000000000006</v>
    <v>72.69</v>
    <v>66.17</v>
    <v>68.73</v>
    <v>68.48</v>
    <v>70.69</v>
    <v>64.040000000000006</v>
    <v>63.05</v>
    <v>62.27</v>
    <v>61.94</v>
    <v>64.66</v>
    <v>64.62</v>
    <v>64.290000000000006</v>
    <v>61.28</v>
    <v>58.74</v>
    <v>59.01</v>
    <v>62.21</v>
    <v>68.849999999999994</v>
    <v>69.97</v>
    <v>80.36</v>
    <v>77.84</v>
    <v>78.03</v>
    <v>77.19</v>
    <v>76.59</v>
    <v>82.24</v>
    <v>85.01</v>
    <v>85.08</v>
    <v>82.58</v>
    <v>81.900000000000006</v>
    <v>76.5</v>
    <v>76.63</v>
    <v>83.55</v>
    <v>71.98</v>
    <v>70.349999999999994</v>
    <v>69.28</v>
    <v>70.930000000000007</v>
    <v>67.989999999999995</v>
    <v>68.22</v>
    <v>68.319999999999993</v>
    <v>71.13</v>
    <v>64.72</v>
    <v>64.34</v>
    <v>66.75</v>
    <v>67.760000000000005</v>
    <v>63.81</v>
    <v>67.614999999999995</v>
  </a>
  <a r="1" c="609">
    <v t="i">211</v>
    <v t="i">212</v>
    <v t="i">213</v>
    <v t="i">214</v>
    <v t="i">218</v>
    <v t="i">219</v>
    <v t="i">220</v>
    <v t="i">221</v>
    <v t="i">224</v>
    <v t="i">225</v>
    <v t="i">226</v>
    <v t="i">227</v>
    <v t="i">228</v>
    <v t="i">231</v>
    <v t="i">232</v>
    <v t="i">233</v>
    <v t="i">234</v>
    <v t="i">235</v>
    <v t="i">238</v>
    <v t="i">239</v>
    <v t="i">241</v>
    <v t="i">242</v>
    <v t="i">245</v>
    <v t="i">246</v>
    <v t="i">247</v>
    <v t="i">248</v>
    <v t="i">249</v>
    <v t="i">252</v>
    <v t="i">253</v>
    <v t="i">254</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v t="i">365</v>
    <v t="i">366</v>
    <v t="i">367</v>
    <v t="i">368</v>
    <v t="i">371</v>
    <v t="i">372</v>
    <v t="i">373</v>
    <v t="i">374</v>
    <v t="i">375</v>
    <v t="i">378</v>
    <v t="i">379</v>
    <v t="i">380</v>
    <v t="i">381</v>
    <v t="i">382</v>
    <v t="i">385</v>
    <v t="i">386</v>
    <v t="i">387</v>
    <v t="i">388</v>
    <v t="i">389</v>
    <v t="i">392</v>
    <v t="i">393</v>
    <v t="i">394</v>
    <v t="i">395</v>
    <v t="i">396</v>
    <v t="i">399</v>
    <v t="i">400</v>
    <v t="i">401</v>
    <v t="i">403</v>
    <v t="i">406</v>
    <v t="i">407</v>
    <v t="i">408</v>
    <v t="i">409</v>
    <v t="i">410</v>
    <v t="i">413</v>
    <v t="i">414</v>
    <v t="i">415</v>
    <v t="i">416</v>
    <v t="i">417</v>
    <v t="i">420</v>
    <v t="i">421</v>
    <v t="i">422</v>
    <v t="i">423</v>
    <v t="i">424</v>
    <v t="i">427</v>
    <v t="i">428</v>
    <v t="i">430</v>
    <v t="i">431</v>
    <v t="i">434</v>
    <v t="i">435</v>
    <v t="i">437</v>
    <v t="i">438</v>
    <v t="i">441</v>
    <v t="i">442</v>
    <v t="i">443</v>
    <v t="i">445</v>
    <v t="i">448</v>
    <v t="i">449</v>
    <v t="i">450</v>
    <v t="i">451</v>
    <v t="i">452</v>
    <v t="i">456</v>
    <v t="i">457</v>
    <v t="i">458</v>
    <v t="i">459</v>
    <v t="i">462</v>
    <v t="i">463</v>
    <v t="i">464</v>
    <v t="i">465</v>
    <v t="i">466</v>
    <v t="i">469</v>
    <v t="i">470</v>
    <v t="i">471</v>
    <v t="i">472</v>
    <v t="i">473</v>
    <v t="i">476</v>
    <v t="i">477</v>
    <v t="i">478</v>
    <v t="i">479</v>
    <v t="i">480</v>
    <v t="i">484</v>
    <v t="i">485</v>
    <v t="i">486</v>
    <v t="i">487</v>
    <v t="i">490</v>
    <v t="i">491</v>
    <v t="i">492</v>
    <v t="i">493</v>
    <v t="i">494</v>
    <v t="i">497</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546</v>
    <v t="i">547</v>
    <v t="i">548</v>
    <v t="i">549</v>
    <v t="i">550</v>
    <v t="i">553</v>
    <v t="i">554</v>
    <v t="i">555</v>
    <v t="i">556</v>
    <v t="i">557</v>
    <v t="i">560</v>
    <v t="i">561</v>
    <v t="i">562</v>
    <v t="i">563</v>
    <v t="i">564</v>
    <v t="i">567</v>
    <v t="i">568</v>
    <v t="i">569</v>
    <v t="i">570</v>
    <v t="i">571</v>
    <v t="i">574</v>
    <v t="i">575</v>
    <v t="i">576</v>
    <v t="i">577</v>
    <v t="i">578</v>
    <v t="i">582</v>
    <v t="i">583</v>
    <v t="i">584</v>
    <v t="i">585</v>
    <v t="i">588</v>
    <v t="i">589</v>
    <v t="i">590</v>
    <v t="i">591</v>
    <v t="i">592</v>
    <v t="i">595</v>
    <v t="i">596</v>
    <v t="i">597</v>
    <v t="i">598</v>
    <v t="i">599</v>
    <v t="i">602</v>
    <v t="i">603</v>
    <v t="i">604</v>
    <v t="i">606</v>
    <v t="i">609</v>
    <v t="i">610</v>
    <v t="i">611</v>
    <v t="i">612</v>
    <v t="i">613</v>
    <v t="i">616</v>
    <v t="i">617</v>
    <v t="i">618</v>
    <v t="i">619</v>
    <v t="i">623</v>
    <v t="i">624</v>
    <v t="i">625</v>
    <v t="i">626</v>
    <v t="i">627</v>
    <v t="i">630</v>
    <v t="i">631</v>
    <v t="i">632</v>
    <v t="i">633</v>
    <v t="i">634</v>
    <v t="i">637</v>
    <v t="i">638</v>
    <v t="i">639</v>
    <v t="i">640</v>
    <v t="i">641</v>
    <v t="i">644</v>
    <v t="i">645</v>
    <v t="i">646</v>
    <v t="i">647</v>
    <v t="i">648</v>
    <v t="i">651</v>
    <v t="i">652</v>
    <v t="i">653</v>
    <v t="i">654</v>
    <v t="i">655</v>
    <v t="i">658</v>
    <v t="i">659</v>
    <v t="i">660</v>
    <v t="i">661</v>
    <v t="i">662</v>
    <v t="i">665</v>
    <v t="i">666</v>
    <v t="i">667</v>
    <v t="i">668</v>
    <v t="i">669</v>
    <v t="i">672</v>
    <v t="i">673</v>
    <v t="i">674</v>
    <v t="i">675</v>
    <v t="i">676</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750</v>
    <v t="i">751</v>
    <v t="i">752</v>
    <v t="i">753</v>
    <v t="i">756</v>
    <v t="i">757</v>
    <v t="i">758</v>
    <v t="i">759</v>
    <v t="i">760</v>
    <v t="i">763</v>
    <v t="i">764</v>
    <v t="i">765</v>
    <v t="i">767</v>
    <v t="i">770</v>
    <v t="i">771</v>
    <v t="i">772</v>
    <v t="i">773</v>
    <v t="i">774</v>
    <v t="i">777</v>
    <v t="i">778</v>
    <v t="i">779</v>
    <v t="i">780</v>
    <v t="i">781</v>
    <v t="i">784</v>
    <v t="i">785</v>
    <v t="i">786</v>
    <v t="i">787</v>
    <v t="i">788</v>
    <v t="i">791</v>
    <v t="i">792</v>
    <v t="i">793</v>
    <v t="i">795</v>
    <v t="i">798</v>
    <v t="i">799</v>
    <v t="i">800</v>
    <v t="i">802</v>
    <v t="i">805</v>
    <v t="i">806</v>
    <v t="i">807</v>
    <v t="i">808</v>
    <v t="i">809</v>
    <v t="i">812</v>
    <v t="i">813</v>
    <v t="i">814</v>
    <v t="i">815</v>
    <v t="i">816</v>
    <v t="i">820</v>
    <v t="i">821</v>
    <v t="i">822</v>
    <v t="i">823</v>
    <v t="i">826</v>
    <v t="i">827</v>
    <v t="i">828</v>
    <v t="i">829</v>
    <v t="i">830</v>
    <v t="i">833</v>
    <v t="i">834</v>
    <v t="i">835</v>
    <v t="i">836</v>
    <v t="i">837</v>
    <v t="i">840</v>
    <v t="i">841</v>
    <v t="i">842</v>
    <v t="i">843</v>
    <v t="i">844</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896</v>
    <v t="i">897</v>
    <v t="i">898</v>
    <v t="i">899</v>
    <v t="i">900</v>
    <v t="i">903</v>
    <v t="i">904</v>
    <v t="i">905</v>
    <v t="i">906</v>
    <v t="i">907</v>
    <v t="i">910</v>
    <v t="i">911</v>
    <v t="i">912</v>
    <v t="i">913</v>
    <v t="i">914</v>
    <v t="i">917</v>
    <v t="i">918</v>
    <v t="i">919</v>
    <v t="i">920</v>
    <v t="i">921</v>
    <v t="i">924</v>
    <v t="i">925</v>
    <v t="i">926</v>
    <v t="i">927</v>
    <v t="i">928</v>
    <v t="i">931</v>
    <v t="i">932</v>
    <v t="i">933</v>
    <v t="i">934</v>
    <v t="i">935</v>
    <v t="i">938</v>
    <v t="i">939</v>
    <v t="i">940</v>
    <v t="i">941</v>
    <v t="i">942</v>
    <v t="i">946</v>
    <v t="i">947</v>
    <v t="i">948</v>
    <v t="i">949</v>
    <v t="i">952</v>
    <v t="i">953</v>
    <v t="i">954</v>
    <v t="i">955</v>
    <v t="i">956</v>
    <v t="i">959</v>
    <v t="i">960</v>
    <v t="i">961</v>
    <v t="i">962</v>
    <v t="i">963</v>
    <v t="i">966</v>
    <v t="i">967</v>
    <v t="i">968</v>
    <v t="i">969</v>
    <v t="i">973</v>
    <v t="i">974</v>
    <v t="i">975</v>
    <v t="i">976</v>
    <v t="i">977</v>
    <v t="i">980</v>
    <v t="i">981</v>
    <v t="i">982</v>
    <v t="i">983</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609">
    <v>-99999901</v>
    <v>-99999901</v>
    <v>-99999901</v>
    <v>-99999901</v>
    <v>-99999901</v>
    <v>-99999901</v>
    <v>-99999901</v>
    <v>-99999901</v>
    <v>-99999901</v>
    <v>-99999901</v>
    <v>-99999901</v>
    <v>-99999901</v>
    <v>-99999901</v>
    <v>-99999901</v>
    <v>-99999901</v>
    <v>-99999901</v>
    <v>-99999901</v>
    <v>40.25</v>
    <v>36.479999999999997</v>
    <v>30.33</v>
    <v>27.26</v>
    <v>28.64</v>
    <v>25.31</v>
    <v>24.96</v>
    <v>27.56</v>
    <v>30.83</v>
    <v>35</v>
    <v>33.340000000000003</v>
    <v>35.979999999999997</v>
    <v>34.39</v>
    <v>30.88</v>
    <v>33.200000000000003</v>
    <v>34.5</v>
    <v>35</v>
    <v>37.5</v>
    <v>39.76</v>
    <v>36.6</v>
    <v>40.74</v>
    <v>39.85</v>
    <v>40.14</v>
    <v>41.4</v>
    <v>42.98</v>
    <v>40.700000000000003</v>
    <v>38.049999999999997</v>
    <v>40.020000000000003</v>
    <v>41.92</v>
    <v>43.87</v>
    <v>45.97</v>
    <v>43.28</v>
    <v>39.28</v>
    <v>39.045000000000002</v>
    <v>38.22</v>
    <v>40.65</v>
    <v>38.82</v>
    <v>38.93</v>
    <v>38.75</v>
    <v>38.68</v>
    <v>42.65</v>
    <v>42.9</v>
    <v>47.2</v>
    <v>50.88</v>
    <v>57.61</v>
    <v>58.71</v>
    <v>71.47</v>
    <v>64.53</v>
    <v>64.95</v>
    <v>60.51</v>
    <v>68.47</v>
    <v>59.23</v>
    <v>57.91</v>
    <v>59.38</v>
    <v>52.09</v>
    <v>53.734999999999999</v>
    <v>55.63</v>
    <v>50.19</v>
    <v>47.27</v>
    <v>45.05</v>
    <v>46.49</v>
    <v>45.45</v>
    <v>49.38</v>
    <v>54.67</v>
    <v>49.23</v>
    <v>51.31</v>
    <v>50.09</v>
    <v>54.43</v>
    <v>55.36</v>
    <v>51.22</v>
    <v>49.15</v>
    <v>51.87</v>
    <v>53.84</v>
    <v>56.6</v>
    <v>53.07</v>
    <v>51.25</v>
    <v>48.96</v>
    <v>52.94</v>
    <v>50.55</v>
    <v>48.08</v>
    <v>48.33</v>
    <v>45.98</v>
    <v>48.82</v>
    <v>50.72</v>
    <v>46.63</v>
    <v>49.05</v>
    <v>48.01</v>
    <v>49.34</v>
    <v>48.68</v>
    <v>46.53</v>
    <v>45.41</v>
    <v>46.21</v>
    <v>43.51</v>
    <v>43.34</v>
    <v>45.22</v>
    <v>45.51</v>
    <v>44.62</v>
    <v>46.06</v>
    <v>49.5</v>
    <v>44.5</v>
    <v>56.97</v>
    <v>56.79</v>
    <v>73.77</v>
    <v>77.62</v>
    <v>68.040000000000006</v>
    <v>68.08</v>
    <v>56.63</v>
    <v>52.4</v>
    <v>54.06</v>
    <v>53.97</v>
    <v>58.15</v>
    <v>52.48</v>
    <v>58.6</v>
    <v>63.89</v>
    <v>58.865000000000002</v>
    <v>62.98</v>
    <v>62.59</v>
    <v>62.94</v>
    <v>56.29</v>
    <v>57.99</v>
    <v>53.16</v>
    <v>50.44</v>
    <v>46.5</v>
    <v>45</v>
    <v>43.19</v>
    <v>41.99</v>
    <v>41</v>
    <v>39.880000000000003</v>
    <v>38.950000000000003</v>
    <v>34.295000000000002</v>
    <v>33.03</v>
    <v>35.54</v>
    <v>34.909999999999997</v>
    <v>34.79</v>
    <v>35.29</v>
    <v>35.119999999999997</v>
    <v>33.869999999999997</v>
    <v>33.76</v>
    <v>34.25</v>
    <v>38.25</v>
    <v>40.76</v>
    <v>38.875</v>
    <v>37.49</v>
    <v>37.520000000000003</v>
    <v>32.340000000000003</v>
    <v>31.83</v>
    <v>34.92</v>
    <v>34.75</v>
    <v>35.15</v>
    <v>47.64</v>
    <v>50.45</v>
    <v>54.84</v>
    <v>51.4</v>
    <v>51.86</v>
    <v>51.02</v>
    <v>50.77</v>
    <v>57.19</v>
    <v>57.39</v>
    <v>61.54</v>
    <v>61.85</v>
    <v>69.180000000000007</v>
    <v>64.989999999999995</v>
    <v>68.959999999999994</v>
    <v>68.36</v>
    <v>71.209999999999994</v>
    <v>73.88</v>
    <v>83.75</v>
    <v>89.44</v>
    <v>81.95</v>
    <v>85.71</v>
    <v>76.72</v>
    <v>68.09</v>
    <v>69.569999999999993</v>
    <v>59.1</v>
    <v>62.26</v>
    <v>55.3</v>
    <v>56.18</v>
    <v>50.93</v>
    <v>52.73</v>
    <v>53.06</v>
    <v>48.86</v>
    <v>49.1</v>
    <v>45.17</v>
    <v>45.58</v>
    <v>45.5</v>
    <v>42.164999999999999</v>
    <v>47.17</v>
    <v>49.87</v>
    <v>45.74</v>
    <v>48.03</v>
    <v>48.04</v>
    <v>51.35</v>
    <v>59</v>
    <v>58.57</v>
    <v>53.25</v>
    <v>51.97</v>
    <v>47.83</v>
    <v>48.24</v>
    <v>47.22</v>
    <v>49.89</v>
    <v>46.17</v>
    <v>42.58</v>
    <v>42.7</v>
    <v>37.229999999999997</v>
    <v>43.79</v>
    <v>40.29</v>
    <v>42.12</v>
    <v>43.13</v>
    <v>42.93</v>
    <v>40.86</v>
    <v>40.450000000000003</v>
    <v>40.98</v>
    <v>43.23</v>
    <v>49.55</v>
    <v>53.5</v>
    <v>52.9</v>
    <v>53.77</v>
    <v>54.29</v>
    <v>51.67</v>
    <v>51.85</v>
    <v>57.06</v>
    <v>54.07</v>
    <v>52.19</v>
    <v>58.76</v>
    <v>65.22</v>
    <v>61.37</v>
    <v>62.69</v>
    <v>68.91</v>
    <v>64.78</v>
    <v>62.6</v>
    <v>65.489999999999995</v>
    <v>63.74</v>
    <v>62.43</v>
    <v>58.14</v>
    <v>59.25</v>
    <v>62.56</v>
    <v>65.87</v>
    <v>53.2</v>
    <v>54.43</v>
    <v>55.18</v>
    <v>63.47</v>
    <v>61.96</v>
    <v>62.78</v>
    <v>58.66</v>
    <v>62.07</v>
    <v>66.94</v>
    <v>69.38</v>
    <v>70.78</v>
    <v>71.23</v>
    <v>71.28</v>
    <v>72</v>
    <v>70.11</v>
    <v>69.099999999999994</v>
    <v>68.31</v>
    <v>65.650000000000006</v>
    <v>68.28</v>
    <v>65.47</v>
    <v>68.34</v>
    <v>66.52</v>
    <v>63.54</v>
    <v>59.445</v>
    <v>59.18</v>
    <v>60.97</v>
    <v>58.01</v>
    <v>58.51</v>
    <v>58.41</v>
    <v>59.6</v>
    <v>56.88</v>
    <v>57.82</v>
    <v>55.89</v>
    <v>59.97</v>
    <v>60.65</v>
    <v>60.98</v>
    <v>58.01</v>
    <v>61.08</v>
    <v>64.86</v>
    <v>63.34</v>
    <v>64.489999999999995</v>
    <v>62</v>
    <v>58.29</v>
    <v>57.81</v>
    <v>56.59</v>
    <v>54.89</v>
    <v>57.52</v>
    <v>57.74</v>
    <v>55.53</v>
    <v>58.74</v>
    <v>60.87</v>
    <v>60.82</v>
    <v>66.34</v>
    <v>69.63</v>
    <v>71.59</v>
    <v>73.78</v>
    <v>78.45</v>
    <v>73.08</v>
    <v>73.28</v>
    <v>76.709999999999994</v>
    <v>80.52</v>
    <v>75.900000000000006</v>
    <v>76.3</v>
    <v>73.23</v>
    <v>73.66</v>
    <v>75.86</v>
    <v>78.34</v>
    <v>76.284999999999997</v>
    <v>78.12</v>
    <v>79.62</v>
    <v>80.22</v>
    <v>81.010000000000005</v>
    <v>78.16</v>
    <v>88.78</v>
    <v>86.38</v>
    <v>85.13</v>
    <v>87.04</v>
    <v>86.45</v>
    <v>87.07</v>
    <v>88.24</v>
    <v>85.87</v>
    <v>84.13</v>
    <v>79.23</v>
    <v>77.33</v>
    <v>78.48</v>
    <v>78.569999999999993</v>
    <v>80.709999999999994</v>
    <v>87.99</v>
    <v>89.3</v>
    <v>91.66</v>
    <v>93.08</v>
    <v>93.01</v>
    <v>103.25</v>
    <v>99.28</v>
    <v>96.39</v>
    <v>94.47</v>
    <v>89.87</v>
    <v>91.91</v>
    <v>91.02</v>
    <v>87.78</v>
    <v>92.45</v>
    <v>89.1</v>
    <v>85.27</v>
    <v>87.034999999999997</v>
    <v>89.23</v>
    <v>91.58</v>
    <v>86.59</v>
    <v>88.84</v>
    <v>86.27</v>
    <v>89.85</v>
    <v>88.71</v>
    <v>84.49</v>
    <v>82.26</v>
    <v>72.09</v>
    <v>71.56</v>
    <v>71.78</v>
    <v>71.56</v>
    <v>71.099999999999994</v>
    <v>67.94</v>
    <v>68.48</v>
    <v>66.39</v>
    <v>66.77</v>
    <v>69.09</v>
    <v>65.69</v>
    <v>70.290000000000006</v>
    <v>76.06</v>
    <v>76.84</v>
    <v>77.209999999999994</v>
    <v>77.930000000000007</v>
    <v>74.069999999999993</v>
    <v>73.97</v>
    <v>74.91</v>
    <v>76.33</v>
    <v>76.66</v>
    <v>77.040000000000006</v>
    <v>75.88</v>
    <v>75.069999999999993</v>
    <v>73.86</v>
    <v>70.61</v>
    <v>68.67</v>
    <v>68.11</v>
    <v>64.614999999999995</v>
    <v>62.21</v>
    <v>64.459999999999994</v>
    <v>65.92</v>
    <v>64.72</v>
    <v>64.260000000000005</v>
    <v>62.7</v>
    <v>61.47</v>
    <v>60.39</v>
    <v>59.05</v>
    <v>62.36</v>
    <v>64.7</v>
    <v>69.540000000000006</v>
    <v>69.77</v>
    <v>68.36</v>
    <v>66.27</v>
    <v>69.260000000000005</v>
    <v>67.150000000000006</v>
    <v>69.28</v>
    <v>68.92</v>
    <v>70.33</v>
    <v>66.78</v>
    <v>65.319999999999993</v>
    <v>68.36</v>
    <v>65.319999999999993</v>
    <v>67.63</v>
    <v>66.81</v>
    <v>64.569999999999993</v>
    <v>63.51</v>
    <v>59.82</v>
    <v>58.55</v>
    <v>55.97</v>
    <v>53.55</v>
    <v>52.44</v>
    <v>54.91</v>
    <v>57.12</v>
    <v>55.88</v>
    <v>53.61</v>
    <v>50.78</v>
    <v>51.95</v>
    <v>52.56</v>
    <v>56.16</v>
    <v>59.96</v>
    <v>58.37</v>
    <v>57.29</v>
    <v>57.95</v>
    <v>53.71</v>
    <v>55.41</v>
    <v>53.25</v>
    <v>53.31</v>
    <v>51.4</v>
    <v>51.29</v>
    <v>53.05</v>
    <v>52.26</v>
    <v>52.32</v>
    <v>50.9</v>
    <v>52.68</v>
    <v>49.53</v>
    <v>49.98</v>
    <v>50.88</v>
    <v>50.84</v>
    <v>48.69</v>
    <v>48.74</v>
    <v>46.96</v>
    <v>49.14</v>
    <v>48.83</v>
    <v>46.76</v>
    <v>45.53</v>
    <v>42.62</v>
    <v>42.37</v>
    <v>45.22</v>
    <v>47.03</v>
    <v>47.39</v>
    <v>47.3</v>
    <v>46.814999999999998</v>
    <v>47.5</v>
    <v>44.16</v>
    <v>42.94</v>
    <v>45.98</v>
    <v>49.53</v>
    <v>56.41</v>
    <v>54.42</v>
    <v>55.87</v>
    <v>56.78</v>
    <v>55.15</v>
    <v>55.51</v>
    <v>51.44</v>
    <v>52.12</v>
    <v>52.68</v>
    <v>51.1</v>
    <v>50.02</v>
    <v>55.48</v>
    <v>55</v>
    <v>55.81</v>
    <v>54.07</v>
    <v>53.5</v>
    <v>49.47</v>
    <v>49.86</v>
    <v>48.46</v>
    <v>46.95</v>
    <v>45.9</v>
    <v>45.48</v>
    <v>43.93</v>
    <v>43.62</v>
    <v>45.53</v>
    <v>45.88</v>
    <v>46.49</v>
    <v>46.18</v>
    <v>46.66</v>
    <v>47.17</v>
    <v>51.29</v>
    <v>50.47</v>
    <v>52.8</v>
    <v>49.62</v>
    <v>47.51</v>
    <v>52.26</v>
    <v>46.43</v>
    <v>48.59</v>
    <v>48.82</v>
    <v>49.48</v>
    <v>49.59</v>
    <v>47.82</v>
    <v>52.32</v>
    <v>50.56</v>
    <v>48.79</v>
    <v>50.84</v>
    <v>47.85</v>
    <v>48.61</v>
    <v>51.94</v>
    <v>54.87</v>
    <v>56.14</v>
    <v>58.31</v>
    <v>57.93</v>
    <v>61.6</v>
    <v>60.27</v>
    <v>60.7</v>
    <v>60.09</v>
    <v>57.27</v>
    <v>61.5</v>
    <v>58.23</v>
    <v>55.93</v>
    <v>58.67</v>
    <v>57.25</v>
    <v>53.59</v>
    <v>52.47</v>
    <v>48.41</v>
    <v>48.98</v>
    <v>46.96</v>
    <v>46.01</v>
    <v>42.69</v>
    <v>42.91</v>
    <v>42.9</v>
    <v>41.55</v>
    <v>44.29</v>
    <v>43.87</v>
    <v>46.05</v>
    <v>47.05</v>
    <v>46.7</v>
    <v>46.12</v>
    <v>52.05</v>
    <v>55.06</v>
    <v>55.69</v>
    <v>54.61</v>
    <v>54.29</v>
    <v>52.1</v>
    <v>51.64</v>
    <v>49.36</v>
    <v>61.25</v>
    <v>66.650000000000006</v>
    <v>72.69</v>
    <v>66.17</v>
    <v>68.73</v>
    <v>68.48</v>
    <v>70.69</v>
    <v>64.040000000000006</v>
    <v>63.05</v>
    <v>62.27</v>
    <v>61.94</v>
    <v>64.66</v>
    <v>64.62</v>
    <v>64.290000000000006</v>
    <v>61.28</v>
    <v>58.74</v>
    <v>59.01</v>
    <v>62.21</v>
    <v>68.849999999999994</v>
    <v>69.97</v>
    <v>80.36</v>
    <v>77.84</v>
    <v>78.03</v>
    <v>77.19</v>
    <v>76.59</v>
    <v>82.24</v>
    <v>85.01</v>
    <v>85.08</v>
    <v>82.58</v>
    <v>81.900000000000006</v>
    <v>76.5</v>
    <v>76.63</v>
    <v>83.55</v>
    <v>71.98</v>
    <v>70.349999999999994</v>
    <v>69.28</v>
    <v>70.930000000000007</v>
    <v>67.989999999999995</v>
    <v>68.22</v>
    <v>68.319999999999993</v>
    <v>71.13</v>
    <v>64.72</v>
    <v>64.34</v>
    <v>66.75</v>
    <v>67.760000000000005</v>
    <v>63.81</v>
    <v>67.614999999999995</v>
  </a>
  <a r="1" c="208">
    <v>23.87</v>
    <v>23.92</v>
    <v>23.965</v>
    <v>24.02</v>
    <v>24</v>
    <v>24.004999999999999</v>
    <v>24.065000000000001</v>
    <v>24.05</v>
    <v>24.094999999999999</v>
    <v>24.094999999999999</v>
    <v>24.08</v>
    <v>24.085000000000001</v>
    <v>24.024999999999999</v>
    <v>24</v>
    <v>24.04</v>
    <v>24.045000000000002</v>
    <v>24.11</v>
    <v>24.094999999999999</v>
    <v>24.13</v>
    <v>24.135000000000002</v>
    <v>24.11</v>
    <v>24.085000000000001</v>
    <v>24.05</v>
    <v>24.094999999999999</v>
    <v>24.125</v>
    <v>24.12</v>
    <v>24.13</v>
    <v>24.19</v>
    <v>24.19</v>
    <v>24.245000000000001</v>
    <v>24.274999999999999</v>
    <v>24.274999999999999</v>
    <v>24.31</v>
    <v>24.305</v>
    <v>24.32</v>
    <v>24.344999999999999</v>
    <v>24.36</v>
    <v>24.364999999999998</v>
    <v>24.395</v>
    <v>24.425000000000001</v>
    <v>24.47</v>
    <v>24.35</v>
    <v>24.21</v>
    <v>24.29</v>
    <v>24.13</v>
    <v>24.074999999999999</v>
    <v>24.04</v>
    <v>24.135000000000002</v>
    <v>23.975000000000001</v>
    <v>23.895</v>
    <v>23.87</v>
    <v>23.91</v>
    <v>24.024999999999999</v>
    <v>23.94</v>
    <v>23.895</v>
    <v>23.72</v>
    <v>23.8</v>
    <v>23.75</v>
    <v>23.875</v>
    <v>23.684999999999999</v>
    <v>23.645</v>
    <v>23.725000000000001</v>
    <v>23.81</v>
    <v>23.855</v>
    <v>23.855</v>
    <v>23.7</v>
    <v>24.004999999999999</v>
    <v>23.925000000000001</v>
    <v>23.835000000000001</v>
    <v>23.77</v>
    <v>23.87</v>
    <v>23.87</v>
    <v>23.87</v>
    <v>24.035</v>
    <v>23.97</v>
    <v>23.905000000000001</v>
    <v>23.94</v>
    <v>23.93</v>
    <v>23.934999999999999</v>
    <v>23.875</v>
    <v>23.835000000000001</v>
    <v>23.765000000000001</v>
    <v>23.885000000000002</v>
    <v>23.805</v>
    <v>23.85</v>
    <v>24.004999999999999</v>
    <v>24.01</v>
    <v>23.975000000000001</v>
    <v>23.934999999999999</v>
    <v>23.835000000000001</v>
    <v>23.81</v>
    <v>23.94</v>
    <v>23.75</v>
    <v>23.75</v>
    <v>23.715</v>
    <v>23.89</v>
    <v>23.84</v>
    <v>23.95</v>
    <v>24.09</v>
    <v>24.05</v>
    <v>24.06</v>
    <v>24.09</v>
    <v>24.14</v>
    <v>24.03</v>
    <v>24.07</v>
    <v>23.954999999999998</v>
    <v>23.99</v>
    <v>23.954999999999998</v>
    <v>23.905000000000001</v>
    <v>23.925000000000001</v>
    <v>23.91</v>
    <v>23.975000000000001</v>
    <v>24.045000000000002</v>
    <v>24.11</v>
    <v>24.145</v>
    <v>24.175000000000001</v>
    <v>24.175000000000001</v>
    <v>24.074999999999999</v>
    <v>24.135000000000002</v>
    <v>24.18</v>
    <v>24.245000000000001</v>
    <v>24.25</v>
    <v>24.28</v>
    <v>24.254999999999999</v>
    <v>24.245000000000001</v>
    <v>24.234999999999999</v>
    <v>24.204999999999998</v>
    <v>24.16</v>
    <v>24.14</v>
    <v>24.07</v>
    <v>23.895</v>
    <v>23.965</v>
    <v>24.004999999999999</v>
    <v>23.945</v>
    <v>23.925000000000001</v>
    <v>23.92</v>
    <v>23.87</v>
    <v>23.895</v>
    <v>23.85</v>
    <v>23.84</v>
    <v>23.81</v>
    <v>23.76</v>
    <v>23.85</v>
    <v>23.92</v>
    <v>23.965</v>
    <v>23.864999999999998</v>
    <v>23.87</v>
    <v>23.8</v>
    <v>23.91</v>
    <v>23.98</v>
    <v>24.004999999999999</v>
    <v>23.95</v>
    <v>23.97</v>
    <v>23.87</v>
    <v>23.905000000000001</v>
    <v>23.905000000000001</v>
    <v>23.954999999999998</v>
    <v>23.835000000000001</v>
    <v>23.8</v>
    <v>23.725000000000001</v>
    <v>23.74</v>
    <v>23.745000000000001</v>
    <v>23.77</v>
    <v>23.745000000000001</v>
    <v>23.85</v>
    <v>23.805</v>
    <v>23.78</v>
    <v>23.734999999999999</v>
    <v>23.655000000000001</v>
    <v>23.645</v>
    <v>23.594999999999999</v>
    <v>23.66</v>
    <v>23.655000000000001</v>
    <v>23.59</v>
    <v>23.645</v>
    <v>23.51</v>
    <v>23.385000000000002</v>
    <v>23.405000000000001</v>
    <v>23.395</v>
    <v>23.344999999999999</v>
    <v>23.375</v>
    <v>23.44</v>
    <v>23.32</v>
    <v>23.454999999999998</v>
    <v>23.425000000000001</v>
    <v>23.285</v>
    <v>23.21</v>
    <v>23.22</v>
    <v>23.15</v>
    <v>23.135000000000002</v>
    <v>23.17</v>
    <v>23.125</v>
    <v>23.25</v>
    <v>23.22</v>
    <v>23.315000000000001</v>
    <v>23.23</v>
    <v>23.215</v>
    <v>23.24</v>
    <v>23.245000000000001</v>
    <v>23.29</v>
    <v>23.265000000000001</v>
    <v>23.375</v>
    <v>23.38</v>
    <v>23.265000000000001</v>
    <v>23.335000000000001</v>
    <v>23.27</v>
    <v>23.28</v>
    <v>23.29</v>
  </a>
  <a r="1" c="761">
    <v>21.815000000000001</v>
    <v>21.835000000000001</v>
    <v>21.745000000000001</v>
    <v>21.82</v>
    <v>21.844999999999999</v>
    <v>21.885000000000002</v>
    <v>21.914999999999999</v>
    <v>21.984999999999999</v>
    <v>22.07</v>
    <v>22.215</v>
    <v>22.045000000000002</v>
    <v>22.18</v>
    <v>22.26</v>
    <v>22.215</v>
    <v>22.12</v>
    <v>22.11</v>
    <v>22.33</v>
    <v>22.274999999999999</v>
    <v>22.37</v>
    <v>22.37</v>
    <v>22.335000000000001</v>
    <v>22.44</v>
    <v>22.44</v>
    <v>22.35</v>
    <v>22.33</v>
    <v>22.454999999999998</v>
    <v>22.535</v>
    <v>22.645</v>
    <v>22.574999999999999</v>
    <v>22.774999999999999</v>
    <v>22.77</v>
    <v>22.965</v>
    <v>23.045000000000002</v>
    <v>23.065000000000001</v>
    <v>22.92</v>
    <v>22.925000000000001</v>
    <v>22.995000000000001</v>
    <v>23.09</v>
    <v>23.23</v>
    <v>23.39</v>
    <v>23.295000000000002</v>
    <v>23.434999999999999</v>
    <v>23.48</v>
    <v>23.55</v>
    <v>23.555</v>
    <v>23.65</v>
    <v>23.55</v>
    <v>23.38</v>
    <v>23.305</v>
    <v>23.395</v>
    <v>23.234999999999999</v>
    <v>23.2</v>
    <v>23.22</v>
    <v>23.13</v>
    <v>23.11</v>
    <v>23.13</v>
    <v>23.24</v>
    <v>23.16</v>
    <v>23.15</v>
    <v>23.04</v>
    <v>23.01</v>
    <v>23.04</v>
    <v>23.1</v>
    <v>22.99</v>
    <v>23.015000000000001</v>
    <v>23.11</v>
    <v>23.085000000000001</v>
    <v>23.195</v>
    <v>23.13</v>
    <v>23.29</v>
    <v>23.31</v>
    <v>23.17</v>
    <v>23.045000000000002</v>
    <v>23.05</v>
    <v>23.04</v>
    <v>22.97</v>
    <v>22.93</v>
    <v>22.984999999999999</v>
    <v>22.96</v>
    <v>23.045000000000002</v>
    <v>23.045000000000002</v>
    <v>22.995000000000001</v>
    <v>22.98</v>
    <v>23.045000000000002</v>
    <v>22.91</v>
    <v>22.97</v>
    <v>23.074999999999999</v>
    <v>22.97</v>
    <v>22.93</v>
    <v>22.93</v>
    <v>23.035</v>
    <v>22.984999999999999</v>
    <v>23.035</v>
    <v>23.184999999999999</v>
    <v>23.19</v>
    <v>23.274999999999999</v>
    <v>23.324999999999999</v>
    <v>23.26</v>
    <v>23.25</v>
    <v>23.215</v>
    <v>23.125</v>
    <v>23.094999999999999</v>
    <v>23.09</v>
    <v>23.085000000000001</v>
    <v>23.1</v>
    <v>23.16</v>
    <v>23.245000000000001</v>
    <v>23.164999999999999</v>
    <v>23.215</v>
    <v>23.295000000000002</v>
    <v>23.254999999999999</v>
    <v>23.074999999999999</v>
    <v>23.08</v>
    <v>23.184999999999999</v>
    <v>23.105</v>
    <v>23.07</v>
    <v>23.2</v>
    <v>23.114999999999998</v>
    <v>23.024999999999999</v>
    <v>23.204999999999998</v>
    <v>23.07</v>
    <v>22.99</v>
    <v>23.015000000000001</v>
    <v>23</v>
    <v>22.99</v>
    <v>23.035</v>
    <v>23.024999999999999</v>
    <v>22.875</v>
    <v>22.82</v>
    <v>22.92</v>
    <v>23.015000000000001</v>
    <v>22.94</v>
    <v>23</v>
    <v>23.045000000000002</v>
    <v>23.11</v>
    <v>23.184999999999999</v>
    <v>23.11</v>
    <v>23.065000000000001</v>
    <v>23.03</v>
    <v>23.05</v>
    <v>22.995000000000001</v>
    <v>23.195</v>
    <v>23.164999999999999</v>
    <v>23.074999999999999</v>
    <v>23.04</v>
    <v>23.07</v>
    <v>23.045000000000002</v>
    <v>22.96</v>
    <v>22.97</v>
    <v>23.04</v>
    <v>22.954999999999998</v>
    <v>22.83</v>
    <v>22.875</v>
    <v>22.89</v>
    <v>23.004999999999999</v>
    <v>23.06</v>
    <v>23.12</v>
    <v>23.08</v>
    <v>22.95</v>
    <v>22.835000000000001</v>
    <v>22.844999999999999</v>
    <v>23</v>
    <v>23.01</v>
    <v>23.12</v>
    <v>23.085000000000001</v>
    <v>23.125</v>
    <v>23.085000000000001</v>
    <v>23.074999999999999</v>
    <v>23.08</v>
    <v>23.074999999999999</v>
    <v>23.094999999999999</v>
    <v>23.02</v>
    <v>23</v>
    <v>22.934999999999999</v>
    <v>22.85</v>
    <v>22.875</v>
    <v>22.975000000000001</v>
    <v>22.94</v>
    <v>23.04</v>
    <v>23.094999999999999</v>
    <v>23</v>
    <v>23.114999999999998</v>
    <v>23.204999999999998</v>
    <v>23.17</v>
    <v>23.23</v>
    <v>23.29</v>
    <v>23.3</v>
    <v>23.324999999999999</v>
    <v>23.25</v>
    <v>23.21</v>
    <v>23.254999999999999</v>
    <v>23.21</v>
    <v>23.28</v>
    <v>23.274999999999999</v>
    <v>23.375</v>
    <v>23.395</v>
    <v>23.484999999999999</v>
    <v>23.555</v>
    <v>23.625</v>
    <v>23.59</v>
    <v>23.63</v>
    <v>23.5</v>
    <v>23.49</v>
    <v>23.574999999999999</v>
    <v>23.635000000000002</v>
    <v>23.66</v>
    <v>23.675000000000001</v>
    <v>23.555</v>
    <v>23.59</v>
    <v>23.635000000000002</v>
    <v>23.66</v>
    <v>23.605</v>
    <v>23.655000000000001</v>
    <v>23.594999999999999</v>
    <v>23.515000000000001</v>
    <v>23.56</v>
    <v>23.545000000000002</v>
    <v>23.51</v>
    <v>23.48</v>
    <v>23.57</v>
    <v>23.684999999999999</v>
    <v>23.69</v>
    <v>23.77</v>
    <v>23.77</v>
    <v>23.785</v>
    <v>23.885000000000002</v>
    <v>23.79</v>
    <v>23.824999999999999</v>
    <v>23.844999999999999</v>
    <v>23.85</v>
    <v>23.72</v>
    <v>23.73</v>
    <v>23.76</v>
    <v>23.78</v>
    <v>23.84</v>
    <v>23.74</v>
    <v>23.795000000000002</v>
    <v>23.85</v>
    <v>23.86</v>
    <v>23.995000000000001</v>
    <v>23.93</v>
    <v>23.86</v>
    <v>23.78</v>
    <v>23.704999999999998</v>
    <v>23.7</v>
    <v>23.7</v>
    <v>23.73</v>
    <v>23.7</v>
    <v>23.71</v>
    <v>23.79</v>
    <v>23.914999999999999</v>
    <v>23.88</v>
    <v>23.94</v>
    <v>23.75</v>
    <v>23.66</v>
    <v>23.72</v>
    <v>23.82</v>
    <v>23.805</v>
    <v>23.78</v>
    <v>23.675000000000001</v>
    <v>23.65</v>
    <v>23.635000000000002</v>
    <v>23.555</v>
    <v>23.64</v>
    <v>23.57</v>
    <v>23.61</v>
    <v>23.58</v>
    <v>23.67</v>
    <v>23.765000000000001</v>
    <v>23.715</v>
    <v>23.675000000000001</v>
    <v>23.754999999999999</v>
    <v>23.83</v>
    <v>23.77</v>
    <v>23.774999999999999</v>
    <v>23.785</v>
    <v>23.77</v>
    <v>23.875</v>
    <v>23.954999999999998</v>
    <v>23.9</v>
    <v>24.065000000000001</v>
    <v>24.125</v>
    <v>24.2</v>
    <v>24.234999999999999</v>
    <v>24.29</v>
    <v>24.28</v>
    <v>24.245000000000001</v>
    <v>24.245000000000001</v>
    <v>24.24</v>
    <v>24.245000000000001</v>
    <v>24.265000000000001</v>
    <v>24.065000000000001</v>
    <v>24</v>
    <v>24.015000000000001</v>
    <v>24.024999999999999</v>
    <v>23.995000000000001</v>
    <v>23.895</v>
    <v>23.92</v>
    <v>23.885000000000002</v>
    <v>23.84</v>
    <v>23.855</v>
    <v>23.77</v>
    <v>23.69</v>
    <v>23.704999999999998</v>
    <v>23.62</v>
    <v>23.56</v>
    <v>23.55</v>
    <v>23.48</v>
    <v>23.41</v>
    <v>23.395</v>
    <v>23.574999999999999</v>
    <v>23.59</v>
    <v>23.62</v>
    <v>23.65</v>
    <v>23.71</v>
    <v>23.68</v>
    <v>23.64</v>
    <v>23.61</v>
    <v>23.625</v>
    <v>23.61</v>
    <v>23.605</v>
    <v>23.72</v>
    <v>23.78</v>
    <v>23.92</v>
    <v>23.914999999999999</v>
    <v>23.984999999999999</v>
    <v>23.98</v>
    <v>23.954999999999998</v>
    <v>23.975000000000001</v>
    <v>23.87</v>
    <v>23.805</v>
    <v>23.905000000000001</v>
    <v>23.875</v>
    <v>23.83</v>
    <v>23.84</v>
    <v>23.72</v>
    <v>23.76</v>
    <v>23.83</v>
    <v>23.82</v>
    <v>23.844999999999999</v>
    <v>23.905000000000001</v>
    <v>23.96</v>
    <v>23.96</v>
    <v>23.82</v>
    <v>23.844999999999999</v>
    <v>23.43</v>
    <v>23.305</v>
    <v>23.335000000000001</v>
    <v>23.34</v>
    <v>23.285</v>
    <v>23.324999999999999</v>
    <v>23.32</v>
    <v>23.29</v>
    <v>23.41</v>
    <v>23.39</v>
    <v>23.434999999999999</v>
    <v>23.414999999999999</v>
    <v>23.48</v>
    <v>23.465</v>
    <v>23.44</v>
    <v>23.445</v>
    <v>23.44</v>
    <v>23.52</v>
    <v>23.53</v>
    <v>23.62</v>
    <v>23.56</v>
    <v>23.625</v>
    <v>23.81</v>
    <v>23.61</v>
    <v>23.63</v>
    <v>23.67</v>
    <v>23.645</v>
    <v>23.77</v>
    <v>23.8</v>
    <v>23.815000000000001</v>
    <v>23.855</v>
    <v>23.934999999999999</v>
    <v>23.984999999999999</v>
    <v>23.914999999999999</v>
    <v>24.02</v>
    <v>23.96</v>
    <v>23.92</v>
    <v>23.925000000000001</v>
    <v>24.03</v>
    <v>23.89</v>
    <v>23.895</v>
    <v>23.89</v>
    <v>23.99</v>
    <v>23.914999999999999</v>
    <v>23.885000000000002</v>
    <v>23.754999999999999</v>
    <v>23.715</v>
    <v>23.69</v>
    <v>23.79</v>
    <v>23.88</v>
    <v>23.905000000000001</v>
    <v>23.844999999999999</v>
    <v>23.78</v>
    <v>23.74</v>
    <v>23.875</v>
    <v>23.9</v>
    <v>23.954999999999998</v>
    <v>23.875</v>
    <v>24.01</v>
    <v>24.04</v>
    <v>23.995000000000001</v>
    <v>24.01</v>
    <v>24.024999999999999</v>
    <v>23.925000000000001</v>
    <v>23.975000000000001</v>
    <v>23.965</v>
    <v>24.024999999999999</v>
    <v>23.984999999999999</v>
    <v>24.065000000000001</v>
    <v>23.96</v>
    <v>23.975000000000001</v>
    <v>23.965</v>
    <v>24.024999999999999</v>
    <v>23.95</v>
    <v>24.004999999999999</v>
    <v>24.015000000000001</v>
    <v>23.975000000000001</v>
    <v>23.96</v>
    <v>23.97</v>
    <v>23.934999999999999</v>
    <v>23.925000000000001</v>
    <v>23.984999999999999</v>
    <v>23.9</v>
    <v>23.965</v>
    <v>23.984999999999999</v>
    <v>23.92</v>
    <v>23.844999999999999</v>
    <v>23.87</v>
    <v>23.805</v>
    <v>23.79</v>
    <v>23.76</v>
    <v>23.78</v>
    <v>23.835000000000001</v>
    <v>23.855</v>
    <v>23.84</v>
    <v>23.98</v>
    <v>24.01</v>
    <v>24.01</v>
    <v>23.855</v>
    <v>23.83</v>
    <v>23.885000000000002</v>
    <v>23.895</v>
    <v>23.855</v>
    <v>23.89</v>
    <v>23.89</v>
    <v>23.99</v>
    <v>23.99</v>
    <v>23.975000000000001</v>
    <v>23.995000000000001</v>
    <v>23.91</v>
    <v>23.895</v>
    <v>23.81</v>
    <v>23.934999999999999</v>
    <v>23.885000000000002</v>
    <v>23.765000000000001</v>
    <v>23.78</v>
    <v>23.864999999999998</v>
    <v>23.785</v>
    <v>23.84</v>
    <v>23.745000000000001</v>
    <v>23.785</v>
    <v>23.78</v>
    <v>23.83</v>
    <v>23.79</v>
    <v>23.74</v>
    <v>23.664999999999999</v>
    <v>23.76</v>
    <v>23.785</v>
    <v>23.88</v>
    <v>23.934999999999999</v>
    <v>23.91</v>
    <v>23.925000000000001</v>
    <v>23.95</v>
    <v>23.864999999999998</v>
    <v>23.895</v>
    <v>23.895</v>
    <v>23.95</v>
    <v>23.864999999999998</v>
    <v>23.835000000000001</v>
    <v>23.82</v>
    <v>23.824999999999999</v>
    <v>23.824999999999999</v>
    <v>23.785</v>
    <v>23.83</v>
    <v>23.885000000000002</v>
    <v>23.88</v>
    <v>23.885000000000002</v>
    <v>23.914999999999999</v>
    <v>23.92</v>
    <v>23.89</v>
    <v>23.87</v>
    <v>23.945</v>
    <v>23.925000000000001</v>
    <v>24.05</v>
    <v>24.024999999999999</v>
    <v>24.105</v>
    <v>24.204999999999998</v>
    <v>24.19</v>
    <v>24.15</v>
    <v>24.164999999999999</v>
    <v>24.204999999999998</v>
    <v>24.18</v>
    <v>24.18</v>
    <v>24.085000000000001</v>
    <v>24.114999999999998</v>
    <v>24.11</v>
    <v>24.125</v>
    <v>24.135000000000002</v>
    <v>24.114999999999998</v>
    <v>24.11</v>
    <v>24.105</v>
    <v>24.07</v>
    <v>24.08</v>
    <v>24.07</v>
    <v>24.08</v>
    <v>24.1</v>
    <v>24.145</v>
    <v>24.08</v>
    <v>24.04</v>
    <v>24.055</v>
    <v>24.035</v>
    <v>24.04</v>
    <v>24.004999999999999</v>
    <v>24.035</v>
    <v>24.04</v>
    <v>24.085000000000001</v>
    <v>24.1</v>
    <v>24.094999999999999</v>
    <v>24.105</v>
    <v>24</v>
    <v>24.01</v>
    <v>24.01</v>
    <v>23.995000000000001</v>
    <v>23.96</v>
    <v>23.855</v>
    <v>23.895</v>
    <v>23.885000000000002</v>
    <v>23.9</v>
    <v>23.87</v>
    <v>23.914999999999999</v>
    <v>23.93</v>
    <v>23.905000000000001</v>
    <v>23.92</v>
    <v>23.844999999999999</v>
    <v>23.835000000000001</v>
    <v>23.93</v>
    <v>23.97</v>
    <v>23.945</v>
    <v>23.87</v>
    <v>23.92</v>
    <v>23.965</v>
    <v>24.02</v>
    <v>24</v>
    <v>24.004999999999999</v>
    <v>24.065000000000001</v>
    <v>24.05</v>
    <v>24.094999999999999</v>
    <v>24.094999999999999</v>
    <v>24.08</v>
    <v>24.085000000000001</v>
    <v>24.024999999999999</v>
    <v>24</v>
    <v>24.04</v>
    <v>24.045000000000002</v>
    <v>24.11</v>
    <v>24.094999999999999</v>
    <v>24.13</v>
    <v>24.135000000000002</v>
    <v>24.11</v>
    <v>24.085000000000001</v>
    <v>24.05</v>
    <v>24.094999999999999</v>
    <v>24.125</v>
    <v>24.12</v>
    <v>24.13</v>
    <v>24.19</v>
    <v>24.19</v>
    <v>24.245000000000001</v>
    <v>24.274999999999999</v>
    <v>24.274999999999999</v>
    <v>24.31</v>
    <v>24.305</v>
    <v>24.32</v>
    <v>24.344999999999999</v>
    <v>24.36</v>
    <v>24.364999999999998</v>
    <v>24.395</v>
    <v>24.425000000000001</v>
    <v>24.47</v>
    <v>24.35</v>
    <v>24.21</v>
    <v>24.29</v>
    <v>24.13</v>
    <v>24.074999999999999</v>
    <v>24.04</v>
    <v>24.135000000000002</v>
    <v>23.975000000000001</v>
    <v>23.895</v>
    <v>23.87</v>
    <v>23.91</v>
    <v>24.024999999999999</v>
    <v>23.94</v>
    <v>23.895</v>
    <v>23.72</v>
    <v>23.8</v>
    <v>23.75</v>
    <v>23.875</v>
    <v>23.684999999999999</v>
    <v>23.645</v>
    <v>23.725000000000001</v>
    <v>23.81</v>
    <v>23.855</v>
    <v>23.855</v>
    <v>23.7</v>
    <v>24.004999999999999</v>
    <v>23.925000000000001</v>
    <v>23.835000000000001</v>
    <v>23.77</v>
    <v>23.87</v>
    <v>23.87</v>
    <v>23.87</v>
    <v>24.035</v>
    <v>23.97</v>
    <v>23.905000000000001</v>
    <v>23.94</v>
    <v>23.93</v>
    <v>23.934999999999999</v>
    <v>23.875</v>
    <v>23.835000000000001</v>
    <v>23.765000000000001</v>
    <v>23.885000000000002</v>
    <v>23.805</v>
    <v>23.85</v>
    <v>24.004999999999999</v>
    <v>24.01</v>
    <v>23.975000000000001</v>
    <v>23.934999999999999</v>
    <v>23.835000000000001</v>
    <v>23.81</v>
    <v>23.94</v>
    <v>23.75</v>
    <v>23.75</v>
    <v>23.715</v>
    <v>23.89</v>
    <v>23.84</v>
    <v>23.95</v>
    <v>24.09</v>
    <v>24.05</v>
    <v>24.06</v>
    <v>24.09</v>
    <v>24.14</v>
    <v>24.03</v>
    <v>24.07</v>
    <v>23.954999999999998</v>
    <v>23.99</v>
    <v>23.954999999999998</v>
    <v>23.905000000000001</v>
    <v>23.925000000000001</v>
    <v>23.91</v>
    <v>23.975000000000001</v>
    <v>24.045000000000002</v>
    <v>24.11</v>
    <v>24.145</v>
    <v>24.175000000000001</v>
    <v>24.175000000000001</v>
    <v>24.074999999999999</v>
    <v>24.135000000000002</v>
    <v>24.18</v>
    <v>24.245000000000001</v>
    <v>24.25</v>
    <v>24.28</v>
    <v>24.254999999999999</v>
    <v>24.245000000000001</v>
    <v>24.234999999999999</v>
    <v>24.204999999999998</v>
    <v>24.16</v>
    <v>24.14</v>
    <v>24.07</v>
    <v>23.895</v>
    <v>23.965</v>
    <v>24.004999999999999</v>
    <v>23.945</v>
    <v>23.925000000000001</v>
    <v>23.92</v>
    <v>23.87</v>
    <v>23.895</v>
    <v>23.85</v>
    <v>23.84</v>
    <v>23.81</v>
    <v>23.76</v>
    <v>23.85</v>
    <v>23.92</v>
    <v>23.965</v>
    <v>23.864999999999998</v>
    <v>23.87</v>
    <v>23.8</v>
    <v>23.91</v>
    <v>23.98</v>
    <v>24.004999999999999</v>
    <v>23.95</v>
    <v>23.97</v>
    <v>23.87</v>
    <v>23.905000000000001</v>
    <v>23.905000000000001</v>
    <v>23.954999999999998</v>
    <v>23.835000000000001</v>
    <v>23.8</v>
    <v>23.725000000000001</v>
    <v>23.74</v>
    <v>23.745000000000001</v>
    <v>23.77</v>
    <v>23.745000000000001</v>
    <v>23.85</v>
    <v>23.805</v>
    <v>23.78</v>
    <v>23.734999999999999</v>
    <v>23.655000000000001</v>
    <v>23.645</v>
    <v>23.594999999999999</v>
    <v>23.66</v>
    <v>23.655000000000001</v>
    <v>23.59</v>
    <v>23.645</v>
    <v>23.51</v>
    <v>23.385000000000002</v>
    <v>23.405000000000001</v>
    <v>23.395</v>
    <v>23.344999999999999</v>
    <v>23.375</v>
    <v>23.44</v>
    <v>23.32</v>
    <v>23.454999999999998</v>
    <v>23.425000000000001</v>
    <v>23.285</v>
    <v>23.21</v>
    <v>23.22</v>
    <v>23.15</v>
    <v>23.135000000000002</v>
    <v>23.17</v>
    <v>23.125</v>
    <v>23.25</v>
    <v>23.22</v>
    <v>23.315000000000001</v>
    <v>23.23</v>
    <v>23.215</v>
    <v>23.24</v>
    <v>23.245000000000001</v>
    <v>23.29</v>
    <v>23.265000000000001</v>
    <v>23.375</v>
    <v>23.38</v>
    <v>23.265000000000001</v>
    <v>23.335000000000001</v>
    <v>23.27</v>
    <v>23.28</v>
    <v>23.29</v>
  </a>
  <a r="1" c="254">
    <v>24.18</v>
    <v>24.085000000000001</v>
    <v>24.114999999999998</v>
    <v>24.11</v>
    <v>24.125</v>
    <v>24.135000000000002</v>
    <v>24.114999999999998</v>
    <v>24.11</v>
    <v>24.105</v>
    <v>24.07</v>
    <v>24.08</v>
    <v>24.07</v>
    <v>24.08</v>
    <v>24.1</v>
    <v>24.145</v>
    <v>24.08</v>
    <v>24.04</v>
    <v>24.055</v>
    <v>24.035</v>
    <v>24.04</v>
    <v>24.004999999999999</v>
    <v>24.035</v>
    <v>24.04</v>
    <v>24.085000000000001</v>
    <v>24.1</v>
    <v>24.094999999999999</v>
    <v>24.105</v>
    <v>24</v>
    <v>24.01</v>
    <v>24.01</v>
    <v>23.995000000000001</v>
    <v>23.96</v>
    <v>23.855</v>
    <v>23.895</v>
    <v>23.885000000000002</v>
    <v>23.9</v>
    <v>23.87</v>
    <v>23.914999999999999</v>
    <v>23.93</v>
    <v>23.905000000000001</v>
    <v>23.92</v>
    <v>23.844999999999999</v>
    <v>23.835000000000001</v>
    <v>23.93</v>
    <v>23.97</v>
    <v>23.945</v>
    <v>23.87</v>
    <v>23.92</v>
    <v>23.965</v>
    <v>24.02</v>
    <v>24</v>
    <v>24.004999999999999</v>
    <v>24.065000000000001</v>
    <v>24.05</v>
    <v>24.094999999999999</v>
    <v>24.094999999999999</v>
    <v>24.08</v>
    <v>24.085000000000001</v>
    <v>24.024999999999999</v>
    <v>24</v>
    <v>24.04</v>
    <v>24.045000000000002</v>
    <v>24.11</v>
    <v>24.094999999999999</v>
    <v>24.13</v>
    <v>24.135000000000002</v>
    <v>24.11</v>
    <v>24.085000000000001</v>
    <v>24.05</v>
    <v>24.094999999999999</v>
    <v>24.125</v>
    <v>24.12</v>
    <v>24.13</v>
    <v>24.19</v>
    <v>24.19</v>
    <v>24.245000000000001</v>
    <v>24.274999999999999</v>
    <v>24.274999999999999</v>
    <v>24.31</v>
    <v>24.305</v>
    <v>24.32</v>
    <v>24.344999999999999</v>
    <v>24.36</v>
    <v>24.364999999999998</v>
    <v>24.395</v>
    <v>24.425000000000001</v>
    <v>24.47</v>
    <v>24.35</v>
    <v>24.21</v>
    <v>24.29</v>
    <v>24.13</v>
    <v>24.074999999999999</v>
    <v>24.04</v>
    <v>24.135000000000002</v>
    <v>23.975000000000001</v>
    <v>23.895</v>
    <v>23.87</v>
    <v>23.91</v>
    <v>24.024999999999999</v>
    <v>23.94</v>
    <v>23.895</v>
    <v>23.72</v>
    <v>23.8</v>
    <v>23.75</v>
    <v>23.875</v>
    <v>23.684999999999999</v>
    <v>23.645</v>
    <v>23.725000000000001</v>
    <v>23.81</v>
    <v>23.855</v>
    <v>23.855</v>
    <v>23.7</v>
    <v>24.004999999999999</v>
    <v>23.925000000000001</v>
    <v>23.835000000000001</v>
    <v>23.77</v>
    <v>23.87</v>
    <v>23.87</v>
    <v>23.87</v>
    <v>24.035</v>
    <v>23.97</v>
    <v>23.905000000000001</v>
    <v>23.94</v>
    <v>23.93</v>
    <v>23.934999999999999</v>
    <v>23.875</v>
    <v>23.835000000000001</v>
    <v>23.765000000000001</v>
    <v>23.885000000000002</v>
    <v>23.805</v>
    <v>23.85</v>
    <v>24.004999999999999</v>
    <v>24.01</v>
    <v>23.975000000000001</v>
    <v>23.934999999999999</v>
    <v>23.835000000000001</v>
    <v>23.81</v>
    <v>23.94</v>
    <v>23.75</v>
    <v>23.75</v>
    <v>23.715</v>
    <v>23.89</v>
    <v>23.84</v>
    <v>23.95</v>
    <v>24.09</v>
    <v>24.05</v>
    <v>24.06</v>
    <v>24.09</v>
    <v>24.14</v>
    <v>24.03</v>
    <v>24.07</v>
    <v>23.954999999999998</v>
    <v>23.99</v>
    <v>23.954999999999998</v>
    <v>23.905000000000001</v>
    <v>23.925000000000001</v>
    <v>23.91</v>
    <v>23.975000000000001</v>
    <v>24.045000000000002</v>
    <v>24.11</v>
    <v>24.145</v>
    <v>24.175000000000001</v>
    <v>24.175000000000001</v>
    <v>24.074999999999999</v>
    <v>24.135000000000002</v>
    <v>24.18</v>
    <v>24.245000000000001</v>
    <v>24.25</v>
    <v>24.28</v>
    <v>24.254999999999999</v>
    <v>24.245000000000001</v>
    <v>24.234999999999999</v>
    <v>24.204999999999998</v>
    <v>24.16</v>
    <v>24.14</v>
    <v>24.07</v>
    <v>23.895</v>
    <v>23.965</v>
    <v>24.004999999999999</v>
    <v>23.945</v>
    <v>23.925000000000001</v>
    <v>23.92</v>
    <v>23.87</v>
    <v>23.895</v>
    <v>23.85</v>
    <v>23.84</v>
    <v>23.81</v>
    <v>23.76</v>
    <v>23.85</v>
    <v>23.92</v>
    <v>23.965</v>
    <v>23.864999999999998</v>
    <v>23.87</v>
    <v>23.8</v>
    <v>23.91</v>
    <v>23.98</v>
    <v>24.004999999999999</v>
    <v>23.95</v>
    <v>23.97</v>
    <v>23.87</v>
    <v>23.905000000000001</v>
    <v>23.905000000000001</v>
    <v>23.954999999999998</v>
    <v>23.835000000000001</v>
    <v>23.8</v>
    <v>23.725000000000001</v>
    <v>23.74</v>
    <v>23.745000000000001</v>
    <v>23.77</v>
    <v>23.745000000000001</v>
    <v>23.85</v>
    <v>23.805</v>
    <v>23.78</v>
    <v>23.734999999999999</v>
    <v>23.655000000000001</v>
    <v>23.645</v>
    <v>23.594999999999999</v>
    <v>23.66</v>
    <v>23.655000000000001</v>
    <v>23.59</v>
    <v>23.645</v>
    <v>23.51</v>
    <v>23.385000000000002</v>
    <v>23.405000000000001</v>
    <v>23.395</v>
    <v>23.344999999999999</v>
    <v>23.375</v>
    <v>23.44</v>
    <v>23.32</v>
    <v>23.454999999999998</v>
    <v>23.425000000000001</v>
    <v>23.285</v>
    <v>23.21</v>
    <v>23.22</v>
    <v>23.15</v>
    <v>23.135000000000002</v>
    <v>23.17</v>
    <v>23.125</v>
    <v>23.25</v>
    <v>23.22</v>
    <v>23.315000000000001</v>
    <v>23.23</v>
    <v>23.215</v>
    <v>23.24</v>
    <v>23.245000000000001</v>
    <v>23.29</v>
    <v>23.265000000000001</v>
    <v>23.375</v>
    <v>23.38</v>
    <v>23.265000000000001</v>
    <v>23.335000000000001</v>
    <v>23.27</v>
    <v>23.28</v>
    <v>23.29</v>
  </a>
  <a r="1" c="761">
    <v>130.38</v>
    <v>128.91999999999999</v>
    <v>128.15</v>
    <v>127.74</v>
    <v>128.07</v>
    <v>131.68</v>
    <v>129.41999999999999</v>
    <v>127.66</v>
    <v>127.91</v>
    <v>130.44999999999999</v>
    <v>129.69</v>
    <v>126.76</v>
    <v>128.16999999999999</v>
    <v>129.16999999999999</v>
    <v>125.61</v>
    <v>124.9</v>
    <v>130.05000000000001</v>
    <v>131.76</v>
    <v>134.30000000000001</v>
    <v>133.35</v>
    <v>132.12</v>
    <v>133.82</v>
    <v>132.88999999999999</v>
    <v>133.32</v>
    <v>136.33000000000001</v>
    <v>138.30000000000001</v>
    <v>139.81</v>
    <v>139.99</v>
    <v>141.52000000000001</v>
    <v>142.19999999999999</v>
    <v>137.38</v>
    <v>135.13999999999999</v>
    <v>134.78</v>
    <v>133.22999999999999</v>
    <v>130.03</v>
    <v>127.83</v>
    <v>127.78</v>
    <v>126.91</v>
    <v>135.54</v>
    <v>134.79</v>
    <v>133.36000000000001</v>
    <v>135.83000000000001</v>
    <v>136.47999999999999</v>
    <v>136.69999999999999</v>
    <v>136.41999999999999</v>
    <v>136.54</v>
    <v>135.31</v>
    <v>133.91999999999999</v>
    <v>133.46</v>
    <v>128.72999999999999</v>
    <v>128.72</v>
    <v>130.34</v>
    <v>129.58000000000001</v>
    <v>128.71</v>
    <v>127.89</v>
    <v>126.12</v>
    <v>130.72</v>
    <v>129.94</v>
    <v>128.72</v>
    <v>126.41</v>
    <v>126.53</v>
    <v>125.93</v>
    <v>123.9</v>
    <v>124.82</v>
    <v>126.96</v>
    <v>127.26</v>
    <v>127.16</v>
    <v>128.85</v>
    <v>128.85</v>
    <v>129.44</v>
    <v>129.41</v>
    <v>126.31</v>
    <v>124.53</v>
    <v>125.33</v>
    <v>125.04</v>
    <v>125.23</v>
    <v>125.27</v>
    <v>126.4</v>
    <v>123.19</v>
    <v>124.94</v>
    <v>127.04</v>
    <v>129.61000000000001</v>
    <v>128.19999999999999</v>
    <v>128.38999999999999</v>
    <v>127.52</v>
    <v>126.87</v>
    <v>127.23</v>
    <v>125.36</v>
    <v>125.33</v>
    <v>124.82</v>
    <v>125.87</v>
    <v>128.63</v>
    <v>132.27000000000001</v>
    <v>132.55000000000001</v>
    <v>134.88999999999999</v>
    <v>136.13</v>
    <v>135.15</v>
    <v>136.26</v>
    <v>134.79</v>
    <v>138.80000000000001</v>
    <v>138.15</v>
    <v>141.25</v>
    <v>139.41</v>
    <v>138.69</v>
    <v>138.57</v>
    <v>137.71</v>
    <v>137.43</v>
    <v>137.53</v>
    <v>135.91</v>
    <v>136.55000000000001</v>
    <v>138.05000000000001</v>
    <v>143.12</v>
    <v>148.49</v>
    <v>150.84</v>
    <v>152.18</v>
    <v>154.16999999999999</v>
    <v>154.1</v>
    <v>155.85</v>
    <v>154.65</v>
    <v>160.74</v>
    <v>158.88</v>
    <v>156.38</v>
    <v>158.83000000000001</v>
    <v>157.83000000000001</v>
    <v>158.65</v>
    <v>151.11000000000001</v>
    <v>151.32</v>
    <v>151.6</v>
    <v>151.74</v>
    <v>150.72</v>
    <v>151.16</v>
    <v>146.66</v>
    <v>147.63999999999999</v>
    <v>145.88</v>
    <v>151.41</v>
    <v>151.46</v>
    <v>152.24</v>
    <v>156</v>
    <v>156.49</v>
    <v>155.75</v>
    <v>158</v>
    <v>162.94</v>
    <v>164.16</v>
    <v>169.9</v>
    <v>176.82</v>
    <v>177.88</v>
    <v>173.59</v>
    <v>167.72</v>
    <v>168.32</v>
    <v>175.29</v>
    <v>176.46</v>
    <v>177.16</v>
    <v>173.53</v>
    <v>168.73</v>
    <v>168.75</v>
    <v>163.95</v>
    <v>165.02</v>
    <v>172.18</v>
    <v>162.38</v>
    <v>163.72999999999999</v>
    <v>160.97</v>
    <v>166.36</v>
    <v>160.12</v>
    <v>160.87</v>
    <v>162.34</v>
    <v>161.96</v>
    <v>163.63</v>
    <v>168.58</v>
    <v>163.84</v>
    <v>163.56</v>
    <v>159.94999999999999</v>
    <v>159.71</v>
    <v>160.16</v>
    <v>161.57</v>
    <v>161.58000000000001</v>
    <v>163.59</v>
    <v>167.84</v>
    <v>167.75</v>
    <v>172.03</v>
    <v>171.19</v>
    <v>168.75</v>
    <v>170.78</v>
    <v>174.27</v>
    <v>170.58</v>
    <v>170.94</v>
    <v>172.5</v>
    <v>167.06</v>
    <v>166.1</v>
    <v>161</v>
    <v>159.59</v>
    <v>160.26</v>
    <v>161.94999999999999</v>
    <v>153.72</v>
    <v>153.09</v>
    <v>151.34</v>
    <v>154.13</v>
    <v>158.28</v>
    <v>157.4</v>
    <v>155.25</v>
    <v>150.31</v>
    <v>149.16999999999999</v>
    <v>148.81</v>
    <v>150.86000000000001</v>
    <v>151.09</v>
    <v>153.28</v>
    <v>152.19999999999999</v>
    <v>151.51</v>
    <v>156.06</v>
    <v>162.1</v>
    <v>162.38</v>
    <v>162.68</v>
    <v>159.52000000000001</v>
    <v>164.31</v>
    <v>163.98</v>
    <v>164.99</v>
    <v>161.51</v>
    <v>162.19</v>
    <v>158.97</v>
    <v>156.78</v>
    <v>153.58000000000001</v>
    <v>155.12</v>
    <v>158.4</v>
    <v>157.19</v>
    <v>154.41999999999999</v>
    <v>155.80000000000001</v>
    <v>156.49</v>
    <v>162.87</v>
    <v>168.29</v>
    <v>168.65</v>
    <v>168.67</v>
    <v>167.19</v>
    <v>169.65</v>
    <v>170.14</v>
    <v>169.48</v>
    <v>173.72</v>
    <v>174.98</v>
    <v>176.54</v>
    <v>173.9</v>
    <v>170.63</v>
    <v>173.33</v>
    <v>173.69</v>
    <v>174.82</v>
    <v>177.78</v>
    <v>173.66</v>
    <v>165.82</v>
    <v>167.73</v>
    <v>169.23</v>
    <v>173.08</v>
    <v>170.2</v>
    <v>172.81</v>
    <v>174.34</v>
    <v>173.88</v>
    <v>178.57</v>
    <v>184.24</v>
    <v>189.83</v>
    <v>183.85</v>
    <v>183.81</v>
    <v>186.23</v>
    <v>185.34</v>
    <v>187.7</v>
    <v>185.44</v>
    <v>178.48</v>
    <v>178.51</v>
    <v>177.95</v>
    <v>178.79</v>
    <v>170.55</v>
    <v>173.08</v>
    <v>171.62</v>
    <v>166.73</v>
    <v>167.52</v>
    <v>167.9</v>
    <v>166.62</v>
    <v>166</v>
    <v>170.24</v>
    <v>170.05</v>
    <v>169.89</v>
    <v>168.28</v>
    <v>170.16</v>
    <v>164.73</v>
    <v>166.26</v>
    <v>164.65</v>
    <v>165.34</v>
    <v>167.64</v>
    <v>166.19</v>
    <v>169.06</v>
    <v>171.4</v>
    <v>170.23</v>
    <v>170.43</v>
    <v>174.62</v>
    <v>173.93</v>
    <v>175.22</v>
    <v>169.35</v>
    <v>166.07</v>
    <v>166.44</v>
    <v>165.93</v>
    <v>164.6</v>
    <v>157.46</v>
    <v>160.27000000000001</v>
    <v>161.12</v>
    <v>160.69</v>
    <v>157.08000000000001</v>
    <v>160.69</v>
    <v>161.99</v>
    <v>164.13</v>
    <v>163.89</v>
    <v>164.19</v>
    <v>164.52</v>
    <v>165.57</v>
    <v>161.46</v>
    <v>162.94999999999999</v>
    <v>165.28</v>
    <v>167.44</v>
    <v>165.25</v>
    <v>165.98</v>
    <v>166.92</v>
    <v>166.98</v>
    <v>164.76</v>
    <v>167.14</v>
    <v>164.22</v>
    <v>164.6</v>
    <v>167.48</v>
    <v>171.66</v>
    <v>170.93</v>
    <v>171.81</v>
    <v>175.1</v>
    <v>176.25</v>
    <v>174.71</v>
    <v>174.92</v>
    <v>174.1</v>
    <v>173.31</v>
    <v>174.68</v>
    <v>174.83</v>
    <v>175.92</v>
    <v>175.07</v>
    <v>178.14</v>
    <v>177.03</v>
    <v>179.05</v>
    <v>177.2</v>
    <v>175.04</v>
    <v>169.94</v>
    <v>172.74</v>
    <v>169.98</v>
    <v>168.1</v>
    <v>171.85</v>
    <v>171.31</v>
    <v>176.43</v>
    <v>177.27</v>
    <v>174.64</v>
    <v>174.21</v>
    <v>177.38</v>
    <v>179.88</v>
    <v>183.33</v>
    <v>182.18</v>
    <v>182.41</v>
    <v>184.58</v>
    <v>181.68</v>
    <v>180.56</v>
    <v>178.47</v>
    <v>178.51</v>
    <v>181.98</v>
    <v>182.23</v>
    <v>185.79</v>
    <v>184.16</v>
    <v>183.42</v>
    <v>182.62</v>
    <v>183.55</v>
    <v>172.98</v>
    <v>161.53</v>
    <v>161.53</v>
    <v>163.01</v>
    <v>164.17</v>
    <v>168.27</v>
    <v>173.52</v>
    <v>173.64</v>
    <v>174.19</v>
    <v>177.38</v>
    <v>173.82</v>
    <v>177.13</v>
    <v>180.6</v>
    <v>180</v>
    <v>177.75</v>
    <v>178.76</v>
    <v>178.66</v>
    <v>176.74</v>
    <v>172.87</v>
    <v>173.88</v>
    <v>178.75</v>
    <v>175.56</v>
    <v>175.9</v>
    <v>176.42</v>
    <v>175.96</v>
    <v>177.52</v>
    <v>173.73</v>
    <v>174.86</v>
    <v>172.63</v>
    <v>174.51</v>
    <v>177.17</v>
    <v>180.32</v>
    <v>177.72</v>
    <v>179.41</v>
    <v>179.62</v>
    <v>178.05</v>
    <v>177.81</v>
    <v>178.99</v>
    <v>177.57</v>
    <v>185.26</v>
    <v>185.53</v>
    <v>185.14</v>
    <v>191.96</v>
    <v>193.51</v>
    <v>197.22</v>
    <v>196.1</v>
    <v>195.06</v>
    <v>194.92</v>
    <v>194.76</v>
    <v>195.66</v>
    <v>199.66</v>
    <v>198.45</v>
    <v>195.05</v>
    <v>192.92</v>
    <v>195.02</v>
    <v>191.58</v>
    <v>193.09</v>
    <v>196.36</v>
    <v>193.86</v>
    <v>192.91</v>
    <v>193.68</v>
    <v>195.55</v>
    <v>197.2</v>
    <v>197.73</v>
    <v>196.22</v>
    <v>195.13</v>
    <v>195.08</v>
    <v>197.34</v>
    <v>205.21</v>
    <v>205.2</v>
    <v>201.93</v>
    <v>203.26</v>
    <v>203.44</v>
    <v>204.58</v>
    <v>208.46</v>
    <v>209.71</v>
    <v>211.45</v>
    <v>208.87</v>
    <v>204.45</v>
    <v>203.73</v>
    <v>203.32</v>
    <v>200.58</v>
    <v>195.26</v>
    <v>197.16</v>
    <v>199.4</v>
    <v>201.96</v>
    <v>202.05</v>
    <v>203.84</v>
    <v>204.83</v>
    <v>201.5</v>
    <v>202.76</v>
    <v>205.12</v>
    <v>202.83</v>
    <v>203</v>
    <v>199.89</v>
    <v>201.27</v>
    <v>203.23</v>
    <v>207.97</v>
    <v>207.18</v>
    <v>205.41</v>
    <v>204.88</v>
    <v>206.82</v>
    <v>209.82</v>
    <v>216.78</v>
    <v>217.35</v>
    <v>219.25</v>
    <v>216.65</v>
    <v>218.12</v>
    <v>220.07</v>
    <v>217.84</v>
    <v>219.13</v>
    <v>220.3</v>
    <v>224.48</v>
    <v>225.77</v>
    <v>225.08</v>
    <v>223.62</v>
    <v>221.3</v>
    <v>227</v>
    <v>232.89</v>
    <v>235.42</v>
    <v>233.78</v>
    <v>237.7</v>
    <v>243.58</v>
    <v>249.09</v>
    <v>245.65</v>
    <v>250.96</v>
    <v>245.43</v>
    <v>256.47000000000003</v>
    <v>257.91000000000003</v>
    <v>255.14</v>
    <v>262.05</v>
    <v>268.05</v>
    <v>265.89</v>
    <v>273.23</v>
    <v>274.23</v>
    <v>279.37</v>
    <v>285.95</v>
    <v>276.3</v>
    <v>278.33</v>
    <v>258.60000000000002</v>
    <v>254.58</v>
    <v>261.17</v>
    <v>258.24</v>
    <v>247.3</v>
    <v>249.35</v>
    <v>255.59</v>
    <v>258.20999999999998</v>
    <v>257.3</v>
    <v>255.47</v>
    <v>252.72</v>
    <v>254.6</v>
    <v>253.91</v>
    <v>256.52999999999997</v>
    <v>264.64</v>
    <v>267.98</v>
    <v>280.86</v>
    <v>280.25</v>
    <v>271.89</v>
    <v>269.27</v>
    <v>268.08</v>
    <v>270.12</v>
    <v>268.22000000000003</v>
    <v>263.29000000000002</v>
    <v>266.41000000000003</v>
    <v>269.33</v>
    <v>278.93</v>
    <v>281.22000000000003</v>
    <v>293.7</v>
    <v>308.58</v>
    <v>303.36</v>
    <v>309.5</v>
    <v>300.92</v>
    <v>308.23</v>
    <v>305.95</v>
    <v>318.89</v>
    <v>320.44</v>
    <v>334.23</v>
    <v>327.07</v>
    <v>333.27</v>
    <v>334.59</v>
    <v>346.87</v>
    <v>347.25</v>
    <v>352.46</v>
    <v>360.88</v>
    <v>369.92</v>
    <v>376.98</v>
    <v>401.77</v>
    <v>379.61</v>
    <v>404.99</v>
    <v>425.74</v>
    <v>412.21</v>
    <v>400.4</v>
    <v>422.64</v>
    <v>453.55</v>
    <v>464.82</v>
    <v>483.67</v>
    <v>482</v>
    <v>467.52</v>
    <v>494.75</v>
    <v>495.37</v>
    <v>492.25</v>
    <v>502.51</v>
    <v>529.49</v>
    <v>594.08000000000004</v>
    <v>572.57000000000005</v>
    <v>598.58000000000004</v>
    <v>591.92999999999995</v>
    <v>492.91</v>
    <v>406.56</v>
    <v>463.91</v>
    <v>451.43</v>
    <v>397.6</v>
    <v>396.14</v>
    <v>433.93</v>
    <v>418.5</v>
    <v>438.42</v>
    <v>398.85</v>
    <v>408.14</v>
    <v>398.76</v>
    <v>384.96</v>
    <v>406.46</v>
    <v>407.92</v>
    <v>429.98</v>
    <v>455.48</v>
    <v>458.4</v>
    <v>473.25</v>
    <v>455.29</v>
    <v>488.22</v>
    <v>457.28</v>
    <v>432.75</v>
    <v>436.63</v>
    <v>425</v>
    <v>438.2</v>
    <v>440.04</v>
    <v>466.05</v>
    <v>442.06</v>
    <v>443.87</v>
    <v>417.01</v>
    <v>415.47</v>
    <v>413.24</v>
    <v>402.44</v>
    <v>366.75</v>
    <v>362.91</v>
    <v>352.98</v>
    <v>363.06</v>
    <v>377.15</v>
    <v>350.83</v>
    <v>366.88</v>
    <v>368.69</v>
    <v>382.03</v>
    <v>390.8</v>
    <v>373.94</v>
    <v>369.11</v>
    <v>390.73</v>
    <v>389.86</v>
    <v>395.47</v>
    <v>382.41</v>
    <v>408.39</v>
    <v>409.72</v>
    <v>406.95</v>
    <v>426.16</v>
    <v>412.79</v>
    <v>398.22</v>
    <v>403.28</v>
    <v>394.03</v>
    <v>391.24</v>
    <v>388.52</v>
    <v>376.5</v>
    <v>370.19</v>
    <v>378.72</v>
    <v>378.13</v>
    <v>380.17</v>
    <v>399.15</v>
    <v>418.21</v>
    <v>414.31</v>
    <v>441.67</v>
    <v>431.58</v>
    <v>455.9</v>
    <v>439.42</v>
    <v>393.85</v>
    <v>393.32</v>
    <v>382.9</v>
    <v>390.54</v>
    <v>388.05</v>
    <v>390.87</v>
    <v>401.4</v>
    <v>391.67</v>
    <v>383.77</v>
    <v>384.76</v>
    <v>391.02</v>
    <v>384.43</v>
    <v>390.86</v>
    <v>377.86</v>
    <v>379.05</v>
    <v>353.85</v>
    <v>352.34</v>
    <v>336.66</v>
    <v>332.66</v>
    <v>328.85</v>
    <v>348.08</v>
    <v>362.97</v>
    <v>358.78</v>
    <v>363.05</v>
    <v>338.72</v>
    <v>331.63</v>
    <v>337.95</v>
    <v>317.58</v>
    <v>302.39999999999998</v>
    <v>299.2</v>
    <v>304.01</v>
    <v>297.08</v>
    <v>306.35000000000002</v>
    <v>308.79000000000002</v>
    <v>312.68</v>
    <v>319.39</v>
    <v>316.87</v>
    <v>311.2</v>
    <v>293.89999999999998</v>
    <v>308.94</v>
    <v>306.25</v>
    <v>297.77</v>
    <v>303.10000000000002</v>
    <v>295.54000000000002</v>
    <v>288.76</v>
    <v>286.22000000000003</v>
    <v>292.05</v>
    <v>302.57</v>
    <v>308.5</v>
    <v>293.81</v>
    <v>301.02999999999997</v>
    <v>300.04000000000002</v>
    <v>292.68</v>
    <v>291.7</v>
    <v>298.66000000000003</v>
    <v>293.27</v>
    <v>293.16000000000003</v>
    <v>303.7</v>
    <v>319.2</v>
    <v>313.45</v>
    <v>324.67</v>
    <v>330.1</v>
    <v>331.47</v>
    <v>336.38</v>
    <v>329.97</v>
    <v>332.51</v>
    <v>340.02</v>
    <v>325.3</v>
    <v>334.83</v>
    <v>350.29</v>
    <v>354.8</v>
    <v>353.32</v>
    <v>348.98</v>
    <v>346.68</v>
    <v>350.46</v>
    <v>353.45</v>
    <v>338.25</v>
    <v>331.62</v>
    <v>331.94</v>
    <v>343.78</v>
    <v>337.01</v>
    <v>338.1</v>
    <v>338.1</v>
    <v>342.19</v>
    <v>328.5</v>
    <v>328.44</v>
    <v>322.19</v>
    <v>321.92</v>
    <v>328.74</v>
    <v>335.06</v>
    <v>338.14</v>
    <v>336.89</v>
    <v>335.58</v>
    <v>328.85</v>
    <v>321.70999999999998</v>
    <v>326.88</v>
    <v>311.07</v>
    <v>309.26</v>
    <v>306.72000000000003</v>
    <v>308.62</v>
    <v>306.43</v>
    <v>311.33999999999997</v>
    <v>311.67</v>
    <v>303.61</v>
    <v>299.48</v>
    <v>309.64</v>
    <v>306.72000000000003</v>
    <v>301.66000000000003</v>
    <v>284.95</v>
    <v>290.45</v>
    <v>291.85000000000002</v>
    <v>291.43</v>
    <v>293.66000000000003</v>
    <v>293.02999999999997</v>
    <v>280.52999999999997</v>
    <v>275</v>
  </a>
  <a r="1" c="254">
    <v>261.17</v>
    <v>258.24</v>
    <v>247.3</v>
    <v>249.35</v>
    <v>255.59</v>
    <v>258.20999999999998</v>
    <v>257.3</v>
    <v>255.47</v>
    <v>252.72</v>
    <v>254.6</v>
    <v>253.91</v>
    <v>256.52999999999997</v>
    <v>264.64</v>
    <v>267.98</v>
    <v>280.86</v>
    <v>280.25</v>
    <v>271.89</v>
    <v>269.27</v>
    <v>268.08</v>
    <v>270.12</v>
    <v>268.22000000000003</v>
    <v>263.29000000000002</v>
    <v>266.41000000000003</v>
    <v>269.33</v>
    <v>278.93</v>
    <v>281.22000000000003</v>
    <v>293.7</v>
    <v>308.58</v>
    <v>303.36</v>
    <v>309.5</v>
    <v>300.92</v>
    <v>308.23</v>
    <v>305.95</v>
    <v>318.89</v>
    <v>320.44</v>
    <v>334.23</v>
    <v>327.07</v>
    <v>333.27</v>
    <v>334.59</v>
    <v>346.87</v>
    <v>347.25</v>
    <v>352.46</v>
    <v>360.88</v>
    <v>369.92</v>
    <v>376.98</v>
    <v>401.77</v>
    <v>379.61</v>
    <v>404.99</v>
    <v>425.74</v>
    <v>412.21</v>
    <v>400.4</v>
    <v>422.64</v>
    <v>453.55</v>
    <v>464.82</v>
    <v>483.67</v>
    <v>482</v>
    <v>467.52</v>
    <v>494.75</v>
    <v>495.37</v>
    <v>492.25</v>
    <v>502.51</v>
    <v>529.49</v>
    <v>594.08000000000004</v>
    <v>572.57000000000005</v>
    <v>598.58000000000004</v>
    <v>591.92999999999995</v>
    <v>492.91</v>
    <v>406.56</v>
    <v>463.91</v>
    <v>451.43</v>
    <v>397.6</v>
    <v>396.14</v>
    <v>433.93</v>
    <v>418.5</v>
    <v>438.42</v>
    <v>398.85</v>
    <v>408.14</v>
    <v>398.76</v>
    <v>384.96</v>
    <v>406.46</v>
    <v>407.92</v>
    <v>429.98</v>
    <v>455.48</v>
    <v>458.4</v>
    <v>473.25</v>
    <v>455.29</v>
    <v>488.22</v>
    <v>457.28</v>
    <v>432.75</v>
    <v>436.63</v>
    <v>425</v>
    <v>438.2</v>
    <v>440.04</v>
    <v>466.05</v>
    <v>442.06</v>
    <v>443.87</v>
    <v>417.01</v>
    <v>415.47</v>
    <v>413.24</v>
    <v>402.44</v>
    <v>366.75</v>
    <v>362.91</v>
    <v>352.98</v>
    <v>363.06</v>
    <v>377.15</v>
    <v>350.83</v>
    <v>366.88</v>
    <v>368.69</v>
    <v>382.03</v>
    <v>390.8</v>
    <v>373.94</v>
    <v>369.11</v>
    <v>390.73</v>
    <v>389.86</v>
    <v>395.47</v>
    <v>382.41</v>
    <v>408.39</v>
    <v>409.72</v>
    <v>406.95</v>
    <v>426.16</v>
    <v>412.79</v>
    <v>398.22</v>
    <v>403.28</v>
    <v>394.03</v>
    <v>391.24</v>
    <v>388.52</v>
    <v>376.5</v>
    <v>370.19</v>
    <v>378.72</v>
    <v>378.13</v>
    <v>380.17</v>
    <v>399.15</v>
    <v>418.21</v>
    <v>414.31</v>
    <v>441.67</v>
    <v>431.58</v>
    <v>455.9</v>
    <v>439.42</v>
    <v>393.85</v>
    <v>393.32</v>
    <v>382.9</v>
    <v>390.54</v>
    <v>388.05</v>
    <v>390.87</v>
    <v>401.4</v>
    <v>391.67</v>
    <v>383.77</v>
    <v>384.76</v>
    <v>391.02</v>
    <v>384.43</v>
    <v>390.86</v>
    <v>377.86</v>
    <v>379.05</v>
    <v>353.85</v>
    <v>352.34</v>
    <v>336.66</v>
    <v>332.66</v>
    <v>328.85</v>
    <v>348.08</v>
    <v>362.97</v>
    <v>358.78</v>
    <v>363.05</v>
    <v>338.72</v>
    <v>331.63</v>
    <v>337.95</v>
    <v>317.58</v>
    <v>302.39999999999998</v>
    <v>299.2</v>
    <v>304.01</v>
    <v>297.08</v>
    <v>306.35000000000002</v>
    <v>308.79000000000002</v>
    <v>312.68</v>
    <v>319.39</v>
    <v>316.87</v>
    <v>311.2</v>
    <v>293.89999999999998</v>
    <v>308.94</v>
    <v>306.25</v>
    <v>297.77</v>
    <v>303.10000000000002</v>
    <v>295.54000000000002</v>
    <v>288.76</v>
    <v>286.22000000000003</v>
    <v>292.05</v>
    <v>302.57</v>
    <v>308.5</v>
    <v>293.81</v>
    <v>301.02999999999997</v>
    <v>300.04000000000002</v>
    <v>292.68</v>
    <v>291.7</v>
    <v>298.66000000000003</v>
    <v>293.27</v>
    <v>293.16000000000003</v>
    <v>303.7</v>
    <v>319.2</v>
    <v>313.45</v>
    <v>324.67</v>
    <v>330.1</v>
    <v>331.47</v>
    <v>336.38</v>
    <v>329.97</v>
    <v>332.51</v>
    <v>340.02</v>
    <v>325.3</v>
    <v>334.83</v>
    <v>350.29</v>
    <v>354.8</v>
    <v>353.32</v>
    <v>348.98</v>
    <v>346.68</v>
    <v>350.46</v>
    <v>353.45</v>
    <v>338.25</v>
    <v>331.62</v>
    <v>331.94</v>
    <v>343.78</v>
    <v>337.01</v>
    <v>338.1</v>
    <v>338.1</v>
    <v>342.19</v>
    <v>328.5</v>
    <v>328.44</v>
    <v>322.19</v>
    <v>321.92</v>
    <v>328.74</v>
    <v>335.06</v>
    <v>338.14</v>
    <v>336.89</v>
    <v>335.58</v>
    <v>328.85</v>
    <v>321.70999999999998</v>
    <v>326.88</v>
    <v>311.07</v>
    <v>309.26</v>
    <v>306.72000000000003</v>
    <v>308.62</v>
    <v>306.43</v>
    <v>311.33999999999997</v>
    <v>311.67</v>
    <v>303.61</v>
    <v>299.48</v>
    <v>309.64</v>
    <v>306.72000000000003</v>
    <v>301.66000000000003</v>
    <v>284.95</v>
    <v>290.45</v>
    <v>291.85000000000002</v>
    <v>291.43</v>
    <v>293.66000000000003</v>
    <v>293.02999999999997</v>
    <v>280.52999999999997</v>
    <v>275</v>
  </a>
  <a r="1" c="208">
    <v>379.61</v>
    <v>404.99</v>
    <v>425.74</v>
    <v>412.21</v>
    <v>400.4</v>
    <v>422.64</v>
    <v>453.55</v>
    <v>464.82</v>
    <v>483.67</v>
    <v>482</v>
    <v>467.52</v>
    <v>494.75</v>
    <v>495.37</v>
    <v>492.25</v>
    <v>502.51</v>
    <v>529.49</v>
    <v>594.08000000000004</v>
    <v>572.57000000000005</v>
    <v>598.58000000000004</v>
    <v>591.92999999999995</v>
    <v>492.91</v>
    <v>406.56</v>
    <v>463.91</v>
    <v>451.43</v>
    <v>397.6</v>
    <v>396.14</v>
    <v>433.93</v>
    <v>418.5</v>
    <v>438.42</v>
    <v>398.85</v>
    <v>408.14</v>
    <v>398.76</v>
    <v>384.96</v>
    <v>406.46</v>
    <v>407.92</v>
    <v>429.98</v>
    <v>455.48</v>
    <v>458.4</v>
    <v>473.25</v>
    <v>455.29</v>
    <v>488.22</v>
    <v>457.28</v>
    <v>432.75</v>
    <v>436.63</v>
    <v>425</v>
    <v>438.2</v>
    <v>440.04</v>
    <v>466.05</v>
    <v>442.06</v>
    <v>443.87</v>
    <v>417.01</v>
    <v>415.47</v>
    <v>413.24</v>
    <v>402.44</v>
    <v>366.75</v>
    <v>362.91</v>
    <v>352.98</v>
    <v>363.06</v>
    <v>377.15</v>
    <v>350.83</v>
    <v>366.88</v>
    <v>368.69</v>
    <v>382.03</v>
    <v>390.8</v>
    <v>373.94</v>
    <v>369.11</v>
    <v>390.73</v>
    <v>389.86</v>
    <v>395.47</v>
    <v>382.41</v>
    <v>408.39</v>
    <v>409.72</v>
    <v>406.95</v>
    <v>426.16</v>
    <v>412.79</v>
    <v>398.22</v>
    <v>403.28</v>
    <v>394.03</v>
    <v>391.24</v>
    <v>388.52</v>
    <v>376.5</v>
    <v>370.19</v>
    <v>378.72</v>
    <v>378.13</v>
    <v>380.17</v>
    <v>399.15</v>
    <v>418.21</v>
    <v>414.31</v>
    <v>441.67</v>
    <v>431.58</v>
    <v>455.9</v>
    <v>439.42</v>
    <v>393.85</v>
    <v>393.32</v>
    <v>382.9</v>
    <v>390.54</v>
    <v>388.05</v>
    <v>390.87</v>
    <v>401.4</v>
    <v>391.67</v>
    <v>383.77</v>
    <v>384.76</v>
    <v>391.02</v>
    <v>384.43</v>
    <v>390.86</v>
    <v>377.86</v>
    <v>379.05</v>
    <v>353.85</v>
    <v>352.34</v>
    <v>336.66</v>
    <v>332.66</v>
    <v>328.85</v>
    <v>348.08</v>
    <v>362.97</v>
    <v>358.78</v>
    <v>363.05</v>
    <v>338.72</v>
    <v>331.63</v>
    <v>337.95</v>
    <v>317.58</v>
    <v>302.39999999999998</v>
    <v>299.2</v>
    <v>304.01</v>
    <v>297.08</v>
    <v>306.35000000000002</v>
    <v>308.79000000000002</v>
    <v>312.68</v>
    <v>319.39</v>
    <v>316.87</v>
    <v>311.2</v>
    <v>293.89999999999998</v>
    <v>308.94</v>
    <v>306.25</v>
    <v>297.77</v>
    <v>303.10000000000002</v>
    <v>295.54000000000002</v>
    <v>288.76</v>
    <v>286.22000000000003</v>
    <v>292.05</v>
    <v>302.57</v>
    <v>308.5</v>
    <v>293.81</v>
    <v>301.02999999999997</v>
    <v>300.04000000000002</v>
    <v>292.68</v>
    <v>291.7</v>
    <v>298.66000000000003</v>
    <v>293.27</v>
    <v>293.16000000000003</v>
    <v>303.7</v>
    <v>319.2</v>
    <v>313.45</v>
    <v>324.67</v>
    <v>330.1</v>
    <v>331.47</v>
    <v>336.38</v>
    <v>329.97</v>
    <v>332.51</v>
    <v>340.02</v>
    <v>325.3</v>
    <v>334.83</v>
    <v>350.29</v>
    <v>354.8</v>
    <v>353.32</v>
    <v>348.98</v>
    <v>346.68</v>
    <v>350.46</v>
    <v>353.45</v>
    <v>338.25</v>
    <v>331.62</v>
    <v>331.94</v>
    <v>343.78</v>
    <v>337.01</v>
    <v>338.1</v>
    <v>338.1</v>
    <v>342.19</v>
    <v>328.5</v>
    <v>328.44</v>
    <v>322.19</v>
    <v>321.92</v>
    <v>328.74</v>
    <v>335.06</v>
    <v>338.14</v>
    <v>336.89</v>
    <v>335.58</v>
    <v>328.85</v>
    <v>321.70999999999998</v>
    <v>326.88</v>
    <v>311.07</v>
    <v>309.26</v>
    <v>306.72000000000003</v>
    <v>308.62</v>
    <v>306.43</v>
    <v>311.33999999999997</v>
    <v>311.67</v>
    <v>303.61</v>
    <v>299.48</v>
    <v>309.64</v>
    <v>306.72000000000003</v>
    <v>301.66000000000003</v>
    <v>284.95</v>
    <v>290.45</v>
    <v>291.85000000000002</v>
    <v>291.43</v>
    <v>293.66000000000003</v>
    <v>293.02999999999997</v>
    <v>280.52999999999997</v>
    <v>275</v>
  </a>
  <a r="1" c="209">
    <v>921.4</v>
    <v>986.3</v>
    <v>1053.2</v>
    <v>1061</v>
    <v>1051.8</v>
    <v>1013</v>
    <v>1081.5999999999999</v>
    <v>1086.4000000000001</v>
    <v>1102.5999999999999</v>
    <v>1084.2</v>
    <v>1149.4000000000001</v>
    <v>1167.2</v>
    <v>1120.4000000000001</v>
    <v>1140</v>
    <v>1154.8</v>
    <v>1176.4000000000001</v>
    <v>1178.2</v>
    <v>1178</v>
    <v>1217.5999999999999</v>
    <v>1194.4000000000001</v>
    <v>1192</v>
    <v>1215.5999999999999</v>
    <v>1224.8</v>
    <v>1190.4000000000001</v>
    <v>1140.5999999999999</v>
    <v>1149.5999999999999</v>
    <v>1193.8</v>
    <v>1204.8</v>
    <v>1193</v>
    <v>1207.8</v>
    <v>1179.8</v>
    <v>1190.4000000000001</v>
    <v>1195</v>
    <v>1199.2</v>
    <v>1244.8</v>
    <v>1238.2</v>
    <v>1255.5999999999999</v>
    <v>1249.2</v>
    <v>1263.4000000000001</v>
    <v>1288.4000000000001</v>
    <v>1232.4000000000001</v>
    <v>1233.4000000000001</v>
    <v>1210.4000000000001</v>
    <v>1161.8</v>
    <v>1199.8</v>
    <v>1186</v>
    <v>1147</v>
    <v>1147.5999999999999</v>
    <v>1200</v>
    <v>1198.8</v>
    <v>1180.4000000000001</v>
    <v>1179.5999999999999</v>
    <v>1197.4000000000001</v>
    <v>1193.8</v>
    <v>1191</v>
    <v>1168.5999999999999</v>
    <v>1128.2</v>
    <v>1175.4000000000001</v>
    <v>1201.5999999999999</v>
    <v>1211.5999999999999</v>
    <v>1165.8</v>
    <v>1146.4000000000001</v>
    <v>1112</v>
    <v>1119.2</v>
    <v>1187.5999999999999</v>
    <v>1161</v>
    <v>1113.8</v>
    <v>1212.5999999999999</v>
    <v>1234.8</v>
    <v>1270</v>
    <v>1259.8</v>
    <v>1284.2</v>
    <v>1230</v>
    <v>1222.5999999999999</v>
    <v>1244</v>
    <v>1245</v>
    <v>1237</v>
    <v>1249.8</v>
    <v>1223.8</v>
    <v>1249.5999999999999</v>
    <v>1212.5999999999999</v>
    <v>1171.8</v>
    <v>1192.5999999999999</v>
    <v>1222.4000000000001</v>
    <v>1187.4000000000001</v>
    <v>1229</v>
    <v>1305</v>
    <v>1300</v>
    <v>1319.4</v>
    <v>1305.5999999999999</v>
    <v>1265.8</v>
    <v>1327</v>
    <v>1367</v>
    <v>1306.5999999999999</v>
    <v>1264.4000000000001</v>
    <v>1249</v>
    <v>1333</v>
    <v>1345.2</v>
    <v>1409</v>
    <v>1430.6</v>
    <v>1389.8</v>
    <v>1376.4</v>
    <v>1391</v>
    <v>1384.8</v>
    <v>1394</v>
    <v>1461.8</v>
    <v>1485.2</v>
    <v>1498</v>
    <v>1462.2</v>
    <v>1514.6</v>
    <v>1508.4</v>
    <v>1507.2</v>
    <v>1576</v>
    <v>1629.6</v>
    <v>1622.2</v>
    <v>1591.2</v>
    <v>1656.4</v>
    <v>1676</v>
    <v>1657.8</v>
    <v>1655.8</v>
    <v>1560.8</v>
    <v>1553.8</v>
    <v>1594</v>
    <v>1578.2</v>
    <v>1612</v>
    <v>1721.4</v>
    <v>1641.6</v>
    <v>1577.8</v>
    <v>1634.4</v>
    <v>1628.4</v>
    <v>1509.8</v>
    <v>1529</v>
    <v>1602.8</v>
    <v>1569</v>
    <v>1540.8</v>
    <v>1555.8</v>
    <v>1549.4</v>
    <v>1598.4</v>
    <v>1537</v>
    <v>1520.8</v>
    <v>1593.4</v>
    <v>1589.6</v>
    <v>1579.2</v>
    <v>1563</v>
    <v>1429.8</v>
    <v>1388.4</v>
    <v>1362.2</v>
    <v>1440</v>
    <v>1434.2</v>
    <v>1419.6</v>
    <v>1472.6</v>
    <v>1465.8</v>
    <v>1494</v>
    <v>1499</v>
    <v>1513.8</v>
    <v>1554</v>
    <v>1567</v>
    <v>1609.4</v>
    <v>1579.6</v>
    <v>1621.2</v>
    <v>1541.8</v>
    <v>1507.6</v>
    <v>1505.4</v>
    <v>1506</v>
    <v>1489.8</v>
    <v>1501</v>
    <v>1497.6</v>
    <v>1486.4</v>
    <v>1494.4</v>
    <v>1451.8</v>
    <v>1435.4</v>
    <v>1445.8</v>
    <v>1423.4</v>
    <v>1467.4</v>
    <v>1500.4</v>
    <v>1518</v>
    <v>1497.6</v>
    <v>1474.2</v>
    <v>1478.4</v>
    <v>1387.8</v>
    <v>1378.8</v>
    <v>1396.2</v>
    <v>1418</v>
    <v>1446</v>
    <v>1481.4</v>
    <v>1507.4</v>
    <v>1515.8</v>
    <v>1503.2</v>
    <v>1522.6</v>
    <v>1537</v>
    <v>1601.2</v>
    <v>1596.8</v>
    <v>1597</v>
    <v>1653</v>
    <v>1656.2</v>
    <v>1636.4</v>
    <v>1610.2</v>
    <v>1630.6</v>
    <v>1601.6</v>
    <v>1575.8</v>
    <v>1509.6</v>
    <v>1528.2</v>
    <v>1464.2</v>
    <v>1477.2</v>
    <v>1496</v>
    <v>1455.4</v>
    <v>1493.8</v>
    <v>1419.6</v>
    <v>1407.2</v>
  </a>
  <a r="1" c="767">
    <v>552.6</v>
    <v>562.6</v>
    <v>560.70000000000005</v>
    <v>560.6</v>
    <v>560.20000000000005</v>
    <v>552</v>
    <v>565.29999999999995</v>
    <v>571.29999999999995</v>
    <v>594.70000000000005</v>
    <v>597.70000000000005</v>
    <v>591.70000000000005</v>
    <v>599.1</v>
    <v>600</v>
    <v>603.5</v>
    <v>608</v>
    <v>612.5</v>
    <v>621.29999999999995</v>
    <v>627.79999999999995</v>
    <v>625.5</v>
    <v>628.70000000000005</v>
    <v>629.70000000000005</v>
    <v>625.70000000000005</v>
    <v>633.29999999999995</v>
    <v>629.79999999999995</v>
    <v>632.29999999999995</v>
    <v>628.6</v>
    <v>619.70000000000005</v>
    <v>629.20000000000005</v>
    <v>623</v>
    <v>637.5</v>
    <v>630.6</v>
    <v>643.29999999999995</v>
    <v>649</v>
    <v>646.6</v>
    <v>649.6</v>
    <v>659.2</v>
    <v>663.4</v>
    <v>669.1</v>
    <v>682.2</v>
    <v>694.7</v>
    <v>676.6</v>
    <v>676.8</v>
    <v>679.4</v>
    <v>682.6</v>
    <v>683.6</v>
    <v>684.9</v>
    <v>685.9</v>
    <v>681.7</v>
    <v>664.3</v>
    <v>645.4</v>
    <v>646.4</v>
    <v>644.20000000000005</v>
    <v>653.4</v>
    <v>654.5</v>
    <v>651.4</v>
    <v>648.9</v>
    <v>649.29999999999995</v>
    <v>648.20000000000005</v>
    <v>652.29999999999995</v>
    <v>649.6</v>
    <v>676</v>
    <v>686.3</v>
    <v>707.5</v>
    <v>707.1</v>
    <v>775.8</v>
    <v>811.8</v>
    <v>797.2</v>
    <v>804.8</v>
    <v>801.3</v>
    <v>798.2</v>
    <v>812.5</v>
    <v>818.8</v>
    <v>827.4</v>
    <v>833.8</v>
    <v>850</v>
    <v>855.1</v>
    <v>876.1</v>
    <v>877.6</v>
    <v>850.7</v>
    <v>853.4</v>
    <v>860.8</v>
    <v>874.6</v>
    <v>859.5</v>
    <v>837.7</v>
    <v>834</v>
    <v>876.8</v>
    <v>865</v>
    <v>869.8</v>
    <v>879.2</v>
    <v>869.4</v>
    <v>870.5</v>
    <v>894</v>
    <v>913.2</v>
    <v>899.5</v>
    <v>912.2</v>
    <v>949.2</v>
    <v>923.4</v>
    <v>884.5</v>
    <v>892.3</v>
    <v>878.9</v>
    <v>881</v>
    <v>857.7</v>
    <v>870.8</v>
    <v>869.6</v>
    <v>874.5</v>
    <v>923.3</v>
    <v>906.1</v>
    <v>913</v>
    <v>900.4</v>
    <v>895.2</v>
    <v>892.2</v>
    <v>890.7</v>
    <v>905</v>
    <v>901.3</v>
    <v>905.7</v>
    <v>913.7</v>
    <v>899.3</v>
    <v>913.3</v>
    <v>909.1</v>
    <v>907.5</v>
    <v>910.9</v>
    <v>913.4</v>
    <v>852.4</v>
    <v>840.3</v>
    <v>821</v>
    <v>813.2</v>
    <v>834.3</v>
    <v>834.8</v>
    <v>833.7</v>
    <v>858.8</v>
    <v>847.7</v>
    <v>832.7</v>
    <v>811.4</v>
    <v>835.9</v>
    <v>846.6</v>
    <v>854.2</v>
    <v>845</v>
    <v>847.9</v>
    <v>864.5</v>
    <v>853</v>
    <v>840.7</v>
    <v>851</v>
    <v>859.1</v>
    <v>853</v>
    <v>864.7</v>
    <v>853.7</v>
    <v>854.1</v>
    <v>876.4</v>
    <v>880.5</v>
    <v>882.6</v>
    <v>896</v>
    <v>888.5</v>
    <v>881</v>
    <v>870.8</v>
    <v>880.5</v>
    <v>872.9</v>
    <v>943.6</v>
    <v>957.5</v>
    <v>958.9</v>
    <v>963.4</v>
    <v>959.2</v>
    <v>985.6</v>
    <v>966.5</v>
    <v>953</v>
    <v>969.4</v>
    <v>983.8</v>
    <v>966.5</v>
    <v>988.9</v>
    <v>963.4</v>
    <v>948.5</v>
    <v>950.2</v>
    <v>946.6</v>
    <v>960</v>
    <v>964.2</v>
    <v>954.3</v>
    <v>965.9</v>
    <v>985.8</v>
    <v>984.2</v>
    <v>993</v>
    <v>997.9</v>
    <v>982.7</v>
    <v>1002</v>
    <v>989.1</v>
    <v>1002.2</v>
    <v>989.2</v>
    <v>977.8</v>
    <v>870.9</v>
    <v>838.5</v>
    <v>829.5</v>
    <v>850.5</v>
    <v>860.9</v>
    <v>831.6</v>
    <v>799.6</v>
    <v>820.5</v>
    <v>806.3</v>
    <v>805.7</v>
    <v>850.5</v>
    <v>829.9</v>
    <v>737.1</v>
    <v>746</v>
    <v>780.1</v>
    <v>796</v>
    <v>794.3</v>
    <v>784</v>
    <v>784.6</v>
    <v>789.5</v>
    <v>799.3</v>
    <v>832</v>
    <v>832.5</v>
    <v>829.4</v>
    <v>832.6</v>
    <v>843.3</v>
    <v>833</v>
    <v>818.8</v>
    <v>797</v>
    <v>794.2</v>
    <v>799.4</v>
    <v>823</v>
    <v>812</v>
    <v>818.7</v>
    <v>782.8</v>
    <v>736.4</v>
    <v>720</v>
    <v>681</v>
    <v>676.5</v>
    <v>672.5</v>
    <v>698.1</v>
    <v>722.4</v>
    <v>734</v>
    <v>719.9</v>
    <v>726</v>
    <v>715</v>
    <v>747.9</v>
    <v>716.7</v>
    <v>718.3</v>
    <v>727.6</v>
    <v>735</v>
    <v>759.8</v>
    <v>757.3</v>
    <v>745.6</v>
    <v>741.8</v>
    <v>757.4</v>
    <v>755.1</v>
    <v>757.5</v>
    <v>747.6</v>
    <v>752.1</v>
    <v>767.5</v>
    <v>762.6</v>
    <v>770.7</v>
    <v>792</v>
    <v>668.1</v>
    <v>633.9</v>
    <v>634.20000000000005</v>
    <v>664.5</v>
    <v>657.6</v>
    <v>666.8</v>
    <v>658.8</v>
    <v>661.3</v>
    <v>664.1</v>
    <v>655.5</v>
    <v>655.20000000000005</v>
    <v>634</v>
    <v>621.20000000000005</v>
    <v>627.1</v>
    <v>618.20000000000005</v>
    <v>624</v>
    <v>610.79999999999995</v>
    <v>624.70000000000005</v>
    <v>621.5</v>
    <v>627.29999999999995</v>
    <v>630.29999999999995</v>
    <v>627.70000000000005</v>
    <v>671.6</v>
    <v>635</v>
    <v>629.6</v>
    <v>624.70000000000005</v>
    <v>616.5</v>
    <v>631.5</v>
    <v>642.1</v>
    <v>652</v>
    <v>640</v>
    <v>627.70000000000005</v>
    <v>642.9</v>
    <v>658.4</v>
    <v>664.1</v>
    <v>677.9</v>
    <v>683.5</v>
    <v>679.2</v>
    <v>677.6</v>
    <v>675</v>
    <v>670.3</v>
    <v>678.3</v>
    <v>683.3</v>
    <v>687.7</v>
    <v>688</v>
    <v>703.4</v>
    <v>717.3</v>
    <v>690.8</v>
    <v>686.1</v>
    <v>683.8</v>
    <v>688.5</v>
    <v>684.9</v>
    <v>671.9</v>
    <v>678.7</v>
    <v>690</v>
    <v>688</v>
    <v>747.8</v>
    <v>738.4</v>
    <v>724.3</v>
    <v>733.9</v>
    <v>725.3</v>
    <v>711.5</v>
    <v>712.7</v>
    <v>712.7</v>
    <v>745.4</v>
    <v>739.1</v>
    <v>748</v>
    <v>732.4</v>
    <v>748.1</v>
    <v>715.3</v>
    <v>700.7</v>
    <v>651.6</v>
    <v>646.6</v>
    <v>682.5</v>
    <v>706.7</v>
    <v>722.7</v>
    <v>709.9</v>
    <v>712.4</v>
    <v>706.1</v>
    <v>715.3</v>
    <v>703</v>
    <v>717</v>
    <v>723.6</v>
    <v>718.4</v>
    <v>737.9</v>
    <v>732.2</v>
    <v>727.8</v>
    <v>716.2</v>
    <v>717.5</v>
    <v>709.9</v>
    <v>710.1</v>
    <v>713.5</v>
    <v>697.8</v>
    <v>714.5</v>
    <v>699.1</v>
    <v>678.6</v>
    <v>690.3</v>
    <v>660.5</v>
    <v>672.7</v>
    <v>670</v>
    <v>666</v>
    <v>639</v>
    <v>632</v>
    <v>645.5</v>
    <v>642.4</v>
    <v>655.7</v>
    <v>661.3</v>
    <v>665.9</v>
    <v>673.1</v>
    <v>672.5</v>
    <v>660.7</v>
    <v>674.6</v>
    <v>674.7</v>
    <v>657.2</v>
    <v>642.5</v>
    <v>625.6</v>
    <v>606</v>
    <v>619.70000000000005</v>
    <v>616.29999999999995</v>
    <v>578.70000000000005</v>
    <v>564.1</v>
    <v>550</v>
    <v>573.79999999999995</v>
    <v>554.29999999999995</v>
    <v>577.6</v>
    <v>577.29999999999995</v>
    <v>590</v>
    <v>605.4</v>
    <v>574</v>
    <v>564.20000000000005</v>
    <v>561.1</v>
    <v>580.9</v>
    <v>591.70000000000005</v>
    <v>588.9</v>
    <v>584.5</v>
    <v>585</v>
    <v>582.5</v>
    <v>608.9</v>
    <v>606.79999999999995</v>
    <v>601.5</v>
    <v>604.70000000000005</v>
    <v>630.5</v>
    <v>626.79999999999995</v>
    <v>666.9</v>
    <v>683.7</v>
    <v>686.6</v>
    <v>682.2</v>
    <v>668.4</v>
    <v>662.4</v>
    <v>660</v>
    <v>664.7</v>
    <v>656.8</v>
    <v>642.6</v>
    <v>654</v>
    <v>666.1</v>
    <v>660.8</v>
    <v>665.5</v>
    <v>653.9</v>
    <v>646.20000000000005</v>
    <v>653.1</v>
    <v>652.4</v>
    <v>659</v>
    <v>667.6</v>
    <v>680.1</v>
    <v>684.5</v>
    <v>690.2</v>
    <v>676.6</v>
    <v>664.6</v>
    <v>670.1</v>
    <v>666</v>
    <v>665</v>
    <v>653.1</v>
    <v>650.4</v>
    <v>668.7</v>
    <v>691.4</v>
    <v>694.5</v>
    <v>677.4</v>
    <v>682.5</v>
    <v>677.6</v>
    <v>668.2</v>
    <v>677.6</v>
    <v>677.1</v>
    <v>659.4</v>
    <v>671.6</v>
    <v>678.9</v>
    <v>679.8</v>
    <v>690</v>
    <v>683.9</v>
    <v>687.3</v>
    <v>706.1</v>
    <v>625.79999999999995</v>
    <v>650.20000000000005</v>
    <v>633.5</v>
    <v>624.1</v>
    <v>602.4</v>
    <v>606.6</v>
    <v>615.9</v>
    <v>604.9</v>
    <v>628.29999999999995</v>
    <v>623</v>
    <v>627.5</v>
    <v>613.1</v>
    <v>595</v>
    <v>602.4</v>
    <v>597.1</v>
    <v>592.9</v>
    <v>610.70000000000005</v>
    <v>616.9</v>
    <v>627</v>
    <v>633.9</v>
    <v>640.6</v>
    <v>642.9</v>
    <v>636.70000000000005</v>
    <v>638.70000000000005</v>
    <v>642.29999999999995</v>
    <v>638.20000000000005</v>
    <v>634.5</v>
    <v>646.20000000000005</v>
    <v>646.70000000000005</v>
    <v>650.6</v>
    <v>660.2</v>
    <v>654.29999999999995</v>
    <v>636.6</v>
    <v>636.1</v>
    <v>617.20000000000005</v>
    <v>625.29999999999995</v>
    <v>647.6</v>
    <v>660.2</v>
    <v>676.6</v>
    <v>683.2</v>
    <v>680.2</v>
    <v>686</v>
    <v>689.8</v>
    <v>729.4</v>
    <v>732.9</v>
    <v>737</v>
    <v>794</v>
    <v>793.7</v>
    <v>810.8</v>
    <v>819.8</v>
    <v>808</v>
    <v>811.7</v>
    <v>812.8</v>
    <v>825.5</v>
    <v>828.1</v>
    <v>841.4</v>
    <v>877.6</v>
    <v>880.1</v>
    <v>897.3</v>
    <v>874.8</v>
    <v>851.8</v>
    <v>849.8</v>
    <v>813.9</v>
    <v>844</v>
    <v>846.6</v>
    <v>873</v>
    <v>877.4</v>
    <v>875.7</v>
    <v>899</v>
    <v>889.8</v>
    <v>870.1</v>
    <v>887.7</v>
    <v>894.4</v>
    <v>908.1</v>
    <v>907.4</v>
    <v>919.4</v>
    <v>937.5</v>
    <v>918.1</v>
    <v>926.5</v>
    <v>918</v>
    <v>906.6</v>
    <v>895.3</v>
    <v>870.8</v>
    <v>886.7</v>
    <v>886.9</v>
    <v>891.8</v>
    <v>881.5</v>
    <v>874.1</v>
    <v>876.4</v>
    <v>865.6</v>
    <v>886.6</v>
    <v>889.8</v>
    <v>834</v>
    <v>858.8</v>
    <v>860.3</v>
    <v>909.3</v>
    <v>897.2</v>
    <v>903.4</v>
    <v>926.7</v>
    <v>939.1</v>
    <v>963.4</v>
    <v>957.3</v>
    <v>951.6</v>
    <v>963.2</v>
    <v>952.9</v>
    <v>946</v>
    <v>940.9</v>
    <v>925.3</v>
    <v>931</v>
    <v>908.6</v>
    <v>874</v>
    <v>892.7</v>
    <v>901.6</v>
    <v>896</v>
    <v>903.2</v>
    <v>899</v>
    <v>906.8</v>
    <v>918.4</v>
    <v>921.4</v>
    <v>986.3</v>
    <v>1053.2</v>
    <v>1061</v>
    <v>1051.8</v>
    <v>1013</v>
    <v>1081.5999999999999</v>
    <v>1086.4000000000001</v>
    <v>1102.5999999999999</v>
    <v>1084.2</v>
    <v>1149.4000000000001</v>
    <v>1167.2</v>
    <v>1120.4000000000001</v>
    <v>1140</v>
    <v>1154.8</v>
    <v>1176.4000000000001</v>
    <v>1178.2</v>
    <v>1178</v>
    <v>1217.5999999999999</v>
    <v>1194.4000000000001</v>
    <v>1192</v>
    <v>1215.5999999999999</v>
    <v>1224.8</v>
    <v>1190.4000000000001</v>
    <v>1140.5999999999999</v>
    <v>1149.5999999999999</v>
    <v>1193.8</v>
    <v>1204.8</v>
    <v>1193</v>
    <v>1207.8</v>
    <v>1179.8</v>
    <v>1190.4000000000001</v>
    <v>1195</v>
    <v>1199.2</v>
    <v>1244.8</v>
    <v>1238.2</v>
    <v>1255.5999999999999</v>
    <v>1249.2</v>
    <v>1263.4000000000001</v>
    <v>1288.4000000000001</v>
    <v>1232.4000000000001</v>
    <v>1233.4000000000001</v>
    <v>1210.4000000000001</v>
    <v>1161.8</v>
    <v>1199.8</v>
    <v>1186</v>
    <v>1147</v>
    <v>1147.5999999999999</v>
    <v>1200</v>
    <v>1198.8</v>
    <v>1180.4000000000001</v>
    <v>1179.5999999999999</v>
    <v>1197.4000000000001</v>
    <v>1193.8</v>
    <v>1191</v>
    <v>1168.5999999999999</v>
    <v>1128.2</v>
    <v>1175.4000000000001</v>
    <v>1201.5999999999999</v>
    <v>1211.5999999999999</v>
    <v>1165.8</v>
    <v>1146.4000000000001</v>
    <v>1112</v>
    <v>1119.2</v>
    <v>1187.5999999999999</v>
    <v>1161</v>
    <v>1113.8</v>
    <v>1212.5999999999999</v>
    <v>1234.8</v>
    <v>1270</v>
    <v>1259.8</v>
    <v>1284.2</v>
    <v>1230</v>
    <v>1222.5999999999999</v>
    <v>1244</v>
    <v>1245</v>
    <v>1237</v>
    <v>1249.8</v>
    <v>1223.8</v>
    <v>1249.5999999999999</v>
    <v>1212.5999999999999</v>
    <v>1171.8</v>
    <v>1192.5999999999999</v>
    <v>1222.4000000000001</v>
    <v>1187.4000000000001</v>
    <v>1229</v>
    <v>1305</v>
    <v>1300</v>
    <v>1319.4</v>
    <v>1305.5999999999999</v>
    <v>1265.8</v>
    <v>1327</v>
    <v>1367</v>
    <v>1306.5999999999999</v>
    <v>1264.4000000000001</v>
    <v>1249</v>
    <v>1333</v>
    <v>1345.2</v>
    <v>1409</v>
    <v>1430.6</v>
    <v>1389.8</v>
    <v>1376.4</v>
    <v>1391</v>
    <v>1384.8</v>
    <v>1394</v>
    <v>1461.8</v>
    <v>1485.2</v>
    <v>1498</v>
    <v>1462.2</v>
    <v>1514.6</v>
    <v>1508.4</v>
    <v>1507.2</v>
    <v>1576</v>
    <v>1629.6</v>
    <v>1622.2</v>
    <v>1591.2</v>
    <v>1656.4</v>
    <v>1676</v>
    <v>1657.8</v>
    <v>1655.8</v>
    <v>1560.8</v>
    <v>1553.8</v>
    <v>1594</v>
    <v>1578.2</v>
    <v>1612</v>
    <v>1721.4</v>
    <v>1641.6</v>
    <v>1577.8</v>
    <v>1634.4</v>
    <v>1628.4</v>
    <v>1509.8</v>
    <v>1529</v>
    <v>1602.8</v>
    <v>1569</v>
    <v>1540.8</v>
    <v>1555.8</v>
    <v>1549.4</v>
    <v>1598.4</v>
    <v>1537</v>
    <v>1520.8</v>
    <v>1593.4</v>
    <v>1589.6</v>
    <v>1579.2</v>
    <v>1563</v>
    <v>1429.8</v>
    <v>1388.4</v>
    <v>1362.2</v>
    <v>1440</v>
    <v>1434.2</v>
    <v>1419.6</v>
    <v>1472.6</v>
    <v>1465.8</v>
    <v>1494</v>
    <v>1499</v>
    <v>1513.8</v>
    <v>1554</v>
    <v>1567</v>
    <v>1609.4</v>
    <v>1579.6</v>
    <v>1621.2</v>
    <v>1541.8</v>
    <v>1507.6</v>
    <v>1505.4</v>
    <v>1506</v>
    <v>1489.8</v>
    <v>1501</v>
    <v>1497.6</v>
    <v>1486.4</v>
    <v>1494.4</v>
    <v>1451.8</v>
    <v>1435.4</v>
    <v>1445.8</v>
    <v>1423.4</v>
    <v>1467.4</v>
    <v>1500.4</v>
    <v>1518</v>
    <v>1497.6</v>
    <v>1474.2</v>
    <v>1478.4</v>
    <v>1387.8</v>
    <v>1378.8</v>
    <v>1396.2</v>
    <v>1418</v>
    <v>1446</v>
    <v>1481.4</v>
    <v>1507.4</v>
    <v>1515.8</v>
    <v>1503.2</v>
    <v>1522.6</v>
    <v>1537</v>
    <v>1601.2</v>
    <v>1596.8</v>
    <v>1597</v>
    <v>1653</v>
    <v>1656.2</v>
    <v>1636.4</v>
    <v>1610.2</v>
    <v>1630.6</v>
    <v>1601.6</v>
    <v>1575.8</v>
    <v>1509.6</v>
    <v>1528.2</v>
    <v>1464.2</v>
    <v>1477.2</v>
    <v>1496</v>
    <v>1455.4</v>
    <v>1493.8</v>
    <v>1419.6</v>
    <v>1407.2</v>
  </a>
  <a r="1" c="256">
    <v>887.7</v>
    <v>894.4</v>
    <v>908.1</v>
    <v>907.4</v>
    <v>919.4</v>
    <v>937.5</v>
    <v>918.1</v>
    <v>926.5</v>
    <v>918</v>
    <v>906.6</v>
    <v>895.3</v>
    <v>870.8</v>
    <v>886.7</v>
    <v>886.9</v>
    <v>891.8</v>
    <v>881.5</v>
    <v>874.1</v>
    <v>876.4</v>
    <v>865.6</v>
    <v>886.6</v>
    <v>889.8</v>
    <v>834</v>
    <v>858.8</v>
    <v>860.3</v>
    <v>909.3</v>
    <v>897.2</v>
    <v>903.4</v>
    <v>926.7</v>
    <v>939.1</v>
    <v>963.4</v>
    <v>957.3</v>
    <v>951.6</v>
    <v>963.2</v>
    <v>952.9</v>
    <v>946</v>
    <v>940.9</v>
    <v>925.3</v>
    <v>931</v>
    <v>908.6</v>
    <v>874</v>
    <v>892.7</v>
    <v>901.6</v>
    <v>896</v>
    <v>903.2</v>
    <v>899</v>
    <v>906.8</v>
    <v>918.4</v>
    <v>921.4</v>
    <v>986.3</v>
    <v>1053.2</v>
    <v>1061</v>
    <v>1051.8</v>
    <v>1013</v>
    <v>1081.5999999999999</v>
    <v>1086.4000000000001</v>
    <v>1102.5999999999999</v>
    <v>1084.2</v>
    <v>1149.4000000000001</v>
    <v>1167.2</v>
    <v>1120.4000000000001</v>
    <v>1140</v>
    <v>1154.8</v>
    <v>1176.4000000000001</v>
    <v>1178.2</v>
    <v>1178</v>
    <v>1217.5999999999999</v>
    <v>1194.4000000000001</v>
    <v>1192</v>
    <v>1215.5999999999999</v>
    <v>1224.8</v>
    <v>1190.4000000000001</v>
    <v>1140.5999999999999</v>
    <v>1149.5999999999999</v>
    <v>1193.8</v>
    <v>1204.8</v>
    <v>1193</v>
    <v>1207.8</v>
    <v>1179.8</v>
    <v>1190.4000000000001</v>
    <v>1195</v>
    <v>1199.2</v>
    <v>1244.8</v>
    <v>1238.2</v>
    <v>1255.5999999999999</v>
    <v>1249.2</v>
    <v>1263.4000000000001</v>
    <v>1288.4000000000001</v>
    <v>1232.4000000000001</v>
    <v>1233.4000000000001</v>
    <v>1210.4000000000001</v>
    <v>1161.8</v>
    <v>1199.8</v>
    <v>1186</v>
    <v>1147</v>
    <v>1147.5999999999999</v>
    <v>1200</v>
    <v>1198.8</v>
    <v>1180.4000000000001</v>
    <v>1179.5999999999999</v>
    <v>1197.4000000000001</v>
    <v>1193.8</v>
    <v>1191</v>
    <v>1168.5999999999999</v>
    <v>1128.2</v>
    <v>1175.4000000000001</v>
    <v>1201.5999999999999</v>
    <v>1211.5999999999999</v>
    <v>1165.8</v>
    <v>1146.4000000000001</v>
    <v>1112</v>
    <v>1119.2</v>
    <v>1187.5999999999999</v>
    <v>1161</v>
    <v>1113.8</v>
    <v>1212.5999999999999</v>
    <v>1234.8</v>
    <v>1270</v>
    <v>1259.8</v>
    <v>1284.2</v>
    <v>1230</v>
    <v>1222.5999999999999</v>
    <v>1244</v>
    <v>1245</v>
    <v>1237</v>
    <v>1249.8</v>
    <v>1223.8</v>
    <v>1249.5999999999999</v>
    <v>1212.5999999999999</v>
    <v>1171.8</v>
    <v>1192.5999999999999</v>
    <v>1222.4000000000001</v>
    <v>1187.4000000000001</v>
    <v>1229</v>
    <v>1305</v>
    <v>1300</v>
    <v>1319.4</v>
    <v>1305.5999999999999</v>
    <v>1265.8</v>
    <v>1327</v>
    <v>1367</v>
    <v>1306.5999999999999</v>
    <v>1264.4000000000001</v>
    <v>1249</v>
    <v>1333</v>
    <v>1345.2</v>
    <v>1409</v>
    <v>1430.6</v>
    <v>1389.8</v>
    <v>1376.4</v>
    <v>1391</v>
    <v>1384.8</v>
    <v>1394</v>
    <v>1461.8</v>
    <v>1485.2</v>
    <v>1498</v>
    <v>1462.2</v>
    <v>1514.6</v>
    <v>1508.4</v>
    <v>1507.2</v>
    <v>1576</v>
    <v>1629.6</v>
    <v>1622.2</v>
    <v>1591.2</v>
    <v>1656.4</v>
    <v>1676</v>
    <v>1657.8</v>
    <v>1655.8</v>
    <v>1560.8</v>
    <v>1553.8</v>
    <v>1594</v>
    <v>1578.2</v>
    <v>1612</v>
    <v>1721.4</v>
    <v>1641.6</v>
    <v>1577.8</v>
    <v>1634.4</v>
    <v>1628.4</v>
    <v>1509.8</v>
    <v>1529</v>
    <v>1602.8</v>
    <v>1569</v>
    <v>1540.8</v>
    <v>1555.8</v>
    <v>1549.4</v>
    <v>1598.4</v>
    <v>1537</v>
    <v>1520.8</v>
    <v>1593.4</v>
    <v>1589.6</v>
    <v>1579.2</v>
    <v>1563</v>
    <v>1429.8</v>
    <v>1388.4</v>
    <v>1362.2</v>
    <v>1440</v>
    <v>1434.2</v>
    <v>1419.6</v>
    <v>1472.6</v>
    <v>1465.8</v>
    <v>1494</v>
    <v>1499</v>
    <v>1513.8</v>
    <v>1554</v>
    <v>1567</v>
    <v>1609.4</v>
    <v>1579.6</v>
    <v>1621.2</v>
    <v>1541.8</v>
    <v>1507.6</v>
    <v>1505.4</v>
    <v>1506</v>
    <v>1489.8</v>
    <v>1501</v>
    <v>1497.6</v>
    <v>1486.4</v>
    <v>1494.4</v>
    <v>1451.8</v>
    <v>1435.4</v>
    <v>1445.8</v>
    <v>1423.4</v>
    <v>1467.4</v>
    <v>1500.4</v>
    <v>1518</v>
    <v>1497.6</v>
    <v>1474.2</v>
    <v>1478.4</v>
    <v>1387.8</v>
    <v>1378.8</v>
    <v>1396.2</v>
    <v>1418</v>
    <v>1446</v>
    <v>1481.4</v>
    <v>1507.4</v>
    <v>1515.8</v>
    <v>1503.2</v>
    <v>1522.6</v>
    <v>1537</v>
    <v>1601.2</v>
    <v>1596.8</v>
    <v>1597</v>
    <v>1653</v>
    <v>1656.2</v>
    <v>1636.4</v>
    <v>1610.2</v>
    <v>1630.6</v>
    <v>1601.6</v>
    <v>1575.8</v>
    <v>1509.6</v>
    <v>1528.2</v>
    <v>1464.2</v>
    <v>1477.2</v>
    <v>1496</v>
    <v>1455.4</v>
    <v>1493.8</v>
    <v>1419.6</v>
    <v>1407.2</v>
  </a>
  <a r="1" c="254">
    <v>139.66999999999999</v>
    <v>141.16</v>
    <v>142.38999999999999</v>
    <v>143</v>
    <v>143.4</v>
    <v>142.47</v>
    <v>141.93</v>
    <v>142.13</v>
    <v>141.16</v>
    <v>141.21</v>
    <v>139.62</v>
    <v>137.96</v>
    <v>140.68</v>
    <v>141.41999999999999</v>
    <v>142.05000000000001</v>
    <v>140.65</v>
    <v>140.16999999999999</v>
    <v>139.57</v>
    <v>137.56</v>
    <v>137.62</v>
    <v>138.77000000000001</v>
    <v>136.41999999999999</v>
    <v>138.85</v>
    <v>139.47</v>
    <v>141.6</v>
    <v>141.36000000000001</v>
    <v>141.82</v>
    <v>141.6</v>
    <v>141.38</v>
    <v>141.97999999999999</v>
    <v>142.04</v>
    <v>142.44</v>
    <v>142.03</v>
    <v>142.38</v>
    <v>142.02000000000001</v>
    <v>142.38999999999999</v>
    <v>141.31</v>
    <v>141.53</v>
    <v>140.68</v>
    <v>139.9</v>
    <v>141.25</v>
    <v>141.57</v>
    <v>142.46</v>
    <v>142.91</v>
    <v>142.88999999999999</v>
    <v>143.15</v>
    <v>141.87</v>
    <v>143.22999999999999</v>
    <v>143.31</v>
    <v>143.97999999999999</v>
    <v>143.32</v>
    <v>144.02000000000001</v>
    <v>144.37</v>
    <v>144.25</v>
    <v>143.13</v>
    <v>144.44</v>
    <v>143.96</v>
    <v>142.24</v>
    <v>142.08000000000001</v>
    <v>141.99</v>
    <v>143.35</v>
    <v>143.28</v>
    <v>143.93</v>
    <v>144.57</v>
    <v>144.41</v>
    <v>142.91</v>
    <v>143.47</v>
    <v>144.38999999999999</v>
    <v>143.44999999999999</v>
    <v>142.61000000000001</v>
    <v>141.21</v>
    <v>142.72999999999999</v>
    <v>144.16</v>
    <v>144.18</v>
    <v>143.66999999999999</v>
    <v>142.1</v>
    <v>141.9</v>
    <v>141.44</v>
    <v>141.38999999999999</v>
    <v>142.84</v>
    <v>142.1</v>
    <v>142.44999999999999</v>
    <v>141.56</v>
    <v>142.13</v>
    <v>143.38</v>
    <v>142.74</v>
    <v>142.27000000000001</v>
    <v>141.72</v>
    <v>140.07</v>
    <v>142.09</v>
    <v>140.93</v>
    <v>139.61000000000001</v>
    <v>138.93</v>
    <v>141.18</v>
    <v>139.97</v>
    <v>138.6</v>
    <v>137.47999999999999</v>
    <v>138.19</v>
    <v>138.96</v>
    <v>137.84</v>
    <v>136</v>
    <v>135.36000000000001</v>
    <v>136.04</v>
    <v>135.9</v>
    <v>136.43</v>
    <v>134.65</v>
    <v>132.30000000000001</v>
    <v>131.97999999999999</v>
    <v>132.86000000000001</v>
    <v>136.13999999999999</v>
    <v>135.68</v>
    <v>135.19999999999999</v>
    <v>139.49</v>
    <v>140.13999999999999</v>
    <v>140.81</v>
    <v>140.51</v>
    <v>143.1</v>
    <v>143.97</v>
    <v>144.85</v>
    <v>146.77000000000001</v>
    <v>146.03</v>
    <v>145.94999999999999</v>
    <v>146.66999999999999</v>
    <v>147.1</v>
    <v>147.02000000000001</v>
    <v>147.22</v>
    <v>146.51</v>
    <v>146.87</v>
    <v>147.53</v>
    <v>148.16</v>
    <v>149.24</v>
    <v>151.03</v>
    <v>151.78</v>
    <v>152.03</v>
    <v>152.59</v>
    <v>151.15</v>
    <v>152.58000000000001</v>
    <v>154.47999999999999</v>
    <v>152.93</v>
    <v>151.93</v>
    <v>151.09</v>
    <v>152.63999999999999</v>
    <v>152.22999999999999</v>
    <v>154.19</v>
    <v>155.21</v>
    <v>154.6</v>
    <v>154.66</v>
    <v>155.5</v>
    <v>156.05000000000001</v>
    <v>156.01</v>
    <v>156.61000000000001</v>
    <v>155.78</v>
    <v>155.80000000000001</v>
    <v>154.05000000000001</v>
    <v>152.93</v>
    <v>150.62</v>
    <v>150.61000000000001</v>
    <v>149.88999999999999</v>
    <v>152.97</v>
    <v>155.54</v>
    <v>155.22999999999999</v>
    <v>154.57</v>
    <v>153.86000000000001</v>
    <v>154.1</v>
    <v>153.72999999999999</v>
    <v>151.59</v>
    <v>152.56</v>
    <v>151.56</v>
    <v>151.6</v>
    <v>152.08000000000001</v>
    <v>153.86000000000001</v>
    <v>154.55000000000001</v>
    <v>154.01</v>
    <v>154.24</v>
    <v>154.83000000000001</v>
    <v>153.91999999999999</v>
    <v>152.88</v>
    <v>154.81</v>
    <v>155.30000000000001</v>
    <v>155.13999999999999</v>
    <v>155.04</v>
    <v>155.43</v>
    <v>155.57</v>
    <v>153.63</v>
    <v>153.72</v>
    <v>154.16</v>
    <v>154.4</v>
    <v>151.83000000000001</v>
    <v>152.93</v>
    <v>151.91</v>
    <v>152.78</v>
    <v>151.43</v>
    <v>151.76</v>
    <v>152.74</v>
    <v>155.61000000000001</v>
    <v>158.11000000000001</v>
    <v>158.99</v>
    <v>158.30000000000001</v>
    <v>159.22</v>
    <v>159.22999999999999</v>
    <v>158.96</v>
    <v>159.02000000000001</v>
    <v>159.83000000000001</v>
    <v>159.79</v>
    <v>159.57</v>
    <v>158.08000000000001</v>
    <v>158.61000000000001</v>
    <v>157.59</v>
    <v>157.63</v>
    <v>157.16999999999999</v>
    <v>157.38999999999999</v>
    <v>157.46</v>
    <v>158.5</v>
    <v>159.36000000000001</v>
    <v>157.57</v>
    <v>157.09</v>
    <v>157.59</v>
    <v>158.96</v>
    <v>158.19</v>
    <v>157.97999999999999</v>
    <v>157.9</v>
    <v>156.72999999999999</v>
    <v>156.13</v>
    <v>157.47</v>
    <v>156.35</v>
    <v>155.62</v>
    <v>156.22</v>
    <v>156.61000000000001</v>
    <v>156.52000000000001</v>
    <v>158.57</v>
    <v>159.25</v>
    <v>158.34</v>
    <v>157.32</v>
    <v>158.38999999999999</v>
    <v>157.52000000000001</v>
    <v>157.28</v>
    <v>158.30000000000001</v>
    <v>156.38999999999999</v>
    <v>158.36000000000001</v>
    <v>159.12</v>
    <v>160.87</v>
    <v>159.62</v>
    <v>159.41999999999999</v>
    <v>159.88999999999999</v>
    <v>160.1</v>
    <v>159.74</v>
    <v>158.80000000000001</v>
    <v>158.4</v>
    <v>158.30000000000001</v>
    <v>158.33000000000001</v>
    <v>158.21</v>
    <v>158.86000000000001</v>
    <v>157.08000000000001</v>
    <v>156.96</v>
  </a>
  <a r="1" c="761">
    <v>89.65</v>
    <v>89.68</v>
    <v>89.13</v>
    <v>87.89</v>
    <v>87.62</v>
    <v>87.67</v>
    <v>88.18</v>
    <v>89.06</v>
    <v>90.85</v>
    <v>92.34</v>
    <v>92.24</v>
    <v>92.61</v>
    <v>92.45</v>
    <v>92.62</v>
    <v>92.39</v>
    <v>93.29</v>
    <v>95.04</v>
    <v>95.21</v>
    <v>94.82</v>
    <v>95.1</v>
    <v>95.65</v>
    <v>95.57</v>
    <v>96.11</v>
    <v>96.19</v>
    <v>96.05</v>
    <v>96.03</v>
    <v>96.23</v>
    <v>96.12</v>
    <v>95.94</v>
    <v>96.6</v>
    <v>95.99</v>
    <v>96.35</v>
    <v>96.22</v>
    <v>96.56</v>
    <v>96.81</v>
    <v>97.1</v>
    <v>97.58</v>
    <v>98.11</v>
    <v>99.59</v>
    <v>99.66</v>
    <v>99.98</v>
    <v>100.4</v>
    <v>100.58</v>
    <v>99.76</v>
    <v>100.42</v>
    <v>100.57</v>
    <v>100.87</v>
    <v>100.23</v>
    <v>99.9</v>
    <v>99.29</v>
    <v>99.43</v>
    <v>99.15</v>
    <v>99.51</v>
    <v>100.04</v>
    <v>100.32</v>
    <v>99.9</v>
    <v>100.78</v>
    <v>100.68</v>
    <v>100.62</v>
    <v>99.93</v>
    <v>100.4</v>
    <v>101.17</v>
    <v>102.3</v>
    <v>102.08</v>
    <v>103.16</v>
    <v>103.11</v>
    <v>103.33</v>
    <v>103.13</v>
    <v>103.84</v>
    <v>102.83</v>
    <v>102.44</v>
    <v>104.14</v>
    <v>103.85</v>
    <v>104.2</v>
    <v>105.01</v>
    <v>105.14</v>
    <v>105.47</v>
    <v>106.27</v>
    <v>104.65</v>
    <v>104.73</v>
    <v>105.48</v>
    <v>105.91</v>
    <v>105.54</v>
    <v>104.74</v>
    <v>104.67</v>
    <v>106.71</v>
    <v>107.28</v>
    <v>107.06</v>
    <v>106.67</v>
    <v>106.85</v>
    <v>106.89</v>
    <v>107.71</v>
    <v>108.09</v>
    <v>107.2</v>
    <v>107.74</v>
    <v>108.42</v>
    <v>108.51</v>
    <v>107.75</v>
    <v>108.55</v>
    <v>108.85</v>
    <v>108.5</v>
    <v>107.6</v>
    <v>108.7</v>
    <v>108.71</v>
    <v>109.04</v>
    <v>110.7</v>
    <v>110.19</v>
    <v>109.97</v>
    <v>110.01</v>
    <v>109.93</v>
    <v>110.5</v>
    <v>109.45</v>
    <v>110.07</v>
    <v>110.42</v>
    <v>109.39</v>
    <v>109.67</v>
    <v>109</v>
    <v>108.51</v>
    <v>108.45</v>
    <v>108.43</v>
    <v>108.05</v>
    <v>106.36</v>
    <v>105.71</v>
    <v>106.23</v>
    <v>105</v>
    <v>104.77</v>
    <v>106.56</v>
    <v>106.49</v>
    <v>105.35</v>
    <v>107.17</v>
    <v>107.4</v>
    <v>106.88</v>
    <v>105.81</v>
    <v>107.58</v>
    <v>108.39</v>
    <v>109.22</v>
    <v>108.99</v>
    <v>109.45</v>
    <v>109.75</v>
    <v>109.77</v>
    <v>109.99</v>
    <v>111.29</v>
    <v>111.89</v>
    <v>111.3</v>
    <v>111.92</v>
    <v>111.65</v>
    <v>111.79</v>
    <v>111.77</v>
    <v>111.56</v>
    <v>111.62</v>
    <v>111.54</v>
    <v>110.86</v>
    <v>110.42</v>
    <v>109.45</v>
    <v>110.76</v>
    <v>110.58</v>
    <v>111.98</v>
    <v>112.47</v>
    <v>112.62</v>
    <v>112.5</v>
    <v>112.51</v>
    <v>114.27</v>
    <v>113.94</v>
    <v>114.01</v>
    <v>114.47</v>
    <v>115.11</v>
    <v>115.47</v>
    <v>115.56</v>
    <v>114.92</v>
    <v>115.3</v>
    <v>114.88</v>
    <v>114.77</v>
    <v>115.01</v>
    <v>115.64</v>
    <v>114.88</v>
    <v>115.21</v>
    <v>116.08</v>
    <v>116.28</v>
    <v>116.62</v>
    <v>117.04</v>
    <v>117.33</v>
    <v>117.57</v>
    <v>117.57</v>
    <v>118.36</v>
    <v>118.78</v>
    <v>118.62</v>
    <v>117.69</v>
    <v>116.71</v>
    <v>115.81</v>
    <v>116.21</v>
    <v>117.24</v>
    <v>114.86</v>
    <v>114.47</v>
    <v>114.42</v>
    <v>114.4</v>
    <v>114.19</v>
    <v>116.17</v>
    <v>114.98</v>
    <v>111.6</v>
    <v>109.62</v>
    <v>110.35</v>
    <v>111.48</v>
    <v>111.18</v>
    <v>111.95</v>
    <v>112.19</v>
    <v>113.43</v>
    <v>114.32</v>
    <v>116.31</v>
    <v>117.16</v>
    <v>117.39</v>
    <v>117.68</v>
    <v>117.62</v>
    <v>118.11</v>
    <v>117.86</v>
    <v>117.7</v>
    <v>117.27</v>
    <v>118.25</v>
    <v>117.34</v>
    <v>118.53</v>
    <v>116.87</v>
    <v>116</v>
    <v>115.19</v>
    <v>113.8</v>
    <v>114.4</v>
    <v>114.86</v>
    <v>113.87</v>
    <v>116.53</v>
    <v>118.01</v>
    <v>117.79</v>
    <v>118.62</v>
    <v>118.03</v>
    <v>119.77</v>
    <v>119.21</v>
    <v>119.94</v>
    <v>119.95</v>
    <v>120.1</v>
    <v>120.27</v>
    <v>120.52</v>
    <v>120.34</v>
    <v>119.56</v>
    <v>119.8</v>
    <v>119.48</v>
    <v>119.58</v>
    <v>120.2</v>
    <v>120.38</v>
    <v>121.15</v>
    <v>121.2</v>
    <v>121.86</v>
    <v>122.61</v>
    <v>122.59</v>
    <v>122.1</v>
    <v>122.89</v>
    <v>122.84</v>
    <v>122.23</v>
    <v>122.5</v>
    <v>121.78</v>
    <v>121.66</v>
    <v>122.49</v>
    <v>122.16</v>
    <v>122.23</v>
    <v>122.48</v>
    <v>120</v>
    <v>120.64</v>
    <v>119.86</v>
    <v>120.78</v>
    <v>123.49</v>
    <v>125</v>
    <v>125.59</v>
    <v>125.85</v>
    <v>125.41</v>
    <v>125.67</v>
    <v>125.37</v>
    <v>123.18</v>
    <v>123.63</v>
    <v>123.64</v>
    <v>122.96</v>
    <v>124.49</v>
    <v>124.85</v>
    <v>125.6</v>
    <v>126</v>
    <v>125.75</v>
    <v>126.01</v>
    <v>126.44</v>
    <v>126.72</v>
    <v>126.63</v>
    <v>127.25</v>
    <v>127.58</v>
    <v>127.69</v>
    <v>127.11</v>
    <v>126.84</v>
    <v>127.53</v>
    <v>127.39</v>
    <v>126.8</v>
    <v>127.24</v>
    <v>126.89</v>
    <v>127.03</v>
    <v>123.79</v>
    <v>124.67</v>
    <v>124.18</v>
    <v>124.94</v>
    <v>123.8</v>
    <v>123.55</v>
    <v>124.11</v>
    <v>125.96</v>
    <v>124.33</v>
    <v>123.73</v>
    <v>123.45</v>
    <v>121.85</v>
    <v>121.27</v>
    <v>122.02</v>
    <v>123.98</v>
    <v>124.53</v>
    <v>125.76</v>
    <v>126.07</v>
    <v>126.23</v>
    <v>127.5</v>
    <v>127.58</v>
    <v>127.98</v>
    <v>125.23</v>
    <v>126.32</v>
    <v>126.48</v>
    <v>126.55</v>
    <v>127.87</v>
    <v>125.57</v>
    <v>126.24</v>
    <v>126.23</v>
    <v>127.04</v>
    <v>126.3</v>
    <v>126.73</v>
    <v>126.79</v>
    <v>125.99</v>
    <v>127.28</v>
    <v>127.91</v>
    <v>128.11000000000001</v>
    <v>127.88</v>
    <v>128.15</v>
    <v>127.53</v>
    <v>127.37</v>
    <v>125.81</v>
    <v>123.8</v>
    <v>125.46</v>
    <v>124.74</v>
    <v>123.02</v>
    <v>124.13</v>
    <v>120.17</v>
    <v>120.22</v>
    <v>121.4</v>
    <v>119.03</v>
    <v>118.35</v>
    <v>116.77</v>
    <v>117.71</v>
    <v>116.18</v>
    <v>117.62</v>
    <v>118.27</v>
    <v>117.78</v>
    <v>118.58</v>
    <v>118.73</v>
    <v>118.29</v>
    <v>120.42</v>
    <v>120.63</v>
    <v>119.92</v>
    <v>119.55</v>
    <v>117.07</v>
    <v>116.25</v>
    <v>117.9</v>
    <v>118.37</v>
    <v>114.07</v>
    <v>108.58</v>
    <v>104.86</v>
    <v>108.37</v>
    <v>104.73</v>
    <v>110.27</v>
    <v>110.35</v>
    <v>113.41</v>
    <v>113.59</v>
    <v>112.53</v>
    <v>111.11</v>
    <v>110.4</v>
    <v>113.28</v>
    <v>114.01</v>
    <v>114.77</v>
    <v>114.99</v>
    <v>115.74</v>
    <v>115.41</v>
    <v>118.64</v>
    <v>118.45</v>
    <v>117.86</v>
    <v>117.2</v>
    <v>118.82</v>
    <v>118.53</v>
    <v>121.53</v>
    <v>123.36</v>
    <v>123.35</v>
    <v>123.54</v>
    <v>124.07</v>
    <v>124.17</v>
    <v>124.44</v>
    <v>123.97</v>
    <v>122.28</v>
    <v>121.33</v>
    <v>122.76</v>
    <v>123.33</v>
    <v>123.46</v>
    <v>123.45</v>
    <v>123.18</v>
    <v>123.19</v>
    <v>124.56</v>
    <v>124.96</v>
    <v>125.31</v>
    <v>125.29</v>
    <v>125.41</v>
    <v>125.64</v>
    <v>126.49</v>
    <v>126.05</v>
    <v>125.51</v>
    <v>126.12</v>
    <v>125.57</v>
    <v>125.5</v>
    <v>123.75</v>
    <v>124.91</v>
    <v>125.03</v>
    <v>126.9</v>
    <v>127.17</v>
    <v>127.92</v>
    <v>128.91999999999999</v>
    <v>129.03</v>
    <v>129.22</v>
    <v>129.53</v>
    <v>130.88999999999999</v>
    <v>130.16</v>
    <v>130.06</v>
    <v>129.77000000000001</v>
    <v>130.15</v>
    <v>130.87</v>
    <v>130.44</v>
    <v>130.47</v>
    <v>130.66</v>
    <v>129.46</v>
    <v>131.06</v>
    <v>131.22999999999999</v>
    <v>131.97999999999999</v>
    <v>131.24</v>
    <v>131.81</v>
    <v>132.75</v>
    <v>132.80000000000001</v>
    <v>133.11000000000001</v>
    <v>132.84</v>
    <v>132.75</v>
    <v>133.08000000000001</v>
    <v>129.97</v>
    <v>131.44999999999999</v>
    <v>131.1</v>
    <v>132.12</v>
    <v>132.09</v>
    <v>132.72</v>
    <v>133.04</v>
    <v>133.82</v>
    <v>134.34</v>
    <v>134.28</v>
    <v>134.13</v>
    <v>133.94999999999999</v>
    <v>132.88999999999999</v>
    <v>133.04</v>
    <v>134.79</v>
    <v>134.5</v>
    <v>133.93</v>
    <v>134.83000000000001</v>
    <v>134.91999999999999</v>
    <v>134.26</v>
    <v>134.59</v>
    <v>132.59</v>
    <v>133.93</v>
    <v>134.66</v>
    <v>134.62</v>
    <v>135.33000000000001</v>
    <v>135.16</v>
    <v>136</v>
    <v>137.01</v>
    <v>136.96</v>
    <v>137.47</v>
    <v>137.28</v>
    <v>137.22999999999999</v>
    <v>138.06</v>
    <v>137.87</v>
    <v>138.68</v>
    <v>138.94999999999999</v>
    <v>138.18</v>
    <v>137.22</v>
    <v>137.69</v>
    <v>138.36000000000001</v>
    <v>138.18</v>
    <v>139.03</v>
    <v>139.21</v>
    <v>140.06</v>
    <v>139.99</v>
    <v>139.53</v>
    <v>140.22999999999999</v>
    <v>139.75</v>
    <v>137.78</v>
    <v>138.09</v>
    <v>137.56</v>
    <v>138.94999999999999</v>
    <v>138.88</v>
    <v>137.30000000000001</v>
    <v>139.76</v>
    <v>139.94</v>
    <v>139.05000000000001</v>
    <v>139.66999999999999</v>
    <v>141.16</v>
    <v>142.38999999999999</v>
    <v>143</v>
    <v>143.4</v>
    <v>142.47</v>
    <v>141.93</v>
    <v>142.13</v>
    <v>141.16</v>
    <v>141.21</v>
    <v>139.62</v>
    <v>137.96</v>
    <v>140.68</v>
    <v>141.41999999999999</v>
    <v>142.05000000000001</v>
    <v>140.65</v>
    <v>140.16999999999999</v>
    <v>139.57</v>
    <v>137.56</v>
    <v>137.62</v>
    <v>138.77000000000001</v>
    <v>136.41999999999999</v>
    <v>138.85</v>
    <v>139.47</v>
    <v>141.6</v>
    <v>141.36000000000001</v>
    <v>141.82</v>
    <v>141.6</v>
    <v>141.38</v>
    <v>141.97999999999999</v>
    <v>142.04</v>
    <v>142.44</v>
    <v>142.03</v>
    <v>142.38</v>
    <v>142.02000000000001</v>
    <v>142.38999999999999</v>
    <v>141.31</v>
    <v>141.53</v>
    <v>140.68</v>
    <v>139.9</v>
    <v>141.25</v>
    <v>141.57</v>
    <v>142.46</v>
    <v>142.91</v>
    <v>142.88999999999999</v>
    <v>143.15</v>
    <v>141.87</v>
    <v>143.22999999999999</v>
    <v>143.31</v>
    <v>143.97999999999999</v>
    <v>143.32</v>
    <v>144.02000000000001</v>
    <v>144.37</v>
    <v>144.25</v>
    <v>143.13</v>
    <v>144.44</v>
    <v>143.96</v>
    <v>142.24</v>
    <v>142.08000000000001</v>
    <v>141.99</v>
    <v>143.35</v>
    <v>143.28</v>
    <v>143.93</v>
    <v>144.57</v>
    <v>144.41</v>
    <v>142.91</v>
    <v>143.47</v>
    <v>144.38999999999999</v>
    <v>143.44999999999999</v>
    <v>142.61000000000001</v>
    <v>141.21</v>
    <v>142.72999999999999</v>
    <v>144.16</v>
    <v>144.18</v>
    <v>143.66999999999999</v>
    <v>142.1</v>
    <v>141.9</v>
    <v>141.44</v>
    <v>141.38999999999999</v>
    <v>142.84</v>
    <v>142.1</v>
    <v>142.44999999999999</v>
    <v>141.56</v>
    <v>142.13</v>
    <v>143.38</v>
    <v>142.74</v>
    <v>142.27000000000001</v>
    <v>141.72</v>
    <v>140.07</v>
    <v>142.09</v>
    <v>140.93</v>
    <v>139.61000000000001</v>
    <v>138.93</v>
    <v>141.18</v>
    <v>139.97</v>
    <v>138.6</v>
    <v>137.47999999999999</v>
    <v>138.19</v>
    <v>138.96</v>
    <v>137.84</v>
    <v>136</v>
    <v>135.36000000000001</v>
    <v>136.04</v>
    <v>135.9</v>
    <v>136.43</v>
    <v>134.65</v>
    <v>132.30000000000001</v>
    <v>131.97999999999999</v>
    <v>132.86000000000001</v>
    <v>136.13999999999999</v>
    <v>135.68</v>
    <v>135.19999999999999</v>
    <v>139.49</v>
    <v>140.13999999999999</v>
    <v>140.81</v>
    <v>140.51</v>
    <v>143.1</v>
    <v>143.97</v>
    <v>144.85</v>
    <v>146.77000000000001</v>
    <v>146.03</v>
    <v>145.94999999999999</v>
    <v>146.66999999999999</v>
    <v>147.1</v>
    <v>147.02000000000001</v>
    <v>147.22</v>
    <v>146.51</v>
    <v>146.87</v>
    <v>147.53</v>
    <v>148.16</v>
    <v>149.24</v>
    <v>151.03</v>
    <v>151.78</v>
    <v>152.03</v>
    <v>152.59</v>
    <v>151.15</v>
    <v>152.58000000000001</v>
    <v>154.47999999999999</v>
    <v>152.93</v>
    <v>151.93</v>
    <v>151.09</v>
    <v>152.63999999999999</v>
    <v>152.22999999999999</v>
    <v>154.19</v>
    <v>155.21</v>
    <v>154.6</v>
    <v>154.66</v>
    <v>155.5</v>
    <v>156.05000000000001</v>
    <v>156.01</v>
    <v>156.61000000000001</v>
    <v>155.78</v>
    <v>155.80000000000001</v>
    <v>154.05000000000001</v>
    <v>152.93</v>
    <v>150.62</v>
    <v>150.61000000000001</v>
    <v>149.88999999999999</v>
    <v>152.97</v>
    <v>155.54</v>
    <v>155.22999999999999</v>
    <v>154.57</v>
    <v>153.86000000000001</v>
    <v>154.1</v>
    <v>153.72999999999999</v>
    <v>151.59</v>
    <v>152.56</v>
    <v>151.56</v>
    <v>151.6</v>
    <v>152.08000000000001</v>
    <v>153.86000000000001</v>
    <v>154.55000000000001</v>
    <v>154.01</v>
    <v>154.24</v>
    <v>154.83000000000001</v>
    <v>153.91999999999999</v>
    <v>152.88</v>
    <v>154.81</v>
    <v>155.30000000000001</v>
    <v>155.13999999999999</v>
    <v>155.04</v>
    <v>155.43</v>
    <v>155.57</v>
    <v>153.63</v>
    <v>153.72</v>
    <v>154.16</v>
    <v>154.4</v>
    <v>151.83000000000001</v>
    <v>152.93</v>
    <v>151.91</v>
    <v>152.78</v>
    <v>151.43</v>
    <v>151.76</v>
    <v>152.74</v>
    <v>155.61000000000001</v>
    <v>158.11000000000001</v>
    <v>158.99</v>
    <v>158.30000000000001</v>
    <v>159.22</v>
    <v>159.22999999999999</v>
    <v>158.96</v>
    <v>159.02000000000001</v>
    <v>159.83000000000001</v>
    <v>159.79</v>
    <v>159.57</v>
    <v>158.08000000000001</v>
    <v>158.61000000000001</v>
    <v>157.59</v>
    <v>157.63</v>
    <v>157.16999999999999</v>
    <v>157.38999999999999</v>
    <v>157.46</v>
    <v>158.5</v>
    <v>159.36000000000001</v>
    <v>157.57</v>
    <v>157.09</v>
    <v>157.59</v>
    <v>158.96</v>
    <v>158.19</v>
    <v>157.97999999999999</v>
    <v>157.9</v>
    <v>156.72999999999999</v>
    <v>156.13</v>
    <v>157.47</v>
    <v>156.35</v>
    <v>155.62</v>
    <v>156.22</v>
    <v>156.61000000000001</v>
    <v>156.52000000000001</v>
    <v>158.57</v>
    <v>159.25</v>
    <v>158.34</v>
    <v>157.32</v>
    <v>158.38999999999999</v>
    <v>157.52000000000001</v>
    <v>157.28</v>
    <v>158.30000000000001</v>
    <v>156.38999999999999</v>
    <v>158.36000000000001</v>
    <v>159.12</v>
    <v>160.87</v>
    <v>159.62</v>
    <v>159.41999999999999</v>
    <v>159.88999999999999</v>
    <v>160.1</v>
    <v>159.74</v>
    <v>158.80000000000001</v>
    <v>158.4</v>
    <v>158.30000000000001</v>
    <v>158.33000000000001</v>
    <v>158.21</v>
    <v>158.86000000000001</v>
    <v>157.08000000000001</v>
    <v>156.96</v>
  </a>
  <a r="1" c="208">
    <v>141.87</v>
    <v>143.22999999999999</v>
    <v>143.31</v>
    <v>143.97999999999999</v>
    <v>143.32</v>
    <v>144.02000000000001</v>
    <v>144.37</v>
    <v>144.25</v>
    <v>143.13</v>
    <v>144.44</v>
    <v>143.96</v>
    <v>142.24</v>
    <v>142.08000000000001</v>
    <v>141.99</v>
    <v>143.35</v>
    <v>143.28</v>
    <v>143.93</v>
    <v>144.57</v>
    <v>144.41</v>
    <v>142.91</v>
    <v>143.47</v>
    <v>144.38999999999999</v>
    <v>143.44999999999999</v>
    <v>142.61000000000001</v>
    <v>141.21</v>
    <v>142.72999999999999</v>
    <v>144.16</v>
    <v>144.18</v>
    <v>143.66999999999999</v>
    <v>142.1</v>
    <v>141.9</v>
    <v>141.44</v>
    <v>141.38999999999999</v>
    <v>142.84</v>
    <v>142.1</v>
    <v>142.44999999999999</v>
    <v>141.56</v>
    <v>142.13</v>
    <v>143.38</v>
    <v>142.74</v>
    <v>142.27000000000001</v>
    <v>141.72</v>
    <v>140.07</v>
    <v>142.09</v>
    <v>140.93</v>
    <v>139.61000000000001</v>
    <v>138.93</v>
    <v>141.18</v>
    <v>139.97</v>
    <v>138.6</v>
    <v>137.47999999999999</v>
    <v>138.19</v>
    <v>138.96</v>
    <v>137.84</v>
    <v>136</v>
    <v>135.36000000000001</v>
    <v>136.04</v>
    <v>135.9</v>
    <v>136.43</v>
    <v>134.65</v>
    <v>132.30000000000001</v>
    <v>131.97999999999999</v>
    <v>132.86000000000001</v>
    <v>136.13999999999999</v>
    <v>135.68</v>
    <v>135.19999999999999</v>
    <v>139.49</v>
    <v>140.13999999999999</v>
    <v>140.81</v>
    <v>140.51</v>
    <v>143.1</v>
    <v>143.97</v>
    <v>144.85</v>
    <v>146.77000000000001</v>
    <v>146.03</v>
    <v>145.94999999999999</v>
    <v>146.66999999999999</v>
    <v>147.1</v>
    <v>147.02000000000001</v>
    <v>147.22</v>
    <v>146.51</v>
    <v>146.87</v>
    <v>147.53</v>
    <v>148.16</v>
    <v>149.24</v>
    <v>151.03</v>
    <v>151.78</v>
    <v>152.03</v>
    <v>152.59</v>
    <v>151.15</v>
    <v>152.58000000000001</v>
    <v>154.47999999999999</v>
    <v>152.93</v>
    <v>151.93</v>
    <v>151.09</v>
    <v>152.63999999999999</v>
    <v>152.22999999999999</v>
    <v>154.19</v>
    <v>155.21</v>
    <v>154.6</v>
    <v>154.66</v>
    <v>155.5</v>
    <v>156.05000000000001</v>
    <v>156.01</v>
    <v>156.61000000000001</v>
    <v>155.78</v>
    <v>155.80000000000001</v>
    <v>154.05000000000001</v>
    <v>152.93</v>
    <v>150.62</v>
    <v>150.61000000000001</v>
    <v>149.88999999999999</v>
    <v>152.97</v>
    <v>155.54</v>
    <v>155.22999999999999</v>
    <v>154.57</v>
    <v>153.86000000000001</v>
    <v>154.1</v>
    <v>153.72999999999999</v>
    <v>151.59</v>
    <v>152.56</v>
    <v>151.56</v>
    <v>151.6</v>
    <v>152.08000000000001</v>
    <v>153.86000000000001</v>
    <v>154.55000000000001</v>
    <v>154.01</v>
    <v>154.24</v>
    <v>154.83000000000001</v>
    <v>153.91999999999999</v>
    <v>152.88</v>
    <v>154.81</v>
    <v>155.30000000000001</v>
    <v>155.13999999999999</v>
    <v>155.04</v>
    <v>155.43</v>
    <v>155.57</v>
    <v>153.63</v>
    <v>153.72</v>
    <v>154.16</v>
    <v>154.4</v>
    <v>151.83000000000001</v>
    <v>152.93</v>
    <v>151.91</v>
    <v>152.78</v>
    <v>151.43</v>
    <v>151.76</v>
    <v>152.74</v>
    <v>155.61000000000001</v>
    <v>158.11000000000001</v>
    <v>158.99</v>
    <v>158.30000000000001</v>
    <v>159.22</v>
    <v>159.22999999999999</v>
    <v>158.96</v>
    <v>159.02000000000001</v>
    <v>159.83000000000001</v>
    <v>159.79</v>
    <v>159.57</v>
    <v>158.08000000000001</v>
    <v>158.61000000000001</v>
    <v>157.59</v>
    <v>157.63</v>
    <v>157.16999999999999</v>
    <v>157.38999999999999</v>
    <v>157.46</v>
    <v>158.5</v>
    <v>159.36000000000001</v>
    <v>157.57</v>
    <v>157.09</v>
    <v>157.59</v>
    <v>158.96</v>
    <v>158.19</v>
    <v>157.97999999999999</v>
    <v>157.9</v>
    <v>156.72999999999999</v>
    <v>156.13</v>
    <v>157.47</v>
    <v>156.35</v>
    <v>155.62</v>
    <v>156.22</v>
    <v>156.61000000000001</v>
    <v>156.52000000000001</v>
    <v>158.57</v>
    <v>159.25</v>
    <v>158.34</v>
    <v>157.32</v>
    <v>158.38999999999999</v>
    <v>157.52000000000001</v>
    <v>157.28</v>
    <v>158.30000000000001</v>
    <v>156.38999999999999</v>
    <v>158.36000000000001</v>
    <v>159.12</v>
    <v>160.87</v>
    <v>159.62</v>
    <v>159.41999999999999</v>
    <v>159.88999999999999</v>
    <v>160.1</v>
    <v>159.74</v>
    <v>158.80000000000001</v>
    <v>158.4</v>
    <v>158.30000000000001</v>
    <v>158.33000000000001</v>
    <v>158.21</v>
    <v>158.86000000000001</v>
    <v>157.08000000000001</v>
    <v>156.96</v>
  </a>
  <a r="1" c="761">
    <v>14.157999999999999</v>
    <v>14.077999999999999</v>
    <v>14.061999999999999</v>
    <v>14.228</v>
    <v>14.252000000000001</v>
    <v>14.262</v>
    <v>14.186</v>
    <v>14.066000000000001</v>
    <v>13.85</v>
    <v>13.816000000000001</v>
    <v>13.87</v>
    <v>13.864000000000001</v>
    <v>13.8</v>
    <v>13.692</v>
    <v>13.795999999999999</v>
    <v>13.71</v>
    <v>13.462</v>
    <v>13.352</v>
    <v>13.32</v>
    <v>13.214</v>
    <v>13.23</v>
    <v>13.234</v>
    <v>13.188000000000001</v>
    <v>13.164</v>
    <v>13.138</v>
    <v>13.19</v>
    <v>13.183999999999999</v>
    <v>13.042</v>
    <v>12.996</v>
    <v>12.874000000000001</v>
    <v>12.866</v>
    <v>12.773999999999999</v>
    <v>12.66</v>
    <v>12.694000000000001</v>
    <v>12.608000000000001</v>
    <v>12.571999999999999</v>
    <v>12.587999999999999</v>
    <v>12.616</v>
    <v>12.614000000000001</v>
    <v>12.616</v>
    <v>12.72</v>
    <v>12.641999999999999</v>
    <v>12.65</v>
    <v>12.698</v>
    <v>12.682</v>
    <v>12.666</v>
    <v>12.712</v>
    <v>12.706</v>
    <v>12.667999999999999</v>
    <v>12.856</v>
    <v>12.78</v>
    <v>12.81</v>
    <v>12.728</v>
    <v>12.744</v>
    <v>12.738</v>
    <v>12.862</v>
    <v>12.752000000000001</v>
    <v>12.805999999999999</v>
    <v>12.864000000000001</v>
    <v>12.974</v>
    <v>12.868</v>
    <v>12.875999999999999</v>
    <v>12.778</v>
    <v>12.818</v>
    <v>12.62</v>
    <v>12.612</v>
    <v>12.582000000000001</v>
    <v>12.603999999999999</v>
    <v>12.577999999999999</v>
    <v>12.64</v>
    <v>12.69</v>
    <v>12.638</v>
    <v>12.66</v>
    <v>12.544</v>
    <v>12.641999999999999</v>
    <v>12.602</v>
    <v>12.644</v>
    <v>12.57</v>
    <v>12.686</v>
    <v>12.64</v>
    <v>12.57</v>
    <v>12.52</v>
    <v>12.542</v>
    <v>12.555999999999999</v>
    <v>12.53</v>
    <v>12.343999999999999</v>
    <v>12.318</v>
    <v>12.314</v>
    <v>12.228</v>
    <v>12.202</v>
    <v>12.146000000000001</v>
    <v>12.116</v>
    <v>12.135999999999999</v>
    <v>12.151999999999999</v>
    <v>12.138</v>
    <v>12.042</v>
    <v>12.076000000000001</v>
    <v>12.128</v>
    <v>11.98</v>
    <v>11.988</v>
    <v>12.01</v>
    <v>12</v>
    <v>12.016</v>
    <v>11.986000000000001</v>
    <v>11.97</v>
    <v>11.866</v>
    <v>11.843999999999999</v>
    <v>11.816000000000001</v>
    <v>11.736000000000001</v>
    <v>11.692</v>
    <v>11.673999999999999</v>
    <v>11.82</v>
    <v>11.77</v>
    <v>11.756</v>
    <v>11.914</v>
    <v>11.818</v>
    <v>11.974</v>
    <v>11.964</v>
    <v>12.066000000000001</v>
    <v>12.102</v>
    <v>12.042</v>
    <v>12.206</v>
    <v>12.186</v>
    <v>12.146000000000001</v>
    <v>12.226000000000001</v>
    <v>12.151999999999999</v>
    <v>11.96</v>
    <v>12.013999999999999</v>
    <v>12.114000000000001</v>
    <v>11.946</v>
    <v>11.976000000000001</v>
    <v>12.12</v>
    <v>12.135999999999999</v>
    <v>12.086</v>
    <v>11.972</v>
    <v>11.795999999999999</v>
    <v>11.766</v>
    <v>11.644</v>
    <v>11.602</v>
    <v>11.618</v>
    <v>11.628</v>
    <v>11.538</v>
    <v>11.635999999999999</v>
    <v>11.648</v>
    <v>11.616</v>
    <v>11.646000000000001</v>
    <v>11.673999999999999</v>
    <v>11.673999999999999</v>
    <v>11.676</v>
    <v>11.638</v>
    <v>11.692</v>
    <v>11.821999999999999</v>
    <v>11.8</v>
    <v>11.821999999999999</v>
    <v>11.746</v>
    <v>11.874000000000001</v>
    <v>11.778</v>
    <v>11.731999999999999</v>
    <v>11.792</v>
    <v>11.842000000000001</v>
    <v>11.916</v>
    <v>11.744</v>
    <v>11.986000000000001</v>
    <v>12.16</v>
    <v>12.118</v>
    <v>12.086</v>
    <v>12.128</v>
    <v>12.018000000000001</v>
    <v>12.058</v>
    <v>11.956</v>
    <v>12.082000000000001</v>
    <v>12.077999999999999</v>
    <v>12.058</v>
    <v>12.036</v>
    <v>11.986000000000001</v>
    <v>12.098000000000001</v>
    <v>11.95</v>
    <v>11.907999999999999</v>
    <v>11.906000000000001</v>
    <v>11.89</v>
    <v>12.064</v>
    <v>11.94</v>
    <v>11.866</v>
    <v>11.722</v>
    <v>11.834</v>
    <v>11.884</v>
    <v>11.933999999999999</v>
    <v>11.994</v>
    <v>12.128</v>
    <v>11.962</v>
    <v>11.88</v>
    <v>11.994</v>
    <v>12.042</v>
    <v>11.968</v>
    <v>12.036</v>
    <v>11.972</v>
    <v>11.923999999999999</v>
    <v>12.202</v>
    <v>12.5</v>
    <v>12.74</v>
    <v>12.714</v>
    <v>12.532</v>
    <v>12.481999999999999</v>
    <v>12.472</v>
    <v>12.47</v>
    <v>12.404</v>
    <v>12.356</v>
    <v>12.066000000000001</v>
    <v>12</v>
    <v>12.052</v>
    <v>11.992000000000001</v>
    <v>11.968</v>
    <v>11.88</v>
    <v>11.896000000000001</v>
    <v>11.846</v>
    <v>11.794</v>
    <v>11.726000000000001</v>
    <v>11.724</v>
    <v>11.72</v>
    <v>11.827999999999999</v>
    <v>11.936</v>
    <v>11.938000000000001</v>
    <v>12.138</v>
    <v>12.048</v>
    <v>12.148</v>
    <v>12.12</v>
    <v>11.992000000000001</v>
    <v>11.88</v>
    <v>11.933999999999999</v>
    <v>11.872</v>
    <v>11.884</v>
    <v>11.708</v>
    <v>11.875999999999999</v>
    <v>11.818</v>
    <v>11.724</v>
    <v>11.766</v>
    <v>11.582000000000001</v>
    <v>11.43</v>
    <v>11.518000000000001</v>
    <v>11.606</v>
    <v>11.635999999999999</v>
    <v>11.736000000000001</v>
    <v>11.662000000000001</v>
    <v>11.683999999999999</v>
    <v>11.7</v>
    <v>11.587999999999999</v>
    <v>11.622</v>
    <v>11.526</v>
    <v>11.452</v>
    <v>11.446</v>
    <v>11.486000000000001</v>
    <v>11.41</v>
    <v>11.37</v>
    <v>11.492000000000001</v>
    <v>11.506</v>
    <v>11.54</v>
    <v>11.506</v>
    <v>11.507999999999999</v>
    <v>11.468</v>
    <v>11.496</v>
    <v>11.625999999999999</v>
    <v>11.747999999999999</v>
    <v>11.635999999999999</v>
    <v>11.696</v>
    <v>11.641999999999999</v>
    <v>11.776</v>
    <v>11.574</v>
    <v>11.676</v>
    <v>11.53</v>
    <v>11.776</v>
    <v>11.818</v>
    <v>11.654</v>
    <v>11.678000000000001</v>
    <v>11.704000000000001</v>
    <v>11.782</v>
    <v>11.82</v>
    <v>11.73</v>
    <v>11.635999999999999</v>
    <v>11.577999999999999</v>
    <v>11.646000000000001</v>
    <v>11.673999999999999</v>
    <v>11.577999999999999</v>
    <v>11.458</v>
    <v>11.3</v>
    <v>11.23</v>
    <v>11.132</v>
    <v>11.052</v>
    <v>11.045999999999999</v>
    <v>11.068</v>
    <v>11.071999999999999</v>
    <v>11.04</v>
    <v>11.038</v>
    <v>11.06</v>
    <v>11.103999999999999</v>
    <v>11.138</v>
    <v>11.135999999999999</v>
    <v>11.28</v>
    <v>11.33</v>
    <v>11.38</v>
    <v>11.324</v>
    <v>11.4</v>
    <v>11.305999999999999</v>
    <v>11.366</v>
    <v>11.196</v>
    <v>11.124000000000001</v>
    <v>11.144</v>
    <v>11.146000000000001</v>
    <v>11.2</v>
    <v>11.252000000000001</v>
    <v>11.18</v>
    <v>10.99</v>
    <v>10.984</v>
    <v>10.85</v>
    <v>10.8</v>
    <v>10.78</v>
    <v>10.667999999999999</v>
    <v>10.592000000000001</v>
    <v>10.612</v>
    <v>10.67</v>
    <v>10.592000000000001</v>
    <v>10.504</v>
    <v>10.454000000000001</v>
    <v>10.458</v>
    <v>10.618</v>
    <v>10.566000000000001</v>
    <v>10.548</v>
    <v>10.382</v>
    <v>10.45</v>
    <v>10.37</v>
    <v>10.326000000000001</v>
    <v>10.276</v>
    <v>10.06</v>
    <v>10.122</v>
    <v>9.984</v>
    <v>9.9559999999999995</v>
    <v>10.146000000000001</v>
    <v>10.19</v>
    <v>10.228</v>
    <v>10.164</v>
    <v>10.172000000000001</v>
    <v>9.9909999999999997</v>
    <v>10.116</v>
    <v>10.132</v>
    <v>9.8450000000000006</v>
    <v>10.192</v>
    <v>9.8320000000000007</v>
    <v>9.6940000000000008</v>
    <v>9.8819999999999997</v>
    <v>10.055999999999999</v>
    <v>10.186</v>
    <v>10.028</v>
    <v>10.09</v>
    <v>9.9130000000000003</v>
    <v>9.8330000000000002</v>
    <v>9.7210000000000001</v>
    <v>9.7609999999999992</v>
    <v>9.8849999999999998</v>
    <v>9.9380000000000006</v>
    <v>9.9529999999999994</v>
    <v>9.8469999999999995</v>
    <v>9.9580000000000002</v>
    <v>10.039999999999999</v>
    <v>10.135999999999999</v>
    <v>10.272</v>
    <v>10.1</v>
    <v>10.176</v>
    <v>10.474</v>
    <v>10.965999999999999</v>
    <v>11.45</v>
    <v>11.188000000000001</v>
    <v>11.497999999999999</v>
    <v>10.986000000000001</v>
    <v>11.096</v>
    <v>10.802</v>
    <v>10.64</v>
    <v>10.603999999999999</v>
    <v>10.66</v>
    <v>10.622</v>
    <v>10.282</v>
    <v>10.24</v>
    <v>10.162000000000001</v>
    <v>10.156000000000001</v>
    <v>10.071999999999999</v>
    <v>10.07</v>
    <v>9.8040000000000003</v>
    <v>9.6910000000000007</v>
    <v>9.7260000000000009</v>
    <v>9.7850000000000001</v>
    <v>9.69</v>
    <v>9.6340000000000003</v>
    <v>9.6059999999999999</v>
    <v>9.5820000000000007</v>
    <v>9.6300000000000008</v>
    <v>9.56</v>
    <v>9.5350000000000001</v>
    <v>9.4670000000000005</v>
    <v>9.4339999999999993</v>
    <v>9.3930000000000007</v>
    <v>9.4410000000000007</v>
    <v>9.5969999999999995</v>
    <v>9.4429999999999996</v>
    <v>9.3409999999999993</v>
    <v>9.4169999999999998</v>
    <v>9.4559999999999995</v>
    <v>9.4459999999999997</v>
    <v>9.4719999999999995</v>
    <v>9.4160000000000004</v>
    <v>9.35</v>
    <v>9.327</v>
    <v>9.3409999999999993</v>
    <v>9.3889999999999993</v>
    <v>9.4429999999999996</v>
    <v>9.468</v>
    <v>9.5489999999999995</v>
    <v>9.6630000000000003</v>
    <v>9.5839999999999996</v>
    <v>9.6820000000000004</v>
    <v>9.7289999999999992</v>
    <v>9.8529999999999998</v>
    <v>9.7370000000000001</v>
    <v>9.7620000000000005</v>
    <v>9.6029999999999998</v>
    <v>9.6630000000000003</v>
    <v>9.6140000000000008</v>
    <v>9.4670000000000005</v>
    <v>9.4969999999999999</v>
    <v>9.5839999999999996</v>
    <v>9.5549999999999997</v>
    <v>9.5090000000000003</v>
    <v>9.5530000000000008</v>
    <v>9.4570000000000007</v>
    <v>9.3989999999999991</v>
    <v>9.2750000000000004</v>
    <v>9.2919999999999998</v>
    <v>9.3859999999999992</v>
    <v>9.4149999999999991</v>
    <v>9.4469999999999992</v>
    <v>9.4499999999999993</v>
    <v>9.3379999999999992</v>
    <v>9.3659999999999997</v>
    <v>9.3689999999999998</v>
    <v>9.4730000000000008</v>
    <v>9.3970000000000002</v>
    <v>9.3650000000000002</v>
    <v>9.3970000000000002</v>
    <v>9.5120000000000005</v>
    <v>9.4130000000000003</v>
    <v>9.3859999999999992</v>
    <v>9.4640000000000004</v>
    <v>9.702</v>
    <v>9.59</v>
    <v>9.548</v>
    <v>9.5280000000000005</v>
    <v>9.4149999999999991</v>
    <v>9.4179999999999993</v>
    <v>9.4670000000000005</v>
    <v>9.4760000000000009</v>
    <v>9.423</v>
    <v>9.3539999999999992</v>
    <v>9.3829999999999991</v>
    <v>9.3369999999999997</v>
    <v>9.3970000000000002</v>
    <v>9.3919999999999995</v>
    <v>9.3620000000000001</v>
    <v>9.41</v>
    <v>9.4480000000000004</v>
    <v>9.4909999999999997</v>
    <v>9.4949999999999992</v>
    <v>9.5470000000000006</v>
    <v>9.5090000000000003</v>
    <v>9.7129999999999992</v>
    <v>9.6750000000000007</v>
    <v>9.5990000000000002</v>
    <v>9.6820000000000004</v>
    <v>9.5890000000000004</v>
    <v>9.6270000000000007</v>
    <v>9.6679999999999993</v>
    <v>9.6470000000000002</v>
    <v>9.6489999999999991</v>
    <v>9.6310000000000002</v>
    <v>9.798</v>
    <v>9.7910000000000004</v>
    <v>9.6560000000000006</v>
    <v>9.6679999999999993</v>
    <v>9.7159999999999993</v>
    <v>9.6769999999999996</v>
    <v>9.6620000000000008</v>
    <v>9.7249999999999996</v>
    <v>9.6379999999999999</v>
    <v>9.6240000000000006</v>
    <v>9.5830000000000002</v>
    <v>9.4749999999999996</v>
    <v>9.3650000000000002</v>
    <v>9.3889999999999993</v>
    <v>9.3859999999999992</v>
    <v>9.39</v>
    <v>9.3040000000000003</v>
    <v>9.2889999999999997</v>
    <v>9.4369999999999994</v>
    <v>9.3970000000000002</v>
    <v>9.4529999999999994</v>
    <v>9.4610000000000003</v>
    <v>9.4420000000000002</v>
    <v>9.6069999999999993</v>
    <v>9.4420000000000002</v>
    <v>9.41</v>
    <v>9.4860000000000007</v>
    <v>9.4659999999999993</v>
    <v>9.4550000000000001</v>
    <v>9.4329999999999998</v>
    <v>9.4420000000000002</v>
    <v>9.5090000000000003</v>
    <v>9.5050000000000008</v>
    <v>9.5779999999999994</v>
    <v>9.5190000000000001</v>
    <v>9.5839999999999996</v>
    <v>9.5429999999999993</v>
    <v>9.6669999999999998</v>
    <v>9.7469999999999999</v>
    <v>9.577</v>
    <v>9.5259999999999998</v>
    <v>9.4149999999999991</v>
    <v>9.5459999999999994</v>
    <v>9.6129999999999995</v>
    <v>9.7370000000000001</v>
    <v>9.907</v>
    <v>9.8940000000000001</v>
    <v>9.8529999999999998</v>
    <v>9.9480000000000004</v>
    <v>9.8789999999999996</v>
    <v>9.7840000000000007</v>
    <v>9.6989999999999998</v>
    <v>9.6649999999999991</v>
    <v>9.6449999999999996</v>
    <v>9.7409999999999997</v>
    <v>9.6959999999999997</v>
    <v>9.7100000000000009</v>
    <v>9.6259999999999994</v>
    <v>9.5670000000000002</v>
    <v>9.5640000000000001</v>
    <v>9.52</v>
    <v>9.5359999999999996</v>
    <v>9.4789999999999992</v>
    <v>9.5090000000000003</v>
    <v>9.4920000000000009</v>
    <v>9.5589999999999993</v>
    <v>9.61</v>
    <v>9.5169999999999995</v>
    <v>9.4809999999999999</v>
    <v>9.4809999999999999</v>
    <v>9.4700000000000006</v>
    <v>9.4600000000000009</v>
    <v>9.36</v>
    <v>9.407</v>
    <v>9.2799999999999994</v>
    <v>9.2690000000000001</v>
    <v>9.1929999999999996</v>
    <v>9.1859999999999999</v>
    <v>9.1419999999999995</v>
    <v>9.09</v>
    <v>9.0869999999999997</v>
    <v>9.1229999999999993</v>
    <v>9.1039999999999992</v>
    <v>9.14</v>
    <v>9.2590000000000003</v>
    <v>9.36</v>
    <v>9.4019999999999992</v>
    <v>9.2880000000000003</v>
    <v>9.2989999999999995</v>
    <v>9.2639999999999993</v>
    <v>9.282</v>
    <v>9.3070000000000004</v>
    <v>9.5139999999999993</v>
    <v>9.4269999999999996</v>
    <v>9.3290000000000006</v>
    <v>9.3339999999999996</v>
    <v>9.3940000000000001</v>
    <v>9.4619999999999997</v>
    <v>9.359</v>
    <v>9.2530000000000001</v>
    <v>9.2590000000000003</v>
    <v>9.3010000000000002</v>
    <v>9.3260000000000005</v>
    <v>9.2970000000000006</v>
    <v>9.3309999999999995</v>
    <v>9.2620000000000005</v>
    <v>9.157</v>
    <v>9.2569999999999997</v>
    <v>9.1739999999999995</v>
    <v>9.2710000000000008</v>
    <v>9.2590000000000003</v>
    <v>9.2050000000000001</v>
    <v>9.1690000000000005</v>
    <v>9.1590000000000007</v>
    <v>9.3930000000000007</v>
    <v>9.7449999999999992</v>
    <v>9.5589999999999993</v>
    <v>9.7349999999999994</v>
    <v>9.8290000000000006</v>
    <v>9.8930000000000007</v>
    <v>9.6669999999999998</v>
    <v>9.8030000000000008</v>
    <v>9.8140000000000001</v>
    <v>9.8719999999999999</v>
    <v>9.82</v>
    <v>9.7550000000000008</v>
    <v>9.8369999999999997</v>
    <v>10.122</v>
    <v>10.327999999999999</v>
    <v>10.234</v>
    <v>10.218</v>
    <v>10.074</v>
    <v>10.242000000000001</v>
    <v>10.364000000000001</v>
    <v>10.284000000000001</v>
    <v>10.224</v>
    <v>9.94</v>
    <v>10.012</v>
    <v>10.084</v>
    <v>9.6170000000000009</v>
    <v>9.7140000000000004</v>
    <v>9.68</v>
    <v>9.7249999999999996</v>
    <v>9.6059999999999999</v>
    <v>9.5890000000000004</v>
    <v>9.5660000000000007</v>
    <v>9.3460000000000001</v>
    <v>9.4469999999999992</v>
    <v>9.5220000000000002</v>
    <v>9.5419999999999998</v>
    <v>9.5549999999999997</v>
    <v>9.5739999999999998</v>
    <v>9.5939999999999994</v>
    <v>9.6180000000000003</v>
    <v>9.6579999999999995</v>
    <v>9.5259999999999998</v>
    <v>9.6240000000000006</v>
    <v>9.4809999999999999</v>
    <v>9.2639999999999993</v>
    <v>9.3689999999999998</v>
    <v>9.51</v>
    <v>9.4930000000000003</v>
    <v>9.641</v>
    <v>9.5909999999999993</v>
    <v>9.4540000000000006</v>
    <v>9.6479999999999997</v>
    <v>9.5310000000000006</v>
    <v>9.4600000000000009</v>
    <v>9.3420000000000005</v>
    <v>9.375</v>
    <v>9.2720000000000002</v>
    <v>9.1020000000000003</v>
    <v>9.1720000000000006</v>
    <v>9.1660000000000004</v>
    <v>9.2129999999999992</v>
    <v>9.2080000000000002</v>
    <v>9.2550000000000008</v>
    <v>9.2110000000000003</v>
    <v>9.3219999999999992</v>
    <v>9.2840000000000007</v>
    <v>9.3369999999999997</v>
    <v>9.3930000000000007</v>
    <v>9.4809999999999999</v>
    <v>9.5619999999999994</v>
    <v>9.5619999999999994</v>
    <v>9.4030000000000005</v>
    <v>9.2940000000000005</v>
    <v>9.2919999999999998</v>
    <v>9.2859999999999996</v>
    <v>9.2490000000000006</v>
    <v>9.2590000000000003</v>
    <v>9.2110000000000003</v>
    <v>9.2910000000000004</v>
    <v>9.3740000000000006</v>
    <v>9.2690000000000001</v>
    <v>9.3879999999999999</v>
    <v>9.4109999999999996</v>
    <v>9.2799999999999994</v>
    <v>9.2479999999999993</v>
    <v>9.0719999999999992</v>
    <v>8.9830000000000005</v>
    <v>8.9770000000000003</v>
    <v>9.0939999999999994</v>
    <v>9.3190000000000008</v>
    <v>9.2319999999999993</v>
    <v>9.24</v>
    <v>9.2430000000000003</v>
    <v>9.2219999999999995</v>
    <v>9.27</v>
    <v>9.3279999999999994</v>
    <v>9.343</v>
    <v>9.3360000000000003</v>
    <v>9.2880000000000003</v>
    <v>9.2200000000000006</v>
    <v>9.3940000000000001</v>
    <v>9.2520000000000007</v>
    <v>9.1310000000000002</v>
    <v>9.109</v>
    <v>9.125</v>
    <v>9.0850000000000009</v>
    <v>9.0649999999999995</v>
    <v>8.9209999999999994</v>
    <v>8.8610000000000007</v>
    <v>8.8879999999999999</v>
    <v>8.8819999999999997</v>
    <v>8.8209999999999997</v>
    <v>8.8230000000000004</v>
    <v>8.81</v>
    <v>8.8279999999999994</v>
    <v>8.8490000000000002</v>
    <v>8.8019999999999996</v>
    <v>8.8260000000000005</v>
    <v>8.8989999999999991</v>
    <v>8.9090000000000007</v>
    <v>8.9510000000000005</v>
    <v>8.9120000000000008</v>
    <v>8.9169999999999998</v>
    <v>8.8629999999999995</v>
    <v>8.8529999999999998</v>
    <v>8.843</v>
    <v>8.7669999999999995</v>
    <v>8.8670000000000009</v>
    <v>8.98</v>
    <v>9.0180000000000007</v>
    <v>8.9640000000000004</v>
    <v>8.9529999999999994</v>
    <v>8.9789999999999992</v>
    <v>8.9779999999999998</v>
    <v>9.1289999999999996</v>
    <v>9.1850000000000005</v>
    <v>9.1280000000000001</v>
    <v>9.18</v>
    <v>9.1839999999999993</v>
    <v>9.1359999999999992</v>
    <v>9.0749999999999993</v>
    <v>9.2219999999999995</v>
    <v>9.1289999999999996</v>
    <v>9.1229999999999993</v>
    <v>9.1859999999999999</v>
    <v>9.2520000000000007</v>
    <v>9.1999999999999993</v>
    <v>9.1999999999999993</v>
    <v>9.2149999999999999</v>
    <v>9.2739999999999991</v>
    <v>9.3610000000000007</v>
    <v>9.2729999999999997</v>
    <v>9.266</v>
    <v>9.1910000000000007</v>
    <v>9.327</v>
    <v>9.4280000000000008</v>
    <v>9.3219999999999992</v>
    <v>9.266</v>
    <v>9.2759999999999998</v>
    <v>9.2460000000000004</v>
    <v>9.234</v>
    <v>9.141</v>
    <v>9.2609999999999992</v>
    <v>9.2579999999999991</v>
    <v>9.1329999999999991</v>
    <v>9.2349999999999994</v>
    <v>9.32</v>
  </a>
  <a r="1" c="254">
    <v>9.4659999999999993</v>
    <v>9.4550000000000001</v>
    <v>9.4329999999999998</v>
    <v>9.4420000000000002</v>
    <v>9.5090000000000003</v>
    <v>9.5050000000000008</v>
    <v>9.5779999999999994</v>
    <v>9.5190000000000001</v>
    <v>9.5839999999999996</v>
    <v>9.5429999999999993</v>
    <v>9.6669999999999998</v>
    <v>9.7469999999999999</v>
    <v>9.577</v>
    <v>9.5259999999999998</v>
    <v>9.4149999999999991</v>
    <v>9.5459999999999994</v>
    <v>9.6129999999999995</v>
    <v>9.7370000000000001</v>
    <v>9.907</v>
    <v>9.8940000000000001</v>
    <v>9.8529999999999998</v>
    <v>9.9480000000000004</v>
    <v>9.8789999999999996</v>
    <v>9.7840000000000007</v>
    <v>9.6989999999999998</v>
    <v>9.6649999999999991</v>
    <v>9.6449999999999996</v>
    <v>9.7409999999999997</v>
    <v>9.6959999999999997</v>
    <v>9.7100000000000009</v>
    <v>9.6259999999999994</v>
    <v>9.5670000000000002</v>
    <v>9.5640000000000001</v>
    <v>9.52</v>
    <v>9.5359999999999996</v>
    <v>9.4789999999999992</v>
    <v>9.5090000000000003</v>
    <v>9.4920000000000009</v>
    <v>9.5589999999999993</v>
    <v>9.61</v>
    <v>9.5169999999999995</v>
    <v>9.4809999999999999</v>
    <v>9.4809999999999999</v>
    <v>9.4700000000000006</v>
    <v>9.4600000000000009</v>
    <v>9.36</v>
    <v>9.407</v>
    <v>9.2799999999999994</v>
    <v>9.2690000000000001</v>
    <v>9.1929999999999996</v>
    <v>9.1859999999999999</v>
    <v>9.1419999999999995</v>
    <v>9.09</v>
    <v>9.0869999999999997</v>
    <v>9.1229999999999993</v>
    <v>9.1039999999999992</v>
    <v>9.14</v>
    <v>9.2590000000000003</v>
    <v>9.36</v>
    <v>9.4019999999999992</v>
    <v>9.2880000000000003</v>
    <v>9.2989999999999995</v>
    <v>9.2639999999999993</v>
    <v>9.282</v>
    <v>9.3070000000000004</v>
    <v>9.5139999999999993</v>
    <v>9.4269999999999996</v>
    <v>9.3290000000000006</v>
    <v>9.3339999999999996</v>
    <v>9.3940000000000001</v>
    <v>9.4619999999999997</v>
    <v>9.359</v>
    <v>9.2530000000000001</v>
    <v>9.2590000000000003</v>
    <v>9.3010000000000002</v>
    <v>9.3260000000000005</v>
    <v>9.2970000000000006</v>
    <v>9.3309999999999995</v>
    <v>9.2620000000000005</v>
    <v>9.157</v>
    <v>9.2569999999999997</v>
    <v>9.1739999999999995</v>
    <v>9.2710000000000008</v>
    <v>9.2590000000000003</v>
    <v>9.2050000000000001</v>
    <v>9.1690000000000005</v>
    <v>9.1590000000000007</v>
    <v>9.3930000000000007</v>
    <v>9.7449999999999992</v>
    <v>9.5589999999999993</v>
    <v>9.7349999999999994</v>
    <v>9.8290000000000006</v>
    <v>9.8930000000000007</v>
    <v>9.6669999999999998</v>
    <v>9.8030000000000008</v>
    <v>9.8140000000000001</v>
    <v>9.8719999999999999</v>
    <v>9.82</v>
    <v>9.7550000000000008</v>
    <v>9.8369999999999997</v>
    <v>10.122</v>
    <v>10.327999999999999</v>
    <v>10.234</v>
    <v>10.218</v>
    <v>10.074</v>
    <v>10.242000000000001</v>
    <v>10.364000000000001</v>
    <v>10.284000000000001</v>
    <v>10.224</v>
    <v>9.94</v>
    <v>10.012</v>
    <v>10.084</v>
    <v>9.6170000000000009</v>
    <v>9.7140000000000004</v>
    <v>9.68</v>
    <v>9.7249999999999996</v>
    <v>9.6059999999999999</v>
    <v>9.5890000000000004</v>
    <v>9.5660000000000007</v>
    <v>9.3460000000000001</v>
    <v>9.4469999999999992</v>
    <v>9.5220000000000002</v>
    <v>9.5419999999999998</v>
    <v>9.5549999999999997</v>
    <v>9.5739999999999998</v>
    <v>9.5939999999999994</v>
    <v>9.6180000000000003</v>
    <v>9.6579999999999995</v>
    <v>9.5259999999999998</v>
    <v>9.6240000000000006</v>
    <v>9.4809999999999999</v>
    <v>9.2639999999999993</v>
    <v>9.3689999999999998</v>
    <v>9.51</v>
    <v>9.4930000000000003</v>
    <v>9.641</v>
    <v>9.5909999999999993</v>
    <v>9.4540000000000006</v>
    <v>9.6479999999999997</v>
    <v>9.5310000000000006</v>
    <v>9.4600000000000009</v>
    <v>9.3420000000000005</v>
    <v>9.375</v>
    <v>9.2720000000000002</v>
    <v>9.1020000000000003</v>
    <v>9.1720000000000006</v>
    <v>9.1660000000000004</v>
    <v>9.2129999999999992</v>
    <v>9.2080000000000002</v>
    <v>9.2550000000000008</v>
    <v>9.2110000000000003</v>
    <v>9.3219999999999992</v>
    <v>9.2840000000000007</v>
    <v>9.3369999999999997</v>
    <v>9.3930000000000007</v>
    <v>9.4809999999999999</v>
    <v>9.5619999999999994</v>
    <v>9.5619999999999994</v>
    <v>9.4030000000000005</v>
    <v>9.2940000000000005</v>
    <v>9.2919999999999998</v>
    <v>9.2859999999999996</v>
    <v>9.2490000000000006</v>
    <v>9.2590000000000003</v>
    <v>9.2110000000000003</v>
    <v>9.2910000000000004</v>
    <v>9.3740000000000006</v>
    <v>9.2690000000000001</v>
    <v>9.3879999999999999</v>
    <v>9.4109999999999996</v>
    <v>9.2799999999999994</v>
    <v>9.2479999999999993</v>
    <v>9.0719999999999992</v>
    <v>8.9830000000000005</v>
    <v>8.9770000000000003</v>
    <v>9.0939999999999994</v>
    <v>9.3190000000000008</v>
    <v>9.2319999999999993</v>
    <v>9.24</v>
    <v>9.2430000000000003</v>
    <v>9.2219999999999995</v>
    <v>9.27</v>
    <v>9.3279999999999994</v>
    <v>9.343</v>
    <v>9.3360000000000003</v>
    <v>9.2880000000000003</v>
    <v>9.2200000000000006</v>
    <v>9.3940000000000001</v>
    <v>9.2520000000000007</v>
    <v>9.1310000000000002</v>
    <v>9.109</v>
    <v>9.125</v>
    <v>9.0850000000000009</v>
    <v>9.0649999999999995</v>
    <v>8.9209999999999994</v>
    <v>8.8610000000000007</v>
    <v>8.8879999999999999</v>
    <v>8.8819999999999997</v>
    <v>8.8209999999999997</v>
    <v>8.8230000000000004</v>
    <v>8.81</v>
    <v>8.8279999999999994</v>
    <v>8.8490000000000002</v>
    <v>8.8019999999999996</v>
    <v>8.8260000000000005</v>
    <v>8.8989999999999991</v>
    <v>8.9090000000000007</v>
    <v>8.9510000000000005</v>
    <v>8.9120000000000008</v>
    <v>8.9169999999999998</v>
    <v>8.8629999999999995</v>
    <v>8.8529999999999998</v>
    <v>8.843</v>
    <v>8.7669999999999995</v>
    <v>8.8670000000000009</v>
    <v>8.98</v>
    <v>9.0180000000000007</v>
    <v>8.9640000000000004</v>
    <v>8.9529999999999994</v>
    <v>8.9789999999999992</v>
    <v>8.9779999999999998</v>
    <v>9.1289999999999996</v>
    <v>9.1850000000000005</v>
    <v>9.1280000000000001</v>
    <v>9.18</v>
    <v>9.1839999999999993</v>
    <v>9.1359999999999992</v>
    <v>9.0749999999999993</v>
    <v>9.2219999999999995</v>
    <v>9.1289999999999996</v>
    <v>9.1229999999999993</v>
    <v>9.1859999999999999</v>
    <v>9.2520000000000007</v>
    <v>9.1999999999999993</v>
    <v>9.1999999999999993</v>
    <v>9.2149999999999999</v>
    <v>9.2739999999999991</v>
    <v>9.3610000000000007</v>
    <v>9.2729999999999997</v>
    <v>9.266</v>
    <v>9.1910000000000007</v>
    <v>9.327</v>
    <v>9.4280000000000008</v>
    <v>9.3219999999999992</v>
    <v>9.266</v>
    <v>9.2759999999999998</v>
    <v>9.2460000000000004</v>
    <v>9.234</v>
    <v>9.141</v>
    <v>9.2609999999999992</v>
    <v>9.2579999999999991</v>
    <v>9.1329999999999991</v>
    <v>9.2349999999999994</v>
    <v>9.32</v>
  </a>
  <a r="1" c="208">
    <v>9.407</v>
    <v>9.2799999999999994</v>
    <v>9.2690000000000001</v>
    <v>9.1929999999999996</v>
    <v>9.1859999999999999</v>
    <v>9.1419999999999995</v>
    <v>9.09</v>
    <v>9.0869999999999997</v>
    <v>9.1229999999999993</v>
    <v>9.1039999999999992</v>
    <v>9.14</v>
    <v>9.2590000000000003</v>
    <v>9.36</v>
    <v>9.4019999999999992</v>
    <v>9.2880000000000003</v>
    <v>9.2989999999999995</v>
    <v>9.2639999999999993</v>
    <v>9.282</v>
    <v>9.3070000000000004</v>
    <v>9.5139999999999993</v>
    <v>9.4269999999999996</v>
    <v>9.3290000000000006</v>
    <v>9.3339999999999996</v>
    <v>9.3940000000000001</v>
    <v>9.4619999999999997</v>
    <v>9.359</v>
    <v>9.2530000000000001</v>
    <v>9.2590000000000003</v>
    <v>9.3010000000000002</v>
    <v>9.3260000000000005</v>
    <v>9.2970000000000006</v>
    <v>9.3309999999999995</v>
    <v>9.2620000000000005</v>
    <v>9.157</v>
    <v>9.2569999999999997</v>
    <v>9.1739999999999995</v>
    <v>9.2710000000000008</v>
    <v>9.2590000000000003</v>
    <v>9.2050000000000001</v>
    <v>9.1690000000000005</v>
    <v>9.1590000000000007</v>
    <v>9.3930000000000007</v>
    <v>9.7449999999999992</v>
    <v>9.5589999999999993</v>
    <v>9.7349999999999994</v>
    <v>9.8290000000000006</v>
    <v>9.8930000000000007</v>
    <v>9.6669999999999998</v>
    <v>9.8030000000000008</v>
    <v>9.8140000000000001</v>
    <v>9.8719999999999999</v>
    <v>9.82</v>
    <v>9.7550000000000008</v>
    <v>9.8369999999999997</v>
    <v>10.122</v>
    <v>10.327999999999999</v>
    <v>10.234</v>
    <v>10.218</v>
    <v>10.074</v>
    <v>10.242000000000001</v>
    <v>10.364000000000001</v>
    <v>10.284000000000001</v>
    <v>10.224</v>
    <v>9.94</v>
    <v>10.012</v>
    <v>10.084</v>
    <v>9.6170000000000009</v>
    <v>9.7140000000000004</v>
    <v>9.68</v>
    <v>9.7249999999999996</v>
    <v>9.6059999999999999</v>
    <v>9.5890000000000004</v>
    <v>9.5660000000000007</v>
    <v>9.3460000000000001</v>
    <v>9.4469999999999992</v>
    <v>9.5220000000000002</v>
    <v>9.5419999999999998</v>
    <v>9.5549999999999997</v>
    <v>9.5739999999999998</v>
    <v>9.5939999999999994</v>
    <v>9.6180000000000003</v>
    <v>9.6579999999999995</v>
    <v>9.5259999999999998</v>
    <v>9.6240000000000006</v>
    <v>9.4809999999999999</v>
    <v>9.2639999999999993</v>
    <v>9.3689999999999998</v>
    <v>9.51</v>
    <v>9.4930000000000003</v>
    <v>9.641</v>
    <v>9.5909999999999993</v>
    <v>9.4540000000000006</v>
    <v>9.6479999999999997</v>
    <v>9.5310000000000006</v>
    <v>9.4600000000000009</v>
    <v>9.3420000000000005</v>
    <v>9.375</v>
    <v>9.2720000000000002</v>
    <v>9.1020000000000003</v>
    <v>9.1720000000000006</v>
    <v>9.1660000000000004</v>
    <v>9.2129999999999992</v>
    <v>9.2080000000000002</v>
    <v>9.2550000000000008</v>
    <v>9.2110000000000003</v>
    <v>9.3219999999999992</v>
    <v>9.2840000000000007</v>
    <v>9.3369999999999997</v>
    <v>9.3930000000000007</v>
    <v>9.4809999999999999</v>
    <v>9.5619999999999994</v>
    <v>9.5619999999999994</v>
    <v>9.4030000000000005</v>
    <v>9.2940000000000005</v>
    <v>9.2919999999999998</v>
    <v>9.2859999999999996</v>
    <v>9.2490000000000006</v>
    <v>9.2590000000000003</v>
    <v>9.2110000000000003</v>
    <v>9.2910000000000004</v>
    <v>9.3740000000000006</v>
    <v>9.2690000000000001</v>
    <v>9.3879999999999999</v>
    <v>9.4109999999999996</v>
    <v>9.2799999999999994</v>
    <v>9.2479999999999993</v>
    <v>9.0719999999999992</v>
    <v>8.9830000000000005</v>
    <v>8.9770000000000003</v>
    <v>9.0939999999999994</v>
    <v>9.3190000000000008</v>
    <v>9.2319999999999993</v>
    <v>9.24</v>
    <v>9.2430000000000003</v>
    <v>9.2219999999999995</v>
    <v>9.27</v>
    <v>9.3279999999999994</v>
    <v>9.343</v>
    <v>9.3360000000000003</v>
    <v>9.2880000000000003</v>
    <v>9.2200000000000006</v>
    <v>9.3940000000000001</v>
    <v>9.2520000000000007</v>
    <v>9.1310000000000002</v>
    <v>9.109</v>
    <v>9.125</v>
    <v>9.0850000000000009</v>
    <v>9.0649999999999995</v>
    <v>8.9209999999999994</v>
    <v>8.8610000000000007</v>
    <v>8.8879999999999999</v>
    <v>8.8819999999999997</v>
    <v>8.8209999999999997</v>
    <v>8.8230000000000004</v>
    <v>8.81</v>
    <v>8.8279999999999994</v>
    <v>8.8490000000000002</v>
    <v>8.8019999999999996</v>
    <v>8.8260000000000005</v>
    <v>8.8989999999999991</v>
    <v>8.9090000000000007</v>
    <v>8.9510000000000005</v>
    <v>8.9120000000000008</v>
    <v>8.9169999999999998</v>
    <v>8.8629999999999995</v>
    <v>8.8529999999999998</v>
    <v>8.843</v>
    <v>8.7669999999999995</v>
    <v>8.8670000000000009</v>
    <v>8.98</v>
    <v>9.0180000000000007</v>
    <v>8.9640000000000004</v>
    <v>8.9529999999999994</v>
    <v>8.9789999999999992</v>
    <v>8.9779999999999998</v>
    <v>9.1289999999999996</v>
    <v>9.1850000000000005</v>
    <v>9.1280000000000001</v>
    <v>9.18</v>
    <v>9.1839999999999993</v>
    <v>9.1359999999999992</v>
    <v>9.0749999999999993</v>
    <v>9.2219999999999995</v>
    <v>9.1289999999999996</v>
    <v>9.1229999999999993</v>
    <v>9.1859999999999999</v>
    <v>9.2520000000000007</v>
    <v>9.1999999999999993</v>
    <v>9.1999999999999993</v>
    <v>9.2149999999999999</v>
    <v>9.2739999999999991</v>
    <v>9.3610000000000007</v>
    <v>9.2729999999999997</v>
    <v>9.266</v>
    <v>9.1910000000000007</v>
    <v>9.327</v>
    <v>9.4280000000000008</v>
    <v>9.3219999999999992</v>
    <v>9.266</v>
    <v>9.2759999999999998</v>
    <v>9.2460000000000004</v>
    <v>9.234</v>
    <v>9.141</v>
    <v>9.2609999999999992</v>
    <v>9.2579999999999991</v>
    <v>9.1329999999999991</v>
    <v>9.2349999999999994</v>
    <v>9.32</v>
  </a>
  <a r="1" c="208">
    <v>68.400000000000006</v>
    <v>69.64</v>
    <v>72.22</v>
    <v>71.78</v>
    <v>72.599999999999994</v>
    <v>72.58</v>
    <v>73.44</v>
    <v>74.86</v>
    <v>75.540000000000006</v>
    <v>75.98</v>
    <v>74.62</v>
    <v>75.540000000000006</v>
    <v>74.400000000000006</v>
    <v>73.58</v>
    <v>73.52</v>
    <v>73.28</v>
    <v>70.88</v>
    <v>71.7</v>
    <v>71.819999999999993</v>
    <v>72.540000000000006</v>
    <v>72.180000000000007</v>
    <v>71.38</v>
    <v>74.319999999999993</v>
    <v>73.84</v>
    <v>74.58</v>
    <v>73.48</v>
    <v>74.58</v>
    <v>74.540000000000006</v>
    <v>74.040000000000006</v>
    <v>74.2</v>
    <v>73.94</v>
    <v>71.739999999999995</v>
    <v>66.94</v>
    <v>67.739999999999995</v>
    <v>69.099999999999994</v>
    <v>70.22</v>
    <v>70.22</v>
    <v>70</v>
    <v>71.040000000000006</v>
    <v>69.819999999999993</v>
    <v>71.2</v>
    <v>70.959999999999994</v>
    <v>69.739999999999995</v>
    <v>69.88</v>
    <v>68.72</v>
    <v>68.959999999999994</v>
    <v>68.84</v>
    <v>69.58</v>
    <v>64.92</v>
    <v>64.78</v>
    <v>64</v>
    <v>63.78</v>
    <v>64.58</v>
    <v>63.74</v>
    <v>63.62</v>
    <v>63.76</v>
    <v>55.62</v>
    <v>58.3</v>
    <v>59.92</v>
    <v>59.22</v>
    <v>58.26</v>
    <v>59</v>
    <v>59.98</v>
    <v>61.12</v>
    <v>61.66</v>
    <v>59.38</v>
    <v>60.64</v>
    <v>60.64</v>
    <v>61.1</v>
    <v>61.26</v>
    <v>63.06</v>
    <v>63.3</v>
    <v>62.1</v>
    <v>63.28</v>
    <v>63.06</v>
    <v>63.4</v>
    <v>62.6</v>
    <v>59.98</v>
    <v>59.8</v>
    <v>59.82</v>
    <v>57.94</v>
    <v>56.94</v>
    <v>58.02</v>
    <v>59.5</v>
    <v>61.9</v>
    <v>62.86</v>
    <v>64.239999999999995</v>
    <v>63.2</v>
    <v>66.7</v>
    <v>68.28</v>
    <v>70.540000000000006</v>
    <v>69.459999999999994</v>
    <v>70.459999999999994</v>
    <v>70.48</v>
    <v>69.7</v>
    <v>67.760000000000005</v>
    <v>65.2</v>
    <v>64.599999999999994</v>
    <v>67.040000000000006</v>
    <v>65.58</v>
    <v>65.5</v>
    <v>66.8</v>
    <v>66.52</v>
    <v>66.94</v>
    <v>65.819999999999993</v>
    <v>67.260000000000005</v>
    <v>72.099999999999994</v>
    <v>71.42</v>
    <v>70.3</v>
    <v>70.72</v>
    <v>70.08</v>
    <v>68.5</v>
    <v>66.5</v>
    <v>67.3</v>
    <v>66.44</v>
    <v>64.56</v>
    <v>63.74</v>
    <v>65.06</v>
    <v>65.459999999999994</v>
    <v>64.459999999999994</v>
    <v>66.48</v>
    <v>66.400000000000006</v>
    <v>68.34</v>
    <v>69.959999999999994</v>
    <v>67.760000000000005</v>
    <v>69.760000000000005</v>
    <v>69.38</v>
    <v>69.8</v>
    <v>70.16</v>
    <v>67</v>
    <v>66.58</v>
    <v>69.540000000000006</v>
    <v>68.819999999999993</v>
    <v>69.48</v>
    <v>69.680000000000007</v>
    <v>69.459999999999994</v>
    <v>69.78</v>
    <v>69.319999999999993</v>
    <v>70.2</v>
    <v>67.42</v>
    <v>67</v>
    <v>66.819999999999993</v>
    <v>66.739999999999995</v>
    <v>67.08</v>
    <v>70.62</v>
    <v>70.86</v>
    <v>68.959999999999994</v>
    <v>71.86</v>
    <v>75.16</v>
    <v>74.5</v>
    <v>74.92</v>
    <v>74.459999999999994</v>
    <v>75.400000000000006</v>
    <v>76.28</v>
    <v>76.58</v>
    <v>74.040000000000006</v>
    <v>74.900000000000006</v>
    <v>74.42</v>
    <v>74.5</v>
    <v>73.72</v>
    <v>73.540000000000006</v>
    <v>74.72</v>
    <v>75.14</v>
    <v>75.48</v>
    <v>75.959999999999994</v>
    <v>75.66</v>
    <v>77</v>
    <v>76.62</v>
    <v>75.88</v>
    <v>75.84</v>
    <v>76.38</v>
    <v>76.760000000000005</v>
    <v>75.36</v>
    <v>74.040000000000006</v>
    <v>73.62</v>
    <v>74</v>
    <v>73.599999999999994</v>
    <v>73.400000000000006</v>
    <v>73.900000000000006</v>
    <v>74.180000000000007</v>
    <v>75.28</v>
    <v>76.260000000000005</v>
    <v>76.62</v>
    <v>77.98</v>
    <v>76.180000000000007</v>
    <v>78.12</v>
    <v>78.540000000000006</v>
    <v>78.8</v>
    <v>79.28</v>
    <v>78.5</v>
    <v>76.8</v>
    <v>74</v>
    <v>74.900000000000006</v>
    <v>75.92</v>
    <v>76.94</v>
    <v>76.62</v>
    <v>75.42</v>
    <v>77.42</v>
    <v>77.8</v>
    <v>78.16</v>
    <v>78.48</v>
    <v>77.5</v>
    <v>77.239999999999995</v>
    <v>77.38</v>
    <v>79.5</v>
    <v>78.16</v>
    <v>79.64</v>
    <v>79.72</v>
  </a>
  <a r="1" c="761">
    <v>83.68</v>
    <v>84.3</v>
    <v>82.78</v>
    <v>82</v>
    <v>82.4</v>
    <v>82.08</v>
    <v>84.5</v>
    <v>85.92</v>
    <v>88.42</v>
    <v>90.24</v>
    <v>86.8</v>
    <v>87.58</v>
    <v>88.9</v>
    <v>88.38</v>
    <v>84.82</v>
    <v>85.14</v>
    <v>91</v>
    <v>89.42</v>
    <v>86.36</v>
    <v>88.76</v>
    <v>88.48</v>
    <v>87.94</v>
    <v>88.8</v>
    <v>88.52</v>
    <v>88.08</v>
    <v>87.6</v>
    <v>85.16</v>
    <v>86.16</v>
    <v>86.94</v>
    <v>86.58</v>
    <v>85.32</v>
    <v>87.34</v>
    <v>91.88</v>
    <v>91.02</v>
    <v>90.24</v>
    <v>89.74</v>
    <v>89.02</v>
    <v>88.44</v>
    <v>97.28</v>
    <v>91.9</v>
    <v>90.12</v>
    <v>91.32</v>
    <v>91.5</v>
    <v>92.66</v>
    <v>93.52</v>
    <v>93.16</v>
    <v>93.2</v>
    <v>93.24</v>
    <v>93.2</v>
    <v>89.98</v>
    <v>88.72</v>
    <v>89.4</v>
    <v>90.58</v>
    <v>90.94</v>
    <v>90.38</v>
    <v>89.64</v>
    <v>89.24</v>
    <v>88</v>
    <v>87.2</v>
    <v>86.06</v>
    <v>85.54</v>
    <v>84.92</v>
    <v>84.4</v>
    <v>85.34</v>
    <v>84.48</v>
    <v>84.64</v>
    <v>86.44</v>
    <v>86.4</v>
    <v>85.9</v>
    <v>85.54</v>
    <v>85.02</v>
    <v>84.46</v>
    <v>84.96</v>
    <v>85.22</v>
    <v>87</v>
    <v>86.1</v>
    <v>86.96</v>
    <v>87.78</v>
    <v>86.76</v>
    <v>86.78</v>
    <v>89.38</v>
    <v>90.26</v>
    <v>89.44</v>
    <v>92.46</v>
    <v>92.92</v>
    <v>93.14</v>
    <v>92.64</v>
    <v>95.6</v>
    <v>95.66</v>
    <v>94.56</v>
    <v>93.38</v>
    <v>92.48</v>
    <v>93.94</v>
    <v>93.04</v>
    <v>93.7</v>
    <v>95.26</v>
    <v>97</v>
    <v>94.66</v>
    <v>96.8</v>
    <v>95.84</v>
    <v>95.64</v>
    <v>91.72</v>
    <v>93.48</v>
    <v>94.7</v>
    <v>91.82</v>
    <v>89.04</v>
    <v>88.18</v>
    <v>87.7</v>
    <v>87.7</v>
    <v>88.9</v>
    <v>89.5</v>
    <v>86.18</v>
    <v>85.5</v>
    <v>83.92</v>
    <v>83.3</v>
    <v>85.76</v>
    <v>88.78</v>
    <v>86.8</v>
    <v>87.5</v>
    <v>86.7</v>
    <v>87.54</v>
    <v>87.36</v>
    <v>90.56</v>
    <v>89.58</v>
    <v>91.18</v>
    <v>94.94</v>
    <v>95.86</v>
    <v>96.02</v>
    <v>93.66</v>
    <v>94.9</v>
    <v>96.24</v>
    <v>94.94</v>
    <v>92.12</v>
    <v>92.02</v>
    <v>92.98</v>
    <v>93.88</v>
    <v>92.2</v>
    <v>93.32</v>
    <v>98.54</v>
    <v>101.35</v>
    <v>103.2</v>
    <v>101.15</v>
    <v>101.55</v>
    <v>102.05</v>
    <v>99.94</v>
    <v>99.86</v>
    <v>99.4</v>
    <v>98.34</v>
    <v>98.3</v>
    <v>98.82</v>
    <v>98.62</v>
    <v>100.75</v>
    <v>100.65</v>
    <v>98.94</v>
    <v>99.4</v>
    <v>99.5</v>
    <v>100.5</v>
    <v>100.7</v>
    <v>101.55</v>
    <v>99.86</v>
    <v>99.18</v>
    <v>100.45</v>
    <v>100.65</v>
    <v>97.98</v>
    <v>97.16</v>
    <v>98.38</v>
    <v>96.8</v>
    <v>97.32</v>
    <v>94.58</v>
    <v>95.96</v>
    <v>93.86</v>
    <v>93.26</v>
    <v>93.48</v>
    <v>93.06</v>
    <v>93.28</v>
    <v>96.48</v>
    <v>98.32</v>
    <v>99.84</v>
    <v>99.42</v>
    <v>98.1</v>
    <v>98.9</v>
    <v>99.28</v>
    <v>100.6</v>
    <v>101.15</v>
    <v>99.26</v>
    <v>101.5</v>
    <v>101.75</v>
    <v>101.8</v>
    <v>102.75</v>
    <v>103.65</v>
    <v>103.65</v>
    <v>103.35</v>
    <v>103.8</v>
    <v>104.4</v>
    <v>104.4</v>
    <v>98.36</v>
    <v>101</v>
    <v>100.95</v>
    <v>101.55</v>
    <v>100.2</v>
    <v>100.15</v>
    <v>99.68</v>
    <v>99.48</v>
    <v>99.62</v>
    <v>100.1</v>
    <v>99.82</v>
    <v>99.44</v>
    <v>100.45</v>
    <v>101</v>
    <v>101.5</v>
    <v>101.5</v>
    <v>101.4</v>
    <v>103</v>
    <v>102.2</v>
    <v>102.6</v>
    <v>105.3</v>
    <v>105.65</v>
    <v>104</v>
    <v>101</v>
    <v>101.1</v>
    <v>103</v>
    <v>101.55</v>
    <v>101.15</v>
    <v>103.25</v>
    <v>104</v>
    <v>102.95</v>
    <v>102.05</v>
    <v>104</v>
    <v>103.6</v>
    <v>102.95</v>
    <v>102.45</v>
    <v>104.2</v>
    <v>102.95</v>
    <v>103</v>
    <v>102.4</v>
    <v>103.5</v>
    <v>102.7</v>
    <v>106.35</v>
    <v>104.9</v>
    <v>104.1</v>
    <v>104.95</v>
    <v>100.7</v>
    <v>101.75</v>
    <v>102.4</v>
    <v>104.25</v>
    <v>103.05</v>
    <v>102.45</v>
    <v>103.9</v>
    <v>103.3</v>
    <v>103.4</v>
    <v>103.55</v>
    <v>105.65</v>
    <v>104.75</v>
    <v>104</v>
    <v>103.5</v>
    <v>102.45</v>
    <v>102.8</v>
    <v>102</v>
    <v>104.55</v>
    <v>103.8</v>
    <v>101.4</v>
    <v>100</v>
    <v>99.66</v>
    <v>100.55</v>
    <v>101.45</v>
    <v>107.1</v>
    <v>108.95</v>
    <v>109.5</v>
    <v>110.5</v>
    <v>108.9</v>
    <v>107.05</v>
    <v>104.95</v>
    <v>107.1</v>
    <v>104.35</v>
    <v>104.35</v>
    <v>104.9</v>
    <v>104.1</v>
    <v>107.45</v>
    <v>107.4</v>
    <v>106.75</v>
    <v>107.05</v>
    <v>105.55</v>
    <v>105.8</v>
    <v>104.85</v>
    <v>104.15</v>
    <v>104</v>
    <v>104.75</v>
    <v>103.4</v>
    <v>103.7</v>
    <v>103.95</v>
    <v>103</v>
    <v>101.85</v>
    <v>102.6</v>
    <v>101.65</v>
    <v>100.7</v>
    <v>101.25</v>
    <v>99.44</v>
    <v>100.25</v>
    <v>100.15</v>
    <v>99.94</v>
    <v>99.56</v>
    <v>100.5</v>
    <v>99.38</v>
    <v>101.95</v>
    <v>102.95</v>
    <v>102.6</v>
    <v>103.45</v>
    <v>102.8</v>
    <v>101.45</v>
    <v>100.4</v>
    <v>101.65</v>
    <v>100.5</v>
    <v>101.9</v>
    <v>101.9</v>
    <v>104.85</v>
    <v>105.6</v>
    <v>106.4</v>
    <v>104.8</v>
    <v>106.2</v>
    <v>106.55</v>
    <v>103.75</v>
    <v>104.6</v>
    <v>103.7</v>
    <v>103.5</v>
    <v>102.85</v>
    <v>102.85</v>
    <v>102.15</v>
    <v>100.35</v>
    <v>98.88</v>
    <v>99.58</v>
    <v>99.66</v>
    <v>100.4</v>
    <v>100.75</v>
    <v>100.55</v>
    <v>99.58</v>
    <v>99.98</v>
    <v>99.92</v>
    <v>99.5</v>
    <v>102.3</v>
    <v>100.3</v>
    <v>100.7</v>
    <v>100.8</v>
    <v>101.45</v>
    <v>100</v>
    <v>99.44</v>
    <v>98.72</v>
    <v>95.4</v>
    <v>96.42</v>
    <v>100.9</v>
    <v>99.26</v>
    <v>98.86</v>
    <v>98.06</v>
    <v>95.44</v>
    <v>95.16</v>
    <v>95.94</v>
    <v>95.54</v>
    <v>94.1</v>
    <v>94.98</v>
    <v>95.58</v>
    <v>94.94</v>
    <v>94.52</v>
    <v>94.36</v>
    <v>93.68</v>
    <v>91.5</v>
    <v>92.08</v>
    <v>91.36</v>
    <v>91.74</v>
    <v>93.26</v>
    <v>90.76</v>
    <v>93.72</v>
    <v>90.72</v>
    <v>91.54</v>
    <v>94.5</v>
    <v>96.08</v>
    <v>97.16</v>
    <v>98.12</v>
    <v>97.92</v>
    <v>97.88</v>
    <v>98.48</v>
    <v>99.5</v>
    <v>99.04</v>
    <v>98.72</v>
    <v>99.34</v>
    <v>100.5</v>
    <v>99</v>
    <v>100.7</v>
    <v>98.7</v>
    <v>95.7</v>
    <v>96.8</v>
    <v>95.38</v>
    <v>96.7</v>
    <v>96.62</v>
    <v>94.7</v>
    <v>93.9</v>
    <v>95.12</v>
    <v>93.96</v>
    <v>93.62</v>
    <v>92.98</v>
    <v>91.72</v>
    <v>90.2</v>
    <v>91.22</v>
    <v>91.6</v>
    <v>91.04</v>
    <v>91.18</v>
    <v>91.36</v>
    <v>90.4</v>
    <v>90.3</v>
    <v>90.94</v>
    <v>91.06</v>
    <v>92.12</v>
    <v>93.9</v>
    <v>95.1</v>
    <v>94.58</v>
    <v>94.38</v>
    <v>93.32</v>
    <v>93.98</v>
    <v>93.44</v>
    <v>93.58</v>
    <v>93.04</v>
    <v>94.36</v>
    <v>94</v>
    <v>94.68</v>
    <v>93.66</v>
    <v>94</v>
    <v>92.04</v>
    <v>90.86</v>
    <v>91.66</v>
    <v>91.3</v>
    <v>90.34</v>
    <v>90.28</v>
    <v>89.28</v>
    <v>89.18</v>
    <v>89.82</v>
    <v>91.08</v>
    <v>90.64</v>
    <v>90.52</v>
    <v>90.2</v>
    <v>88.68</v>
    <v>90.2</v>
    <v>90.5</v>
    <v>89</v>
    <v>89.48</v>
    <v>91.12</v>
    <v>90.92</v>
    <v>90.5</v>
    <v>90.22</v>
    <v>89.86</v>
    <v>88.14</v>
    <v>85.7</v>
    <v>86.2</v>
    <v>85</v>
    <v>85.28</v>
    <v>83.4</v>
    <v>83.54</v>
    <v>82.9</v>
    <v>82.48</v>
    <v>82.3</v>
    <v>83.24</v>
    <v>84.04</v>
    <v>84.74</v>
    <v>85.9</v>
    <v>86.74</v>
    <v>86.3</v>
    <v>86.94</v>
    <v>86.38</v>
    <v>90.46</v>
    <v>85.18</v>
    <v>86</v>
    <v>86.18</v>
    <v>85.38</v>
    <v>83.64</v>
    <v>85.26</v>
    <v>82.56</v>
    <v>82.34</v>
    <v>82</v>
    <v>82.04</v>
    <v>81.56</v>
    <v>80.099999999999994</v>
    <v>79.14</v>
    <v>78.3</v>
    <v>78</v>
    <v>78.72</v>
    <v>79</v>
    <v>78.66</v>
    <v>78.180000000000007</v>
    <v>77.86</v>
    <v>76.44</v>
    <v>74.180000000000007</v>
    <v>74.14</v>
    <v>75.3</v>
    <v>75.52</v>
    <v>77.66</v>
    <v>77.84</v>
    <v>78.88</v>
    <v>79.14</v>
    <v>79.040000000000006</v>
    <v>79.099999999999994</v>
    <v>77.900000000000006</v>
    <v>75.64</v>
    <v>74.8</v>
    <v>74.2</v>
    <v>74.239999999999995</v>
    <v>74.94</v>
    <v>75.260000000000005</v>
    <v>75.94</v>
    <v>75.959999999999994</v>
    <v>77.94</v>
    <v>78.3</v>
    <v>78.599999999999994</v>
    <v>77.7</v>
    <v>77.239999999999995</v>
    <v>76.44</v>
    <v>76.319999999999993</v>
    <v>76.7</v>
    <v>76.28</v>
    <v>76.36</v>
    <v>74.260000000000005</v>
    <v>60.32</v>
    <v>59.22</v>
    <v>59</v>
    <v>60.16</v>
    <v>60.5</v>
    <v>60.18</v>
    <v>58.92</v>
    <v>58.86</v>
    <v>58.36</v>
    <v>59</v>
    <v>58.8</v>
    <v>59.54</v>
    <v>60.66</v>
    <v>60.48</v>
    <v>60.8</v>
    <v>61.42</v>
    <v>61.78</v>
    <v>61.32</v>
    <v>61.2</v>
    <v>60.42</v>
    <v>60.08</v>
    <v>62.24</v>
    <v>61.68</v>
    <v>61.04</v>
    <v>61.24</v>
    <v>62.68</v>
    <v>63.68</v>
    <v>62.62</v>
    <v>63.1</v>
    <v>64</v>
    <v>63.74</v>
    <v>64.319999999999993</v>
    <v>67.319999999999993</v>
    <v>66.62</v>
    <v>68.62</v>
    <v>68.62</v>
    <v>68.400000000000006</v>
    <v>69.64</v>
    <v>72.22</v>
    <v>71.78</v>
    <v>72.599999999999994</v>
    <v>72.58</v>
    <v>73.44</v>
    <v>74.86</v>
    <v>75.540000000000006</v>
    <v>75.98</v>
    <v>74.62</v>
    <v>75.540000000000006</v>
    <v>74.400000000000006</v>
    <v>73.58</v>
    <v>73.52</v>
    <v>73.28</v>
    <v>70.88</v>
    <v>71.7</v>
    <v>71.819999999999993</v>
    <v>72.540000000000006</v>
    <v>72.180000000000007</v>
    <v>71.38</v>
    <v>74.319999999999993</v>
    <v>73.84</v>
    <v>74.58</v>
    <v>73.48</v>
    <v>74.58</v>
    <v>74.540000000000006</v>
    <v>74.040000000000006</v>
    <v>74.2</v>
    <v>73.94</v>
    <v>71.739999999999995</v>
    <v>66.94</v>
    <v>67.739999999999995</v>
    <v>69.099999999999994</v>
    <v>70.22</v>
    <v>70.22</v>
    <v>70</v>
    <v>71.040000000000006</v>
    <v>69.819999999999993</v>
    <v>71.2</v>
    <v>70.959999999999994</v>
    <v>69.739999999999995</v>
    <v>69.88</v>
    <v>68.72</v>
    <v>68.959999999999994</v>
    <v>68.84</v>
    <v>69.58</v>
    <v>64.92</v>
    <v>64.78</v>
    <v>64</v>
    <v>63.78</v>
    <v>64.58</v>
    <v>63.74</v>
    <v>63.62</v>
    <v>63.76</v>
    <v>55.62</v>
    <v>58.3</v>
    <v>59.92</v>
    <v>59.22</v>
    <v>58.26</v>
    <v>59</v>
    <v>59.98</v>
    <v>61.12</v>
    <v>61.66</v>
    <v>59.38</v>
    <v>60.64</v>
    <v>60.64</v>
    <v>61.1</v>
    <v>61.26</v>
    <v>63.06</v>
    <v>63.3</v>
    <v>62.1</v>
    <v>63.28</v>
    <v>63.06</v>
    <v>63.4</v>
    <v>62.6</v>
    <v>59.98</v>
    <v>59.8</v>
    <v>59.82</v>
    <v>57.94</v>
    <v>56.94</v>
    <v>58.02</v>
    <v>59.5</v>
    <v>61.9</v>
    <v>62.86</v>
    <v>64.239999999999995</v>
    <v>63.2</v>
    <v>66.7</v>
    <v>68.28</v>
    <v>70.540000000000006</v>
    <v>69.459999999999994</v>
    <v>70.459999999999994</v>
    <v>70.48</v>
    <v>69.7</v>
    <v>67.760000000000005</v>
    <v>65.2</v>
    <v>64.599999999999994</v>
    <v>67.040000000000006</v>
    <v>65.58</v>
    <v>65.5</v>
    <v>66.8</v>
    <v>66.52</v>
    <v>66.94</v>
    <v>65.819999999999993</v>
    <v>67.260000000000005</v>
    <v>72.099999999999994</v>
    <v>71.42</v>
    <v>70.3</v>
    <v>70.72</v>
    <v>70.08</v>
    <v>68.5</v>
    <v>66.5</v>
    <v>67.3</v>
    <v>66.44</v>
    <v>64.56</v>
    <v>63.74</v>
    <v>65.06</v>
    <v>65.459999999999994</v>
    <v>64.459999999999994</v>
    <v>66.48</v>
    <v>66.400000000000006</v>
    <v>68.34</v>
    <v>69.959999999999994</v>
    <v>67.760000000000005</v>
    <v>69.760000000000005</v>
    <v>69.38</v>
    <v>69.8</v>
    <v>70.16</v>
    <v>67</v>
    <v>66.58</v>
    <v>69.540000000000006</v>
    <v>68.819999999999993</v>
    <v>69.48</v>
    <v>69.680000000000007</v>
    <v>69.459999999999994</v>
    <v>69.78</v>
    <v>69.319999999999993</v>
    <v>70.2</v>
    <v>67.42</v>
    <v>67</v>
    <v>66.819999999999993</v>
    <v>66.739999999999995</v>
    <v>67.08</v>
    <v>70.62</v>
    <v>70.86</v>
    <v>68.959999999999994</v>
    <v>71.86</v>
    <v>75.16</v>
    <v>74.5</v>
    <v>74.92</v>
    <v>74.459999999999994</v>
    <v>75.400000000000006</v>
    <v>76.28</v>
    <v>76.58</v>
    <v>74.040000000000006</v>
    <v>74.900000000000006</v>
    <v>74.42</v>
    <v>74.5</v>
    <v>73.72</v>
    <v>73.540000000000006</v>
    <v>74.72</v>
    <v>75.14</v>
    <v>75.48</v>
    <v>75.959999999999994</v>
    <v>75.66</v>
    <v>77</v>
    <v>76.62</v>
    <v>75.88</v>
    <v>75.84</v>
    <v>76.38</v>
    <v>76.760000000000005</v>
    <v>75.36</v>
    <v>74.040000000000006</v>
    <v>73.62</v>
    <v>74</v>
    <v>73.599999999999994</v>
    <v>73.400000000000006</v>
    <v>73.900000000000006</v>
    <v>74.180000000000007</v>
    <v>75.28</v>
    <v>76.260000000000005</v>
    <v>76.62</v>
    <v>77.98</v>
    <v>76.180000000000007</v>
    <v>78.12</v>
    <v>78.540000000000006</v>
    <v>78.8</v>
    <v>79.28</v>
    <v>78.5</v>
    <v>76.8</v>
    <v>74</v>
    <v>74.900000000000006</v>
    <v>75.92</v>
    <v>76.94</v>
    <v>76.62</v>
    <v>75.42</v>
    <v>77.42</v>
    <v>77.8</v>
    <v>78.16</v>
    <v>78.48</v>
    <v>77.5</v>
    <v>77.239999999999995</v>
    <v>77.38</v>
    <v>79.5</v>
    <v>78.16</v>
    <v>79.64</v>
    <v>79.72</v>
  </a>
  <a r="1" c="254">
    <v>78.3</v>
    <v>78.599999999999994</v>
    <v>77.7</v>
    <v>77.239999999999995</v>
    <v>76.44</v>
    <v>76.319999999999993</v>
    <v>76.7</v>
    <v>76.28</v>
    <v>76.36</v>
    <v>74.260000000000005</v>
    <v>60.32</v>
    <v>59.22</v>
    <v>59</v>
    <v>60.16</v>
    <v>60.5</v>
    <v>60.18</v>
    <v>58.92</v>
    <v>58.86</v>
    <v>58.36</v>
    <v>59</v>
    <v>58.8</v>
    <v>59.54</v>
    <v>60.66</v>
    <v>60.48</v>
    <v>60.8</v>
    <v>61.42</v>
    <v>61.78</v>
    <v>61.32</v>
    <v>61.2</v>
    <v>60.42</v>
    <v>60.08</v>
    <v>62.24</v>
    <v>61.68</v>
    <v>61.04</v>
    <v>61.24</v>
    <v>62.68</v>
    <v>63.68</v>
    <v>62.62</v>
    <v>63.1</v>
    <v>64</v>
    <v>63.74</v>
    <v>64.319999999999993</v>
    <v>67.319999999999993</v>
    <v>66.62</v>
    <v>68.62</v>
    <v>68.62</v>
    <v>68.400000000000006</v>
    <v>69.64</v>
    <v>72.22</v>
    <v>71.78</v>
    <v>72.599999999999994</v>
    <v>72.58</v>
    <v>73.44</v>
    <v>74.86</v>
    <v>75.540000000000006</v>
    <v>75.98</v>
    <v>74.62</v>
    <v>75.540000000000006</v>
    <v>74.400000000000006</v>
    <v>73.58</v>
    <v>73.52</v>
    <v>73.28</v>
    <v>70.88</v>
    <v>71.7</v>
    <v>71.819999999999993</v>
    <v>72.540000000000006</v>
    <v>72.180000000000007</v>
    <v>71.38</v>
    <v>74.319999999999993</v>
    <v>73.84</v>
    <v>74.58</v>
    <v>73.48</v>
    <v>74.58</v>
    <v>74.540000000000006</v>
    <v>74.040000000000006</v>
    <v>74.2</v>
    <v>73.94</v>
    <v>71.739999999999995</v>
    <v>66.94</v>
    <v>67.739999999999995</v>
    <v>69.099999999999994</v>
    <v>70.22</v>
    <v>70.22</v>
    <v>70</v>
    <v>71.040000000000006</v>
    <v>69.819999999999993</v>
    <v>71.2</v>
    <v>70.959999999999994</v>
    <v>69.739999999999995</v>
    <v>69.88</v>
    <v>68.72</v>
    <v>68.959999999999994</v>
    <v>68.84</v>
    <v>69.58</v>
    <v>64.92</v>
    <v>64.78</v>
    <v>64</v>
    <v>63.78</v>
    <v>64.58</v>
    <v>63.74</v>
    <v>63.62</v>
    <v>63.76</v>
    <v>55.62</v>
    <v>58.3</v>
    <v>59.92</v>
    <v>59.22</v>
    <v>58.26</v>
    <v>59</v>
    <v>59.98</v>
    <v>61.12</v>
    <v>61.66</v>
    <v>59.38</v>
    <v>60.64</v>
    <v>60.64</v>
    <v>61.1</v>
    <v>61.26</v>
    <v>63.06</v>
    <v>63.3</v>
    <v>62.1</v>
    <v>63.28</v>
    <v>63.06</v>
    <v>63.4</v>
    <v>62.6</v>
    <v>59.98</v>
    <v>59.8</v>
    <v>59.82</v>
    <v>57.94</v>
    <v>56.94</v>
    <v>58.02</v>
    <v>59.5</v>
    <v>61.9</v>
    <v>62.86</v>
    <v>64.239999999999995</v>
    <v>63.2</v>
    <v>66.7</v>
    <v>68.28</v>
    <v>70.540000000000006</v>
    <v>69.459999999999994</v>
    <v>70.459999999999994</v>
    <v>70.48</v>
    <v>69.7</v>
    <v>67.760000000000005</v>
    <v>65.2</v>
    <v>64.599999999999994</v>
    <v>67.040000000000006</v>
    <v>65.58</v>
    <v>65.5</v>
    <v>66.8</v>
    <v>66.52</v>
    <v>66.94</v>
    <v>65.819999999999993</v>
    <v>67.260000000000005</v>
    <v>72.099999999999994</v>
    <v>71.42</v>
    <v>70.3</v>
    <v>70.72</v>
    <v>70.08</v>
    <v>68.5</v>
    <v>66.5</v>
    <v>67.3</v>
    <v>66.44</v>
    <v>64.56</v>
    <v>63.74</v>
    <v>65.06</v>
    <v>65.459999999999994</v>
    <v>64.459999999999994</v>
    <v>66.48</v>
    <v>66.400000000000006</v>
    <v>68.34</v>
    <v>69.959999999999994</v>
    <v>67.760000000000005</v>
    <v>69.760000000000005</v>
    <v>69.38</v>
    <v>69.8</v>
    <v>70.16</v>
    <v>67</v>
    <v>66.58</v>
    <v>69.540000000000006</v>
    <v>68.819999999999993</v>
    <v>69.48</v>
    <v>69.680000000000007</v>
    <v>69.459999999999994</v>
    <v>69.78</v>
    <v>69.319999999999993</v>
    <v>70.2</v>
    <v>67.42</v>
    <v>67</v>
    <v>66.819999999999993</v>
    <v>66.739999999999995</v>
    <v>67.08</v>
    <v>70.62</v>
    <v>70.86</v>
    <v>68.959999999999994</v>
    <v>71.86</v>
    <v>75.16</v>
    <v>74.5</v>
    <v>74.92</v>
    <v>74.459999999999994</v>
    <v>75.400000000000006</v>
    <v>76.28</v>
    <v>76.58</v>
    <v>74.040000000000006</v>
    <v>74.900000000000006</v>
    <v>74.42</v>
    <v>74.5</v>
    <v>73.72</v>
    <v>73.540000000000006</v>
    <v>74.72</v>
    <v>75.14</v>
    <v>75.48</v>
    <v>75.959999999999994</v>
    <v>75.66</v>
    <v>77</v>
    <v>76.62</v>
    <v>75.88</v>
    <v>75.84</v>
    <v>76.38</v>
    <v>76.760000000000005</v>
    <v>75.36</v>
    <v>74.040000000000006</v>
    <v>73.62</v>
    <v>74</v>
    <v>73.599999999999994</v>
    <v>73.400000000000006</v>
    <v>73.900000000000006</v>
    <v>74.180000000000007</v>
    <v>75.28</v>
    <v>76.260000000000005</v>
    <v>76.62</v>
    <v>77.98</v>
    <v>76.180000000000007</v>
    <v>78.12</v>
    <v>78.540000000000006</v>
    <v>78.8</v>
    <v>79.28</v>
    <v>78.5</v>
    <v>76.8</v>
    <v>74</v>
    <v>74.900000000000006</v>
    <v>75.92</v>
    <v>76.94</v>
    <v>76.62</v>
    <v>75.42</v>
    <v>77.42</v>
    <v>77.8</v>
    <v>78.16</v>
    <v>78.48</v>
    <v>77.5</v>
    <v>77.239999999999995</v>
    <v>77.38</v>
    <v>79.5</v>
    <v>78.16</v>
    <v>79.64</v>
    <v>79.72</v>
  </a>
  <a r="1" c="254">
    <v>106.94</v>
    <v>106.89</v>
    <v>106.91</v>
    <v>106.92</v>
    <v>106.97</v>
    <v>106.89</v>
    <v>106.97</v>
    <v>107</v>
    <v>106.89</v>
    <v>106.94</v>
    <v>106.94</v>
    <v>106.96</v>
    <v>106.96</v>
    <v>106.9</v>
    <v>107</v>
    <v>106.94</v>
    <v>106.9</v>
    <v>106.92</v>
    <v>106.93</v>
    <v>106.98</v>
    <v>106.91</v>
    <v>107.02</v>
    <v>106.94</v>
    <v>106.97</v>
    <v>106.97</v>
    <v>107.05</v>
    <v>107.08</v>
    <v>106.98</v>
    <v>106.98</v>
    <v>107.07</v>
    <v>107.01</v>
    <v>106.99</v>
    <v>106.82</v>
    <v>104.16</v>
    <v>104.22</v>
    <v>104.26</v>
    <v>104.25</v>
    <v>104.24</v>
    <v>104.33</v>
    <v>104.31</v>
    <v>104.35</v>
    <v>104.31</v>
    <v>104.2</v>
    <v>104.35</v>
    <v>104.47</v>
    <v>104.34</v>
    <v>104.38</v>
    <v>104.41</v>
    <v>104.51</v>
    <v>104.54</v>
    <v>104.51</v>
    <v>104.57</v>
    <v>104.53</v>
    <v>104.57</v>
    <v>104.69</v>
    <v>104.66</v>
    <v>104.64</v>
    <v>104.68</v>
    <v>104.68</v>
    <v>104.57</v>
    <v>104.59</v>
    <v>104.58</v>
    <v>104.65</v>
    <v>104.7</v>
    <v>104.73</v>
    <v>104.74</v>
    <v>104.77</v>
    <v>104.78</v>
    <v>104.7</v>
    <v>104.83</v>
    <v>104.82</v>
    <v>104.85</v>
    <v>104.9</v>
    <v>104.92</v>
    <v>104.85</v>
    <v>104.99</v>
    <v>105.01</v>
    <v>104.99</v>
    <v>104.96</v>
    <v>104.94</v>
    <v>104.97</v>
    <v>104.94</v>
    <v>105.01</v>
    <v>104.97</v>
    <v>104.98</v>
    <v>105.09</v>
    <v>105.06</v>
    <v>104.84</v>
    <v>104.79</v>
    <v>104.89</v>
    <v>104.64</v>
    <v>104.27</v>
    <v>104.31</v>
    <v>104.61</v>
    <v>104.37</v>
    <v>104.26</v>
    <v>104.21</v>
    <v>104.33</v>
    <v>104.34</v>
    <v>104.23</v>
    <v>103.99</v>
    <v>103.72</v>
    <v>103.85</v>
    <v>103.76</v>
    <v>103.92</v>
    <v>103.6</v>
    <v>103.72</v>
    <v>103.78</v>
    <v>103.92</v>
    <v>104.05</v>
    <v>104.06</v>
    <v>103.68</v>
    <v>104.19</v>
    <v>104.29</v>
    <v>104.2</v>
    <v>104.1</v>
    <v>104.32</v>
    <v>104.29</v>
    <v>104.37</v>
    <v>104.53</v>
    <v>104.51</v>
    <v>104.41</v>
    <v>104.37</v>
    <v>104.33</v>
    <v>104.29</v>
    <v>104.26</v>
    <v>104.21</v>
    <v>103.98</v>
    <v>104.21</v>
    <v>104.1</v>
    <v>104.17</v>
    <v>104.51</v>
    <v>104.52</v>
    <v>104.41</v>
    <v>104.37</v>
    <v>104.21</v>
    <v>104.24</v>
    <v>104.33</v>
    <v>104.22</v>
    <v>104.2</v>
    <v>104.21</v>
    <v>104.41</v>
    <v>104.35</v>
    <v>104.4</v>
    <v>104.71</v>
    <v>104.56</v>
    <v>104.59</v>
    <v>104.68</v>
    <v>104.75</v>
    <v>104.52</v>
    <v>104.57</v>
    <v>104.5</v>
    <v>104.54</v>
    <v>104.47</v>
    <v>104.45</v>
    <v>104.5</v>
    <v>104.4</v>
    <v>104.55</v>
    <v>104.68</v>
    <v>104.77</v>
    <v>104.69</v>
    <v>104.79</v>
    <v>104.78</v>
    <v>104.69</v>
    <v>104.76</v>
    <v>104.82</v>
    <v>104.88</v>
    <v>104.93</v>
    <v>104.97</v>
    <v>104.93</v>
    <v>104.88</v>
    <v>104.98</v>
    <v>105.06</v>
    <v>104.92</v>
    <v>105</v>
    <v>104.85</v>
    <v>104.69</v>
    <v>104.82</v>
    <v>104.77</v>
    <v>104.7</v>
    <v>104.64</v>
    <v>104.7</v>
    <v>104.66</v>
    <v>104.62</v>
    <v>104.64</v>
    <v>104.55</v>
    <v>104.5</v>
    <v>104.36</v>
    <v>104.52</v>
    <v>104.61</v>
    <v>104.7</v>
    <v>104.64</v>
    <v>104.68</v>
    <v>104.64</v>
    <v>104.75</v>
    <v>104.84</v>
    <v>104.86</v>
    <v>104.84</v>
    <v>104.84</v>
    <v>104.73</v>
    <v>104.77</v>
    <v>104.79</v>
    <v>104.85</v>
    <v>104.81</v>
    <v>104.81</v>
    <v>104.66</v>
    <v>104.64</v>
    <v>104.74</v>
    <v>104.75</v>
    <v>104.71</v>
    <v>104.85</v>
    <v>104.75</v>
    <v>104.75</v>
    <v>104.68</v>
    <v>104.65</v>
    <v>104.63</v>
    <v>104.53</v>
    <v>104.67</v>
    <v>104.67</v>
    <v>104.59</v>
    <v>104.64</v>
    <v>104.44</v>
    <v>104.14</v>
    <v>104.26</v>
    <v>104.03</v>
    <v>104.16</v>
    <v>104.22</v>
    <v>104.22</v>
    <v>104.03</v>
    <v>104.29</v>
    <v>104.19</v>
    <v>103.98</v>
    <v>103.98</v>
    <v>104.08</v>
    <v>104.09</v>
    <v>104.12</v>
    <v>104.17</v>
    <v>103.98</v>
    <v>104.29</v>
    <v>104.29</v>
    <v>104.37</v>
    <v>104.33</v>
    <v>104.32</v>
    <v>104.38</v>
    <v>104.32</v>
    <v>104.39</v>
    <v>104.36</v>
    <v>104.52</v>
    <v>104.49</v>
    <v>104.35</v>
    <v>104.38</v>
    <v>104.29</v>
    <v>104.29</v>
    <v>104.43</v>
  </a>
  <a r="1" c="761">
    <v>101.49</v>
    <v>101.49</v>
    <v>101.36</v>
    <v>101.56</v>
    <v>101.66</v>
    <v>101.83</v>
    <v>101.84</v>
    <v>101.99</v>
    <v>102.05</v>
    <v>102.17</v>
    <v>101.99</v>
    <v>102.1</v>
    <v>102.14</v>
    <v>102.12</v>
    <v>102.02</v>
    <v>102.08</v>
    <v>102.36</v>
    <v>102.35</v>
    <v>102.57</v>
    <v>102.48</v>
    <v>102.49</v>
    <v>102.56</v>
    <v>102.51</v>
    <v>102.42</v>
    <v>102.41</v>
    <v>102.65</v>
    <v>102.76</v>
    <v>102.91</v>
    <v>102.92</v>
    <v>103.32</v>
    <v>103.23</v>
    <v>103.34</v>
    <v>103.37</v>
    <v>103.41</v>
    <v>103.18</v>
    <v>103.28</v>
    <v>101.32</v>
    <v>101.43</v>
    <v>101.72</v>
    <v>101.82</v>
    <v>101.81</v>
    <v>101.93</v>
    <v>102</v>
    <v>102.09</v>
    <v>102.29</v>
    <v>102.23</v>
    <v>102.2</v>
    <v>102.14</v>
    <v>102.13</v>
    <v>102.12</v>
    <v>101.96</v>
    <v>101.87</v>
    <v>101.92</v>
    <v>101.81</v>
    <v>101.82</v>
    <v>101.86</v>
    <v>102.07</v>
    <v>102.06</v>
    <v>102.02</v>
    <v>101.78</v>
    <v>101.88</v>
    <v>101.84</v>
    <v>101.92</v>
    <v>101.8</v>
    <v>101.88</v>
    <v>102.05</v>
    <v>102.15</v>
    <v>102.29</v>
    <v>102.11</v>
    <v>102.28</v>
    <v>102.22</v>
    <v>102.01</v>
    <v>101.91</v>
    <v>101.97</v>
    <v>101.94</v>
    <v>101.89</v>
    <v>101.75</v>
    <v>101.83</v>
    <v>101.72</v>
    <v>101.83</v>
    <v>101.81</v>
    <v>101.79</v>
    <v>101.77</v>
    <v>101.87</v>
    <v>101.73</v>
    <v>101.7</v>
    <v>101.83</v>
    <v>101.66</v>
    <v>101.75</v>
    <v>101.74</v>
    <v>101.77</v>
    <v>101.75</v>
    <v>101.79</v>
    <v>101.86</v>
    <v>101.95</v>
    <v>102.07</v>
    <v>102.2</v>
    <v>102.09</v>
    <v>102.14</v>
    <v>102.13</v>
    <v>102.03</v>
    <v>101.95</v>
    <v>101.98</v>
    <v>102.01</v>
    <v>101.98</v>
    <v>102.05</v>
    <v>102.15</v>
    <v>102.05</v>
    <v>102.16</v>
    <v>102.26</v>
    <v>102.19</v>
    <v>102.18</v>
    <v>102.08</v>
    <v>102.17</v>
    <v>102.1</v>
    <v>102.07</v>
    <v>102.18</v>
    <v>102.04</v>
    <v>101.98</v>
    <v>102.18</v>
    <v>102.12</v>
    <v>101.99</v>
    <v>102</v>
    <v>102.02</v>
    <v>101.95</v>
    <v>102.09</v>
    <v>102.1</v>
    <v>101.98</v>
    <v>101.9</v>
    <v>102.04</v>
    <v>102.15</v>
    <v>102.05</v>
    <v>102.16</v>
    <v>102.3</v>
    <v>102.25</v>
    <v>102.33</v>
    <v>102.22</v>
    <v>102.29</v>
    <v>102.26</v>
    <v>102.29</v>
    <v>102.34</v>
    <v>102.48</v>
    <v>102.44</v>
    <v>102.36</v>
    <v>102.38</v>
    <v>102.41</v>
    <v>102.37</v>
    <v>102.21</v>
    <v>102.21</v>
    <v>102.35</v>
    <v>102.28</v>
    <v>102.19</v>
    <v>102.27</v>
    <v>102.28</v>
    <v>102.35</v>
    <v>102.51</v>
    <v>102.53</v>
    <v>102.47</v>
    <v>102.26</v>
    <v>102.23</v>
    <v>102.28</v>
    <v>102.49</v>
    <v>102.49</v>
    <v>102.53</v>
    <v>102.59</v>
    <v>102.62</v>
    <v>102.56</v>
    <v>102.6</v>
    <v>102.66</v>
    <v>102.7</v>
    <v>102.61</v>
    <v>102.63</v>
    <v>102.56</v>
    <v>102.56</v>
    <v>102.6</v>
    <v>102.69</v>
    <v>102.75</v>
    <v>102.7</v>
    <v>102.9</v>
    <v>102.95</v>
    <v>102.86</v>
    <v>103.01</v>
    <v>103.19</v>
    <v>103.23</v>
    <v>103.28</v>
    <v>103.38</v>
    <v>103.29</v>
    <v>103.32</v>
    <v>103.35</v>
    <v>103.3</v>
    <v>103.29</v>
    <v>103.39</v>
    <v>103.49</v>
    <v>103.46</v>
    <v>103.62</v>
    <v>103.66</v>
    <v>103.68</v>
    <v>103.72</v>
    <v>104.01</v>
    <v>104</v>
    <v>103.92</v>
    <v>103.9</v>
    <v>103.87</v>
    <v>103.94</v>
    <v>103.91</v>
    <v>104.08</v>
    <v>104.04</v>
    <v>104.07</v>
    <v>104.05</v>
    <v>104.11</v>
    <v>104.16</v>
    <v>104.18</v>
    <v>104.29</v>
    <v>104.16</v>
    <v>104.16</v>
    <v>104.16</v>
    <v>104.26</v>
    <v>104.19</v>
    <v>104.14</v>
    <v>104.19</v>
    <v>104.46</v>
    <v>104.52</v>
    <v>104.58</v>
    <v>104.61</v>
    <v>104.69</v>
    <v>104.79</v>
    <v>104.64</v>
    <v>104.77</v>
    <v>104.85</v>
    <v>104.79</v>
    <v>104.67</v>
    <v>104.78</v>
    <v>104.79</v>
    <v>104.95</v>
    <v>105.04</v>
    <v>105.05</v>
    <v>105.23</v>
    <v>105.09</v>
    <v>105.1</v>
    <v>105.27</v>
    <v>105.11</v>
    <v>105.21</v>
    <v>104.97</v>
    <v>104.88</v>
    <v>104.92</v>
    <v>104.86</v>
    <v>104.91</v>
    <v>104.87</v>
    <v>104.94</v>
    <v>105.07</v>
    <v>105.11</v>
    <v>105.26</v>
    <v>105.3</v>
    <v>105.13</v>
    <v>105.07</v>
    <v>105.17</v>
    <v>105.31</v>
    <v>105.21</v>
    <v>105.15</v>
    <v>105.1</v>
    <v>104.98</v>
    <v>104.88</v>
    <v>104.91</v>
    <v>104.9</v>
    <v>104.89</v>
    <v>105.02</v>
    <v>104.95</v>
    <v>105.1</v>
    <v>105.14</v>
    <v>105.23</v>
    <v>105.23</v>
    <v>105.33</v>
    <v>105.37</v>
    <v>105.24</v>
    <v>105.33</v>
    <v>105.36</v>
    <v>105.42</v>
    <v>105.63</v>
    <v>105.64</v>
    <v>105.62</v>
    <v>105.65</v>
    <v>105.82</v>
    <v>105.89</v>
    <v>105.96</v>
    <v>105.94</v>
    <v>105.88</v>
    <v>105.96</v>
    <v>106.01</v>
    <v>105.95</v>
    <v>104.59</v>
    <v>104.64</v>
    <v>104.48</v>
    <v>104.47</v>
    <v>104.46</v>
    <v>104.41</v>
    <v>104.5</v>
    <v>104.39</v>
    <v>104.45</v>
    <v>104.44</v>
    <v>104.47</v>
    <v>104.37</v>
    <v>104.47</v>
    <v>104.28</v>
    <v>104.26</v>
    <v>104.34</v>
    <v>104.24</v>
    <v>104.3</v>
    <v>104.07</v>
    <v>104.03</v>
    <v>103.97</v>
    <v>104.19</v>
    <v>104.23</v>
    <v>104.25</v>
    <v>104.4</v>
    <v>104.3</v>
    <v>104.39</v>
    <v>104.36</v>
    <v>104.29</v>
    <v>104.27</v>
    <v>104.39</v>
    <v>104.38</v>
    <v>104.45</v>
    <v>104.65</v>
    <v>104.75</v>
    <v>104.82</v>
    <v>104.87</v>
    <v>104.88</v>
    <v>104.84</v>
    <v>104.9</v>
    <v>104.78</v>
    <v>104.67</v>
    <v>104.81</v>
    <v>104.7</v>
    <v>104.7</v>
    <v>104.73</v>
    <v>104.64</v>
    <v>104.74</v>
    <v>104.83</v>
    <v>104.9</v>
    <v>104.9</v>
    <v>104.94</v>
    <v>105.06</v>
    <v>105.04</v>
    <v>105</v>
    <v>105.16</v>
    <v>104.56</v>
    <v>104.55</v>
    <v>104.64</v>
    <v>104.73</v>
    <v>104.83</v>
    <v>104.72</v>
    <v>104.84</v>
    <v>104.85</v>
    <v>104.89</v>
    <v>104.93</v>
    <v>104.87</v>
    <v>104.97</v>
    <v>105.01</v>
    <v>105.09</v>
    <v>105.07</v>
    <v>105.13</v>
    <v>105.18</v>
    <v>105.32</v>
    <v>105.3</v>
    <v>105.37</v>
    <v>105.38</v>
    <v>105.59</v>
    <v>105.51</v>
    <v>105.79</v>
    <v>105.61</v>
    <v>105.75</v>
    <v>105.51</v>
    <v>105.63</v>
    <v>105.72</v>
    <v>105.72</v>
    <v>105.88</v>
    <v>105.99</v>
    <v>106.03</v>
    <v>105.94</v>
    <v>106.16</v>
    <v>106.04</v>
    <v>106.09</v>
    <v>106.07</v>
    <v>106.2</v>
    <v>106</v>
    <v>106.09</v>
    <v>106.1</v>
    <v>106.15</v>
    <v>106.08</v>
    <v>106.07</v>
    <v>105.84</v>
    <v>105.84</v>
    <v>105.78</v>
    <v>105.96</v>
    <v>106.05</v>
    <v>106.02</v>
    <v>106.01</v>
    <v>106.03</v>
    <v>106.11</v>
    <v>106.23</v>
    <v>106.24</v>
    <v>106.17</v>
    <v>106.12</v>
    <v>106.33</v>
    <v>106.27</v>
    <v>106.28</v>
    <v>106.34</v>
    <v>106.28</v>
    <v>106.15</v>
    <v>106.16</v>
    <v>106.11</v>
    <v>106.12</v>
    <v>106.23</v>
    <v>106.22</v>
    <v>106.11</v>
    <v>106.23</v>
    <v>106.14</v>
    <v>106.23</v>
    <v>106.21</v>
    <v>106.24</v>
    <v>106.2</v>
    <v>106.26</v>
    <v>106.28</v>
    <v>106.34</v>
    <v>106.26</v>
    <v>106.23</v>
    <v>106.3</v>
    <v>106.25</v>
    <v>106.37</v>
    <v>106.4</v>
    <v>106.36</v>
    <v>106.22</v>
    <v>106.32</v>
    <v>106.29</v>
    <v>106.25</v>
    <v>106.24</v>
    <v>106.3</v>
    <v>106.46</v>
    <v>106.46</v>
    <v>106.39</v>
    <v>106.5</v>
    <v>106.57</v>
    <v>106.56</v>
    <v>106.36</v>
    <v>106.32</v>
    <v>106.34</v>
    <v>106.32</v>
    <v>106.28</v>
    <v>106.33</v>
    <v>106.34</v>
    <v>106.48</v>
    <v>106.43</v>
    <v>106.44</v>
    <v>106.44</v>
    <v>106.43</v>
    <v>106.36</v>
    <v>106.33</v>
    <v>106.46</v>
    <v>106.43</v>
    <v>106.45</v>
    <v>106.45</v>
    <v>106.49</v>
    <v>106.36</v>
    <v>106.46</v>
    <v>106.35</v>
    <v>106.44</v>
    <v>106.52</v>
    <v>106.57</v>
    <v>106.46</v>
    <v>106.42</v>
    <v>106.37</v>
    <v>106.48</v>
    <v>106.54</v>
    <v>106.59</v>
    <v>106.66</v>
    <v>106.61</v>
    <v>106.55</v>
    <v>106.48</v>
    <v>106.48</v>
    <v>106.57</v>
    <v>106.53</v>
    <v>106.54</v>
    <v>106.53</v>
    <v>106.52</v>
    <v>106.58</v>
    <v>106.52</v>
    <v>106.55</v>
    <v>106.47</v>
    <v>106.54</v>
    <v>106.56</v>
    <v>106.59</v>
    <v>106.57</v>
    <v>106.65</v>
    <v>106.61</v>
    <v>106.7</v>
    <v>106.7</v>
    <v>106.74</v>
    <v>106.72</v>
    <v>106.79</v>
    <v>106.81</v>
    <v>106.93</v>
    <v>106.96</v>
    <v>107</v>
    <v>106.99</v>
    <v>106.88</v>
    <v>106.98</v>
    <v>107</v>
    <v>106.94</v>
    <v>106.89</v>
    <v>106.91</v>
    <v>106.92</v>
    <v>106.97</v>
    <v>106.89</v>
    <v>106.97</v>
    <v>107</v>
    <v>106.89</v>
    <v>106.94</v>
    <v>106.94</v>
    <v>106.96</v>
    <v>106.96</v>
    <v>106.9</v>
    <v>107</v>
    <v>106.94</v>
    <v>106.9</v>
    <v>106.92</v>
    <v>106.93</v>
    <v>106.98</v>
    <v>106.91</v>
    <v>107.02</v>
    <v>106.94</v>
    <v>106.97</v>
    <v>106.97</v>
    <v>107.05</v>
    <v>107.08</v>
    <v>106.98</v>
    <v>106.98</v>
    <v>107.07</v>
    <v>107.01</v>
    <v>106.99</v>
    <v>106.82</v>
    <v>104.16</v>
    <v>104.22</v>
    <v>104.26</v>
    <v>104.25</v>
    <v>104.24</v>
    <v>104.33</v>
    <v>104.31</v>
    <v>104.35</v>
    <v>104.31</v>
    <v>104.2</v>
    <v>104.35</v>
    <v>104.47</v>
    <v>104.34</v>
    <v>104.38</v>
    <v>104.41</v>
    <v>104.51</v>
    <v>104.54</v>
    <v>104.51</v>
    <v>104.57</v>
    <v>104.53</v>
    <v>104.57</v>
    <v>104.69</v>
    <v>104.66</v>
    <v>104.64</v>
    <v>104.68</v>
    <v>104.68</v>
    <v>104.57</v>
    <v>104.59</v>
    <v>104.58</v>
    <v>104.65</v>
    <v>104.7</v>
    <v>104.73</v>
    <v>104.74</v>
    <v>104.77</v>
    <v>104.78</v>
    <v>104.7</v>
    <v>104.83</v>
    <v>104.82</v>
    <v>104.85</v>
    <v>104.9</v>
    <v>104.92</v>
    <v>104.85</v>
    <v>104.99</v>
    <v>105.01</v>
    <v>104.99</v>
    <v>104.96</v>
    <v>104.94</v>
    <v>104.97</v>
    <v>104.94</v>
    <v>105.01</v>
    <v>104.97</v>
    <v>104.98</v>
    <v>105.09</v>
    <v>105.06</v>
    <v>104.84</v>
    <v>104.79</v>
    <v>104.89</v>
    <v>104.64</v>
    <v>104.27</v>
    <v>104.31</v>
    <v>104.61</v>
    <v>104.37</v>
    <v>104.26</v>
    <v>104.21</v>
    <v>104.33</v>
    <v>104.34</v>
    <v>104.23</v>
    <v>103.99</v>
    <v>103.72</v>
    <v>103.85</v>
    <v>103.76</v>
    <v>103.92</v>
    <v>103.6</v>
    <v>103.72</v>
    <v>103.78</v>
    <v>103.92</v>
    <v>104.05</v>
    <v>104.06</v>
    <v>103.68</v>
    <v>104.19</v>
    <v>104.29</v>
    <v>104.2</v>
    <v>104.1</v>
    <v>104.32</v>
    <v>104.29</v>
    <v>104.37</v>
    <v>104.53</v>
    <v>104.51</v>
    <v>104.41</v>
    <v>104.37</v>
    <v>104.33</v>
    <v>104.29</v>
    <v>104.26</v>
    <v>104.21</v>
    <v>103.98</v>
    <v>104.21</v>
    <v>104.1</v>
    <v>104.17</v>
    <v>104.51</v>
    <v>104.52</v>
    <v>104.41</v>
    <v>104.37</v>
    <v>104.21</v>
    <v>104.24</v>
    <v>104.33</v>
    <v>104.22</v>
    <v>104.2</v>
    <v>104.21</v>
    <v>104.41</v>
    <v>104.35</v>
    <v>104.4</v>
    <v>104.71</v>
    <v>104.56</v>
    <v>104.59</v>
    <v>104.68</v>
    <v>104.75</v>
    <v>104.52</v>
    <v>104.57</v>
    <v>104.5</v>
    <v>104.54</v>
    <v>104.47</v>
    <v>104.45</v>
    <v>104.5</v>
    <v>104.4</v>
    <v>104.55</v>
    <v>104.68</v>
    <v>104.77</v>
    <v>104.69</v>
    <v>104.79</v>
    <v>104.78</v>
    <v>104.69</v>
    <v>104.76</v>
    <v>104.82</v>
    <v>104.88</v>
    <v>104.93</v>
    <v>104.97</v>
    <v>104.93</v>
    <v>104.88</v>
    <v>104.98</v>
    <v>105.06</v>
    <v>104.92</v>
    <v>105</v>
    <v>104.85</v>
    <v>104.69</v>
    <v>104.82</v>
    <v>104.77</v>
    <v>104.7</v>
    <v>104.64</v>
    <v>104.7</v>
    <v>104.66</v>
    <v>104.62</v>
    <v>104.64</v>
    <v>104.55</v>
    <v>104.5</v>
    <v>104.36</v>
    <v>104.52</v>
    <v>104.61</v>
    <v>104.7</v>
    <v>104.64</v>
    <v>104.68</v>
    <v>104.64</v>
    <v>104.75</v>
    <v>104.84</v>
    <v>104.86</v>
    <v>104.84</v>
    <v>104.84</v>
    <v>104.73</v>
    <v>104.77</v>
    <v>104.79</v>
    <v>104.85</v>
    <v>104.81</v>
    <v>104.81</v>
    <v>104.66</v>
    <v>104.64</v>
    <v>104.74</v>
    <v>104.75</v>
    <v>104.71</v>
    <v>104.85</v>
    <v>104.75</v>
    <v>104.75</v>
    <v>104.68</v>
    <v>104.65</v>
    <v>104.63</v>
    <v>104.53</v>
    <v>104.67</v>
    <v>104.67</v>
    <v>104.59</v>
    <v>104.64</v>
    <v>104.44</v>
    <v>104.14</v>
    <v>104.26</v>
    <v>104.03</v>
    <v>104.16</v>
    <v>104.22</v>
    <v>104.22</v>
    <v>104.03</v>
    <v>104.29</v>
    <v>104.19</v>
    <v>103.98</v>
    <v>103.98</v>
    <v>104.08</v>
    <v>104.09</v>
    <v>104.12</v>
    <v>104.17</v>
    <v>103.98</v>
    <v>104.29</v>
    <v>104.29</v>
    <v>104.37</v>
    <v>104.33</v>
    <v>104.32</v>
    <v>104.38</v>
    <v>104.32</v>
    <v>104.39</v>
    <v>104.36</v>
    <v>104.52</v>
    <v>104.49</v>
    <v>104.35</v>
    <v>104.38</v>
    <v>104.29</v>
    <v>104.29</v>
    <v>104.43</v>
  </a>
  <a r="1" c="208">
    <v>104.38</v>
    <v>104.41</v>
    <v>104.51</v>
    <v>104.54</v>
    <v>104.51</v>
    <v>104.57</v>
    <v>104.53</v>
    <v>104.57</v>
    <v>104.69</v>
    <v>104.66</v>
    <v>104.64</v>
    <v>104.68</v>
    <v>104.68</v>
    <v>104.57</v>
    <v>104.59</v>
    <v>104.58</v>
    <v>104.65</v>
    <v>104.7</v>
    <v>104.73</v>
    <v>104.74</v>
    <v>104.77</v>
    <v>104.78</v>
    <v>104.7</v>
    <v>104.83</v>
    <v>104.82</v>
    <v>104.85</v>
    <v>104.9</v>
    <v>104.92</v>
    <v>104.85</v>
    <v>104.99</v>
    <v>105.01</v>
    <v>104.99</v>
    <v>104.96</v>
    <v>104.94</v>
    <v>104.97</v>
    <v>104.94</v>
    <v>105.01</v>
    <v>104.97</v>
    <v>104.98</v>
    <v>105.09</v>
    <v>105.06</v>
    <v>104.84</v>
    <v>104.79</v>
    <v>104.89</v>
    <v>104.64</v>
    <v>104.27</v>
    <v>104.31</v>
    <v>104.61</v>
    <v>104.37</v>
    <v>104.26</v>
    <v>104.21</v>
    <v>104.33</v>
    <v>104.34</v>
    <v>104.23</v>
    <v>103.99</v>
    <v>103.72</v>
    <v>103.85</v>
    <v>103.76</v>
    <v>103.92</v>
    <v>103.6</v>
    <v>103.72</v>
    <v>103.78</v>
    <v>103.92</v>
    <v>104.05</v>
    <v>104.06</v>
    <v>103.68</v>
    <v>104.19</v>
    <v>104.29</v>
    <v>104.2</v>
    <v>104.1</v>
    <v>104.32</v>
    <v>104.29</v>
    <v>104.37</v>
    <v>104.53</v>
    <v>104.51</v>
    <v>104.41</v>
    <v>104.37</v>
    <v>104.33</v>
    <v>104.29</v>
    <v>104.26</v>
    <v>104.21</v>
    <v>103.98</v>
    <v>104.21</v>
    <v>104.1</v>
    <v>104.17</v>
    <v>104.51</v>
    <v>104.52</v>
    <v>104.41</v>
    <v>104.37</v>
    <v>104.21</v>
    <v>104.24</v>
    <v>104.33</v>
    <v>104.22</v>
    <v>104.2</v>
    <v>104.21</v>
    <v>104.41</v>
    <v>104.35</v>
    <v>104.4</v>
    <v>104.71</v>
    <v>104.56</v>
    <v>104.59</v>
    <v>104.68</v>
    <v>104.75</v>
    <v>104.52</v>
    <v>104.57</v>
    <v>104.5</v>
    <v>104.54</v>
    <v>104.47</v>
    <v>104.45</v>
    <v>104.5</v>
    <v>104.4</v>
    <v>104.55</v>
    <v>104.68</v>
    <v>104.77</v>
    <v>104.69</v>
    <v>104.79</v>
    <v>104.78</v>
    <v>104.69</v>
    <v>104.76</v>
    <v>104.82</v>
    <v>104.88</v>
    <v>104.93</v>
    <v>104.97</v>
    <v>104.93</v>
    <v>104.88</v>
    <v>104.98</v>
    <v>105.06</v>
    <v>104.92</v>
    <v>105</v>
    <v>104.85</v>
    <v>104.69</v>
    <v>104.82</v>
    <v>104.77</v>
    <v>104.7</v>
    <v>104.64</v>
    <v>104.7</v>
    <v>104.66</v>
    <v>104.62</v>
    <v>104.64</v>
    <v>104.55</v>
    <v>104.5</v>
    <v>104.36</v>
    <v>104.52</v>
    <v>104.61</v>
    <v>104.7</v>
    <v>104.64</v>
    <v>104.68</v>
    <v>104.64</v>
    <v>104.75</v>
    <v>104.84</v>
    <v>104.86</v>
    <v>104.84</v>
    <v>104.84</v>
    <v>104.73</v>
    <v>104.77</v>
    <v>104.79</v>
    <v>104.85</v>
    <v>104.81</v>
    <v>104.81</v>
    <v>104.66</v>
    <v>104.64</v>
    <v>104.74</v>
    <v>104.75</v>
    <v>104.71</v>
    <v>104.85</v>
    <v>104.75</v>
    <v>104.75</v>
    <v>104.68</v>
    <v>104.65</v>
    <v>104.63</v>
    <v>104.53</v>
    <v>104.67</v>
    <v>104.67</v>
    <v>104.59</v>
    <v>104.64</v>
    <v>104.44</v>
    <v>104.14</v>
    <v>104.26</v>
    <v>104.03</v>
    <v>104.16</v>
    <v>104.22</v>
    <v>104.22</v>
    <v>104.03</v>
    <v>104.29</v>
    <v>104.19</v>
    <v>103.98</v>
    <v>103.98</v>
    <v>104.08</v>
    <v>104.09</v>
    <v>104.12</v>
    <v>104.17</v>
    <v>103.98</v>
    <v>104.29</v>
    <v>104.29</v>
    <v>104.37</v>
    <v>104.33</v>
    <v>104.32</v>
    <v>104.38</v>
    <v>104.32</v>
    <v>104.39</v>
    <v>104.36</v>
    <v>104.52</v>
    <v>104.49</v>
    <v>104.35</v>
    <v>104.38</v>
    <v>104.29</v>
    <v>104.29</v>
    <v>104.43</v>
  </a>
  <a r="1" c="209">
    <v>55.7</v>
    <v>55.47</v>
    <v>54.35</v>
    <v>54.91</v>
    <v>53.52</v>
    <v>53.87</v>
    <v>54.78</v>
    <v>55.17</v>
    <v>55.22</v>
    <v>55.83</v>
    <v>55.23</v>
    <v>54.99</v>
    <v>55.02</v>
    <v>54.99</v>
    <v>55.05</v>
    <v>55.55</v>
    <v>56.27</v>
    <v>56.34</v>
    <v>56.26</v>
    <v>55.87</v>
    <v>56.45</v>
    <v>57.17</v>
    <v>57.84</v>
    <v>58.64</v>
    <v>60.04</v>
    <v>60.48</v>
    <v>60.77</v>
    <v>59.66</v>
    <v>60.53</v>
    <v>61.32</v>
    <v>61.53</v>
    <v>62.7</v>
    <v>62.59</v>
    <v>62.11</v>
    <v>61.2</v>
    <v>61.02</v>
    <v>61.72</v>
    <v>62.52</v>
    <v>62.92</v>
    <v>62.18</v>
    <v>61.68</v>
    <v>62.26</v>
    <v>61.14</v>
    <v>59.12</v>
    <v>58.92</v>
    <v>58.41</v>
    <v>57.29</v>
    <v>56.92</v>
    <v>56.99</v>
    <v>56.44</v>
    <v>56.26</v>
    <v>56.13</v>
    <v>56.68</v>
    <v>56.79</v>
    <v>54.86</v>
    <v>53.33</v>
    <v>53</v>
    <v>52.76</v>
    <v>52.56</v>
    <v>52.71</v>
    <v>52.18</v>
    <v>51.95</v>
    <v>52.42</v>
    <v>48.62</v>
    <v>48.3</v>
    <v>48.04</v>
    <v>48.18</v>
    <v>49.604999999999997</v>
    <v>49.69</v>
    <v>49.67</v>
    <v>49.524999999999999</v>
    <v>49.185000000000002</v>
    <v>49.17</v>
    <v>48.71</v>
    <v>49.75</v>
    <v>49.31</v>
    <v>48.704999999999998</v>
    <v>48.61</v>
    <v>49.055</v>
    <v>49.56</v>
    <v>49.16</v>
    <v>49.295000000000002</v>
    <v>48.77</v>
    <v>49.924999999999997</v>
    <v>49.854999999999997</v>
    <v>49.66</v>
    <v>50.66</v>
    <v>50.16</v>
    <v>49.58</v>
    <v>48.655000000000001</v>
    <v>49.39</v>
    <v>49.09</v>
    <v>48.8</v>
    <v>48.314999999999998</v>
    <v>49.06</v>
    <v>49.67</v>
    <v>49.62</v>
    <v>49.39</v>
    <v>49.325000000000003</v>
    <v>49.03</v>
    <v>49.14</v>
    <v>49.93</v>
    <v>49.164999999999999</v>
    <v>48.57</v>
    <v>47.875</v>
    <v>47.54</v>
    <v>47.704999999999998</v>
    <v>47.155000000000001</v>
    <v>48.61</v>
    <v>48.48</v>
    <v>49.645000000000003</v>
    <v>51.01</v>
    <v>50.44</v>
    <v>50.8</v>
    <v>50.58</v>
    <v>50.94</v>
    <v>50.5</v>
    <v>50.86</v>
    <v>50.41</v>
    <v>50.99</v>
    <v>51.88</v>
    <v>52.75</v>
    <v>53.18</v>
    <v>53.36</v>
    <v>53.19</v>
    <v>52.65</v>
    <v>53.27</v>
    <v>54.29</v>
    <v>54.08</v>
    <v>53.41</v>
    <v>55.04</v>
    <v>54.45</v>
    <v>53.56</v>
    <v>54.01</v>
    <v>53.8</v>
    <v>53.53</v>
    <v>53.77</v>
    <v>54.56</v>
    <v>54.91</v>
    <v>54.65</v>
    <v>53.44</v>
    <v>54.09</v>
    <v>53.22</v>
    <v>53.55</v>
    <v>54.1</v>
    <v>58.39</v>
    <v>58.43</v>
    <v>56.61</v>
    <v>55.74</v>
    <v>55.66</v>
    <v>55.48</v>
    <v>55.75</v>
    <v>55.08</v>
    <v>54.65</v>
    <v>54.37</v>
    <v>53.98</v>
    <v>53.64</v>
    <v>54.17</v>
    <v>53.87</v>
    <v>52.9</v>
    <v>53.56</v>
    <v>54.1</v>
    <v>54.3</v>
    <v>54.59</v>
    <v>55.93</v>
    <v>55.66</v>
    <v>55.74</v>
    <v>55.53</v>
    <v>55.92</v>
    <v>55.99</v>
    <v>56.16</v>
    <v>55.66</v>
    <v>55.18</v>
    <v>55.48</v>
    <v>54.7</v>
    <v>54.67</v>
    <v>53.85</v>
    <v>53.12</v>
    <v>53.12</v>
    <v>54.92</v>
    <v>54.3</v>
    <v>54.14</v>
    <v>53.96</v>
    <v>54.03</v>
    <v>54.18</v>
    <v>54.84</v>
    <v>54.46</v>
    <v>54.78</v>
    <v>54.3</v>
    <v>54.63</v>
    <v>53.96</v>
    <v>53.92</v>
    <v>52.85</v>
    <v>52.84</v>
    <v>53.08</v>
    <v>53.94</v>
    <v>54.62</v>
    <v>54.62</v>
    <v>55.3</v>
    <v>56.06</v>
    <v>55.87</v>
    <v>57.09</v>
    <v>58.15</v>
    <v>58.95</v>
    <v>58.23</v>
    <v>58.35</v>
    <v>57.52</v>
    <v>59.36</v>
    <v>59.02</v>
  </a>
  <a r="1" c="767">
    <v>49.093699999999998</v>
    <v>49.018700000000003</v>
    <v>49.308</v>
    <v>48.070700000000002</v>
    <v>46.972700000000003</v>
    <v>47.385100000000001</v>
    <v>47.824300000000001</v>
    <v>47.883299999999998</v>
    <v>47.9315</v>
    <v>47.604700000000001</v>
    <v>47.626199999999997</v>
    <v>47.969000000000001</v>
    <v>48.006399999999999</v>
    <v>48.9116</v>
    <v>48.386699999999998</v>
    <v>48.4831</v>
    <v>48.204599999999999</v>
    <v>47.797600000000003</v>
    <v>47.047699999999999</v>
    <v>46.672800000000002</v>
    <v>46.212200000000003</v>
    <v>46.726300000000002</v>
    <v>46.913800000000002</v>
    <v>46.646000000000001</v>
    <v>46.924500000000002</v>
    <v>46.972700000000003</v>
    <v>46.844200000000001</v>
    <v>46.581699999999998</v>
    <v>46.828099999999999</v>
    <v>47.192300000000003</v>
    <v>47.663699999999999</v>
    <v>47.5458</v>
    <v>47.583300000000001</v>
    <v>47.5565</v>
    <v>47.3155</v>
    <v>47.3155</v>
    <v>47.235199999999999</v>
    <v>47.256599999999999</v>
    <v>46.817399999999999</v>
    <v>46.876300000000001</v>
    <v>46.747799999999998</v>
    <v>46.811999999999998</v>
    <v>46.929900000000004</v>
    <v>46.667400000000001</v>
    <v>46.876300000000001</v>
    <v>46.742400000000004</v>
    <v>46.972700000000003</v>
    <v>46.978099999999998</v>
    <v>47.197699999999998</v>
    <v>47.91</v>
    <v>47.802900000000001</v>
    <v>47.738599999999998</v>
    <v>47.872500000000002</v>
    <v>48.21</v>
    <v>47.936799999999998</v>
    <v>47.433300000000003</v>
    <v>48.011800000000001</v>
    <v>47.658299999999997</v>
    <v>47.626199999999997</v>
    <v>47.0852</v>
    <v>46.437100000000001</v>
    <v>46.340699999999998</v>
    <v>46.260399999999997</v>
    <v>46.758499999999998</v>
    <v>46.624600000000001</v>
    <v>46.769199999999998</v>
    <v>47.920699999999997</v>
    <v>48.033200000000001</v>
    <v>48.268900000000002</v>
    <v>48.381399999999999</v>
    <v>48.418900000000001</v>
    <v>48.568800000000003</v>
    <v>49.002699999999997</v>
    <v>49.672199999999997</v>
    <v>49.050899999999999</v>
    <v>50.5077</v>
    <v>50.314900000000002</v>
    <v>50.159599999999998</v>
    <v>50.314900000000002</v>
    <v>49.945300000000003</v>
    <v>49.8596</v>
    <v>50.438099999999999</v>
    <v>50.689799999999998</v>
    <v>50.748800000000003</v>
    <v>50.748800000000003</v>
    <v>50.0578</v>
    <v>50.197099999999999</v>
    <v>50.030999999999999</v>
    <v>49.040199999999999</v>
    <v>48.568800000000003</v>
    <v>48.4831</v>
    <v>48.386699999999998</v>
    <v>48.408099999999997</v>
    <v>48.552799999999998</v>
    <v>48.306399999999996</v>
    <v>48.043900000000001</v>
    <v>48.268900000000002</v>
    <v>48.418900000000001</v>
    <v>48.718800000000002</v>
    <v>48.9223</v>
    <v>48.756300000000003</v>
    <v>48.354599999999998</v>
    <v>47.819000000000003</v>
    <v>49.393700000000003</v>
    <v>48.724200000000003</v>
    <v>48.815199999999997</v>
    <v>49.715000000000003</v>
    <v>49.511499999999998</v>
    <v>49.548999999999999</v>
    <v>49.565100000000001</v>
    <v>49.832900000000002</v>
    <v>49.2973</v>
    <v>48.600999999999999</v>
    <v>48.429600000000001</v>
    <v>48.043900000000001</v>
    <v>47.829700000000003</v>
    <v>47.926099999999998</v>
    <v>47.893999999999998</v>
    <v>47.915399999999998</v>
    <v>47.636899999999997</v>
    <v>47.422600000000003</v>
    <v>47.047699999999999</v>
    <v>46.994100000000003</v>
    <v>47.379800000000003</v>
    <v>47.636899999999997</v>
    <v>48.258200000000002</v>
    <v>48.183199999999999</v>
    <v>48.161799999999999</v>
    <v>50.979100000000003</v>
    <v>51.686100000000003</v>
    <v>51.482500000000002</v>
    <v>51.953899999999997</v>
    <v>52.285899999999998</v>
    <v>52.275199999999998</v>
    <v>51.803899999999999</v>
    <v>52.553699999999999</v>
    <v>52.671599999999998</v>
    <v>53.025100000000002</v>
    <v>53.346400000000003</v>
    <v>53.753500000000003</v>
    <v>53.485700000000001</v>
    <v>53.6678</v>
    <v>53.421399999999998</v>
    <v>54.010599999999997</v>
    <v>53.6892</v>
    <v>53.6678</v>
    <v>53.710700000000003</v>
    <v>54.246299999999998</v>
    <v>54.031999999999996</v>
    <v>54.117699999999999</v>
    <v>53.55</v>
    <v>53.2072</v>
    <v>53.603499999999997</v>
    <v>53.732100000000003</v>
    <v>54.203400000000002</v>
    <v>54.953299999999999</v>
    <v>55.167499999999997</v>
    <v>55.188899999999997</v>
    <v>55.403199999999998</v>
    <v>55.424599999999998</v>
    <v>55.360300000000002</v>
    <v>55.703099999999999</v>
    <v>56.067300000000003</v>
    <v>56.495800000000003</v>
    <v>56.195900000000002</v>
    <v>56.195900000000002</v>
    <v>56.281599999999997</v>
    <v>56.131599999999999</v>
    <v>56.110199999999999</v>
    <v>56.217300000000002</v>
    <v>56.174399999999999</v>
    <v>55.9602</v>
    <v>55.403199999999998</v>
    <v>54.931800000000003</v>
    <v>54.996099999999998</v>
    <v>54.481900000000003</v>
    <v>54.546199999999999</v>
    <v>54.8033</v>
    <v>54.8461</v>
    <v>55.167499999999997</v>
    <v>55.338900000000002</v>
    <v>56.003100000000003</v>
    <v>56.067300000000003</v>
    <v>56.538699999999999</v>
    <v>56.174399999999999</v>
    <v>56.238700000000001</v>
    <v>56.8386</v>
    <v>57.5242</v>
    <v>57.16</v>
    <v>57.095700000000001</v>
    <v>56.645800000000001</v>
    <v>56.131599999999999</v>
    <v>59.366700000000002</v>
    <v>60.137900000000002</v>
    <v>60.202199999999998</v>
    <v>60.202199999999998</v>
    <v>60.673499999999997</v>
    <v>60.652099999999997</v>
    <v>60.887799999999999</v>
    <v>59.216700000000003</v>
    <v>59.623800000000003</v>
    <v>60.373600000000003</v>
    <v>59.773699999999998</v>
    <v>59.238100000000003</v>
    <v>59.023899999999998</v>
    <v>59.238100000000003</v>
    <v>59.216700000000003</v>
    <v>59.816600000000001</v>
    <v>59.409500000000001</v>
    <v>59.5381</v>
    <v>59.323799999999999</v>
    <v>59.495199999999997</v>
    <v>60.437899999999999</v>
    <v>60.866399999999999</v>
    <v>61.037799999999997</v>
    <v>61.466200000000001</v>
    <v>61.830500000000001</v>
    <v>62.515999999999998</v>
    <v>62.387500000000003</v>
    <v>62.601700000000001</v>
    <v>62.965899999999998</v>
    <v>63.051600000000001</v>
    <v>63.351599999999998</v>
    <v>63.287300000000002</v>
    <v>63.9086</v>
    <v>63.415900000000001</v>
    <v>62.923099999999998</v>
    <v>62.537500000000001</v>
    <v>62.773099999999999</v>
    <v>62.923099999999998</v>
    <v>62.601700000000001</v>
    <v>62.044699999999999</v>
    <v>61.8733</v>
    <v>61.8947</v>
    <v>62.580300000000001</v>
    <v>62.430300000000003</v>
    <v>62.816000000000003</v>
    <v>62.558900000000001</v>
    <v>62.880200000000002</v>
    <v>62.366100000000003</v>
    <v>62.580300000000001</v>
    <v>62.3018</v>
    <v>61.209200000000003</v>
    <v>61.252000000000002</v>
    <v>60.930599999999998</v>
    <v>61.1449</v>
    <v>61.487699999999997</v>
    <v>61.1877</v>
    <v>61.444800000000001</v>
    <v>61.766199999999998</v>
    <v>62.644599999999997</v>
    <v>62.216099999999997</v>
    <v>62.494599999999998</v>
    <v>62.130400000000002</v>
    <v>61.616199999999999</v>
    <v>61.209200000000003</v>
    <v>59.795200000000001</v>
    <v>61.551900000000003</v>
    <v>61.252000000000002</v>
    <v>61.830500000000001</v>
    <v>61.659100000000002</v>
    <v>60.994900000000001</v>
    <v>60.223599999999998</v>
    <v>60.844900000000003</v>
    <v>60.352200000000003</v>
    <v>60.3093</v>
    <v>59.1738</v>
    <v>58.595399999999998</v>
    <v>58.445399999999999</v>
    <v>58.616799999999998</v>
    <v>58.059800000000003</v>
    <v>58.188299999999998</v>
    <v>58.252600000000001</v>
    <v>58.274000000000001</v>
    <v>58.423999999999999</v>
    <v>58.509700000000002</v>
    <v>58.423999999999999</v>
    <v>58.445399999999999</v>
    <v>60.459299999999999</v>
    <v>60.052199999999999</v>
    <v>60.180799999999998</v>
    <v>60.780700000000003</v>
    <v>60.866399999999999</v>
    <v>60.609299999999998</v>
    <v>61.230600000000003</v>
    <v>60.587800000000001</v>
    <v>60.373600000000003</v>
    <v>60.330800000000004</v>
    <v>59.795200000000001</v>
    <v>59.6023</v>
    <v>59.773699999999998</v>
    <v>60.116500000000002</v>
    <v>60.223599999999998</v>
    <v>60.116500000000002</v>
    <v>60.523600000000002</v>
    <v>60.352200000000003</v>
    <v>59.859400000000001</v>
    <v>59.323799999999999</v>
    <v>58.959600000000002</v>
    <v>58.681100000000001</v>
    <v>58.938200000000002</v>
    <v>59.195300000000003</v>
    <v>58.616799999999998</v>
    <v>58.788200000000003</v>
    <v>59.302399999999999</v>
    <v>58.895299999999999</v>
    <v>57.417099999999998</v>
    <v>58.0169</v>
    <v>58.102600000000002</v>
    <v>58.638199999999998</v>
    <v>57.931199999999997</v>
    <v>57.781300000000002</v>
    <v>56.924300000000002</v>
    <v>56.881500000000003</v>
    <v>57.567</v>
    <v>58.252600000000001</v>
    <v>58.445399999999999</v>
    <v>58.638199999999998</v>
    <v>57.931199999999997</v>
    <v>58.338299999999997</v>
    <v>57.802700000000002</v>
    <v>59.216700000000003</v>
    <v>59.452399999999997</v>
    <v>59.1524</v>
    <v>59.688000000000002</v>
    <v>59.302399999999999</v>
    <v>59.859400000000001</v>
    <v>59.366700000000002</v>
    <v>59.623800000000003</v>
    <v>59.966500000000003</v>
    <v>60.395000000000003</v>
    <v>60.695</v>
    <v>60.823500000000003</v>
    <v>61.037799999999997</v>
    <v>57.674100000000003</v>
    <v>56.624400000000001</v>
    <v>56.495800000000003</v>
    <v>56.110199999999999</v>
    <v>56.967100000000002</v>
    <v>56.7958</v>
    <v>57.095700000000001</v>
    <v>57.9955</v>
    <v>57.16</v>
    <v>57.309899999999999</v>
    <v>57.738399999999999</v>
    <v>58.145499999999998</v>
    <v>58.852499999999999</v>
    <v>59.709499999999998</v>
    <v>58.102600000000002</v>
    <v>57.888399999999997</v>
    <v>58.702500000000001</v>
    <v>60.030799999999999</v>
    <v>58.209800000000001</v>
    <v>58.338299999999997</v>
    <v>57.759799999999998</v>
    <v>57.738399999999999</v>
    <v>58.509700000000002</v>
    <v>57.631300000000003</v>
    <v>57.802700000000002</v>
    <v>58.4026</v>
    <v>58.274000000000001</v>
    <v>57.695599999999999</v>
    <v>57.716999999999999</v>
    <v>57.481299999999997</v>
    <v>58.059800000000003</v>
    <v>58.766800000000003</v>
    <v>58.959600000000002</v>
    <v>59.216700000000003</v>
    <v>59.430900000000001</v>
    <v>60.802100000000003</v>
    <v>59.195300000000003</v>
    <v>56.024500000000003</v>
    <v>57.5456</v>
    <v>55.853099999999998</v>
    <v>56.774299999999997</v>
    <v>57.738399999999999</v>
    <v>58.423999999999999</v>
    <v>58.809600000000003</v>
    <v>59.323799999999999</v>
    <v>59.966500000000003</v>
    <v>60.930599999999998</v>
    <v>60.245100000000001</v>
    <v>60.137900000000002</v>
    <v>58.852499999999999</v>
    <v>59.238100000000003</v>
    <v>58.981000000000002</v>
    <v>59.966500000000003</v>
    <v>59.838000000000001</v>
    <v>59.945099999999996</v>
    <v>60.352200000000003</v>
    <v>60.437899999999999</v>
    <v>59.495199999999997</v>
    <v>59.730899999999998</v>
    <v>59.195300000000003</v>
    <v>58.166899999999998</v>
    <v>58.038400000000003</v>
    <v>58.531100000000002</v>
    <v>58.981000000000002</v>
    <v>59.302399999999999</v>
    <v>59.988</v>
    <v>60.137900000000002</v>
    <v>60.030799999999999</v>
    <v>59.945099999999996</v>
    <v>59.623800000000003</v>
    <v>60.159399999999998</v>
    <v>59.816600000000001</v>
    <v>59.5381</v>
    <v>59.988</v>
    <v>59.238100000000003</v>
    <v>59.045299999999997</v>
    <v>59.1096</v>
    <v>59.066699999999997</v>
    <v>59.1738</v>
    <v>58.916800000000002</v>
    <v>59.066699999999997</v>
    <v>58.638199999999998</v>
    <v>58.552500000000002</v>
    <v>58.531100000000002</v>
    <v>58.338299999999997</v>
    <v>58.102600000000002</v>
    <v>57.888399999999997</v>
    <v>57.481299999999997</v>
    <v>57.267099999999999</v>
    <v>57.374200000000002</v>
    <v>57.5242</v>
    <v>56.667200000000001</v>
    <v>55.296100000000003</v>
    <v>55.746000000000002</v>
    <v>55.445999999999998</v>
    <v>55.917400000000001</v>
    <v>55.660299999999999</v>
    <v>55.895899999999997</v>
    <v>55.9816</v>
    <v>56.110199999999999</v>
    <v>55.831699999999998</v>
    <v>55.424599999999998</v>
    <v>56.302999999999997</v>
    <v>55.553100000000001</v>
    <v>56.110199999999999</v>
    <v>55.424599999999998</v>
    <v>55.167499999999997</v>
    <v>55.2318</v>
    <v>55.060400000000001</v>
    <v>54.7819</v>
    <v>55.060400000000001</v>
    <v>55.2318</v>
    <v>55.681699999999999</v>
    <v>55.017499999999998</v>
    <v>54.8461</v>
    <v>55.2318</v>
    <v>55.403199999999998</v>
    <v>54.8461</v>
    <v>55.874499999999998</v>
    <v>55.553100000000001</v>
    <v>55.660299999999999</v>
    <v>55.574599999999997</v>
    <v>56.131599999999999</v>
    <v>55.874499999999998</v>
    <v>56.003100000000003</v>
    <v>55.874499999999998</v>
    <v>56.8386</v>
    <v>56.3673</v>
    <v>55.917400000000001</v>
    <v>56.088799999999999</v>
    <v>56.538699999999999</v>
    <v>58.166899999999998</v>
    <v>58.252600000000001</v>
    <v>57.824100000000001</v>
    <v>57.245699999999999</v>
    <v>56.881500000000003</v>
    <v>57.5456</v>
    <v>57.224200000000003</v>
    <v>57.567</v>
    <v>57.802700000000002</v>
    <v>58.166899999999998</v>
    <v>58.7239</v>
    <v>59.345199999999998</v>
    <v>58.895299999999999</v>
    <v>58.124099999999999</v>
    <v>57.395600000000002</v>
    <v>57.309899999999999</v>
    <v>57.459899999999998</v>
    <v>57.438499999999998</v>
    <v>56.945700000000002</v>
    <v>56.260100000000001</v>
    <v>56.3673</v>
    <v>56.238700000000001</v>
    <v>56.152999999999999</v>
    <v>55.146099999999997</v>
    <v>54.7819</v>
    <v>54.738999999999997</v>
    <v>54.610500000000002</v>
    <v>54.332000000000001</v>
    <v>53.946300000000001</v>
    <v>54.160600000000002</v>
    <v>53.839199999999998</v>
    <v>53.946300000000001</v>
    <v>54.182000000000002</v>
    <v>53.603499999999997</v>
    <v>53.860599999999998</v>
    <v>54.182000000000002</v>
    <v>54.631900000000002</v>
    <v>55.2104</v>
    <v>55.467399999999998</v>
    <v>56.174399999999999</v>
    <v>55.874499999999998</v>
    <v>56.752899999999997</v>
    <v>57.695599999999999</v>
    <v>57.824100000000001</v>
    <v>57.567</v>
    <v>57.588500000000003</v>
    <v>57.888399999999997</v>
    <v>57.716999999999999</v>
    <v>57.567</v>
    <v>56.881500000000003</v>
    <v>56.3673</v>
    <v>56.345799999999997</v>
    <v>56.238700000000001</v>
    <v>56.4101</v>
    <v>56.624400000000001</v>
    <v>56.86</v>
    <v>56.195900000000002</v>
    <v>56.645800000000001</v>
    <v>56.474400000000003</v>
    <v>56.453000000000003</v>
    <v>56.260100000000001</v>
    <v>55.831699999999998</v>
    <v>54.8461</v>
    <v>54.7819</v>
    <v>54.696199999999997</v>
    <v>54.674700000000001</v>
    <v>54.760399999999997</v>
    <v>56.088799999999999</v>
    <v>55.381799999999998</v>
    <v>55.917400000000001</v>
    <v>55.488900000000001</v>
    <v>55.445999999999998</v>
    <v>55.724499999999999</v>
    <v>55.831699999999998</v>
    <v>54.7819</v>
    <v>54.631900000000002</v>
    <v>54.460500000000003</v>
    <v>54.8033</v>
    <v>53.696300000000001</v>
    <v>55.5</v>
    <v>55.23</v>
    <v>55.49</v>
    <v>55.11</v>
    <v>55.34</v>
    <v>54.72</v>
    <v>55.65</v>
    <v>55.95</v>
    <v>55.87</v>
    <v>55.45</v>
    <v>55.54</v>
    <v>55.49</v>
    <v>55.85</v>
    <v>55.71</v>
    <v>55.7</v>
    <v>55.47</v>
    <v>54.35</v>
    <v>54.91</v>
    <v>53.52</v>
    <v>53.87</v>
    <v>54.78</v>
    <v>55.17</v>
    <v>55.22</v>
    <v>55.83</v>
    <v>55.23</v>
    <v>54.99</v>
    <v>55.02</v>
    <v>54.99</v>
    <v>55.05</v>
    <v>55.55</v>
    <v>56.27</v>
    <v>56.34</v>
    <v>56.26</v>
    <v>55.87</v>
    <v>56.45</v>
    <v>57.17</v>
    <v>57.84</v>
    <v>58.64</v>
    <v>60.04</v>
    <v>60.48</v>
    <v>60.77</v>
    <v>59.66</v>
    <v>60.53</v>
    <v>61.32</v>
    <v>61.53</v>
    <v>62.7</v>
    <v>62.59</v>
    <v>62.11</v>
    <v>61.2</v>
    <v>61.02</v>
    <v>61.72</v>
    <v>62.52</v>
    <v>62.92</v>
    <v>62.18</v>
    <v>61.68</v>
    <v>62.26</v>
    <v>61.14</v>
    <v>59.12</v>
    <v>58.92</v>
    <v>58.41</v>
    <v>57.29</v>
    <v>56.92</v>
    <v>56.99</v>
    <v>56.44</v>
    <v>56.26</v>
    <v>56.13</v>
    <v>56.68</v>
    <v>56.79</v>
    <v>54.86</v>
    <v>53.33</v>
    <v>53</v>
    <v>52.76</v>
    <v>52.56</v>
    <v>52.71</v>
    <v>52.18</v>
    <v>51.95</v>
    <v>52.42</v>
    <v>48.62</v>
    <v>48.3</v>
    <v>48.04</v>
    <v>48.18</v>
    <v>49.604999999999997</v>
    <v>49.69</v>
    <v>49.67</v>
    <v>49.524999999999999</v>
    <v>49.185000000000002</v>
    <v>49.17</v>
    <v>48.71</v>
    <v>49.75</v>
    <v>49.31</v>
    <v>48.704999999999998</v>
    <v>48.61</v>
    <v>49.055</v>
    <v>49.56</v>
    <v>49.16</v>
    <v>49.295000000000002</v>
    <v>48.77</v>
    <v>49.924999999999997</v>
    <v>49.854999999999997</v>
    <v>49.66</v>
    <v>50.66</v>
    <v>50.16</v>
    <v>49.58</v>
    <v>48.655000000000001</v>
    <v>49.39</v>
    <v>49.09</v>
    <v>48.8</v>
    <v>48.314999999999998</v>
    <v>49.06</v>
    <v>49.67</v>
    <v>49.62</v>
    <v>49.39</v>
    <v>49.325000000000003</v>
    <v>49.03</v>
    <v>49.14</v>
    <v>49.93</v>
    <v>49.164999999999999</v>
    <v>48.57</v>
    <v>47.875</v>
    <v>47.54</v>
    <v>47.704999999999998</v>
    <v>47.155000000000001</v>
    <v>48.61</v>
    <v>48.48</v>
    <v>49.645000000000003</v>
    <v>51.01</v>
    <v>50.44</v>
    <v>50.8</v>
    <v>50.58</v>
    <v>50.94</v>
    <v>50.5</v>
    <v>50.86</v>
    <v>50.41</v>
    <v>50.99</v>
    <v>51.88</v>
    <v>52.75</v>
    <v>53.18</v>
    <v>53.36</v>
    <v>53.19</v>
    <v>52.65</v>
    <v>53.27</v>
    <v>54.29</v>
    <v>54.08</v>
    <v>53.41</v>
    <v>55.04</v>
    <v>54.45</v>
    <v>53.56</v>
    <v>54.01</v>
    <v>53.8</v>
    <v>53.53</v>
    <v>53.77</v>
    <v>54.56</v>
    <v>54.91</v>
    <v>54.65</v>
    <v>53.44</v>
    <v>54.09</v>
    <v>53.22</v>
    <v>53.55</v>
    <v>54.1</v>
    <v>58.39</v>
    <v>58.43</v>
    <v>56.61</v>
    <v>55.74</v>
    <v>55.66</v>
    <v>55.48</v>
    <v>55.75</v>
    <v>55.08</v>
    <v>54.65</v>
    <v>54.37</v>
    <v>53.98</v>
    <v>53.64</v>
    <v>54.17</v>
    <v>53.87</v>
    <v>52.9</v>
    <v>53.56</v>
    <v>54.1</v>
    <v>54.3</v>
    <v>54.59</v>
    <v>55.93</v>
    <v>55.66</v>
    <v>55.74</v>
    <v>55.53</v>
    <v>55.92</v>
    <v>55.99</v>
    <v>56.16</v>
    <v>55.66</v>
    <v>55.18</v>
    <v>55.48</v>
    <v>54.7</v>
    <v>54.67</v>
    <v>53.85</v>
    <v>53.12</v>
    <v>53.12</v>
    <v>54.92</v>
    <v>54.3</v>
    <v>54.14</v>
    <v>53.96</v>
    <v>54.03</v>
    <v>54.18</v>
    <v>54.84</v>
    <v>54.46</v>
    <v>54.78</v>
    <v>54.3</v>
    <v>54.63</v>
    <v>53.96</v>
    <v>53.92</v>
    <v>52.85</v>
    <v>52.84</v>
    <v>53.08</v>
    <v>53.94</v>
    <v>54.62</v>
    <v>54.62</v>
    <v>55.3</v>
    <v>56.06</v>
    <v>55.87</v>
    <v>57.09</v>
    <v>58.15</v>
    <v>58.95</v>
    <v>58.23</v>
    <v>58.35</v>
    <v>57.52</v>
    <v>59.36</v>
    <v>59.02</v>
  </a>
  <a r="1" c="256">
    <v>57.888399999999997</v>
    <v>57.716999999999999</v>
    <v>57.567</v>
    <v>56.881500000000003</v>
    <v>56.3673</v>
    <v>56.345799999999997</v>
    <v>56.238700000000001</v>
    <v>56.4101</v>
    <v>56.624400000000001</v>
    <v>56.86</v>
    <v>56.195900000000002</v>
    <v>56.645800000000001</v>
    <v>56.474400000000003</v>
    <v>56.453000000000003</v>
    <v>56.260100000000001</v>
    <v>55.831699999999998</v>
    <v>54.8461</v>
    <v>54.7819</v>
    <v>54.696199999999997</v>
    <v>54.674700000000001</v>
    <v>54.760399999999997</v>
    <v>56.088799999999999</v>
    <v>55.381799999999998</v>
    <v>55.917400000000001</v>
    <v>55.488900000000001</v>
    <v>55.445999999999998</v>
    <v>55.724499999999999</v>
    <v>55.831699999999998</v>
    <v>54.7819</v>
    <v>54.631900000000002</v>
    <v>54.460500000000003</v>
    <v>54.8033</v>
    <v>53.696300000000001</v>
    <v>55.5</v>
    <v>55.23</v>
    <v>55.49</v>
    <v>55.11</v>
    <v>55.34</v>
    <v>54.72</v>
    <v>55.65</v>
    <v>55.95</v>
    <v>55.87</v>
    <v>55.45</v>
    <v>55.54</v>
    <v>55.49</v>
    <v>55.85</v>
    <v>55.71</v>
    <v>55.7</v>
    <v>55.47</v>
    <v>54.35</v>
    <v>54.91</v>
    <v>53.52</v>
    <v>53.87</v>
    <v>54.78</v>
    <v>55.17</v>
    <v>55.22</v>
    <v>55.83</v>
    <v>55.23</v>
    <v>54.99</v>
    <v>55.02</v>
    <v>54.99</v>
    <v>55.05</v>
    <v>55.55</v>
    <v>56.27</v>
    <v>56.34</v>
    <v>56.26</v>
    <v>55.87</v>
    <v>56.45</v>
    <v>57.17</v>
    <v>57.84</v>
    <v>58.64</v>
    <v>60.04</v>
    <v>60.48</v>
    <v>60.77</v>
    <v>59.66</v>
    <v>60.53</v>
    <v>61.32</v>
    <v>61.53</v>
    <v>62.7</v>
    <v>62.59</v>
    <v>62.11</v>
    <v>61.2</v>
    <v>61.02</v>
    <v>61.72</v>
    <v>62.52</v>
    <v>62.92</v>
    <v>62.18</v>
    <v>61.68</v>
    <v>62.26</v>
    <v>61.14</v>
    <v>59.12</v>
    <v>58.92</v>
    <v>58.41</v>
    <v>57.29</v>
    <v>56.92</v>
    <v>56.99</v>
    <v>56.44</v>
    <v>56.26</v>
    <v>56.13</v>
    <v>56.68</v>
    <v>56.79</v>
    <v>54.86</v>
    <v>53.33</v>
    <v>53</v>
    <v>52.76</v>
    <v>52.56</v>
    <v>52.71</v>
    <v>52.18</v>
    <v>51.95</v>
    <v>52.42</v>
    <v>48.62</v>
    <v>48.3</v>
    <v>48.04</v>
    <v>48.18</v>
    <v>49.604999999999997</v>
    <v>49.69</v>
    <v>49.67</v>
    <v>49.524999999999999</v>
    <v>49.185000000000002</v>
    <v>49.17</v>
    <v>48.71</v>
    <v>49.75</v>
    <v>49.31</v>
    <v>48.704999999999998</v>
    <v>48.61</v>
    <v>49.055</v>
    <v>49.56</v>
    <v>49.16</v>
    <v>49.295000000000002</v>
    <v>48.77</v>
    <v>49.924999999999997</v>
    <v>49.854999999999997</v>
    <v>49.66</v>
    <v>50.66</v>
    <v>50.16</v>
    <v>49.58</v>
    <v>48.655000000000001</v>
    <v>49.39</v>
    <v>49.09</v>
    <v>48.8</v>
    <v>48.314999999999998</v>
    <v>49.06</v>
    <v>49.67</v>
    <v>49.62</v>
    <v>49.39</v>
    <v>49.325000000000003</v>
    <v>49.03</v>
    <v>49.14</v>
    <v>49.93</v>
    <v>49.164999999999999</v>
    <v>48.57</v>
    <v>47.875</v>
    <v>47.54</v>
    <v>47.704999999999998</v>
    <v>47.155000000000001</v>
    <v>48.61</v>
    <v>48.48</v>
    <v>49.645000000000003</v>
    <v>51.01</v>
    <v>50.44</v>
    <v>50.8</v>
    <v>50.58</v>
    <v>50.94</v>
    <v>50.5</v>
    <v>50.86</v>
    <v>50.41</v>
    <v>50.99</v>
    <v>51.88</v>
    <v>52.75</v>
    <v>53.18</v>
    <v>53.36</v>
    <v>53.19</v>
    <v>52.65</v>
    <v>53.27</v>
    <v>54.29</v>
    <v>54.08</v>
    <v>53.41</v>
    <v>55.04</v>
    <v>54.45</v>
    <v>53.56</v>
    <v>54.01</v>
    <v>53.8</v>
    <v>53.53</v>
    <v>53.77</v>
    <v>54.56</v>
    <v>54.91</v>
    <v>54.65</v>
    <v>53.44</v>
    <v>54.09</v>
    <v>53.22</v>
    <v>53.55</v>
    <v>54.1</v>
    <v>58.39</v>
    <v>58.43</v>
    <v>56.61</v>
    <v>55.74</v>
    <v>55.66</v>
    <v>55.48</v>
    <v>55.75</v>
    <v>55.08</v>
    <v>54.65</v>
    <v>54.37</v>
    <v>53.98</v>
    <v>53.64</v>
    <v>54.17</v>
    <v>53.87</v>
    <v>52.9</v>
    <v>53.56</v>
    <v>54.1</v>
    <v>54.3</v>
    <v>54.59</v>
    <v>55.93</v>
    <v>55.66</v>
    <v>55.74</v>
    <v>55.53</v>
    <v>55.92</v>
    <v>55.99</v>
    <v>56.16</v>
    <v>55.66</v>
    <v>55.18</v>
    <v>55.48</v>
    <v>54.7</v>
    <v>54.67</v>
    <v>53.85</v>
    <v>53.12</v>
    <v>53.12</v>
    <v>54.92</v>
    <v>54.3</v>
    <v>54.14</v>
    <v>53.96</v>
    <v>54.03</v>
    <v>54.18</v>
    <v>54.84</v>
    <v>54.46</v>
    <v>54.78</v>
    <v>54.3</v>
    <v>54.63</v>
    <v>53.96</v>
    <v>53.92</v>
    <v>52.85</v>
    <v>52.84</v>
    <v>53.08</v>
    <v>53.94</v>
    <v>54.62</v>
    <v>54.62</v>
    <v>55.3</v>
    <v>56.06</v>
    <v>55.87</v>
    <v>57.09</v>
    <v>58.15</v>
    <v>58.95</v>
    <v>58.23</v>
    <v>58.35</v>
    <v>57.52</v>
    <v>59.36</v>
    <v>59.02</v>
  </a>
  <a r="1" c="208">
    <v>46.91</v>
    <v>47.33</v>
    <v>48.32</v>
    <v>48.29</v>
    <v>48.06</v>
    <v>48.08</v>
    <v>48.38</v>
    <v>47.87</v>
    <v>47.71</v>
    <v>48.22</v>
    <v>47.82</v>
    <v>46.44</v>
    <v>46.16</v>
    <v>46</v>
    <v>46.75</v>
    <v>46</v>
    <v>46.32</v>
    <v>47.03</v>
    <v>46.4</v>
    <v>46.88</v>
    <v>47.32</v>
    <v>47.57</v>
    <v>48.35</v>
    <v>49.55</v>
    <v>49.47</v>
    <v>49.7</v>
    <v>50.58</v>
    <v>51.14</v>
    <v>51.28</v>
    <v>48.78</v>
    <v>49.18</v>
    <v>48.92</v>
    <v>49.47</v>
    <v>49.65</v>
    <v>49.92</v>
    <v>49.95</v>
    <v>49.5</v>
    <v>49.11</v>
    <v>49.44</v>
    <v>49.82</v>
    <v>50.1</v>
    <v>48.67</v>
    <v>46.75</v>
    <v>48.12</v>
    <v>45.89</v>
    <v>46.17</v>
    <v>45.51</v>
    <v>46.77</v>
    <v>46.28</v>
    <v>45.94</v>
    <v>45.05</v>
    <v>45.12</v>
    <v>44.66</v>
    <v>45.36</v>
    <v>43.93</v>
    <v>43.99</v>
    <v>44.55</v>
    <v>44.82</v>
    <v>44.98</v>
    <v>44.72</v>
    <v>44.17</v>
    <v>44.71</v>
    <v>44.75</v>
    <v>46.6</v>
    <v>46.12</v>
    <v>45.73</v>
    <v>48.33</v>
    <v>48.63</v>
    <v>49.14</v>
    <v>48.24</v>
    <v>48.77</v>
    <v>48.2</v>
    <v>48.64</v>
    <v>50.14</v>
    <v>49.89</v>
    <v>49.28</v>
    <v>48.76</v>
    <v>47.94</v>
    <v>47.79</v>
    <v>47.6</v>
    <v>47.87</v>
    <v>46.86</v>
    <v>50.38</v>
    <v>46.71</v>
    <v>46.26</v>
    <v>46.82</v>
    <v>47.32</v>
    <v>46.85</v>
    <v>47.39</v>
    <v>47.19</v>
    <v>47.49</v>
    <v>47.91</v>
    <v>46.8</v>
    <v>47.26</v>
    <v>47.07</v>
    <v>48.09</v>
    <v>47.91</v>
    <v>49.88</v>
    <v>50.26</v>
    <v>49.87</v>
    <v>50.58</v>
    <v>51.28</v>
    <v>51.2</v>
    <v>51.4</v>
    <v>52.96</v>
    <v>52.54</v>
    <v>52.3</v>
    <v>52.16</v>
    <v>51.76</v>
    <v>51.74</v>
    <v>50.82</v>
    <v>51.24</v>
    <v>51.72</v>
    <v>52.16</v>
    <v>52.82</v>
    <v>52.68</v>
    <v>52</v>
    <v>51.3</v>
    <v>51.6</v>
    <v>51.06</v>
    <v>51.18</v>
    <v>53</v>
    <v>52.36</v>
    <v>52.14</v>
    <v>53.1</v>
    <v>53.84</v>
    <v>55.78</v>
    <v>56</v>
    <v>55.72</v>
    <v>56.68</v>
    <v>55.26</v>
    <v>56.72</v>
    <v>56.3</v>
    <v>56.94</v>
    <v>57.22</v>
    <v>57.72</v>
    <v>56.98</v>
    <v>56.9</v>
    <v>56.22</v>
    <v>57.12</v>
    <v>57.08</v>
    <v>56.34</v>
    <v>57.04</v>
    <v>57.06</v>
    <v>57.38</v>
    <v>57.18</v>
    <v>57.82</v>
    <v>57.76</v>
    <v>57.4</v>
    <v>57.72</v>
    <v>55.58</v>
    <v>55.3</v>
    <v>55.32</v>
    <v>55.26</v>
    <v>55.32</v>
    <v>55.32</v>
    <v>55.48</v>
    <v>55.26</v>
    <v>54.58</v>
    <v>55.16</v>
    <v>55.32</v>
    <v>55.4</v>
    <v>55.98</v>
    <v>56.5</v>
    <v>56.84</v>
    <v>56.82</v>
    <v>56.42</v>
    <v>56.52</v>
    <v>56.14</v>
    <v>55.58</v>
    <v>54.88</v>
    <v>55.2</v>
    <v>54.96</v>
    <v>55.5</v>
    <v>55.12</v>
    <v>54.44</v>
    <v>54.94</v>
    <v>55.02</v>
    <v>55.84</v>
    <v>55.8</v>
    <v>55.76</v>
    <v>56.5</v>
    <v>56</v>
    <v>57.38</v>
    <v>58.62</v>
    <v>57.3</v>
    <v>56.48</v>
    <v>57.2</v>
    <v>56.98</v>
    <v>56.96</v>
    <v>57</v>
    <v>55.74</v>
    <v>56.72</v>
    <v>55.92</v>
    <v>56.16</v>
    <v>55.56</v>
    <v>54.94</v>
    <v>56</v>
    <v>56.74</v>
    <v>56.42</v>
    <v>56.78</v>
    <v>57.7</v>
    <v>58.22</v>
    <v>57.7</v>
    <v>57.68</v>
    <v>57.88</v>
    <v>57.12</v>
    <v>57.28</v>
  </a>
  <a r="1" c="763">
    <v>37.770000000000003</v>
    <v>37.515000000000001</v>
    <v>36.78</v>
    <v>36.365000000000002</v>
    <v>36.520000000000003</v>
    <v>36.61</v>
    <v>36.76</v>
    <v>36.76</v>
    <v>37.78</v>
    <v>37.734999999999999</v>
    <v>37.200000000000003</v>
    <v>37.130000000000003</v>
    <v>38.195</v>
    <v>38.984999999999999</v>
    <v>38.965000000000003</v>
    <v>39.25</v>
    <v>40.204999999999998</v>
    <v>40.39</v>
    <v>40.479999999999997</v>
    <v>40.515000000000001</v>
    <v>40.935000000000002</v>
    <v>40.895000000000003</v>
    <v>41.115000000000002</v>
    <v>41.18</v>
    <v>41.625</v>
    <v>41.795000000000002</v>
    <v>42.21</v>
    <v>42.91</v>
    <v>43.04</v>
    <v>43.994999999999997</v>
    <v>43.844999999999999</v>
    <v>44.564999999999998</v>
    <v>44.865000000000002</v>
    <v>45.3</v>
    <v>45.895000000000003</v>
    <v>46.045000000000002</v>
    <v>46.25</v>
    <v>46.094999999999999</v>
    <v>45.6</v>
    <v>46.17</v>
    <v>45.744999999999997</v>
    <v>45.755000000000003</v>
    <v>44.87</v>
    <v>44.95</v>
    <v>45.195</v>
    <v>44.93</v>
    <v>44.7</v>
    <v>44.854999999999997</v>
    <v>44.905000000000001</v>
    <v>44.35</v>
    <v>44.174999999999997</v>
    <v>44.39</v>
    <v>44.59</v>
    <v>44.744999999999997</v>
    <v>44.755000000000003</v>
    <v>44.67</v>
    <v>45.18</v>
    <v>44.74</v>
    <v>44.505000000000003</v>
    <v>43.65</v>
    <v>44.13</v>
    <v>43.725000000000001</v>
    <v>44.344999999999999</v>
    <v>44.35</v>
    <v>44.975000000000001</v>
    <v>45.274999999999999</v>
    <v>45.354999999999997</v>
    <v>44.82</v>
    <v>44.445</v>
    <v>44.52</v>
    <v>44.39</v>
    <v>44.34</v>
    <v>43.975000000000001</v>
    <v>44.405000000000001</v>
    <v>42.09</v>
    <v>42.725000000000001</v>
    <v>42.36</v>
    <v>42.234999999999999</v>
    <v>41.88</v>
    <v>42.15</v>
    <v>42.534999999999997</v>
    <v>42.72</v>
    <v>42.994999999999997</v>
    <v>42.98</v>
    <v>43.1</v>
    <v>43.505000000000003</v>
    <v>43.454999999999998</v>
    <v>42.92</v>
    <v>42.835000000000001</v>
    <v>43.19</v>
    <v>42.91</v>
    <v>42.545000000000002</v>
    <v>42.405000000000001</v>
    <v>41.69</v>
    <v>39.07</v>
    <v>39.354999999999997</v>
    <v>38.445</v>
    <v>38.729999999999997</v>
    <v>38.945</v>
    <v>38.85</v>
    <v>38.575000000000003</v>
    <v>39.14</v>
    <v>38.534999999999997</v>
    <v>38.82</v>
    <v>38.82</v>
    <v>38.924999999999997</v>
    <v>39.75</v>
    <v>39.840000000000003</v>
    <v>40.200000000000003</v>
    <v>40.49</v>
    <v>39.914999999999999</v>
    <v>39.19</v>
    <v>39.619999999999997</v>
    <v>39.89</v>
    <v>39.03</v>
    <v>39.42</v>
    <v>39.130000000000003</v>
    <v>39.020000000000003</v>
    <v>39</v>
    <v>38.79</v>
    <v>38.99</v>
    <v>38.229999999999997</v>
    <v>38.299999999999997</v>
    <v>38.29</v>
    <v>38.340000000000003</v>
    <v>38.65</v>
    <v>39.049999999999997</v>
    <v>38.44</v>
    <v>38</v>
    <v>38.840000000000003</v>
    <v>38.9</v>
    <v>39.26</v>
    <v>39.520000000000003</v>
    <v>39.799999999999997</v>
    <v>38.42</v>
    <v>38.590000000000003</v>
    <v>38.31</v>
    <v>38.97</v>
    <v>39.58</v>
    <v>39.58</v>
    <v>39.39</v>
    <v>39.75</v>
    <v>40.28</v>
    <v>39.97</v>
    <v>39.880000000000003</v>
    <v>39.18</v>
    <v>39.1</v>
    <v>38.619999999999997</v>
    <v>38.94</v>
    <v>39.04</v>
    <v>39.200000000000003</v>
    <v>38.43</v>
    <v>38.39</v>
    <v>38.659999999999997</v>
    <v>38.65</v>
    <v>38.57</v>
    <v>39.24</v>
    <v>39.72</v>
    <v>39.5</v>
    <v>39.21</v>
    <v>38.68</v>
    <v>39</v>
    <v>38.630000000000003</v>
    <v>37.75</v>
    <v>37.659999999999997</v>
    <v>37.97</v>
    <v>37.76</v>
    <v>38.15</v>
    <v>37.69</v>
    <v>38.15</v>
    <v>38.1</v>
    <v>38.26</v>
    <v>37.97</v>
    <v>37.79</v>
    <v>38.520000000000003</v>
    <v>38.549999999999997</v>
    <v>39.64</v>
    <v>39.880000000000003</v>
    <v>40.119999999999997</v>
    <v>40.29</v>
    <v>39.56</v>
    <v>39.97</v>
    <v>40.299999999999997</v>
    <v>40.83</v>
    <v>40.869999999999997</v>
    <v>40.58</v>
    <v>40.200000000000003</v>
    <v>40.369999999999997</v>
    <v>39.85</v>
    <v>40.67</v>
    <v>40.270000000000003</v>
    <v>39.909999999999997</v>
    <v>40.090000000000003</v>
    <v>40.479999999999997</v>
    <v>40.61</v>
    <v>41.03</v>
    <v>41.25</v>
    <v>38.659999999999997</v>
    <v>37.07</v>
    <v>36.71</v>
    <v>36.590000000000003</v>
    <v>37.04</v>
    <v>36.33</v>
    <v>36.17</v>
    <v>36.04</v>
    <v>36.01</v>
    <v>36.47</v>
    <v>37.5</v>
    <v>37.75</v>
    <v>38.24</v>
    <v>37.92</v>
    <v>37.99</v>
    <v>38.08</v>
    <v>38.35</v>
    <v>38.29</v>
    <v>38.4</v>
    <v>38.54</v>
    <v>38.9</v>
    <v>39.200000000000003</v>
    <v>39.72</v>
    <v>39.33</v>
    <v>39.19</v>
    <v>39.03</v>
    <v>38.47</v>
    <v>39</v>
    <v>39.119999999999997</v>
    <v>39.24</v>
    <v>40.22</v>
    <v>39.81</v>
    <v>39.619999999999997</v>
    <v>39.81</v>
    <v>39.9</v>
    <v>39.619999999999997</v>
    <v>37.89</v>
    <v>37.729999999999997</v>
    <v>38.33</v>
    <v>38.49</v>
    <v>39.53</v>
    <v>40.200000000000003</v>
    <v>40.03</v>
    <v>39.14</v>
    <v>38.659999999999997</v>
    <v>38.47</v>
    <v>38.200000000000003</v>
    <v>38.200000000000003</v>
    <v>38.11</v>
    <v>38.47</v>
    <v>37.57</v>
    <v>37.64</v>
    <v>38.04</v>
    <v>37.97</v>
    <v>37.979999999999997</v>
    <v>37.89</v>
    <v>38</v>
    <v>37.65</v>
    <v>37.68</v>
    <v>37.06</v>
    <v>37.82</v>
    <v>37.72</v>
    <v>37.99</v>
    <v>37.840000000000003</v>
    <v>37.35</v>
    <v>36.93</v>
    <v>37.450000000000003</v>
    <v>37.35</v>
    <v>35.840000000000003</v>
    <v>34.47</v>
    <v>35.31</v>
    <v>35.43</v>
    <v>35.58</v>
    <v>34.840000000000003</v>
    <v>34.39</v>
    <v>35.11</v>
    <v>35.29</v>
    <v>35.58</v>
    <v>35.14</v>
    <v>34.82</v>
    <v>34.700000000000003</v>
    <v>35.119999999999997</v>
    <v>35.21</v>
    <v>34.549999999999997</v>
    <v>34.42</v>
    <v>34.590000000000003</v>
    <v>34.770000000000003</v>
    <v>35.15</v>
    <v>35.08</v>
    <v>34.729999999999997</v>
    <v>35.46</v>
    <v>35.590000000000003</v>
    <v>35.880000000000003</v>
    <v>35.79</v>
    <v>35.94</v>
    <v>35.36</v>
    <v>35.32</v>
    <v>35.01</v>
    <v>34.090000000000003</v>
    <v>33.71</v>
    <v>33.520000000000003</v>
    <v>33.64</v>
    <v>33.61</v>
    <v>33.92</v>
    <v>33.979999999999997</v>
    <v>33.92</v>
    <v>33.67</v>
    <v>34.21</v>
    <v>34.49</v>
    <v>34.590000000000003</v>
    <v>34</v>
    <v>33.76</v>
    <v>33.53</v>
    <v>33.049999999999997</v>
    <v>34.46</v>
    <v>34.79</v>
    <v>35.479999999999997</v>
    <v>36.090000000000003</v>
    <v>35.56</v>
    <v>34.979999999999997</v>
    <v>35.35</v>
    <v>35.67</v>
    <v>35.840000000000003</v>
    <v>36.130000000000003</v>
    <v>35.770000000000003</v>
    <v>35.06</v>
    <v>34.81</v>
    <v>34.29</v>
    <v>34.369999999999997</v>
    <v>34.35</v>
    <v>35.409999999999997</v>
    <v>34.799999999999997</v>
    <v>35.270000000000003</v>
    <v>35.47</v>
    <v>35.4</v>
    <v>36.97</v>
    <v>36.619999999999997</v>
    <v>36.86</v>
    <v>36.96</v>
    <v>36.369999999999997</v>
    <v>36.56</v>
    <v>36.840000000000003</v>
    <v>37.47</v>
    <v>37.33</v>
    <v>37.97</v>
    <v>37.43</v>
    <v>37.69</v>
    <v>38.380000000000003</v>
    <v>37.200000000000003</v>
    <v>38.770000000000003</v>
    <v>44.27</v>
    <v>43.05</v>
    <v>42.53</v>
    <v>41.79</v>
    <v>41.64</v>
    <v>41.72</v>
    <v>42.69</v>
    <v>42.41</v>
    <v>42.8</v>
    <v>42.85</v>
    <v>41.98</v>
    <v>40.950000000000003</v>
    <v>41.06</v>
    <v>41.44</v>
    <v>40.549999999999997</v>
    <v>39.99</v>
    <v>39.83</v>
    <v>39.479999999999997</v>
    <v>39.799999999999997</v>
    <v>39.22</v>
    <v>37.270000000000003</v>
    <v>34.979999999999997</v>
    <v>33.67</v>
    <v>34.08</v>
    <v>32.619999999999997</v>
    <v>34.26</v>
    <v>34.17</v>
    <v>35.799999999999997</v>
    <v>36.25</v>
    <v>36.24</v>
    <v>35.78</v>
    <v>35.96</v>
    <v>36.909999999999997</v>
    <v>37.07</v>
    <v>37.29</v>
    <v>37.17</v>
    <v>37.03</v>
    <v>37.51</v>
    <v>38.18</v>
    <v>36.94</v>
    <v>37.06</v>
    <v>36.770000000000003</v>
    <v>37.46</v>
    <v>37.270000000000003</v>
    <v>39.04</v>
    <v>39.340000000000003</v>
    <v>39.049999999999997</v>
    <v>39.01</v>
    <v>38.65</v>
    <v>39</v>
    <v>39.04</v>
    <v>39.06</v>
    <v>38.68</v>
    <v>38.020000000000003</v>
    <v>38.69</v>
    <v>39.08</v>
    <v>38.81</v>
    <v>39.020000000000003</v>
    <v>39.369999999999997</v>
    <v>39.229999999999997</v>
    <v>39.58</v>
    <v>40.36</v>
    <v>40.28</v>
    <v>40.78</v>
    <v>40.71</v>
    <v>41.1</v>
    <v>40.98</v>
    <v>41.36</v>
    <v>40.770000000000003</v>
    <v>40.85</v>
    <v>40.57</v>
    <v>40.64</v>
    <v>40.22</v>
    <v>40.619999999999997</v>
    <v>39.89</v>
    <v>39.03</v>
    <v>38.44</v>
    <v>38.590000000000003</v>
    <v>39.79</v>
    <v>39.21</v>
    <v>39.15</v>
    <v>39.31</v>
    <v>39.6</v>
    <v>38.94</v>
    <v>39.049999999999997</v>
    <v>39.549999999999997</v>
    <v>39.89</v>
    <v>40.119999999999997</v>
    <v>39.299999999999997</v>
    <v>38.880000000000003</v>
    <v>38.700000000000003</v>
    <v>38.57</v>
    <v>39.04</v>
    <v>39.07</v>
    <v>38.880000000000003</v>
    <v>38.99</v>
    <v>40.29</v>
    <v>40.69</v>
    <v>40.79</v>
    <v>40.9</v>
    <v>39.78</v>
    <v>39.799999999999997</v>
    <v>39.450000000000003</v>
    <v>38.270000000000003</v>
    <v>39.159999999999997</v>
    <v>38.94</v>
    <v>38.85</v>
    <v>40.25</v>
    <v>40.83</v>
    <v>40.58</v>
    <v>41.54</v>
    <v>41.69</v>
    <v>41.62</v>
    <v>41.79</v>
    <v>40.9</v>
    <v>41.8</v>
    <v>41.39</v>
    <v>40.549999999999997</v>
    <v>40.18</v>
    <v>39.619999999999997</v>
    <v>39.08</v>
    <v>39.21</v>
    <v>39.020000000000003</v>
    <v>38.880000000000003</v>
    <v>39.28</v>
    <v>38.299999999999997</v>
    <v>38.46</v>
    <v>39.06</v>
    <v>39</v>
    <v>39.119999999999997</v>
    <v>38.57</v>
    <v>38.4</v>
    <v>38.520000000000003</v>
    <v>38.46</v>
    <v>38.35</v>
    <v>38.08</v>
    <v>38.340000000000003</v>
    <v>38.130000000000003</v>
    <v>37.68</v>
    <v>37.049999999999997</v>
    <v>37.659999999999997</v>
    <v>37.770000000000003</v>
    <v>37.82</v>
    <v>38.08</v>
    <v>38.020000000000003</v>
    <v>37.94</v>
    <v>38.229999999999997</v>
    <v>38.76</v>
    <v>38.9</v>
    <v>39.159999999999997</v>
    <v>38.68</v>
    <v>38.9</v>
    <v>38.869999999999997</v>
    <v>38.369999999999997</v>
    <v>38.76</v>
    <v>38.47</v>
    <v>38.68</v>
    <v>39.15</v>
    <v>39.380000000000003</v>
    <v>39.909999999999997</v>
    <v>39.64</v>
    <v>39.47</v>
    <v>39.159999999999997</v>
    <v>39.200000000000003</v>
    <v>39.72</v>
    <v>40.26</v>
    <v>39.79</v>
    <v>39.71</v>
    <v>39.799999999999997</v>
    <v>39.75</v>
    <v>39.11</v>
    <v>39.880000000000003</v>
    <v>43.32</v>
    <v>43.01</v>
    <v>44</v>
    <v>44.4</v>
    <v>45.18</v>
    <v>44.56</v>
    <v>43.97</v>
    <v>42.99</v>
    <v>42.09</v>
    <v>42.75</v>
    <v>42.52</v>
    <v>43</v>
    <v>43.82</v>
    <v>44.04</v>
    <v>44.79</v>
    <v>45</v>
    <v>44.83</v>
    <v>45.46</v>
    <v>45.02</v>
    <v>44.99</v>
    <v>45.51</v>
    <v>45.58</v>
    <v>45.95</v>
    <v>45.9</v>
    <v>45.77</v>
    <v>47</v>
    <v>46.98</v>
    <v>47.1</v>
    <v>46.72</v>
    <v>46.2</v>
    <v>46.62</v>
    <v>46.68</v>
    <v>46.58</v>
    <v>46.59</v>
    <v>46.66</v>
    <v>46.73</v>
    <v>46.91</v>
    <v>47.33</v>
    <v>48.32</v>
    <v>48.29</v>
    <v>48.06</v>
    <v>48.08</v>
    <v>48.38</v>
    <v>47.87</v>
    <v>47.71</v>
    <v>48.22</v>
    <v>47.82</v>
    <v>46.44</v>
    <v>46.16</v>
    <v>46</v>
    <v>46.75</v>
    <v>46</v>
    <v>46.32</v>
    <v>47.03</v>
    <v>46.4</v>
    <v>46.88</v>
    <v>47.32</v>
    <v>47.57</v>
    <v>48.35</v>
    <v>49.55</v>
    <v>49.47</v>
    <v>49.7</v>
    <v>50.58</v>
    <v>51.14</v>
    <v>51.28</v>
    <v>48.78</v>
    <v>49.18</v>
    <v>48.92</v>
    <v>49.47</v>
    <v>49.65</v>
    <v>49.92</v>
    <v>49.95</v>
    <v>49.5</v>
    <v>49.11</v>
    <v>49.44</v>
    <v>49.82</v>
    <v>50.1</v>
    <v>48.67</v>
    <v>46.75</v>
    <v>48.12</v>
    <v>45.89</v>
    <v>46.17</v>
    <v>45.51</v>
    <v>46.77</v>
    <v>46.28</v>
    <v>45.94</v>
    <v>45.05</v>
    <v>45.12</v>
    <v>44.66</v>
    <v>45.36</v>
    <v>43.93</v>
    <v>43.99</v>
    <v>44.55</v>
    <v>44.82</v>
    <v>44.98</v>
    <v>44.72</v>
    <v>44.17</v>
    <v>44.71</v>
    <v>44.75</v>
    <v>46.6</v>
    <v>46.12</v>
    <v>45.73</v>
    <v>48.33</v>
    <v>48.63</v>
    <v>49.14</v>
    <v>48.24</v>
    <v>48.77</v>
    <v>48.2</v>
    <v>48.64</v>
    <v>50.14</v>
    <v>49.89</v>
    <v>49.28</v>
    <v>48.76</v>
    <v>47.94</v>
    <v>47.79</v>
    <v>47.6</v>
    <v>47.87</v>
    <v>46.86</v>
    <v>50.38</v>
    <v>46.71</v>
    <v>46.26</v>
    <v>46.82</v>
    <v>47.32</v>
    <v>46.85</v>
    <v>47.39</v>
    <v>47.19</v>
    <v>47.49</v>
    <v>47.91</v>
    <v>46.8</v>
    <v>47.26</v>
    <v>47.07</v>
    <v>48.09</v>
    <v>47.91</v>
    <v>49.88</v>
    <v>50.26</v>
    <v>49.87</v>
    <v>50.58</v>
    <v>51.28</v>
    <v>51.2</v>
    <v>51.4</v>
    <v>52.96</v>
    <v>52.54</v>
    <v>52.3</v>
    <v>52.16</v>
    <v>51.76</v>
    <v>51.74</v>
    <v>50.82</v>
    <v>51.24</v>
    <v>51.72</v>
    <v>52.16</v>
    <v>52.82</v>
    <v>52.68</v>
    <v>52</v>
    <v>51.3</v>
    <v>51.6</v>
    <v>51.06</v>
    <v>51.18</v>
    <v>53</v>
    <v>52.36</v>
    <v>52.14</v>
    <v>53.1</v>
    <v>53.84</v>
    <v>55.78</v>
    <v>56</v>
    <v>55.72</v>
    <v>56.68</v>
    <v>55.26</v>
    <v>56.72</v>
    <v>56.3</v>
    <v>56.94</v>
    <v>57.22</v>
    <v>57.72</v>
    <v>56.98</v>
    <v>56.9</v>
    <v>56.22</v>
    <v>57.12</v>
    <v>57.08</v>
    <v>56.34</v>
    <v>57.04</v>
    <v>57.06</v>
    <v>57.38</v>
    <v>57.18</v>
    <v>57.82</v>
    <v>57.76</v>
    <v>57.4</v>
    <v>57.72</v>
    <v>55.58</v>
    <v>55.3</v>
    <v>55.32</v>
    <v>55.26</v>
    <v>55.32</v>
    <v>55.32</v>
    <v>55.48</v>
    <v>55.26</v>
    <v>54.58</v>
    <v>55.16</v>
    <v>55.32</v>
    <v>55.4</v>
    <v>55.98</v>
    <v>56.5</v>
    <v>56.84</v>
    <v>56.82</v>
    <v>56.42</v>
    <v>56.52</v>
    <v>56.14</v>
    <v>55.58</v>
    <v>54.88</v>
    <v>55.2</v>
    <v>54.96</v>
    <v>55.5</v>
    <v>55.12</v>
    <v>54.44</v>
    <v>54.94</v>
    <v>55.02</v>
    <v>55.84</v>
    <v>55.8</v>
    <v>55.76</v>
    <v>56.5</v>
    <v>56</v>
    <v>57.38</v>
    <v>58.62</v>
    <v>57.3</v>
    <v>56.48</v>
    <v>57.2</v>
    <v>56.98</v>
    <v>56.96</v>
    <v>57</v>
    <v>55.74</v>
    <v>56.72</v>
    <v>55.92</v>
    <v>56.16</v>
    <v>55.56</v>
    <v>54.94</v>
    <v>56</v>
    <v>56.74</v>
    <v>56.42</v>
    <v>56.78</v>
    <v>57.7</v>
    <v>58.22</v>
    <v>57.7</v>
    <v>57.68</v>
    <v>57.88</v>
    <v>57.12</v>
    <v>57.28</v>
  </a>
  <a r="1" c="254">
    <v>39.159999999999997</v>
    <v>39.200000000000003</v>
    <v>39.72</v>
    <v>40.26</v>
    <v>39.79</v>
    <v>39.71</v>
    <v>39.799999999999997</v>
    <v>39.75</v>
    <v>39.11</v>
    <v>39.880000000000003</v>
    <v>43.32</v>
    <v>43.01</v>
    <v>44</v>
    <v>44.4</v>
    <v>45.18</v>
    <v>44.56</v>
    <v>43.97</v>
    <v>42.99</v>
    <v>42.09</v>
    <v>42.75</v>
    <v>42.52</v>
    <v>43</v>
    <v>43.82</v>
    <v>44.04</v>
    <v>44.79</v>
    <v>45</v>
    <v>44.83</v>
    <v>45.46</v>
    <v>45.02</v>
    <v>44.99</v>
    <v>45.51</v>
    <v>45.58</v>
    <v>45.95</v>
    <v>45.9</v>
    <v>45.77</v>
    <v>47</v>
    <v>46.98</v>
    <v>47.1</v>
    <v>46.72</v>
    <v>46.2</v>
    <v>46.62</v>
    <v>46.68</v>
    <v>46.58</v>
    <v>46.59</v>
    <v>46.66</v>
    <v>46.73</v>
    <v>46.91</v>
    <v>47.33</v>
    <v>48.32</v>
    <v>48.29</v>
    <v>48.06</v>
    <v>48.08</v>
    <v>48.38</v>
    <v>47.87</v>
    <v>47.71</v>
    <v>48.22</v>
    <v>47.82</v>
    <v>46.44</v>
    <v>46.16</v>
    <v>46</v>
    <v>46.75</v>
    <v>46</v>
    <v>46.32</v>
    <v>47.03</v>
    <v>46.4</v>
    <v>46.88</v>
    <v>47.32</v>
    <v>47.57</v>
    <v>48.35</v>
    <v>49.55</v>
    <v>49.47</v>
    <v>49.7</v>
    <v>50.58</v>
    <v>51.14</v>
    <v>51.28</v>
    <v>48.78</v>
    <v>49.18</v>
    <v>48.92</v>
    <v>49.47</v>
    <v>49.65</v>
    <v>49.92</v>
    <v>49.95</v>
    <v>49.5</v>
    <v>49.11</v>
    <v>49.44</v>
    <v>49.82</v>
    <v>50.1</v>
    <v>48.67</v>
    <v>46.75</v>
    <v>48.12</v>
    <v>45.89</v>
    <v>46.17</v>
    <v>45.51</v>
    <v>46.77</v>
    <v>46.28</v>
    <v>45.94</v>
    <v>45.05</v>
    <v>45.12</v>
    <v>44.66</v>
    <v>45.36</v>
    <v>43.93</v>
    <v>43.99</v>
    <v>44.55</v>
    <v>44.82</v>
    <v>44.98</v>
    <v>44.72</v>
    <v>44.17</v>
    <v>44.71</v>
    <v>44.75</v>
    <v>46.6</v>
    <v>46.12</v>
    <v>45.73</v>
    <v>48.33</v>
    <v>48.63</v>
    <v>49.14</v>
    <v>48.24</v>
    <v>48.77</v>
    <v>48.2</v>
    <v>48.64</v>
    <v>50.14</v>
    <v>49.89</v>
    <v>49.28</v>
    <v>48.76</v>
    <v>47.94</v>
    <v>47.79</v>
    <v>47.6</v>
    <v>47.87</v>
    <v>46.86</v>
    <v>50.38</v>
    <v>46.71</v>
    <v>46.26</v>
    <v>46.82</v>
    <v>47.32</v>
    <v>46.85</v>
    <v>47.39</v>
    <v>47.19</v>
    <v>47.49</v>
    <v>47.91</v>
    <v>46.8</v>
    <v>47.26</v>
    <v>47.07</v>
    <v>48.09</v>
    <v>47.91</v>
    <v>49.88</v>
    <v>50.26</v>
    <v>49.87</v>
    <v>50.58</v>
    <v>51.28</v>
    <v>51.2</v>
    <v>51.4</v>
    <v>52.96</v>
    <v>52.54</v>
    <v>52.3</v>
    <v>52.16</v>
    <v>51.76</v>
    <v>51.74</v>
    <v>50.82</v>
    <v>51.24</v>
    <v>51.72</v>
    <v>52.16</v>
    <v>52.82</v>
    <v>52.68</v>
    <v>52</v>
    <v>51.3</v>
    <v>51.6</v>
    <v>51.06</v>
    <v>51.18</v>
    <v>53</v>
    <v>52.36</v>
    <v>52.14</v>
    <v>53.1</v>
    <v>53.84</v>
    <v>55.78</v>
    <v>56</v>
    <v>55.72</v>
    <v>56.68</v>
    <v>55.26</v>
    <v>56.72</v>
    <v>56.3</v>
    <v>56.94</v>
    <v>57.22</v>
    <v>57.72</v>
    <v>56.98</v>
    <v>56.9</v>
    <v>56.22</v>
    <v>57.12</v>
    <v>57.08</v>
    <v>56.34</v>
    <v>57.04</v>
    <v>57.06</v>
    <v>57.38</v>
    <v>57.18</v>
    <v>57.82</v>
    <v>57.76</v>
    <v>57.4</v>
    <v>57.72</v>
    <v>55.58</v>
    <v>55.3</v>
    <v>55.32</v>
    <v>55.26</v>
    <v>55.32</v>
    <v>55.32</v>
    <v>55.48</v>
    <v>55.26</v>
    <v>54.58</v>
    <v>55.16</v>
    <v>55.32</v>
    <v>55.4</v>
    <v>55.98</v>
    <v>56.5</v>
    <v>56.84</v>
    <v>56.82</v>
    <v>56.42</v>
    <v>56.52</v>
    <v>56.14</v>
    <v>55.58</v>
    <v>54.88</v>
    <v>55.2</v>
    <v>54.96</v>
    <v>55.5</v>
    <v>55.12</v>
    <v>54.44</v>
    <v>54.94</v>
    <v>55.02</v>
    <v>55.84</v>
    <v>55.8</v>
    <v>55.76</v>
    <v>56.5</v>
    <v>56</v>
    <v>57.38</v>
    <v>58.62</v>
    <v>57.3</v>
    <v>56.48</v>
    <v>57.2</v>
    <v>56.98</v>
    <v>56.96</v>
    <v>57</v>
    <v>55.74</v>
    <v>56.72</v>
    <v>55.92</v>
    <v>56.16</v>
    <v>55.56</v>
    <v>54.94</v>
    <v>56</v>
    <v>56.74</v>
    <v>56.42</v>
    <v>56.78</v>
    <v>57.7</v>
    <v>58.22</v>
    <v>57.7</v>
    <v>57.68</v>
    <v>57.88</v>
    <v>57.12</v>
    <v>57.28</v>
  </a>
  <a r="1" c="208">
    <v>316.3</v>
    <v>321.39999999999998</v>
    <v>318.2</v>
    <v>317.60000000000002</v>
    <v>321.39999999999998</v>
    <v>325.7</v>
    <v>323.2</v>
    <v>311</v>
    <v>307.8</v>
    <v>306.39999999999998</v>
    <v>300.10000000000002</v>
    <v>292.5</v>
    <v>289.7</v>
    <v>286.39999999999998</v>
    <v>288.5</v>
    <v>284.3</v>
    <v>284.7</v>
    <v>281.7</v>
    <v>280.7</v>
    <v>283.10000000000002</v>
    <v>280.8</v>
    <v>285</v>
    <v>282.39999999999998</v>
    <v>289.39999999999998</v>
    <v>285.39999999999998</v>
    <v>281</v>
    <v>281.60000000000002</v>
    <v>310.3</v>
    <v>322.8</v>
    <v>328.8</v>
    <v>322.3</v>
    <v>316</v>
    <v>318.3</v>
    <v>310.10000000000002</v>
    <v>311.10000000000002</v>
    <v>309.2</v>
    <v>303.89999999999998</v>
    <v>316.5</v>
    <v>319.39999999999998</v>
    <v>319.60000000000002</v>
    <v>321.39999999999998</v>
    <v>308.3</v>
    <v>304.8</v>
    <v>312.8</v>
    <v>308.10000000000002</v>
    <v>301.60000000000002</v>
    <v>295</v>
    <v>300.5</v>
    <v>294.60000000000002</v>
    <v>292.60000000000002</v>
    <v>289.2</v>
    <v>288.60000000000002</v>
    <v>292.7</v>
    <v>290</v>
    <v>274.3</v>
    <v>273.8</v>
    <v>283.10000000000002</v>
    <v>279.3</v>
    <v>276.39999999999998</v>
    <v>279.7</v>
    <v>278.3</v>
    <v>289.89999999999998</v>
    <v>289</v>
    <v>297.8</v>
    <v>295.5</v>
    <v>286.75</v>
    <v>302.55</v>
    <v>300.35000000000002</v>
    <v>301.64999999999998</v>
    <v>299.14999999999998</v>
    <v>305.35000000000002</v>
    <v>302.75</v>
    <v>305.10000000000002</v>
    <v>321.10000000000002</v>
    <v>311.95</v>
    <v>309.3</v>
    <v>308.10000000000002</v>
    <v>305.85000000000002</v>
    <v>299.55</v>
    <v>296.10000000000002</v>
    <v>291.45</v>
    <v>290.25</v>
    <v>293.35000000000002</v>
    <v>291.05</v>
    <v>279.55</v>
    <v>286.10000000000002</v>
    <v>288.85000000000002</v>
    <v>289.5</v>
    <v>281.10000000000002</v>
    <v>280</v>
    <v>283.14999999999998</v>
    <v>287</v>
    <v>279.39999999999998</v>
    <v>277</v>
    <v>286.60000000000002</v>
    <v>290.25</v>
    <v>298.2</v>
    <v>301.55</v>
    <v>310</v>
    <v>284.05</v>
    <v>283.75</v>
    <v>293.64999999999998</v>
    <v>295.2</v>
    <v>298.60000000000002</v>
    <v>304.75</v>
    <v>297.3</v>
    <v>301.7</v>
    <v>300.39999999999998</v>
    <v>305.7</v>
    <v>308.55</v>
    <v>303.89999999999998</v>
    <v>310.3</v>
    <v>306.85000000000002</v>
    <v>319.35000000000002</v>
    <v>318.8</v>
    <v>310.7</v>
    <v>313.35000000000002</v>
    <v>307.5</v>
    <v>306.2</v>
    <v>301.7</v>
    <v>307.5</v>
    <v>312.35000000000002</v>
    <v>322.14999999999998</v>
    <v>323.95</v>
    <v>324.35000000000002</v>
    <v>331.5</v>
    <v>333.15</v>
    <v>331.15</v>
    <v>338.5</v>
    <v>339.35</v>
    <v>327.60000000000002</v>
    <v>327.45</v>
    <v>331</v>
    <v>327.95</v>
    <v>324.5</v>
    <v>329.15</v>
    <v>334.05</v>
    <v>328.85</v>
    <v>326.89999999999998</v>
    <v>325</v>
    <v>326.7</v>
    <v>315.45</v>
    <v>318.14999999999998</v>
    <v>331.8</v>
    <v>341.35</v>
    <v>339.8</v>
    <v>343.65</v>
    <v>340.1</v>
    <v>346.65</v>
    <v>348.2</v>
    <v>352.5</v>
    <v>355.7</v>
    <v>355.65</v>
    <v>352.85</v>
    <v>355.6</v>
    <v>351.6</v>
    <v>355.25</v>
    <v>356.8</v>
    <v>361.65</v>
    <v>357.4</v>
    <v>362.5</v>
    <v>364.15</v>
    <v>371.1</v>
    <v>363.75</v>
    <v>361.8</v>
    <v>356.15</v>
    <v>355.8</v>
    <v>362.65</v>
    <v>364.5</v>
    <v>355.5</v>
    <v>357.05</v>
    <v>357.7</v>
    <v>353.2</v>
    <v>356.15</v>
    <v>348.3</v>
    <v>346</v>
    <v>351.2</v>
    <v>356.2</v>
    <v>352.15</v>
    <v>352.7</v>
    <v>356.95</v>
    <v>359.3</v>
    <v>353.75</v>
    <v>363.35</v>
    <v>360.9</v>
    <v>365</v>
    <v>360.65</v>
    <v>357.05</v>
    <v>347.95</v>
    <v>352.05</v>
    <v>346.4</v>
    <v>342</v>
    <v>343.5</v>
    <v>341.2</v>
    <v>345.25</v>
    <v>345.15</v>
    <v>342.8</v>
    <v>347.85</v>
    <v>351</v>
    <v>351.15</v>
    <v>348.3</v>
    <v>352.8</v>
    <v>356.35</v>
    <v>353.35</v>
    <v>356.35</v>
    <v>353.5</v>
    <v>354.05</v>
    <v>349.5</v>
  </a>
  <a r="1" c="254">
    <v>347.7</v>
    <v>353.9</v>
    <v>351.4</v>
    <v>343.4</v>
    <v>336</v>
    <v>341.7</v>
    <v>346.5</v>
    <v>339.7</v>
    <v>350.7</v>
    <v>354.6</v>
    <v>352</v>
    <v>351.9</v>
    <v>356.8</v>
    <v>364.1</v>
    <v>368.8</v>
    <v>361.5</v>
    <v>360</v>
    <v>353.7</v>
    <v>342.2</v>
    <v>338.5</v>
    <v>337.6</v>
    <v>337.2</v>
    <v>336.7</v>
    <v>333.8</v>
    <v>332.8</v>
    <v>337.7</v>
    <v>337.8</v>
    <v>335.5</v>
    <v>331.3</v>
    <v>340.1</v>
    <v>338.5</v>
    <v>340.4</v>
    <v>328.5</v>
    <v>324.8</v>
    <v>310.5</v>
    <v>314.39999999999998</v>
    <v>313.2</v>
    <v>314</v>
    <v>314.5</v>
    <v>311.39999999999998</v>
    <v>317.39999999999998</v>
    <v>322.8</v>
    <v>319.89999999999998</v>
    <v>319.89999999999998</v>
    <v>318.89999999999998</v>
    <v>318.7</v>
    <v>316.3</v>
    <v>321.39999999999998</v>
    <v>318.2</v>
    <v>317.60000000000002</v>
    <v>321.39999999999998</v>
    <v>325.7</v>
    <v>323.2</v>
    <v>311</v>
    <v>307.8</v>
    <v>306.39999999999998</v>
    <v>300.10000000000002</v>
    <v>292.5</v>
    <v>289.7</v>
    <v>286.39999999999998</v>
    <v>288.5</v>
    <v>284.3</v>
    <v>284.7</v>
    <v>281.7</v>
    <v>280.7</v>
    <v>283.10000000000002</v>
    <v>280.8</v>
    <v>285</v>
    <v>282.39999999999998</v>
    <v>289.39999999999998</v>
    <v>285.39999999999998</v>
    <v>281</v>
    <v>281.60000000000002</v>
    <v>310.3</v>
    <v>322.8</v>
    <v>328.8</v>
    <v>322.3</v>
    <v>316</v>
    <v>318.3</v>
    <v>310.10000000000002</v>
    <v>311.10000000000002</v>
    <v>309.2</v>
    <v>303.89999999999998</v>
    <v>316.5</v>
    <v>319.39999999999998</v>
    <v>319.60000000000002</v>
    <v>321.39999999999998</v>
    <v>308.3</v>
    <v>304.8</v>
    <v>312.8</v>
    <v>308.10000000000002</v>
    <v>301.60000000000002</v>
    <v>295</v>
    <v>300.5</v>
    <v>294.60000000000002</v>
    <v>292.60000000000002</v>
    <v>289.2</v>
    <v>288.60000000000002</v>
    <v>292.7</v>
    <v>290</v>
    <v>274.3</v>
    <v>273.8</v>
    <v>283.10000000000002</v>
    <v>279.3</v>
    <v>276.39999999999998</v>
    <v>279.7</v>
    <v>278.3</v>
    <v>289.89999999999998</v>
    <v>289</v>
    <v>297.8</v>
    <v>295.5</v>
    <v>286.75</v>
    <v>302.55</v>
    <v>300.35000000000002</v>
    <v>301.64999999999998</v>
    <v>299.14999999999998</v>
    <v>305.35000000000002</v>
    <v>302.75</v>
    <v>305.10000000000002</v>
    <v>321.10000000000002</v>
    <v>311.95</v>
    <v>309.3</v>
    <v>308.10000000000002</v>
    <v>305.85000000000002</v>
    <v>299.55</v>
    <v>296.10000000000002</v>
    <v>291.45</v>
    <v>290.25</v>
    <v>293.35000000000002</v>
    <v>291.05</v>
    <v>279.55</v>
    <v>286.10000000000002</v>
    <v>288.85000000000002</v>
    <v>289.5</v>
    <v>281.10000000000002</v>
    <v>280</v>
    <v>283.14999999999998</v>
    <v>287</v>
    <v>279.39999999999998</v>
    <v>277</v>
    <v>286.60000000000002</v>
    <v>290.25</v>
    <v>298.2</v>
    <v>301.55</v>
    <v>310</v>
    <v>284.05</v>
    <v>283.75</v>
    <v>293.64999999999998</v>
    <v>295.2</v>
    <v>298.60000000000002</v>
    <v>304.75</v>
    <v>297.3</v>
    <v>301.7</v>
    <v>300.39999999999998</v>
    <v>305.7</v>
    <v>308.55</v>
    <v>303.89999999999998</v>
    <v>310.3</v>
    <v>306.85000000000002</v>
    <v>319.35000000000002</v>
    <v>318.8</v>
    <v>310.7</v>
    <v>313.35000000000002</v>
    <v>307.5</v>
    <v>306.2</v>
    <v>301.7</v>
    <v>307.5</v>
    <v>312.35000000000002</v>
    <v>322.14999999999998</v>
    <v>323.95</v>
    <v>324.35000000000002</v>
    <v>331.5</v>
    <v>333.15</v>
    <v>331.15</v>
    <v>338.5</v>
    <v>339.35</v>
    <v>327.60000000000002</v>
    <v>327.45</v>
    <v>331</v>
    <v>327.95</v>
    <v>324.5</v>
    <v>329.15</v>
    <v>334.05</v>
    <v>328.85</v>
    <v>326.89999999999998</v>
    <v>325</v>
    <v>326.7</v>
    <v>315.45</v>
    <v>318.14999999999998</v>
    <v>331.8</v>
    <v>341.35</v>
    <v>339.8</v>
    <v>343.65</v>
    <v>340.1</v>
    <v>346.65</v>
    <v>348.2</v>
    <v>352.5</v>
    <v>355.7</v>
    <v>355.65</v>
    <v>352.85</v>
    <v>355.6</v>
    <v>351.6</v>
    <v>355.25</v>
    <v>356.8</v>
    <v>361.65</v>
    <v>357.4</v>
    <v>362.5</v>
    <v>364.15</v>
    <v>371.1</v>
    <v>363.75</v>
    <v>361.8</v>
    <v>356.15</v>
    <v>355.8</v>
    <v>362.65</v>
    <v>364.5</v>
    <v>355.5</v>
    <v>357.05</v>
    <v>357.7</v>
    <v>353.2</v>
    <v>356.15</v>
    <v>348.3</v>
    <v>346</v>
    <v>351.2</v>
    <v>356.2</v>
    <v>352.15</v>
    <v>352.7</v>
    <v>356.95</v>
    <v>359.3</v>
    <v>353.75</v>
    <v>363.35</v>
    <v>360.9</v>
    <v>365</v>
    <v>360.65</v>
    <v>357.05</v>
    <v>347.95</v>
    <v>352.05</v>
    <v>346.4</v>
    <v>342</v>
    <v>343.5</v>
    <v>341.2</v>
    <v>345.25</v>
    <v>345.15</v>
    <v>342.8</v>
    <v>347.85</v>
    <v>351</v>
    <v>351.15</v>
    <v>348.3</v>
    <v>352.8</v>
    <v>356.35</v>
    <v>353.35</v>
    <v>356.35</v>
    <v>353.5</v>
    <v>354.05</v>
    <v>349.5</v>
  </a>
  <a r="1" c="761">
    <v>286.10000000000002</v>
    <v>284.89999999999998</v>
    <v>284.5</v>
    <v>283</v>
    <v>282.60000000000002</v>
    <v>281.8</v>
    <v>285.5</v>
    <v>287.2</v>
    <v>303.3</v>
    <v>308.7</v>
    <v>311.89999999999998</v>
    <v>310.89999999999998</v>
    <v>314.3</v>
    <v>316</v>
    <v>314.7</v>
    <v>321</v>
    <v>324</v>
    <v>325.39999999999998</v>
    <v>325.3</v>
    <v>329.6</v>
    <v>332</v>
    <v>330.1</v>
    <v>335.3</v>
    <v>332.1</v>
    <v>336</v>
    <v>337.1</v>
    <v>336.4</v>
    <v>335.4</v>
    <v>330.6</v>
    <v>328.8</v>
    <v>326.89999999999998</v>
    <v>335.3</v>
    <v>337.1</v>
    <v>337</v>
    <v>340.7</v>
    <v>343.8</v>
    <v>342.5</v>
    <v>339</v>
    <v>331.2</v>
    <v>327.5</v>
    <v>316.3</v>
    <v>317</v>
    <v>314.3</v>
    <v>306.60000000000002</v>
    <v>304.89999999999998</v>
    <v>304.39999999999998</v>
    <v>304.39999999999998</v>
    <v>305.2</v>
    <v>307.39999999999998</v>
    <v>305.7</v>
    <v>306.8</v>
    <v>305.60000000000002</v>
    <v>311.10000000000002</v>
    <v>313.39999999999998</v>
    <v>316.89999999999998</v>
    <v>317.89999999999998</v>
    <v>319.3</v>
    <v>313.3</v>
    <v>319.10000000000002</v>
    <v>316.2</v>
    <v>319.7</v>
    <v>319.5</v>
    <v>312.39999999999998</v>
    <v>305.8</v>
    <v>309.2</v>
    <v>306.3</v>
    <v>313.2</v>
    <v>315.89999999999998</v>
    <v>322.89999999999998</v>
    <v>323.7</v>
    <v>353.5</v>
    <v>347.5</v>
    <v>346.2</v>
    <v>351.4</v>
    <v>355.5</v>
    <v>355</v>
    <v>362.4</v>
    <v>360.4</v>
    <v>354</v>
    <v>355.5</v>
    <v>359.6</v>
    <v>363</v>
    <v>361.6</v>
    <v>362.5</v>
    <v>368.9</v>
    <v>380.2</v>
    <v>386</v>
    <v>384.4</v>
    <v>389.2</v>
    <v>394.7</v>
    <v>389.9</v>
    <v>392.3</v>
    <v>381</v>
    <v>380.5</v>
    <v>380.4</v>
    <v>383.3</v>
    <v>387.3</v>
    <v>380.5</v>
    <v>387.7</v>
    <v>387.4</v>
    <v>386.5</v>
    <v>388.2</v>
    <v>393.6</v>
    <v>398.4</v>
    <v>399.2</v>
    <v>399.2</v>
    <v>401.5</v>
    <v>406</v>
    <v>405.7</v>
    <v>406.2</v>
    <v>404</v>
    <v>391.3</v>
    <v>388.1</v>
    <v>387.1</v>
    <v>387.5</v>
    <v>390.8</v>
    <v>385.5</v>
    <v>390.6</v>
    <v>389.9</v>
    <v>387.6</v>
    <v>389.9</v>
    <v>387.4</v>
    <v>390.5</v>
    <v>391.6</v>
    <v>387.2</v>
    <v>382.8</v>
    <v>394.8</v>
    <v>393.4</v>
    <v>386.2</v>
    <v>394.5</v>
    <v>392.7</v>
    <v>387.2</v>
    <v>395.1</v>
    <v>399.1</v>
    <v>397.6</v>
    <v>378.8</v>
    <v>378.4</v>
    <v>377.7</v>
    <v>374.5</v>
    <v>378.1</v>
    <v>380.6</v>
    <v>381.3</v>
    <v>386.8</v>
    <v>388.2</v>
    <v>384.1</v>
    <v>384</v>
    <v>384.5</v>
    <v>384.6</v>
    <v>384.1</v>
    <v>386.7</v>
    <v>379</v>
    <v>374.6</v>
    <v>376.8</v>
    <v>377.4</v>
    <v>375.5</v>
    <v>378.2</v>
    <v>385.3</v>
    <v>388.2</v>
    <v>382.8</v>
    <v>384.2</v>
    <v>382.9</v>
    <v>394.4</v>
    <v>387.1</v>
    <v>379.7</v>
    <v>385.3</v>
    <v>383.7</v>
    <v>385.6</v>
    <v>391.1</v>
    <v>386.1</v>
    <v>393.7</v>
    <v>396.4</v>
    <v>389.3</v>
    <v>383.4</v>
    <v>380.7</v>
    <v>382.2</v>
    <v>381.4</v>
    <v>388.5</v>
    <v>393.3</v>
    <v>387.9</v>
    <v>396.5</v>
    <v>395.3</v>
    <v>399.6</v>
    <v>393.9</v>
    <v>398.4</v>
    <v>393.8</v>
    <v>391.9</v>
    <v>385.4</v>
    <v>386.7</v>
    <v>383.7</v>
    <v>388.2</v>
    <v>390.3</v>
    <v>382.3</v>
    <v>375.5</v>
    <v>380.5</v>
    <v>377</v>
    <v>382</v>
    <v>380.4</v>
    <v>389.9</v>
    <v>392.8</v>
    <v>387.9</v>
    <v>382</v>
    <v>389</v>
    <v>383.7</v>
    <v>385.7</v>
    <v>385.7</v>
    <v>390.4</v>
    <v>406</v>
    <v>418.5</v>
    <v>419.2</v>
    <v>420.7</v>
    <v>431.4</v>
    <v>431.1</v>
    <v>431</v>
    <v>430.4</v>
    <v>437.7</v>
    <v>437.3</v>
    <v>445.4</v>
    <v>447.2</v>
    <v>446</v>
    <v>443.8</v>
    <v>438.5</v>
    <v>428.2</v>
    <v>425.3</v>
    <v>428</v>
    <v>424.7</v>
    <v>423.2</v>
    <v>425.8</v>
    <v>425.4</v>
    <v>416.8</v>
    <v>419</v>
    <v>411.7</v>
    <v>427.3</v>
    <v>420.1</v>
    <v>430.2</v>
    <v>428.3</v>
    <v>423</v>
    <v>428.5</v>
    <v>424.8</v>
    <v>419.7</v>
    <v>413.9</v>
    <v>415</v>
    <v>406.5</v>
    <v>409.6</v>
    <v>410.1</v>
    <v>417</v>
    <v>419.3</v>
    <v>416</v>
    <v>426.8</v>
    <v>437.2</v>
    <v>435.4</v>
    <v>433.9</v>
    <v>443.2</v>
    <v>443.3</v>
    <v>441</v>
    <v>443.7</v>
    <v>446.7</v>
    <v>446.2</v>
    <v>450.1</v>
    <v>453.2</v>
    <v>451.9</v>
    <v>443.8</v>
    <v>439.8</v>
    <v>441.3</v>
    <v>437.9</v>
    <v>407</v>
    <v>407.8</v>
    <v>417.2</v>
    <v>421.7</v>
    <v>427.4</v>
    <v>413</v>
    <v>416.2</v>
    <v>418.6</v>
    <v>411</v>
    <v>410</v>
    <v>406.4</v>
    <v>404.4</v>
    <v>409.3</v>
    <v>418.2</v>
    <v>417.7</v>
    <v>412.4</v>
    <v>410.4</v>
    <v>408.7</v>
    <v>411.7</v>
    <v>416.7</v>
    <v>421.7</v>
    <v>424.5</v>
    <v>423.1</v>
    <v>432.3</v>
    <v>427.5</v>
    <v>425</v>
    <v>428.1</v>
    <v>431.1</v>
    <v>431.5</v>
    <v>420.3</v>
    <v>414.7</v>
    <v>415.2</v>
    <v>408.8</v>
    <v>411.6</v>
    <v>408.2</v>
    <v>414.8</v>
    <v>412.4</v>
    <v>409.2</v>
    <v>405.3</v>
    <v>411.3</v>
    <v>415</v>
    <v>420.2</v>
    <v>420</v>
    <v>418.5</v>
    <v>406.9</v>
    <v>410.7</v>
    <v>418.6</v>
    <v>420.1</v>
    <v>424.3</v>
    <v>421.9</v>
    <v>420</v>
    <v>416.9</v>
    <v>409.2</v>
    <v>411</v>
    <v>408.5</v>
    <v>410.3</v>
    <v>412.3</v>
    <v>412.7</v>
    <v>416.6</v>
    <v>415.3</v>
    <v>448.7</v>
    <v>443.8</v>
    <v>447.2</v>
    <v>435</v>
    <v>443.9</v>
    <v>459</v>
    <v>462</v>
    <v>474.8</v>
    <v>479.7</v>
    <v>487.9</v>
    <v>481.1</v>
    <v>479.3</v>
    <v>482.9</v>
    <v>482.1</v>
    <v>480.9</v>
    <v>477.4</v>
    <v>483.1</v>
    <v>444.9</v>
    <v>450</v>
    <v>450.8</v>
    <v>430.9</v>
    <v>423</v>
    <v>415.4</v>
    <v>412.3</v>
    <v>407.1</v>
    <v>402.3</v>
    <v>414.7</v>
    <v>408.5</v>
    <v>412.4</v>
    <v>415.5</v>
    <v>410.1</v>
    <v>416.1</v>
    <v>410.8</v>
    <v>403.6</v>
    <v>402.8</v>
    <v>399.3</v>
    <v>384.5</v>
    <v>391.5</v>
    <v>401.6</v>
    <v>392.2</v>
    <v>401.7</v>
    <v>404.3</v>
    <v>392.2</v>
    <v>387.4</v>
    <v>361.9</v>
    <v>375.6</v>
    <v>362</v>
    <v>377.3</v>
    <v>370.2</v>
    <v>380.2</v>
    <v>385.2</v>
    <v>384.3</v>
    <v>386</v>
    <v>388</v>
    <v>390.7</v>
    <v>400.9</v>
    <v>401.8</v>
    <v>399.8</v>
    <v>404</v>
    <v>401.6</v>
    <v>410.1</v>
    <v>410.3</v>
    <v>417</v>
    <v>418.9</v>
    <v>429.9</v>
    <v>433.1</v>
    <v>438.4</v>
    <v>440.6</v>
    <v>441.9</v>
    <v>442.7</v>
    <v>446.4</v>
    <v>441.4</v>
    <v>443.3</v>
    <v>443.4</v>
    <v>436.3</v>
    <v>420.7</v>
    <v>424.4</v>
    <v>424.8</v>
    <v>422.4</v>
    <v>421.1</v>
    <v>421.4</v>
    <v>416.8</v>
    <v>419</v>
    <v>420.8</v>
    <v>422</v>
    <v>424.7</v>
    <v>419.7</v>
    <v>427.5</v>
    <v>424.6</v>
    <v>413</v>
    <v>401.5</v>
    <v>404.4</v>
    <v>402.1</v>
    <v>401</v>
    <v>395.7</v>
    <v>398.6</v>
    <v>397.7</v>
    <v>398.8</v>
    <v>407.6</v>
    <v>403.9</v>
    <v>420</v>
    <v>416.1</v>
    <v>415.4</v>
    <v>414.3</v>
    <v>417.9</v>
    <v>408.8</v>
    <v>415.2</v>
    <v>419.1</v>
    <v>418</v>
    <v>424.7</v>
    <v>421.6</v>
    <v>419.1</v>
    <v>419.6</v>
    <v>428.5</v>
    <v>434.7</v>
    <v>436.5</v>
    <v>434.5</v>
    <v>428</v>
    <v>432.3</v>
    <v>439.1</v>
    <v>440.9</v>
    <v>439.1</v>
    <v>439.7</v>
    <v>436.1</v>
    <v>385.3</v>
    <v>379.3</v>
    <v>378.3</v>
    <v>386.9</v>
    <v>377.3</v>
    <v>383</v>
    <v>380.5</v>
    <v>380.4</v>
    <v>381.9</v>
    <v>383.8</v>
    <v>397.5</v>
    <v>397.5</v>
    <v>405.4</v>
    <v>402.8</v>
    <v>400.4</v>
    <v>404.1</v>
    <v>403</v>
    <v>400.4</v>
    <v>405.1</v>
    <v>408.4</v>
    <v>406.7</v>
    <v>411.4</v>
    <v>419.2</v>
    <v>424.4</v>
    <v>426.4</v>
    <v>418.4</v>
    <v>408.9</v>
    <v>407.9</v>
    <v>406.5</v>
    <v>408.9</v>
    <v>407.3</v>
    <v>406.7</v>
    <v>406.1</v>
    <v>395.7</v>
    <v>409</v>
    <v>407.5</v>
    <v>406</v>
    <v>414.3</v>
    <v>407.4</v>
    <v>404.2</v>
    <v>405.9</v>
    <v>410.9</v>
    <v>411.6</v>
    <v>414</v>
    <v>425.3</v>
    <v>426.9</v>
    <v>420.2</v>
    <v>421.1</v>
    <v>418.5</v>
    <v>354</v>
    <v>344.2</v>
    <v>330</v>
    <v>325</v>
    <v>334.4</v>
    <v>342.3</v>
    <v>340.5</v>
    <v>340</v>
    <v>344.5</v>
    <v>340</v>
    <v>347.7</v>
    <v>353.9</v>
    <v>351.4</v>
    <v>343.4</v>
    <v>336</v>
    <v>341.7</v>
    <v>346.5</v>
    <v>339.7</v>
    <v>350.7</v>
    <v>354.6</v>
    <v>352</v>
    <v>351.9</v>
    <v>356.8</v>
    <v>364.1</v>
    <v>368.8</v>
    <v>361.5</v>
    <v>360</v>
    <v>353.7</v>
    <v>342.2</v>
    <v>338.5</v>
    <v>337.6</v>
    <v>337.2</v>
    <v>336.7</v>
    <v>333.8</v>
    <v>332.8</v>
    <v>337.7</v>
    <v>337.8</v>
    <v>335.5</v>
    <v>331.3</v>
    <v>340.1</v>
    <v>338.5</v>
    <v>340.4</v>
    <v>328.5</v>
    <v>324.8</v>
    <v>310.5</v>
    <v>314.39999999999998</v>
    <v>313.2</v>
    <v>314</v>
    <v>314.5</v>
    <v>311.39999999999998</v>
    <v>317.39999999999998</v>
    <v>322.8</v>
    <v>319.89999999999998</v>
    <v>319.89999999999998</v>
    <v>318.89999999999998</v>
    <v>318.7</v>
    <v>316.3</v>
    <v>321.39999999999998</v>
    <v>318.2</v>
    <v>317.60000000000002</v>
    <v>321.39999999999998</v>
    <v>325.7</v>
    <v>323.2</v>
    <v>311</v>
    <v>307.8</v>
    <v>306.39999999999998</v>
    <v>300.10000000000002</v>
    <v>292.5</v>
    <v>289.7</v>
    <v>286.39999999999998</v>
    <v>288.5</v>
    <v>284.3</v>
    <v>284.7</v>
    <v>281.7</v>
    <v>280.7</v>
    <v>283.10000000000002</v>
    <v>280.8</v>
    <v>285</v>
    <v>282.39999999999998</v>
    <v>289.39999999999998</v>
    <v>285.39999999999998</v>
    <v>281</v>
    <v>281.60000000000002</v>
    <v>310.3</v>
    <v>322.8</v>
    <v>328.8</v>
    <v>322.3</v>
    <v>316</v>
    <v>318.3</v>
    <v>310.10000000000002</v>
    <v>311.10000000000002</v>
    <v>309.2</v>
    <v>303.89999999999998</v>
    <v>316.5</v>
    <v>319.39999999999998</v>
    <v>319.60000000000002</v>
    <v>321.39999999999998</v>
    <v>308.3</v>
    <v>304.8</v>
    <v>312.8</v>
    <v>308.10000000000002</v>
    <v>301.60000000000002</v>
    <v>295</v>
    <v>300.5</v>
    <v>294.60000000000002</v>
    <v>292.60000000000002</v>
    <v>289.2</v>
    <v>288.60000000000002</v>
    <v>292.7</v>
    <v>290</v>
    <v>274.3</v>
    <v>273.8</v>
    <v>283.10000000000002</v>
    <v>279.3</v>
    <v>276.39999999999998</v>
    <v>279.7</v>
    <v>278.3</v>
    <v>289.89999999999998</v>
    <v>289</v>
    <v>297.8</v>
    <v>295.5</v>
    <v>286.75</v>
    <v>302.55</v>
    <v>300.35000000000002</v>
    <v>301.64999999999998</v>
    <v>299.14999999999998</v>
    <v>305.35000000000002</v>
    <v>302.75</v>
    <v>305.10000000000002</v>
    <v>321.10000000000002</v>
    <v>311.95</v>
    <v>309.3</v>
    <v>308.10000000000002</v>
    <v>305.85000000000002</v>
    <v>299.55</v>
    <v>296.10000000000002</v>
    <v>291.45</v>
    <v>290.25</v>
    <v>293.35000000000002</v>
    <v>291.05</v>
    <v>279.55</v>
    <v>286.10000000000002</v>
    <v>288.85000000000002</v>
    <v>289.5</v>
    <v>281.10000000000002</v>
    <v>280</v>
    <v>283.14999999999998</v>
    <v>287</v>
    <v>279.39999999999998</v>
    <v>277</v>
    <v>286.60000000000002</v>
    <v>290.25</v>
    <v>298.2</v>
    <v>301.55</v>
    <v>310</v>
    <v>284.05</v>
    <v>283.75</v>
    <v>293.64999999999998</v>
    <v>295.2</v>
    <v>298.60000000000002</v>
    <v>304.75</v>
    <v>297.3</v>
    <v>301.7</v>
    <v>300.39999999999998</v>
    <v>305.7</v>
    <v>308.55</v>
    <v>303.89999999999998</v>
    <v>310.3</v>
    <v>306.85000000000002</v>
    <v>319.35000000000002</v>
    <v>318.8</v>
    <v>310.7</v>
    <v>313.35000000000002</v>
    <v>307.5</v>
    <v>306.2</v>
    <v>301.7</v>
    <v>307.5</v>
    <v>312.35000000000002</v>
    <v>322.14999999999998</v>
    <v>323.95</v>
    <v>324.35000000000002</v>
    <v>331.5</v>
    <v>333.15</v>
    <v>331.15</v>
    <v>338.5</v>
    <v>339.35</v>
    <v>327.60000000000002</v>
    <v>327.45</v>
    <v>331</v>
    <v>327.95</v>
    <v>324.5</v>
    <v>329.15</v>
    <v>334.05</v>
    <v>328.85</v>
    <v>326.89999999999998</v>
    <v>325</v>
    <v>326.7</v>
    <v>315.45</v>
    <v>318.14999999999998</v>
    <v>331.8</v>
    <v>341.35</v>
    <v>339.8</v>
    <v>343.65</v>
    <v>340.1</v>
    <v>346.65</v>
    <v>348.2</v>
    <v>352.5</v>
    <v>355.7</v>
    <v>355.65</v>
    <v>352.85</v>
    <v>355.6</v>
    <v>351.6</v>
    <v>355.25</v>
    <v>356.8</v>
    <v>361.65</v>
    <v>357.4</v>
    <v>362.5</v>
    <v>364.15</v>
    <v>371.1</v>
    <v>363.75</v>
    <v>361.8</v>
    <v>356.15</v>
    <v>355.8</v>
    <v>362.65</v>
    <v>364.5</v>
    <v>355.5</v>
    <v>357.05</v>
    <v>357.7</v>
    <v>353.2</v>
    <v>356.15</v>
    <v>348.3</v>
    <v>346</v>
    <v>351.2</v>
    <v>356.2</v>
    <v>352.15</v>
    <v>352.7</v>
    <v>356.95</v>
    <v>359.3</v>
    <v>353.75</v>
    <v>363.35</v>
    <v>360.9</v>
    <v>365</v>
    <v>360.65</v>
    <v>357.05</v>
    <v>347.95</v>
    <v>352.05</v>
    <v>346.4</v>
    <v>342</v>
    <v>343.5</v>
    <v>341.2</v>
    <v>345.25</v>
    <v>345.15</v>
    <v>342.8</v>
    <v>347.85</v>
    <v>351</v>
    <v>351.15</v>
    <v>348.3</v>
    <v>352.8</v>
    <v>356.35</v>
    <v>353.35</v>
    <v>356.35</v>
    <v>353.5</v>
    <v>354.05</v>
    <v>349.5</v>
  </a>
  <a r="1" c="761">
    <v>179.36</v>
    <v>179.51</v>
    <v>178.76</v>
    <v>179.48</v>
    <v>180</v>
    <v>180.28</v>
    <v>180.51</v>
    <v>181.38</v>
    <v>182.12</v>
    <v>183.47</v>
    <v>181.83</v>
    <v>182.9</v>
    <v>183.58</v>
    <v>183.25</v>
    <v>182.35</v>
    <v>182.33</v>
    <v>184.09</v>
    <v>183.67</v>
    <v>182.41</v>
    <v>182.3</v>
    <v>182.02</v>
    <v>182.83</v>
    <v>182.79</v>
    <v>181.85</v>
    <v>181.56</v>
    <v>182.8</v>
    <v>183.79</v>
    <v>184.71</v>
    <v>184.34</v>
    <v>185.85</v>
    <v>186.02</v>
    <v>187.41</v>
    <v>188.06</v>
    <v>188.48</v>
    <v>187.04</v>
    <v>187.04</v>
    <v>187.87</v>
    <v>188.49</v>
    <v>189.74</v>
    <v>191.26</v>
    <v>190.41</v>
    <v>191.76</v>
    <v>192.32</v>
    <v>192.73</v>
    <v>192.91</v>
    <v>193.66</v>
    <v>192.77</v>
    <v>191.33</v>
    <v>190.78</v>
    <v>191.66</v>
    <v>190.21</v>
    <v>189.76</v>
    <v>190.04</v>
    <v>189.08</v>
    <v>189</v>
    <v>189.17</v>
    <v>190.37</v>
    <v>189.4</v>
    <v>189.33</v>
    <v>188.02</v>
    <v>187.86</v>
    <v>188.08</v>
    <v>188.58</v>
    <v>187.75</v>
    <v>187.89</v>
    <v>188.95</v>
    <v>188.83</v>
    <v>189.8</v>
    <v>189.26</v>
    <v>190.69</v>
    <v>190.86</v>
    <v>189.57</v>
    <v>188.45</v>
    <v>188.61</v>
    <v>188.52</v>
    <v>187.72</v>
    <v>187.35</v>
    <v>187.72</v>
    <v>187.32</v>
    <v>188.29</v>
    <v>188.28</v>
    <v>187.67</v>
    <v>187.56</v>
    <v>188.19</v>
    <v>186.89</v>
    <v>187.25</v>
    <v>188.41</v>
    <v>187.37</v>
    <v>187.08</v>
    <v>187.12</v>
    <v>187.87</v>
    <v>187.61</v>
    <v>188.06</v>
    <v>189.31</v>
    <v>189.54</v>
    <v>190.16</v>
    <v>190.83</v>
    <v>190.1</v>
    <v>189.97</v>
    <v>189.68</v>
    <v>188.76</v>
    <v>188.61</v>
    <v>188.38</v>
    <v>188.32</v>
    <v>188.5</v>
    <v>189.14</v>
    <v>189.99</v>
    <v>189.21</v>
    <v>189.56</v>
    <v>190.43</v>
    <v>189.93</v>
    <v>188.33</v>
    <v>188.41</v>
    <v>189.4</v>
    <v>188.77</v>
    <v>188.31</v>
    <v>189.4</v>
    <v>188.43</v>
    <v>187.69</v>
    <v>189.43</v>
    <v>188.13</v>
    <v>187.26</v>
    <v>187.57</v>
    <v>187.5</v>
    <v>187.47</v>
    <v>187.95</v>
    <v>187.82</v>
    <v>186.42</v>
    <v>186.02</v>
    <v>186.79</v>
    <v>187.71</v>
    <v>187</v>
    <v>187.41</v>
    <v>188.44</v>
    <v>189.16</v>
    <v>189.28</v>
    <v>188.7</v>
    <v>188.19</v>
    <v>187.93</v>
    <v>187.99</v>
    <v>187.63</v>
    <v>189.63</v>
    <v>186.8</v>
    <v>185.59</v>
    <v>185.57</v>
    <v>185.84</v>
    <v>185.44</v>
    <v>184.61</v>
    <v>184.74</v>
    <v>185.52</v>
    <v>184.78</v>
    <v>183.56</v>
    <v>184.01</v>
    <v>183.98</v>
    <v>185.12</v>
    <v>185.49</v>
    <v>186.52</v>
    <v>185.59</v>
    <v>184.55</v>
    <v>183.23</v>
    <v>183.63</v>
    <v>185.12</v>
    <v>185.01</v>
    <v>185.98</v>
    <v>185.72</v>
    <v>186.14</v>
    <v>185.73</v>
    <v>185.62</v>
    <v>185.77</v>
    <v>185.86</v>
    <v>185.96</v>
    <v>185.24</v>
    <v>185.08</v>
    <v>184.76</v>
    <v>183.64</v>
    <v>183.83</v>
    <v>184.73</v>
    <v>184.57</v>
    <v>185.4</v>
    <v>185.85</v>
    <v>185.02</v>
    <v>185.91</v>
    <v>187.02</v>
    <v>186.65</v>
    <v>187.13</v>
    <v>187.64</v>
    <v>187.84</v>
    <v>188.01</v>
    <v>187.05</v>
    <v>187</v>
    <v>187.34</v>
    <v>187.12</v>
    <v>187.68</v>
    <v>187.92</v>
    <v>188.51</v>
    <v>188.58</v>
    <v>189.39</v>
    <v>189.96</v>
    <v>190.45</v>
    <v>190.27</v>
    <v>190.39</v>
    <v>189.37</v>
    <v>189.42</v>
    <v>190.03</v>
    <v>190.07</v>
    <v>190.85</v>
    <v>190.97</v>
    <v>189.8</v>
    <v>190</v>
    <v>190.85</v>
    <v>191.06</v>
    <v>190.36</v>
    <v>191.01</v>
    <v>190.59</v>
    <v>189.92</v>
    <v>190.14</v>
    <v>190.02</v>
    <v>189.82</v>
    <v>189.45</v>
    <v>190.12</v>
    <v>191.15</v>
    <v>191.23</v>
    <v>192.23</v>
    <v>191.72</v>
    <v>192.22</v>
    <v>193.18</v>
    <v>192.35</v>
    <v>192.48</v>
    <v>193.01</v>
    <v>192.46</v>
    <v>191.72</v>
    <v>191.81</v>
    <v>191.77</v>
    <v>192.34</v>
    <v>192.64</v>
    <v>191.95</v>
    <v>192.39</v>
    <v>192.87</v>
    <v>192.71</v>
    <v>194.04</v>
    <v>193.44</v>
    <v>192.89</v>
    <v>191.88</v>
    <v>191.4</v>
    <v>191.64</v>
    <v>191.52</v>
    <v>191.58</v>
    <v>191.07</v>
    <v>191.17</v>
    <v>192.43</v>
    <v>193.09</v>
    <v>192.81</v>
    <v>193.3</v>
    <v>191.76</v>
    <v>191.06</v>
    <v>191.61</v>
    <v>192.44</v>
    <v>191.67</v>
    <v>191.89</v>
    <v>191.19</v>
    <v>190.32</v>
    <v>190</v>
    <v>189.96</v>
    <v>190.19</v>
    <v>189.55</v>
    <v>189.87</v>
    <v>189.15</v>
    <v>190.44</v>
    <v>191.07</v>
    <v>190.51</v>
    <v>190.21</v>
    <v>188.12</v>
    <v>188.23</v>
    <v>188.03</v>
    <v>188.55</v>
    <v>188.45</v>
    <v>188.43</v>
    <v>189.36</v>
    <v>189.86</v>
    <v>190.01</v>
    <v>190.61</v>
    <v>191.18</v>
    <v>191.89</v>
    <v>192.18</v>
    <v>192.27</v>
    <v>192.51</v>
    <v>192.49</v>
    <v>192.2</v>
    <v>192.55</v>
    <v>192.2</v>
    <v>192.3</v>
    <v>191.28</v>
    <v>190.19</v>
    <v>190.4</v>
    <v>190.2</v>
    <v>190.33</v>
    <v>189.33</v>
    <v>189.5</v>
    <v>188.91</v>
    <v>188.39</v>
    <v>188.5</v>
    <v>188.74</v>
    <v>187.5</v>
    <v>187.6</v>
    <v>187.13</v>
    <v>186.78</v>
    <v>186.4</v>
    <v>185.73</v>
    <v>185.23</v>
    <v>185.12</v>
    <v>186.75</v>
    <v>186.96</v>
    <v>187.31</v>
    <v>187.35</v>
    <v>187.51</v>
    <v>187.55</v>
    <v>187.22</v>
    <v>186.78</v>
    <v>187.45</v>
    <v>187.19</v>
    <v>187.04</v>
    <v>187.72</v>
    <v>188.43</v>
    <v>189.55</v>
    <v>189.51</v>
    <v>189.99</v>
    <v>190.1</v>
    <v>189.9</v>
    <v>190.24</v>
    <v>189.03</v>
    <v>188.6</v>
    <v>189.47</v>
    <v>189.48</v>
    <v>188.99</v>
    <v>189.02</v>
    <v>187.68</v>
    <v>188.02</v>
    <v>188.98</v>
    <v>188.79</v>
    <v>189.3</v>
    <v>189.55</v>
    <v>189.83</v>
    <v>190.4</v>
    <v>188.98</v>
    <v>188.97</v>
    <v>185.31</v>
    <v>184.16</v>
    <v>184.45</v>
    <v>184.86</v>
    <v>183.97</v>
    <v>184.43</v>
    <v>184.62</v>
    <v>184.34</v>
    <v>185.4</v>
    <v>185.35</v>
    <v>185.52</v>
    <v>185.76</v>
    <v>185.88</v>
    <v>185.94</v>
    <v>185.75</v>
    <v>185.89</v>
    <v>186.09</v>
    <v>186.53</v>
    <v>186.6</v>
    <v>187.22</v>
    <v>186.82</v>
    <v>187.79</v>
    <v>188.28</v>
    <v>187.42</v>
    <v>187.43</v>
    <v>187.72</v>
    <v>187.85</v>
    <v>188.65</v>
    <v>189.05</v>
    <v>188.98</v>
    <v>189.27</v>
    <v>190.18</v>
    <v>190.32</v>
    <v>189.84</v>
    <v>191.2</v>
    <v>190.67</v>
    <v>190.21</v>
    <v>190.3</v>
    <v>191.01</v>
    <v>190.06</v>
    <v>190.17</v>
    <v>189.99</v>
    <v>190.79</v>
    <v>190.4</v>
    <v>190.08</v>
    <v>189.13</v>
    <v>188.61</v>
    <v>188.4</v>
    <v>186.68</v>
    <v>187.22</v>
    <v>187.47</v>
    <v>187.3</v>
    <v>186.85</v>
    <v>186.57</v>
    <v>187.43</v>
    <v>188.29</v>
    <v>188.33</v>
    <v>188.07</v>
    <v>188.63</v>
    <v>188.77</v>
    <v>188.59</v>
    <v>188.96</v>
    <v>188.59</v>
    <v>187.85</v>
    <v>188.07</v>
    <v>188.11</v>
    <v>188.65</v>
    <v>188.48</v>
    <v>189.14</v>
    <v>188.35</v>
    <v>188.5</v>
    <v>188.25</v>
    <v>188.72</v>
    <v>188.14</v>
    <v>188.42</v>
    <v>188.94</v>
    <v>188.47</v>
    <v>188.42</v>
    <v>188.6</v>
    <v>188.16</v>
    <v>188.08</v>
    <v>188.51</v>
    <v>187.77</v>
    <v>188.34</v>
    <v>188.5</v>
    <v>187.95</v>
    <v>187.58</v>
    <v>187.55</v>
    <v>187.15</v>
    <v>186.85</v>
    <v>186.81</v>
    <v>187.14</v>
    <v>187.86</v>
    <v>187.91</v>
    <v>187.56</v>
    <v>188.72</v>
    <v>188.95</v>
    <v>189.17</v>
    <v>187.46</v>
    <v>187.34</v>
    <v>187.87</v>
    <v>188.01</v>
    <v>187.74</v>
    <v>187.66</v>
    <v>188.06</v>
    <v>188.88</v>
    <v>189.17</v>
    <v>188.8</v>
    <v>188.9</v>
    <v>188.23</v>
    <v>188</v>
    <v>187.54</v>
    <v>188.54</v>
    <v>188.2</v>
    <v>187.17</v>
    <v>187.44</v>
    <v>187.76</v>
    <v>187.19</v>
    <v>187.66</v>
    <v>186.97</v>
    <v>187.36</v>
    <v>187.37</v>
    <v>187.87</v>
    <v>187.33</v>
    <v>187.03</v>
    <v>186.49</v>
    <v>187.08</v>
    <v>187.5</v>
    <v>188.45</v>
    <v>188.76</v>
    <v>188.69</v>
    <v>188.73</v>
    <v>188.82</v>
    <v>188</v>
    <v>188.39</v>
    <v>188.59</v>
    <v>188.56</v>
    <v>188.25</v>
    <v>187.76</v>
    <v>187.85</v>
    <v>187.67</v>
    <v>187.65</v>
    <v>187.22</v>
    <v>187.73</v>
    <v>188.32</v>
    <v>188.21</v>
    <v>188.28</v>
    <v>188.45</v>
    <v>188.65</v>
    <v>188.39</v>
    <v>188.19</v>
    <v>188.84</v>
    <v>188.54</v>
    <v>189.5</v>
    <v>189.79</v>
    <v>190.12</v>
    <v>190.88</v>
    <v>191.1</v>
    <v>190.46</v>
    <v>190.58</v>
    <v>190.91</v>
    <v>190.98</v>
    <v>190.73</v>
    <v>189.95</v>
    <v>190.25</v>
    <v>190.25</v>
    <v>190.48</v>
    <v>190.16</v>
    <v>190.31</v>
    <v>189.71</v>
    <v>190.1</v>
    <v>189.9</v>
    <v>190.03</v>
    <v>189.87</v>
    <v>190.05</v>
    <v>190.24</v>
    <v>190.58</v>
    <v>187.29</v>
    <v>186.93</v>
    <v>187.03</v>
    <v>186.9</v>
    <v>187.04</v>
    <v>186.93</v>
    <v>187.07</v>
    <v>187.39</v>
    <v>187.8</v>
    <v>187.94</v>
    <v>187.81</v>
    <v>187.76</v>
    <v>186.87</v>
    <v>186.85</v>
    <v>186.92</v>
    <v>186.59</v>
    <v>186.4</v>
    <v>185.41</v>
    <v>185.72</v>
    <v>185.59</v>
    <v>185.86</v>
    <v>185.65</v>
    <v>185.85</v>
    <v>186.05</v>
    <v>185.82</v>
    <v>186.15</v>
    <v>185.58</v>
    <v>185.32</v>
    <v>185.97</v>
    <v>186.75</v>
    <v>186.22</v>
    <v>185.64</v>
    <v>186.13</v>
    <v>186.48</v>
    <v>186.93</v>
    <v>186.82</v>
    <v>186.99</v>
    <v>187.24</v>
    <v>187.06</v>
    <v>187.27</v>
    <v>187.64</v>
    <v>187.29</v>
    <v>187.44</v>
    <v>187.05</v>
    <v>186.92</v>
    <v>187.03</v>
    <v>187.04</v>
    <v>187.67</v>
    <v>187.65</v>
    <v>187.81</v>
    <v>188.15</v>
    <v>187.98</v>
    <v>187.76</v>
    <v>187.45</v>
    <v>187.76</v>
    <v>187.86</v>
    <v>187.93</v>
    <v>188.15</v>
    <v>188.61</v>
    <v>188.75</v>
    <v>189.01</v>
    <v>189.32</v>
    <v>189.27</v>
    <v>189.54</v>
    <v>189.55</v>
    <v>189.61</v>
    <v>189.74</v>
    <v>190.04</v>
    <v>190.2</v>
    <v>190.27</v>
    <v>190.44</v>
    <v>191.01</v>
    <v>189.96</v>
    <v>188.86</v>
    <v>189.34</v>
    <v>187.57</v>
    <v>187.05</v>
    <v>187.02</v>
    <v>187.92</v>
    <v>186.44</v>
    <v>185.86</v>
    <v>185.33</v>
    <v>185.89</v>
    <v>186.83</v>
    <v>186.01</v>
    <v>185.56</v>
    <v>184.06</v>
    <v>184.31</v>
    <v>184.39</v>
    <v>185.39</v>
    <v>183.66</v>
    <v>183.18</v>
    <v>184.19</v>
    <v>184.74</v>
    <v>185.1</v>
    <v>185.38</v>
    <v>183.88</v>
    <v>186.6</v>
    <v>186.05</v>
    <v>185.19</v>
    <v>184.7</v>
    <v>185.64</v>
    <v>185.53</v>
    <v>185.41</v>
    <v>186.82</v>
    <v>186.55</v>
    <v>185.92</v>
    <v>186.09</v>
    <v>185.93</v>
    <v>185.89</v>
    <v>185.46</v>
    <v>185.02</v>
    <v>184.63</v>
    <v>185.45</v>
    <v>184.79</v>
    <v>185.32</v>
    <v>186.57</v>
    <v>186.57</v>
    <v>186.58</v>
    <v>186.05</v>
    <v>185.17</v>
    <v>185.05</v>
    <v>186.03</v>
    <v>184.41</v>
    <v>184.44</v>
    <v>184.04</v>
    <v>185.51</v>
    <v>182.65</v>
    <v>183.52</v>
    <v>184.77</v>
    <v>184.35</v>
    <v>184.4</v>
    <v>184.9</v>
    <v>185.22</v>
    <v>184.17</v>
    <v>184.56</v>
    <v>183.67</v>
    <v>183.81</v>
    <v>183.54</v>
    <v>183.26</v>
    <v>183.32</v>
    <v>183.07</v>
    <v>183.74</v>
    <v>184.33</v>
    <v>184.99</v>
    <v>185.27</v>
    <v>185.44</v>
    <v>185.53</v>
    <v>184.64</v>
    <v>185.16</v>
    <v>185.47</v>
    <v>186.12</v>
    <v>186.24</v>
    <v>186.43</v>
    <v>186.29</v>
    <v>186.28</v>
    <v>185.94</v>
    <v>185.75</v>
    <v>185.37</v>
    <v>185.24</v>
    <v>184.69</v>
    <v>183.16</v>
    <v>183.79</v>
    <v>184.14</v>
    <v>183.57</v>
    <v>183.44</v>
    <v>183.27</v>
    <v>183.05</v>
    <v>182.99</v>
    <v>182.75</v>
    <v>182.68</v>
    <v>182.32</v>
    <v>181.66</v>
    <v>182.46</v>
    <v>183.08</v>
    <v>183.55</v>
    <v>182.72</v>
    <v>182.86</v>
    <v>182.34</v>
    <v>183.19</v>
    <v>183.82</v>
    <v>183.88</v>
    <v>183.63</v>
    <v>183.67</v>
    <v>182.85</v>
    <v>183.07</v>
    <v>183.1</v>
    <v>183.62</v>
    <v>182.65</v>
    <v>182.3</v>
    <v>181.63</v>
    <v>181.72</v>
    <v>181.77</v>
    <v>181.76</v>
    <v>181.77</v>
    <v>182.64</v>
    <v>182.22</v>
    <v>182.06</v>
    <v>181.78</v>
    <v>181.04</v>
    <v>180.89</v>
    <v>180.26</v>
    <v>180.91</v>
    <v>180.96</v>
    <v>180.38</v>
    <v>180.79</v>
    <v>179.57</v>
    <v>178.39</v>
    <v>178.47</v>
    <v>177.99</v>
    <v>177.86</v>
    <v>178.23</v>
    <v>178.7</v>
    <v>177.61</v>
    <v>178.81</v>
    <v>178.57</v>
    <v>176.99</v>
    <v>176.28</v>
    <v>176.45</v>
    <v>175.91</v>
    <v>175.93</v>
    <v>176.07</v>
    <v>175.72</v>
    <v>176.71</v>
    <v>176.47</v>
    <v>177.26</v>
    <v>176.57</v>
    <v>176.52</v>
    <v>176.73</v>
    <v>176.68</v>
    <v>177.08</v>
    <v>176.91</v>
    <v>177.86</v>
    <v>177.97</v>
    <v>176.9</v>
    <v>177.43</v>
    <v>176.73</v>
    <v>176.89</v>
    <v>177.05</v>
  </a>
  <a r="1" c="254">
    <v>190.73</v>
    <v>189.95</v>
    <v>190.25</v>
    <v>190.25</v>
    <v>190.48</v>
    <v>190.16</v>
    <v>190.31</v>
    <v>189.71</v>
    <v>190.1</v>
    <v>189.9</v>
    <v>190.03</v>
    <v>189.87</v>
    <v>190.05</v>
    <v>190.24</v>
    <v>190.58</v>
    <v>187.29</v>
    <v>186.93</v>
    <v>187.03</v>
    <v>186.9</v>
    <v>187.04</v>
    <v>186.93</v>
    <v>187.07</v>
    <v>187.39</v>
    <v>187.8</v>
    <v>187.94</v>
    <v>187.81</v>
    <v>187.76</v>
    <v>186.87</v>
    <v>186.85</v>
    <v>186.92</v>
    <v>186.59</v>
    <v>186.4</v>
    <v>185.41</v>
    <v>185.72</v>
    <v>185.59</v>
    <v>185.86</v>
    <v>185.65</v>
    <v>185.85</v>
    <v>186.05</v>
    <v>185.82</v>
    <v>186.15</v>
    <v>185.58</v>
    <v>185.32</v>
    <v>185.97</v>
    <v>186.75</v>
    <v>186.22</v>
    <v>185.64</v>
    <v>186.13</v>
    <v>186.48</v>
    <v>186.93</v>
    <v>186.82</v>
    <v>186.99</v>
    <v>187.24</v>
    <v>187.06</v>
    <v>187.27</v>
    <v>187.64</v>
    <v>187.29</v>
    <v>187.44</v>
    <v>187.05</v>
    <v>186.92</v>
    <v>187.03</v>
    <v>187.04</v>
    <v>187.67</v>
    <v>187.65</v>
    <v>187.81</v>
    <v>188.15</v>
    <v>187.98</v>
    <v>187.76</v>
    <v>187.45</v>
    <v>187.76</v>
    <v>187.86</v>
    <v>187.93</v>
    <v>188.15</v>
    <v>188.61</v>
    <v>188.75</v>
    <v>189.01</v>
    <v>189.32</v>
    <v>189.27</v>
    <v>189.54</v>
    <v>189.55</v>
    <v>189.61</v>
    <v>189.74</v>
    <v>190.04</v>
    <v>190.2</v>
    <v>190.27</v>
    <v>190.44</v>
    <v>191.01</v>
    <v>189.96</v>
    <v>188.86</v>
    <v>189.34</v>
    <v>187.57</v>
    <v>187.05</v>
    <v>187.02</v>
    <v>187.92</v>
    <v>186.44</v>
    <v>185.86</v>
    <v>185.33</v>
    <v>185.89</v>
    <v>186.83</v>
    <v>186.01</v>
    <v>185.56</v>
    <v>184.06</v>
    <v>184.31</v>
    <v>184.39</v>
    <v>185.39</v>
    <v>183.66</v>
    <v>183.18</v>
    <v>184.19</v>
    <v>184.74</v>
    <v>185.1</v>
    <v>185.38</v>
    <v>183.88</v>
    <v>186.6</v>
    <v>186.05</v>
    <v>185.19</v>
    <v>184.7</v>
    <v>185.64</v>
    <v>185.53</v>
    <v>185.41</v>
    <v>186.82</v>
    <v>186.55</v>
    <v>185.92</v>
    <v>186.09</v>
    <v>185.93</v>
    <v>185.89</v>
    <v>185.46</v>
    <v>185.02</v>
    <v>184.63</v>
    <v>185.45</v>
    <v>184.79</v>
    <v>185.32</v>
    <v>186.57</v>
    <v>186.57</v>
    <v>186.58</v>
    <v>186.05</v>
    <v>185.17</v>
    <v>185.05</v>
    <v>186.03</v>
    <v>184.41</v>
    <v>184.44</v>
    <v>184.04</v>
    <v>185.51</v>
    <v>182.65</v>
    <v>183.52</v>
    <v>184.77</v>
    <v>184.35</v>
    <v>184.4</v>
    <v>184.9</v>
    <v>185.22</v>
    <v>184.17</v>
    <v>184.56</v>
    <v>183.67</v>
    <v>183.81</v>
    <v>183.54</v>
    <v>183.26</v>
    <v>183.32</v>
    <v>183.07</v>
    <v>183.74</v>
    <v>184.33</v>
    <v>184.99</v>
    <v>185.27</v>
    <v>185.44</v>
    <v>185.53</v>
    <v>184.64</v>
    <v>185.16</v>
    <v>185.47</v>
    <v>186.12</v>
    <v>186.24</v>
    <v>186.43</v>
    <v>186.29</v>
    <v>186.28</v>
    <v>185.94</v>
    <v>185.75</v>
    <v>185.37</v>
    <v>185.24</v>
    <v>184.69</v>
    <v>183.16</v>
    <v>183.79</v>
    <v>184.14</v>
    <v>183.57</v>
    <v>183.44</v>
    <v>183.27</v>
    <v>183.05</v>
    <v>182.99</v>
    <v>182.75</v>
    <v>182.68</v>
    <v>182.32</v>
    <v>181.66</v>
    <v>182.46</v>
    <v>183.08</v>
    <v>183.55</v>
    <v>182.72</v>
    <v>182.86</v>
    <v>182.34</v>
    <v>183.19</v>
    <v>183.82</v>
    <v>183.88</v>
    <v>183.63</v>
    <v>183.67</v>
    <v>182.85</v>
    <v>183.07</v>
    <v>183.1</v>
    <v>183.62</v>
    <v>182.65</v>
    <v>182.3</v>
    <v>181.63</v>
    <v>181.72</v>
    <v>181.77</v>
    <v>181.76</v>
    <v>181.77</v>
    <v>182.64</v>
    <v>182.22</v>
    <v>182.06</v>
    <v>181.78</v>
    <v>181.04</v>
    <v>180.89</v>
    <v>180.26</v>
    <v>180.91</v>
    <v>180.96</v>
    <v>180.38</v>
    <v>180.79</v>
    <v>179.57</v>
    <v>178.39</v>
    <v>178.47</v>
    <v>177.99</v>
    <v>177.86</v>
    <v>178.23</v>
    <v>178.7</v>
    <v>177.61</v>
    <v>178.81</v>
    <v>178.57</v>
    <v>176.99</v>
    <v>176.28</v>
    <v>176.45</v>
    <v>175.91</v>
    <v>175.93</v>
    <v>176.07</v>
    <v>175.72</v>
    <v>176.71</v>
    <v>176.47</v>
    <v>177.26</v>
    <v>176.57</v>
    <v>176.52</v>
    <v>176.73</v>
    <v>176.68</v>
    <v>177.08</v>
    <v>176.91</v>
    <v>177.86</v>
    <v>177.97</v>
    <v>176.9</v>
    <v>177.43</v>
    <v>176.73</v>
    <v>176.89</v>
    <v>177.05</v>
  </a>
  <a r="1" c="208">
    <v>185.64</v>
    <v>186.13</v>
    <v>186.48</v>
    <v>186.93</v>
    <v>186.82</v>
    <v>186.99</v>
    <v>187.24</v>
    <v>187.06</v>
    <v>187.27</v>
    <v>187.64</v>
    <v>187.29</v>
    <v>187.44</v>
    <v>187.05</v>
    <v>186.92</v>
    <v>187.03</v>
    <v>187.04</v>
    <v>187.67</v>
    <v>187.65</v>
    <v>187.81</v>
    <v>188.15</v>
    <v>187.98</v>
    <v>187.76</v>
    <v>187.45</v>
    <v>187.76</v>
    <v>187.86</v>
    <v>187.93</v>
    <v>188.15</v>
    <v>188.61</v>
    <v>188.75</v>
    <v>189.01</v>
    <v>189.32</v>
    <v>189.27</v>
    <v>189.54</v>
    <v>189.55</v>
    <v>189.61</v>
    <v>189.74</v>
    <v>190.04</v>
    <v>190.2</v>
    <v>190.27</v>
    <v>190.44</v>
    <v>191.01</v>
    <v>189.96</v>
    <v>188.86</v>
    <v>189.34</v>
    <v>187.57</v>
    <v>187.05</v>
    <v>187.02</v>
    <v>187.92</v>
    <v>186.44</v>
    <v>185.86</v>
    <v>185.33</v>
    <v>185.89</v>
    <v>186.83</v>
    <v>186.01</v>
    <v>185.56</v>
    <v>184.06</v>
    <v>184.31</v>
    <v>184.39</v>
    <v>185.39</v>
    <v>183.66</v>
    <v>183.18</v>
    <v>184.19</v>
    <v>184.74</v>
    <v>185.1</v>
    <v>185.38</v>
    <v>183.88</v>
    <v>186.6</v>
    <v>186.05</v>
    <v>185.19</v>
    <v>184.7</v>
    <v>185.64</v>
    <v>185.53</v>
    <v>185.41</v>
    <v>186.82</v>
    <v>186.55</v>
    <v>185.92</v>
    <v>186.09</v>
    <v>185.93</v>
    <v>185.89</v>
    <v>185.46</v>
    <v>185.02</v>
    <v>184.63</v>
    <v>185.45</v>
    <v>184.79</v>
    <v>185.32</v>
    <v>186.57</v>
    <v>186.57</v>
    <v>186.58</v>
    <v>186.05</v>
    <v>185.17</v>
    <v>185.05</v>
    <v>186.03</v>
    <v>184.41</v>
    <v>184.44</v>
    <v>184.04</v>
    <v>185.51</v>
    <v>182.65</v>
    <v>183.52</v>
    <v>184.77</v>
    <v>184.35</v>
    <v>184.4</v>
    <v>184.9</v>
    <v>185.22</v>
    <v>184.17</v>
    <v>184.56</v>
    <v>183.67</v>
    <v>183.81</v>
    <v>183.54</v>
    <v>183.26</v>
    <v>183.32</v>
    <v>183.07</v>
    <v>183.74</v>
    <v>184.33</v>
    <v>184.99</v>
    <v>185.27</v>
    <v>185.44</v>
    <v>185.53</v>
    <v>184.64</v>
    <v>185.16</v>
    <v>185.47</v>
    <v>186.12</v>
    <v>186.24</v>
    <v>186.43</v>
    <v>186.29</v>
    <v>186.28</v>
    <v>185.94</v>
    <v>185.75</v>
    <v>185.37</v>
    <v>185.24</v>
    <v>184.69</v>
    <v>183.16</v>
    <v>183.79</v>
    <v>184.14</v>
    <v>183.57</v>
    <v>183.44</v>
    <v>183.27</v>
    <v>183.05</v>
    <v>182.99</v>
    <v>182.75</v>
    <v>182.68</v>
    <v>182.32</v>
    <v>181.66</v>
    <v>182.46</v>
    <v>183.08</v>
    <v>183.55</v>
    <v>182.72</v>
    <v>182.86</v>
    <v>182.34</v>
    <v>183.19</v>
    <v>183.82</v>
    <v>183.88</v>
    <v>183.63</v>
    <v>183.67</v>
    <v>182.85</v>
    <v>183.07</v>
    <v>183.1</v>
    <v>183.62</v>
    <v>182.65</v>
    <v>182.3</v>
    <v>181.63</v>
    <v>181.72</v>
    <v>181.77</v>
    <v>181.76</v>
    <v>181.77</v>
    <v>182.64</v>
    <v>182.22</v>
    <v>182.06</v>
    <v>181.78</v>
    <v>181.04</v>
    <v>180.89</v>
    <v>180.26</v>
    <v>180.91</v>
    <v>180.96</v>
    <v>180.38</v>
    <v>180.79</v>
    <v>179.57</v>
    <v>178.39</v>
    <v>178.47</v>
    <v>177.99</v>
    <v>177.86</v>
    <v>178.23</v>
    <v>178.7</v>
    <v>177.61</v>
    <v>178.81</v>
    <v>178.57</v>
    <v>176.99</v>
    <v>176.28</v>
    <v>176.45</v>
    <v>175.91</v>
    <v>175.93</v>
    <v>176.07</v>
    <v>175.72</v>
    <v>176.71</v>
    <v>176.47</v>
    <v>177.26</v>
    <v>176.57</v>
    <v>176.52</v>
    <v>176.73</v>
    <v>176.68</v>
    <v>177.08</v>
    <v>176.91</v>
    <v>177.86</v>
    <v>177.97</v>
    <v>176.9</v>
    <v>177.43</v>
    <v>176.73</v>
    <v>176.89</v>
    <v>177.05</v>
  </a>
  <a r="1" c="208">
    <v>2.5</v>
    <v>2.581</v>
    <v>2.6160000000000001</v>
    <v>2.5249999999999999</v>
    <v>2.5329999999999999</v>
    <v>2.5680000000000001</v>
    <v>2.5960000000000001</v>
    <v>2.71</v>
    <v>2.7120000000000002</v>
    <v>2.7170000000000001</v>
    <v>2.734</v>
    <v>2.6840000000000002</v>
    <v>2.7639999999999998</v>
    <v>2.81</v>
    <v>2.831</v>
    <v>2.9550000000000001</v>
    <v>2.968</v>
    <v>2.9780000000000002</v>
    <v>3.0230000000000001</v>
    <v>3.0950000000000002</v>
    <v>3.109</v>
    <v>3.1680000000000001</v>
    <v>3.1419999999999999</v>
    <v>3.1019999999999999</v>
    <v>3.1070000000000002</v>
    <v>3.1379999999999999</v>
    <v>3.2080000000000002</v>
    <v>3.2290000000000001</v>
    <v>3.2930000000000001</v>
    <v>3.2989999999999999</v>
    <v>3.3090000000000002</v>
    <v>3.3879999999999999</v>
    <v>3.387</v>
    <v>3.4540000000000002</v>
    <v>3.4969999999999999</v>
    <v>3.423</v>
    <v>3.3959999999999999</v>
    <v>3.419</v>
    <v>3.5030000000000001</v>
    <v>3.48</v>
    <v>3.5710000000000002</v>
    <v>3.4329999999999998</v>
    <v>3.2559999999999998</v>
    <v>3.35</v>
    <v>3.2730000000000001</v>
    <v>3.24</v>
    <v>3.395</v>
    <v>3.39</v>
    <v>3.3660000000000001</v>
    <v>3.2879999999999998</v>
    <v>3.3690000000000002</v>
    <v>3.3820000000000001</v>
    <v>3.3580000000000001</v>
    <v>3.3820000000000001</v>
    <v>3.411</v>
    <v>3.42</v>
    <v>3.48</v>
    <v>3.5870000000000002</v>
    <v>3.6040000000000001</v>
    <v>3.8130000000000002</v>
    <v>3.7149999999999999</v>
    <v>3.831</v>
    <v>3.9140000000000001</v>
    <v>3.8889999999999998</v>
    <v>4.0250000000000004</v>
    <v>3.968</v>
    <v>4.1239999999999997</v>
    <v>4.1879999999999997</v>
    <v>4.133</v>
    <v>4.1550000000000002</v>
    <v>4.1760000000000002</v>
    <v>4.1399999999999997</v>
    <v>4.0919999999999996</v>
    <v>3.8730000000000002</v>
    <v>3.996</v>
    <v>3.92</v>
    <v>4.173</v>
    <v>4.2220000000000004</v>
    <v>4.3369999999999997</v>
    <v>4.5220000000000002</v>
    <v>4.585</v>
    <v>4.5330000000000004</v>
    <v>4.6059999999999999</v>
    <v>4.6449999999999996</v>
    <v>4.6520000000000001</v>
    <v>4.5919999999999996</v>
    <v>4.3339999999999996</v>
    <v>4.3040000000000003</v>
    <v>4.4349999999999996</v>
    <v>4.4619999999999997</v>
    <v>4.59</v>
    <v>4.6580000000000004</v>
    <v>4.6550000000000002</v>
    <v>4.593</v>
    <v>4.4470000000000001</v>
    <v>4.37</v>
    <v>4.3220000000000001</v>
    <v>4.2300000000000004</v>
    <v>4.218</v>
    <v>4.2759999999999998</v>
    <v>4.0960000000000001</v>
    <v>4.1669999999999998</v>
    <v>4.12</v>
    <v>4.234</v>
    <v>4.3289999999999997</v>
    <v>4.3090000000000002</v>
    <v>4.3289999999999997</v>
    <v>4.4039999999999999</v>
    <v>4.4489999999999998</v>
    <v>4.4050000000000002</v>
    <v>4.4249999999999998</v>
    <v>4.68</v>
    <v>4.72</v>
    <v>4.8209999999999997</v>
    <v>4.5960000000000001</v>
    <v>4.7300000000000004</v>
    <v>4.383</v>
    <v>4.4870000000000001</v>
    <v>4.4930000000000003</v>
    <v>4.5229999999999997</v>
    <v>4.3769999999999998</v>
    <v>4.4020000000000001</v>
    <v>4.1740000000000004</v>
    <v>4.2489999999999997</v>
    <v>4.4089999999999998</v>
    <v>4.2549999999999999</v>
    <v>4.2430000000000003</v>
    <v>4.3970000000000002</v>
    <v>4.3970000000000002</v>
    <v>4.4080000000000004</v>
    <v>4.548</v>
    <v>4.4130000000000003</v>
    <v>4.4130000000000003</v>
    <v>4.3760000000000003</v>
    <v>4.3330000000000002</v>
    <v>4.3250000000000002</v>
    <v>4.2320000000000002</v>
    <v>4.202</v>
    <v>4.3109999999999999</v>
    <v>4.3540000000000001</v>
    <v>4.3920000000000003</v>
    <v>4.3250000000000002</v>
    <v>4.4080000000000004</v>
    <v>4.3579999999999997</v>
    <v>3.972</v>
    <v>3.9329999999999998</v>
    <v>4.0780000000000003</v>
    <v>4.1879999999999997</v>
    <v>4.282</v>
    <v>4.2930000000000001</v>
    <v>4.2629999999999999</v>
    <v>4.3140000000000001</v>
    <v>4.3470000000000004</v>
    <v>4.4160000000000004</v>
    <v>4.4329999999999998</v>
    <v>4.4000000000000004</v>
    <v>4.5599999999999996</v>
    <v>4.556</v>
    <v>4.5540000000000003</v>
    <v>4.5510000000000002</v>
    <v>4.53</v>
    <v>4.5199999999999996</v>
    <v>4.484</v>
    <v>4.46</v>
    <v>4.5010000000000003</v>
    <v>4.4820000000000002</v>
    <v>4.4770000000000003</v>
    <v>4.4630000000000001</v>
    <v>4.5650000000000004</v>
    <v>4.5019999999999998</v>
    <v>4.4139999999999997</v>
    <v>4.407</v>
    <v>4.3520000000000003</v>
    <v>4.3319999999999999</v>
    <v>4.3630000000000004</v>
    <v>4.3780000000000001</v>
    <v>4.367</v>
    <v>4.3129999999999997</v>
    <v>4.157</v>
    <v>4.2220000000000004</v>
    <v>4.2809999999999997</v>
    <v>4.3330000000000002</v>
    <v>4.2649999999999997</v>
    <v>4.335</v>
    <v>4.3380000000000001</v>
    <v>4.3630000000000004</v>
    <v>4.3609999999999998</v>
    <v>4.3490000000000002</v>
    <v>4.42</v>
    <v>4.3540000000000001</v>
    <v>4.3540000000000001</v>
    <v>4.2949999999999999</v>
    <v>4.3220000000000001</v>
    <v>4.4550000000000001</v>
    <v>4.3760000000000003</v>
    <v>4.3810000000000002</v>
    <v>4.4059999999999997</v>
    <v>4.57</v>
    <v>4.6470000000000002</v>
    <v>4.66</v>
    <v>4.6260000000000003</v>
    <v>4.4089999999999998</v>
    <v>4.5910000000000002</v>
    <v>4.601</v>
    <v>4.4039999999999999</v>
    <v>4.4850000000000003</v>
    <v>4.2160000000000002</v>
    <v>4.3920000000000003</v>
  </a>
  <a r="1" c="761">
    <v>1.4279999999999999</v>
    <v>1.4145000000000001</v>
    <v>1.4105000000000001</v>
    <v>1.3354999999999999</v>
    <v>1.3879999999999999</v>
    <v>1.4319999999999999</v>
    <v>1.4365000000000001</v>
    <v>1.4495</v>
    <v>1.4864999999999999</v>
    <v>1.4750000000000001</v>
    <v>1.466</v>
    <v>1.4355</v>
    <v>1.4015</v>
    <v>1.415</v>
    <v>1.39</v>
    <v>1.4590000000000001</v>
    <v>1.4470000000000001</v>
    <v>1.4795</v>
    <v>1.415</v>
    <v>1.4584999999999999</v>
    <v>1.4935</v>
    <v>1.4424999999999999</v>
    <v>1.4319999999999999</v>
    <v>1.4475</v>
    <v>1.4550000000000001</v>
    <v>1.4404999999999999</v>
    <v>1.421</v>
    <v>1.4225000000000001</v>
    <v>1.4710000000000001</v>
    <v>1.5069999999999999</v>
    <v>1.4744999999999999</v>
    <v>1.4950000000000001</v>
    <v>1.4615</v>
    <v>1.401</v>
    <v>1.401</v>
    <v>1.4059999999999999</v>
    <v>1.371</v>
    <v>1.377</v>
    <v>1.4165000000000001</v>
    <v>1.413</v>
    <v>1.4205000000000001</v>
    <v>1.4345000000000001</v>
    <v>1.4484999999999999</v>
    <v>1.4444999999999999</v>
    <v>1.4464999999999999</v>
    <v>1.4875</v>
    <v>1.4830000000000001</v>
    <v>1.47</v>
    <v>1.4875</v>
    <v>1.4890000000000001</v>
    <v>1.5369999999999999</v>
    <v>1.5669999999999999</v>
    <v>1.5065</v>
    <v>1.4715</v>
    <v>1.4450000000000001</v>
    <v>1.4079999999999999</v>
    <v>1.4470000000000001</v>
    <v>1.4159999999999999</v>
    <v>1.4404999999999999</v>
    <v>1.44</v>
    <v>1.4335</v>
    <v>1.4259999999999999</v>
    <v>1.4370000000000001</v>
    <v>1.478</v>
    <v>1.522</v>
    <v>1.5175000000000001</v>
    <v>1.508</v>
    <v>1.5175000000000001</v>
    <v>1.3245</v>
    <v>1.3340000000000001</v>
    <v>1.337</v>
    <v>1.3140000000000001</v>
    <v>1.288</v>
    <v>1.3009999999999999</v>
    <v>1.2595000000000001</v>
    <v>1.262</v>
    <v>1.2589999999999999</v>
    <v>1.333</v>
    <v>1.3545</v>
    <v>1.347</v>
    <v>1.371</v>
    <v>1.375</v>
    <v>1.3905000000000001</v>
    <v>1.3665</v>
    <v>1.381</v>
    <v>1.4059999999999999</v>
    <v>1.4015</v>
    <v>1.4319999999999999</v>
    <v>1.4930000000000001</v>
    <v>1.4835</v>
    <v>1.681</v>
    <v>1.8214999999999999</v>
    <v>1.91</v>
    <v>1.9790000000000001</v>
    <v>1.9350000000000001</v>
    <v>1.9724999999999999</v>
    <v>1.9984999999999999</v>
    <v>1.9764999999999999</v>
    <v>1.998</v>
    <v>1.9784999999999999</v>
    <v>2.0680000000000001</v>
    <v>2.105</v>
    <v>2.1120000000000001</v>
    <v>2.0870000000000002</v>
    <v>2.109</v>
    <v>2.0710000000000002</v>
    <v>2.0249999999999999</v>
    <v>2.1480000000000001</v>
    <v>2.2480000000000002</v>
    <v>2.194</v>
    <v>2.262</v>
    <v>2.3039999999999998</v>
    <v>2.2919999999999998</v>
    <v>2.2530000000000001</v>
    <v>2.2330000000000001</v>
    <v>2.254</v>
    <v>2.2549999999999999</v>
    <v>2.3109999999999999</v>
    <v>2.3239999999999998</v>
    <v>2.415</v>
    <v>2.3969999999999998</v>
    <v>2.34</v>
    <v>2.3319999999999999</v>
    <v>2.2879999999999998</v>
    <v>2.2400000000000002</v>
    <v>2.222</v>
    <v>2.2559999999999998</v>
    <v>2.181</v>
    <v>2.1429999999999998</v>
    <v>2.1869999999999998</v>
    <v>2.214</v>
    <v>2.1640000000000001</v>
    <v>2.1920000000000002</v>
    <v>2.1469999999999998</v>
    <v>2.1789999999999998</v>
    <v>2.16</v>
    <v>2.113</v>
    <v>2.1480000000000001</v>
    <v>2.157</v>
    <v>2.1309999999999998</v>
    <v>2.1970000000000001</v>
    <v>2.198</v>
    <v>2.2120000000000002</v>
    <v>2.274</v>
    <v>2.282</v>
    <v>2.3730000000000002</v>
    <v>2.331</v>
    <v>2.3130000000000002</v>
    <v>2.2999999999999998</v>
    <v>2.3820000000000001</v>
    <v>2.3730000000000002</v>
    <v>2.294</v>
    <v>2.3250000000000002</v>
    <v>2.286</v>
    <v>2.2330000000000001</v>
    <v>2.137</v>
    <v>2.153</v>
    <v>2.1560000000000001</v>
    <v>2.1709999999999998</v>
    <v>2.1539999999999999</v>
    <v>2.0649999999999999</v>
    <v>2.1019999999999999</v>
    <v>2.0299999999999998</v>
    <v>2.024</v>
    <v>2.0190000000000001</v>
    <v>2.09</v>
    <v>2.09</v>
    <v>2.129</v>
    <v>2.1539999999999999</v>
    <v>2.1589999999999998</v>
    <v>2.2370000000000001</v>
    <v>2.29</v>
    <v>2.363</v>
    <v>2.3919999999999999</v>
    <v>2.3980000000000001</v>
    <v>2.4039999999999999</v>
    <v>2.3359999999999999</v>
    <v>2.323</v>
    <v>2.3250000000000002</v>
    <v>2.27</v>
    <v>2.234</v>
    <v>2.3279999999999998</v>
    <v>2.3170000000000002</v>
    <v>2.3540000000000001</v>
    <v>2.403</v>
    <v>2.3679999999999999</v>
    <v>2.3839999999999999</v>
    <v>2.4079999999999999</v>
    <v>2.367</v>
    <v>2.3889999999999998</v>
    <v>2.419</v>
    <v>2.2999999999999998</v>
    <v>2.3250000000000002</v>
    <v>2.2280000000000002</v>
    <v>2.198</v>
    <v>2.1850000000000001</v>
    <v>2.1970000000000001</v>
    <v>2.1789999999999998</v>
    <v>2.0619999999999998</v>
    <v>1.9710000000000001</v>
    <v>1.9650000000000001</v>
    <v>2.0129999999999999</v>
    <v>1.9850000000000001</v>
    <v>1.98</v>
    <v>1.9924999999999999</v>
    <v>1.9844999999999999</v>
    <v>1.988</v>
    <v>2.02</v>
    <v>2.0609999999999999</v>
    <v>2.0019999999999998</v>
    <v>2.069</v>
    <v>2.0619999999999998</v>
    <v>2.0739999999999998</v>
    <v>2.0720000000000001</v>
    <v>2.0379999999999998</v>
    <v>2.016</v>
    <v>2.0459999999999998</v>
    <v>2.0299999999999998</v>
    <v>2.0230000000000001</v>
    <v>1.88</v>
    <v>1.9219999999999999</v>
    <v>1.8945000000000001</v>
    <v>1.8680000000000001</v>
    <v>1.8825000000000001</v>
    <v>1.7969999999999999</v>
    <v>1.827</v>
    <v>1.8505</v>
    <v>1.8634999999999999</v>
    <v>1.9555</v>
    <v>1.9544999999999999</v>
    <v>2.0089999999999999</v>
    <v>2.085</v>
    <v>2.024</v>
    <v>2.0339999999999998</v>
    <v>2.0619999999999998</v>
    <v>2.036</v>
    <v>1.92</v>
    <v>1.9475</v>
    <v>1.9784999999999999</v>
    <v>2</v>
    <v>2.0329999999999999</v>
    <v>1.96</v>
    <v>2.044</v>
    <v>2.0569999999999999</v>
    <v>2.0059999999999998</v>
    <v>2.0099999999999998</v>
    <v>2.0230000000000001</v>
    <v>2.0310000000000001</v>
    <v>2.0259999999999998</v>
    <v>1.9744999999999999</v>
    <v>2.012</v>
    <v>2.0619999999999998</v>
    <v>1.9915</v>
    <v>2.0179999999999998</v>
    <v>2.0649999999999999</v>
    <v>2.028</v>
    <v>2.1219999999999999</v>
    <v>2.1890000000000001</v>
    <v>2.1880000000000002</v>
    <v>2.1629999999999998</v>
    <v>2.1669999999999998</v>
    <v>2.1840000000000002</v>
    <v>2.222</v>
    <v>2.222</v>
    <v>2.238</v>
    <v>2.2490000000000001</v>
    <v>2.2749999999999999</v>
    <v>2.3239999999999998</v>
    <v>2.355</v>
    <v>2.3180000000000001</v>
    <v>2.3050000000000002</v>
    <v>2.3170000000000002</v>
    <v>2.3330000000000002</v>
    <v>2.3679999999999999</v>
    <v>2.3420000000000001</v>
    <v>2.327</v>
    <v>2.371</v>
    <v>2.403</v>
    <v>2.375</v>
    <v>2.4049999999999998</v>
    <v>2.431</v>
    <v>2.4260000000000002</v>
    <v>2.4409999999999998</v>
    <v>2.4350000000000001</v>
    <v>2.504</v>
    <v>2.5459999999999998</v>
    <v>2.5419999999999998</v>
    <v>2.4900000000000002</v>
    <v>2.5019999999999998</v>
    <v>2.4870000000000001</v>
    <v>2.5510000000000002</v>
    <v>2.569</v>
    <v>2.5739999999999998</v>
    <v>2.6</v>
    <v>2.5449999999999999</v>
    <v>2.5550000000000002</v>
    <v>2.6429999999999998</v>
    <v>2.4820000000000002</v>
    <v>2.4820000000000002</v>
    <v>2.5110000000000001</v>
    <v>2.5089999999999999</v>
    <v>2.6619999999999999</v>
    <v>2.72</v>
    <v>2.7480000000000002</v>
    <v>2.7250000000000001</v>
    <v>2.7160000000000002</v>
    <v>2.754</v>
    <v>2.73</v>
    <v>2.7309999999999999</v>
    <v>2.7290000000000001</v>
    <v>2.5960000000000001</v>
    <v>2.5710000000000002</v>
    <v>2.556</v>
    <v>2.528</v>
    <v>2.5129999999999999</v>
    <v>2.4729999999999999</v>
    <v>2.4830000000000001</v>
    <v>2.4119999999999999</v>
    <v>2.3820000000000001</v>
    <v>2.31</v>
    <v>2.359</v>
    <v>2.3479999999999999</v>
    <v>2.3690000000000002</v>
    <v>2.2879999999999998</v>
    <v>2.3180000000000001</v>
    <v>2.3079999999999998</v>
    <v>2.2949999999999999</v>
    <v>2.302</v>
    <v>2.2989999999999999</v>
    <v>2.302</v>
    <v>2.3119999999999998</v>
    <v>2.3079999999999998</v>
    <v>2.2890000000000001</v>
    <v>2.3090000000000002</v>
    <v>2.3410000000000002</v>
    <v>2.31</v>
    <v>2.2810000000000001</v>
    <v>2.3220000000000001</v>
    <v>2.3130000000000002</v>
    <v>2.2690000000000001</v>
    <v>2.2029999999999998</v>
    <v>2.2490000000000001</v>
    <v>2.202</v>
    <v>2.1539999999999999</v>
    <v>2.044</v>
    <v>2.0299999999999998</v>
    <v>1.9824999999999999</v>
    <v>2.0350000000000001</v>
    <v>1.978</v>
    <v>1.9670000000000001</v>
    <v>2.0819999999999999</v>
    <v>2.0110000000000001</v>
    <v>2.0659999999999998</v>
    <v>2.129</v>
    <v>2.17</v>
    <v>2.1970000000000001</v>
    <v>2.1949999999999998</v>
    <v>2.1880000000000002</v>
    <v>2.21</v>
    <v>2.1840000000000002</v>
    <v>2.2160000000000002</v>
    <v>2.1989999999999998</v>
    <v>2.1709999999999998</v>
    <v>2.141</v>
    <v>2.1150000000000002</v>
    <v>2.1280000000000001</v>
    <v>1.9359999999999999</v>
    <v>1.7885</v>
    <v>1.69</v>
    <v>1.752</v>
    <v>1.6220000000000001</v>
    <v>1.7015</v>
    <v>1.708</v>
    <v>1.7569999999999999</v>
    <v>1.8009999999999999</v>
    <v>1.823</v>
    <v>1.8625</v>
    <v>1.8585</v>
    <v>1.8819999999999999</v>
    <v>1.964</v>
    <v>2.0110000000000001</v>
    <v>2.0459999999999998</v>
    <v>2.0499999999999998</v>
    <v>2.0409999999999999</v>
    <v>2.08</v>
    <v>2.0579999999999998</v>
    <v>2.052</v>
    <v>2.0640000000000001</v>
    <v>2.0979999999999999</v>
    <v>2.1779999999999999</v>
    <v>2.2309999999999999</v>
    <v>2.2829999999999999</v>
    <v>2.282</v>
    <v>2.27</v>
    <v>2.25</v>
    <v>2.0960000000000001</v>
    <v>2.0939999999999999</v>
    <v>2.0990000000000002</v>
    <v>2.0760000000000001</v>
    <v>2.0489999999999999</v>
    <v>2.1429999999999998</v>
    <v>2.1429999999999998</v>
    <v>2.1850000000000001</v>
    <v>2.1749999999999998</v>
    <v>2.1829999999999998</v>
    <v>2.2330000000000001</v>
    <v>2.246</v>
    <v>2.2970000000000002</v>
    <v>2.3079999999999998</v>
    <v>2.3199999999999998</v>
    <v>2.3450000000000002</v>
    <v>2.4180000000000001</v>
    <v>2.3679999999999999</v>
    <v>2.3959999999999999</v>
    <v>2.3420000000000001</v>
    <v>2.3450000000000002</v>
    <v>2.3940000000000001</v>
    <v>2.4089999999999998</v>
    <v>2.3980000000000001</v>
    <v>2.3860000000000001</v>
    <v>2.3450000000000002</v>
    <v>2.2959999999999998</v>
    <v>2.29</v>
    <v>2.3079999999999998</v>
    <v>2.302</v>
    <v>2.3250000000000002</v>
    <v>2.2970000000000002</v>
    <v>2.37</v>
    <v>2.3849999999999998</v>
    <v>2.3730000000000002</v>
    <v>2.31</v>
    <v>2.3610000000000002</v>
    <v>2.39</v>
    <v>2.375</v>
    <v>2.4009999999999998</v>
    <v>2.375</v>
    <v>2.37</v>
    <v>2.3370000000000002</v>
    <v>2.3559999999999999</v>
    <v>2.4009999999999998</v>
    <v>2.415</v>
    <v>2.4140000000000001</v>
    <v>2.448</v>
    <v>2.3849999999999998</v>
    <v>2.3069999999999999</v>
    <v>2.3279999999999998</v>
    <v>2.335</v>
    <v>2.3010000000000002</v>
    <v>2.3439999999999999</v>
    <v>2.234</v>
    <v>2.2109999999999999</v>
    <v>2.234</v>
    <v>2.2709999999999999</v>
    <v>2.258</v>
    <v>2.2599999999999998</v>
    <v>2.254</v>
    <v>2.306</v>
    <v>2.2919999999999998</v>
    <v>2.2799999999999998</v>
    <v>2.3519999999999999</v>
    <v>2.39</v>
    <v>2.3220000000000001</v>
    <v>2.38</v>
    <v>2.4089999999999998</v>
    <v>2.4359999999999999</v>
    <v>2.4609999999999999</v>
    <v>2.4609999999999999</v>
    <v>2.395</v>
    <v>2.4</v>
    <v>2.4089999999999998</v>
    <v>2.4039999999999999</v>
    <v>2.3490000000000002</v>
    <v>2.35</v>
    <v>2.274</v>
    <v>2.2759999999999998</v>
    <v>2.327</v>
    <v>2.3820000000000001</v>
    <v>2.391</v>
    <v>2.375</v>
    <v>2.3690000000000002</v>
    <v>2.36</v>
    <v>2.363</v>
    <v>2.3780000000000001</v>
    <v>2.35</v>
    <v>2.36</v>
    <v>2.4460000000000002</v>
    <v>2.395</v>
    <v>2.4689999999999999</v>
    <v>2.4929999999999999</v>
    <v>2.548</v>
    <v>2.4569999999999999</v>
    <v>2.4870000000000001</v>
    <v>2.496</v>
    <v>2.5049999999999999</v>
    <v>2.58</v>
    <v>2.5510000000000002</v>
    <v>2.577</v>
    <v>2.5489999999999999</v>
    <v>2.4460000000000002</v>
    <v>2.452</v>
    <v>2.427</v>
    <v>2.375</v>
    <v>2.343</v>
    <v>2.2970000000000002</v>
    <v>2.3010000000000002</v>
    <v>2.2909999999999999</v>
    <v>2.3210000000000002</v>
    <v>2.3519999999999999</v>
    <v>2.2559999999999998</v>
    <v>2.2839999999999998</v>
    <v>2.2599999999999998</v>
    <v>2.274</v>
    <v>2.278</v>
    <v>2.2559999999999998</v>
    <v>2.27</v>
    <v>2.254</v>
    <v>2.2149999999999999</v>
    <v>2.2090000000000001</v>
    <v>2.2010000000000001</v>
    <v>2.2349999999999999</v>
    <v>2.323</v>
    <v>2.3149999999999999</v>
    <v>2.3279999999999998</v>
    <v>2.2930000000000001</v>
    <v>2.3130000000000002</v>
    <v>2.2559999999999998</v>
    <v>2.2839999999999998</v>
    <v>2.2959999999999998</v>
    <v>2.2610000000000001</v>
    <v>2.327</v>
    <v>2.3570000000000002</v>
    <v>2.3540000000000001</v>
    <v>2.343</v>
    <v>2.347</v>
    <v>2.3769999999999998</v>
    <v>2.29</v>
    <v>2.3580000000000001</v>
    <v>2.4260000000000002</v>
    <v>2.44</v>
    <v>2.4670000000000001</v>
    <v>2.427</v>
    <v>2.3940000000000001</v>
    <v>2.355</v>
    <v>2.3279999999999998</v>
    <v>2.3290000000000002</v>
    <v>2.3149999999999999</v>
    <v>2.323</v>
    <v>2.331</v>
    <v>2.3769999999999998</v>
    <v>2.48</v>
    <v>2.4279999999999999</v>
    <v>2.395</v>
    <v>2.4249999999999998</v>
    <v>2.5</v>
    <v>2.581</v>
    <v>2.6160000000000001</v>
    <v>2.5249999999999999</v>
    <v>2.5329999999999999</v>
    <v>2.5680000000000001</v>
    <v>2.5960000000000001</v>
    <v>2.71</v>
    <v>2.7120000000000002</v>
    <v>2.7170000000000001</v>
    <v>2.734</v>
    <v>2.6840000000000002</v>
    <v>2.7639999999999998</v>
    <v>2.81</v>
    <v>2.831</v>
    <v>2.9550000000000001</v>
    <v>2.968</v>
    <v>2.9780000000000002</v>
    <v>3.0230000000000001</v>
    <v>3.0950000000000002</v>
    <v>3.109</v>
    <v>3.1680000000000001</v>
    <v>3.1419999999999999</v>
    <v>3.1019999999999999</v>
    <v>3.1070000000000002</v>
    <v>3.1379999999999999</v>
    <v>3.2080000000000002</v>
    <v>3.2290000000000001</v>
    <v>3.2930000000000001</v>
    <v>3.2989999999999999</v>
    <v>3.3090000000000002</v>
    <v>3.3879999999999999</v>
    <v>3.387</v>
    <v>3.4540000000000002</v>
    <v>3.4969999999999999</v>
    <v>3.423</v>
    <v>3.3959999999999999</v>
    <v>3.419</v>
    <v>3.5030000000000001</v>
    <v>3.48</v>
    <v>3.5710000000000002</v>
    <v>3.4329999999999998</v>
    <v>3.2559999999999998</v>
    <v>3.35</v>
    <v>3.2730000000000001</v>
    <v>3.24</v>
    <v>3.395</v>
    <v>3.39</v>
    <v>3.3660000000000001</v>
    <v>3.2879999999999998</v>
    <v>3.3690000000000002</v>
    <v>3.3820000000000001</v>
    <v>3.3580000000000001</v>
    <v>3.3820000000000001</v>
    <v>3.411</v>
    <v>3.42</v>
    <v>3.48</v>
    <v>3.5870000000000002</v>
    <v>3.6040000000000001</v>
    <v>3.8130000000000002</v>
    <v>3.7149999999999999</v>
    <v>3.831</v>
    <v>3.9140000000000001</v>
    <v>3.8889999999999998</v>
    <v>4.0250000000000004</v>
    <v>3.968</v>
    <v>4.1239999999999997</v>
    <v>4.1879999999999997</v>
    <v>4.133</v>
    <v>4.1550000000000002</v>
    <v>4.1760000000000002</v>
    <v>4.1399999999999997</v>
    <v>4.0919999999999996</v>
    <v>3.8730000000000002</v>
    <v>3.996</v>
    <v>3.92</v>
    <v>4.173</v>
    <v>4.2220000000000004</v>
    <v>4.3369999999999997</v>
    <v>4.5220000000000002</v>
    <v>4.585</v>
    <v>4.5330000000000004</v>
    <v>4.6059999999999999</v>
    <v>4.6449999999999996</v>
    <v>4.6520000000000001</v>
    <v>4.5919999999999996</v>
    <v>4.3339999999999996</v>
    <v>4.3040000000000003</v>
    <v>4.4349999999999996</v>
    <v>4.4619999999999997</v>
    <v>4.59</v>
    <v>4.6580000000000004</v>
    <v>4.6550000000000002</v>
    <v>4.593</v>
    <v>4.4470000000000001</v>
    <v>4.37</v>
    <v>4.3220000000000001</v>
    <v>4.2300000000000004</v>
    <v>4.218</v>
    <v>4.2759999999999998</v>
    <v>4.0960000000000001</v>
    <v>4.1669999999999998</v>
    <v>4.12</v>
    <v>4.234</v>
    <v>4.3289999999999997</v>
    <v>4.3090000000000002</v>
    <v>4.3289999999999997</v>
    <v>4.4039999999999999</v>
    <v>4.4489999999999998</v>
    <v>4.4050000000000002</v>
    <v>4.4249999999999998</v>
    <v>4.68</v>
    <v>4.72</v>
    <v>4.8209999999999997</v>
    <v>4.5960000000000001</v>
    <v>4.7300000000000004</v>
    <v>4.383</v>
    <v>4.4870000000000001</v>
    <v>4.4930000000000003</v>
    <v>4.5229999999999997</v>
    <v>4.3769999999999998</v>
    <v>4.4020000000000001</v>
    <v>4.1740000000000004</v>
    <v>4.2489999999999997</v>
    <v>4.4089999999999998</v>
    <v>4.2549999999999999</v>
    <v>4.2430000000000003</v>
    <v>4.3970000000000002</v>
    <v>4.3970000000000002</v>
    <v>4.4080000000000004</v>
    <v>4.548</v>
    <v>4.4130000000000003</v>
    <v>4.4130000000000003</v>
    <v>4.3760000000000003</v>
    <v>4.3330000000000002</v>
    <v>4.3250000000000002</v>
    <v>4.2320000000000002</v>
    <v>4.202</v>
    <v>4.3109999999999999</v>
    <v>4.3540000000000001</v>
    <v>4.3920000000000003</v>
    <v>4.3250000000000002</v>
    <v>4.4080000000000004</v>
    <v>4.3579999999999997</v>
    <v>3.972</v>
    <v>3.9329999999999998</v>
    <v>4.0780000000000003</v>
    <v>4.1879999999999997</v>
    <v>4.282</v>
    <v>4.2930000000000001</v>
    <v>4.2629999999999999</v>
    <v>4.3140000000000001</v>
    <v>4.3470000000000004</v>
    <v>4.4160000000000004</v>
    <v>4.4329999999999998</v>
    <v>4.4000000000000004</v>
    <v>4.5599999999999996</v>
    <v>4.556</v>
    <v>4.5540000000000003</v>
    <v>4.5510000000000002</v>
    <v>4.53</v>
    <v>4.5199999999999996</v>
    <v>4.484</v>
    <v>4.46</v>
    <v>4.5010000000000003</v>
    <v>4.4820000000000002</v>
    <v>4.4770000000000003</v>
    <v>4.4630000000000001</v>
    <v>4.5650000000000004</v>
    <v>4.5019999999999998</v>
    <v>4.4139999999999997</v>
    <v>4.407</v>
    <v>4.3520000000000003</v>
    <v>4.3319999999999999</v>
    <v>4.3630000000000004</v>
    <v>4.3780000000000001</v>
    <v>4.367</v>
    <v>4.3129999999999997</v>
    <v>4.157</v>
    <v>4.2220000000000004</v>
    <v>4.2809999999999997</v>
    <v>4.3330000000000002</v>
    <v>4.2649999999999997</v>
    <v>4.335</v>
    <v>4.3380000000000001</v>
    <v>4.3630000000000004</v>
    <v>4.3609999999999998</v>
    <v>4.3490000000000002</v>
    <v>4.42</v>
    <v>4.3540000000000001</v>
    <v>4.3540000000000001</v>
    <v>4.2949999999999999</v>
    <v>4.3220000000000001</v>
    <v>4.4550000000000001</v>
    <v>4.3760000000000003</v>
    <v>4.3810000000000002</v>
    <v>4.4059999999999997</v>
    <v>4.57</v>
    <v>4.6470000000000002</v>
    <v>4.66</v>
    <v>4.6260000000000003</v>
    <v>4.4089999999999998</v>
    <v>4.5910000000000002</v>
    <v>4.601</v>
    <v>4.4039999999999999</v>
    <v>4.4850000000000003</v>
    <v>4.2160000000000002</v>
    <v>4.3920000000000003</v>
  </a>
  <a r="1" c="254">
    <v>2.3519999999999999</v>
    <v>2.2559999999999998</v>
    <v>2.2839999999999998</v>
    <v>2.2599999999999998</v>
    <v>2.274</v>
    <v>2.278</v>
    <v>2.2559999999999998</v>
    <v>2.27</v>
    <v>2.254</v>
    <v>2.2149999999999999</v>
    <v>2.2090000000000001</v>
    <v>2.2010000000000001</v>
    <v>2.2349999999999999</v>
    <v>2.323</v>
    <v>2.3149999999999999</v>
    <v>2.3279999999999998</v>
    <v>2.2930000000000001</v>
    <v>2.3130000000000002</v>
    <v>2.2559999999999998</v>
    <v>2.2839999999999998</v>
    <v>2.2959999999999998</v>
    <v>2.2610000000000001</v>
    <v>2.327</v>
    <v>2.3570000000000002</v>
    <v>2.3540000000000001</v>
    <v>2.343</v>
    <v>2.347</v>
    <v>2.3769999999999998</v>
    <v>2.29</v>
    <v>2.3580000000000001</v>
    <v>2.4260000000000002</v>
    <v>2.44</v>
    <v>2.4670000000000001</v>
    <v>2.427</v>
    <v>2.3940000000000001</v>
    <v>2.355</v>
    <v>2.3279999999999998</v>
    <v>2.3290000000000002</v>
    <v>2.3149999999999999</v>
    <v>2.323</v>
    <v>2.331</v>
    <v>2.3769999999999998</v>
    <v>2.48</v>
    <v>2.4279999999999999</v>
    <v>2.395</v>
    <v>2.4249999999999998</v>
    <v>2.5</v>
    <v>2.581</v>
    <v>2.6160000000000001</v>
    <v>2.5249999999999999</v>
    <v>2.5329999999999999</v>
    <v>2.5680000000000001</v>
    <v>2.5960000000000001</v>
    <v>2.71</v>
    <v>2.7120000000000002</v>
    <v>2.7170000000000001</v>
    <v>2.734</v>
    <v>2.6840000000000002</v>
    <v>2.7639999999999998</v>
    <v>2.81</v>
    <v>2.831</v>
    <v>2.9550000000000001</v>
    <v>2.968</v>
    <v>2.9780000000000002</v>
    <v>3.0230000000000001</v>
    <v>3.0950000000000002</v>
    <v>3.109</v>
    <v>3.1680000000000001</v>
    <v>3.1419999999999999</v>
    <v>3.1019999999999999</v>
    <v>3.1070000000000002</v>
    <v>3.1379999999999999</v>
    <v>3.2080000000000002</v>
    <v>3.2290000000000001</v>
    <v>3.2930000000000001</v>
    <v>3.2989999999999999</v>
    <v>3.3090000000000002</v>
    <v>3.3879999999999999</v>
    <v>3.387</v>
    <v>3.4540000000000002</v>
    <v>3.4969999999999999</v>
    <v>3.423</v>
    <v>3.3959999999999999</v>
    <v>3.419</v>
    <v>3.5030000000000001</v>
    <v>3.48</v>
    <v>3.5710000000000002</v>
    <v>3.4329999999999998</v>
    <v>3.2559999999999998</v>
    <v>3.35</v>
    <v>3.2730000000000001</v>
    <v>3.24</v>
    <v>3.395</v>
    <v>3.39</v>
    <v>3.3660000000000001</v>
    <v>3.2879999999999998</v>
    <v>3.3690000000000002</v>
    <v>3.3820000000000001</v>
    <v>3.3580000000000001</v>
    <v>3.3820000000000001</v>
    <v>3.411</v>
    <v>3.42</v>
    <v>3.48</v>
    <v>3.5870000000000002</v>
    <v>3.6040000000000001</v>
    <v>3.8130000000000002</v>
    <v>3.7149999999999999</v>
    <v>3.831</v>
    <v>3.9140000000000001</v>
    <v>3.8889999999999998</v>
    <v>4.0250000000000004</v>
    <v>3.968</v>
    <v>4.1239999999999997</v>
    <v>4.1879999999999997</v>
    <v>4.133</v>
    <v>4.1550000000000002</v>
    <v>4.1760000000000002</v>
    <v>4.1399999999999997</v>
    <v>4.0919999999999996</v>
    <v>3.8730000000000002</v>
    <v>3.996</v>
    <v>3.92</v>
    <v>4.173</v>
    <v>4.2220000000000004</v>
    <v>4.3369999999999997</v>
    <v>4.5220000000000002</v>
    <v>4.585</v>
    <v>4.5330000000000004</v>
    <v>4.6059999999999999</v>
    <v>4.6449999999999996</v>
    <v>4.6520000000000001</v>
    <v>4.5919999999999996</v>
    <v>4.3339999999999996</v>
    <v>4.3040000000000003</v>
    <v>4.4349999999999996</v>
    <v>4.4619999999999997</v>
    <v>4.59</v>
    <v>4.6580000000000004</v>
    <v>4.6550000000000002</v>
    <v>4.593</v>
    <v>4.4470000000000001</v>
    <v>4.37</v>
    <v>4.3220000000000001</v>
    <v>4.2300000000000004</v>
    <v>4.218</v>
    <v>4.2759999999999998</v>
    <v>4.0960000000000001</v>
    <v>4.1669999999999998</v>
    <v>4.12</v>
    <v>4.234</v>
    <v>4.3289999999999997</v>
    <v>4.3090000000000002</v>
    <v>4.3289999999999997</v>
    <v>4.4039999999999999</v>
    <v>4.4489999999999998</v>
    <v>4.4050000000000002</v>
    <v>4.4249999999999998</v>
    <v>4.68</v>
    <v>4.72</v>
    <v>4.8209999999999997</v>
    <v>4.5960000000000001</v>
    <v>4.7300000000000004</v>
    <v>4.383</v>
    <v>4.4870000000000001</v>
    <v>4.4930000000000003</v>
    <v>4.5229999999999997</v>
    <v>4.3769999999999998</v>
    <v>4.4020000000000001</v>
    <v>4.1740000000000004</v>
    <v>4.2489999999999997</v>
    <v>4.4089999999999998</v>
    <v>4.2549999999999999</v>
    <v>4.2430000000000003</v>
    <v>4.3970000000000002</v>
    <v>4.3970000000000002</v>
    <v>4.4080000000000004</v>
    <v>4.548</v>
    <v>4.4130000000000003</v>
    <v>4.4130000000000003</v>
    <v>4.3760000000000003</v>
    <v>4.3330000000000002</v>
    <v>4.3250000000000002</v>
    <v>4.2320000000000002</v>
    <v>4.202</v>
    <v>4.3109999999999999</v>
    <v>4.3540000000000001</v>
    <v>4.3920000000000003</v>
    <v>4.3250000000000002</v>
    <v>4.4080000000000004</v>
    <v>4.3579999999999997</v>
    <v>3.972</v>
    <v>3.9329999999999998</v>
    <v>4.0780000000000003</v>
    <v>4.1879999999999997</v>
    <v>4.282</v>
    <v>4.2930000000000001</v>
    <v>4.2629999999999999</v>
    <v>4.3140000000000001</v>
    <v>4.3470000000000004</v>
    <v>4.4160000000000004</v>
    <v>4.4329999999999998</v>
    <v>4.4000000000000004</v>
    <v>4.5599999999999996</v>
    <v>4.556</v>
    <v>4.5540000000000003</v>
    <v>4.5510000000000002</v>
    <v>4.53</v>
    <v>4.5199999999999996</v>
    <v>4.484</v>
    <v>4.46</v>
    <v>4.5010000000000003</v>
    <v>4.4820000000000002</v>
    <v>4.4770000000000003</v>
    <v>4.4630000000000001</v>
    <v>4.5650000000000004</v>
    <v>4.5019999999999998</v>
    <v>4.4139999999999997</v>
    <v>4.407</v>
    <v>4.3520000000000003</v>
    <v>4.3319999999999999</v>
    <v>4.3630000000000004</v>
    <v>4.3780000000000001</v>
    <v>4.367</v>
    <v>4.3129999999999997</v>
    <v>4.157</v>
    <v>4.2220000000000004</v>
    <v>4.2809999999999997</v>
    <v>4.3330000000000002</v>
    <v>4.2649999999999997</v>
    <v>4.335</v>
    <v>4.3380000000000001</v>
    <v>4.3630000000000004</v>
    <v>4.3609999999999998</v>
    <v>4.3490000000000002</v>
    <v>4.42</v>
    <v>4.3540000000000001</v>
    <v>4.3540000000000001</v>
    <v>4.2949999999999999</v>
    <v>4.3220000000000001</v>
    <v>4.4550000000000001</v>
    <v>4.3760000000000003</v>
    <v>4.3810000000000002</v>
    <v>4.4059999999999997</v>
    <v>4.57</v>
    <v>4.6470000000000002</v>
    <v>4.66</v>
    <v>4.6260000000000003</v>
    <v>4.4089999999999998</v>
    <v>4.5910000000000002</v>
    <v>4.601</v>
    <v>4.4039999999999999</v>
    <v>4.4850000000000003</v>
    <v>4.2160000000000002</v>
    <v>4.3920000000000003</v>
  </a>
  <a r="1" c="205">
    <v>219.36</v>
    <v>216.71</v>
    <v>224.36</v>
    <v>234.53</v>
    <v>233.5</v>
    <v>223.79</v>
    <v>219.09</v>
    <v>220.28</v>
    <v>209.39</v>
    <v>206.16</v>
    <v>207.74</v>
    <v>210.38</v>
    <v>206.21</v>
    <v>206.5</v>
    <v>211.13</v>
    <v>209.69</v>
    <v>211.27</v>
    <v>212.75</v>
    <v>216</v>
    <v>199.37</v>
    <v>192.7</v>
    <v>190.68</v>
    <v>173.24</v>
    <v>165.29</v>
    <v>156.71</v>
    <v>168.43</v>
    <v>175.95</v>
    <v>182.58</v>
    <v>178.83</v>
    <v>172.91</v>
    <v>182.29</v>
    <v>177.1</v>
    <v>176.08</v>
    <v>179.2</v>
    <v>172.5</v>
    <v>157.6</v>
    <v>161.06</v>
    <v>169.21</v>
    <v>173.06</v>
    <v>168.41</v>
    <v>170.33</v>
    <v>165.79</v>
    <v>168.26</v>
    <v>177.45</v>
    <v>180.48</v>
    <v>182.84</v>
    <v>175.32</v>
    <v>179.43</v>
    <v>177.25</v>
    <v>178.66</v>
    <v>174.4</v>
    <v>174.6</v>
    <v>173.25</v>
    <v>175.4</v>
    <v>168.02</v>
    <v>174.2</v>
    <v>161.34</v>
    <v>160.61000000000001</v>
    <v>162.33000000000001</v>
    <v>152.80000000000001</v>
    <v>153.66999999999999</v>
    <v>150.82</v>
    <v>153.12</v>
    <v>151.85</v>
    <v>149.38</v>
    <v>149.24</v>
    <v>149.99</v>
    <v>132.24</v>
    <v>121.11</v>
    <v>134.24</v>
    <v>135.47</v>
    <v>144.47999999999999</v>
    <v>143.55000000000001</v>
    <v>143.97999999999999</v>
    <v>150.44</v>
    <v>150.84</v>
    <v>155.57</v>
    <v>146.4</v>
    <v>140.32</v>
    <v>144.25</v>
    <v>142.56</v>
    <v>141.22</v>
    <v>136.47</v>
    <v>141</v>
    <v>144.21</v>
    <v>141.71</v>
    <v>139.74</v>
    <v>153.72</v>
    <v>152.44999999999999</v>
    <v>151.5</v>
    <v>151.97999999999999</v>
    <v>152.37</v>
    <v>150.76</v>
    <v>157.47</v>
    <v>164.24</v>
    <v>169.55</v>
    <v>166.97</v>
    <v>165.54</v>
    <v>172.2</v>
    <v>177.6</v>
    <v>175.26</v>
    <v>239.2</v>
    <v>255.55</v>
    <v>280.16000000000003</v>
    <v>261.14</v>
    <v>241.28</v>
    <v>244.18</v>
    <v>238.26</v>
    <v>240.45</v>
    <v>239.66</v>
    <v>239.9</v>
    <v>240.39</v>
    <v>232.78</v>
    <v>240.78</v>
    <v>238.32</v>
    <v>234.52</v>
    <v>232.29</v>
    <v>226.59</v>
    <v>230.41</v>
    <v>225.95</v>
    <v>227.06</v>
    <v>248.96</v>
    <v>251.65</v>
    <v>254.5</v>
    <v>261.19</v>
    <v>260.14999999999998</v>
    <v>262.08999999999997</v>
    <v>262.74</v>
    <v>261.31</v>
    <v>267.49</v>
    <v>261.45</v>
    <v>268.64999999999998</v>
    <v>275.94</v>
    <v>271.87</v>
    <v>270.02</v>
    <v>268.89999999999998</v>
    <v>274.33999999999997</v>
    <v>271.73</v>
    <v>267.8</v>
    <v>265.13</v>
    <v>268.06</v>
    <v>272.92</v>
    <v>270.36</v>
    <v>282.89999999999998</v>
    <v>298.10000000000002</v>
    <v>293.27999999999997</v>
    <v>307.52999999999997</v>
    <v>316.77</v>
    <v>316.83999999999997</v>
    <v>318</v>
    <v>330.49</v>
    <v>334.7</v>
    <v>334.14</v>
    <v>332.26</v>
    <v>337.38</v>
    <v>328.92</v>
    <v>330.11</v>
    <v>325.33</v>
    <v>325.01</v>
    <v>321.29000000000002</v>
    <v>332.78</v>
    <v>322.77999999999997</v>
    <v>317.02</v>
    <v>315.37</v>
    <v>329.11</v>
    <v>328</v>
    <v>331.43</v>
    <v>319.8</v>
    <v>305.83999999999997</v>
    <v>356.47</v>
    <v>337.18</v>
    <v>335.5</v>
    <v>331.48</v>
    <v>329.72</v>
    <v>328.99</v>
    <v>332.35</v>
    <v>322.98</v>
    <v>331.02</v>
    <v>338.39</v>
    <v>332.43</v>
    <v>339.39</v>
    <v>336.59</v>
    <v>334.81</v>
    <v>334</v>
    <v>335.94</v>
    <v>328.12</v>
    <v>330.31</v>
    <v>339.56</v>
    <v>341.99</v>
    <v>341.04</v>
    <v>338.99</v>
    <v>335.95</v>
    <v>332.85</v>
    <v>343.4</v>
    <v>368.89</v>
    <v>360.37</v>
    <v>357.76</v>
    <v>335.08</v>
    <v>335.07</v>
    <v>306.83999999999997</v>
    <v>315.35000000000002</v>
    <v>319.61</v>
    <v>322.73</v>
    <v>313.95999999999998</v>
    <v>325.43</v>
  </a>
  <a r="1" c="754">
    <v>148.59</v>
    <v>151.12</v>
    <v>142.4</v>
    <v>140.84</v>
    <v>143.38</v>
    <v>144.16</v>
    <v>145.13</v>
    <v>144.26</v>
    <v>142.75</v>
    <v>149.99</v>
    <v>144.19999999999999</v>
    <v>159.57</v>
    <v>158.58000000000001</v>
    <v>156.35</v>
    <v>160.4</v>
    <v>158.69999999999999</v>
    <v>165.86</v>
    <v>163.03</v>
    <v>160.97</v>
    <v>161.85</v>
    <v>166.73</v>
    <v>166.67</v>
    <v>168.92</v>
    <v>171.16</v>
    <v>170.3</v>
    <v>171.55</v>
    <v>175.32</v>
    <v>187.68</v>
    <v>185.97</v>
    <v>188.3</v>
    <v>186.16</v>
    <v>184.47</v>
    <v>187.31</v>
    <v>190.67</v>
    <v>192.99</v>
    <v>193.49</v>
    <v>196.55</v>
    <v>200.86</v>
    <v>199.01</v>
    <v>198.97</v>
    <v>199.02</v>
    <v>194.28</v>
    <v>196.79</v>
    <v>195.67</v>
    <v>198.56</v>
    <v>198.71</v>
    <v>201.23</v>
    <v>199</v>
    <v>189.12</v>
    <v>184.21</v>
    <v>183.72</v>
    <v>189.12</v>
    <v>196.35</v>
    <v>196.9</v>
    <v>197.4</v>
    <v>195.62</v>
    <v>191.26</v>
    <v>188.02</v>
    <v>188.12</v>
    <v>186.61</v>
    <v>193.12</v>
    <v>199.08</v>
    <v>205.58</v>
    <v>203.81</v>
    <v>206.01</v>
    <v>202.51</v>
    <v>209.54</v>
    <v>206.25</v>
    <v>195.64</v>
    <v>199.94</v>
    <v>218.76</v>
    <v>215.6</v>
    <v>213.68</v>
    <v>218.23</v>
    <v>222.9</v>
    <v>233.28</v>
    <v>232.16</v>
    <v>227.57</v>
    <v>236</v>
    <v>232.4</v>
    <v>230.31</v>
    <v>220.08</v>
    <v>216.21</v>
    <v>225.62</v>
    <v>229.34</v>
    <v>230.93</v>
    <v>234.03</v>
    <v>230</v>
    <v>188.28</v>
    <v>186.72</v>
    <v>177.93</v>
    <v>167.75</v>
    <v>167</v>
    <v>168.44</v>
    <v>162.4</v>
    <v>162.29</v>
    <v>161.94999999999999</v>
    <v>162.31</v>
    <v>158.91999999999999</v>
    <v>156.97</v>
    <v>156.31</v>
    <v>157.69999999999999</v>
    <v>163.04</v>
    <v>158.38999999999999</v>
    <v>159.03</v>
    <v>158.13999999999999</v>
    <v>158.02000000000001</v>
    <v>160.04</v>
    <v>161.6</v>
    <v>160.52000000000001</v>
    <v>156.19</v>
    <v>153.02000000000001</v>
    <v>151.34</v>
    <v>153.86000000000001</v>
    <v>154.86000000000001</v>
    <v>155.58000000000001</v>
    <v>152.97</v>
    <v>159.35</v>
    <v>158.56</v>
    <v>151.97999999999999</v>
    <v>150.30000000000001</v>
    <v>148.80000000000001</v>
    <v>148.41</v>
    <v>145.44999999999999</v>
    <v>147.21</v>
    <v>151.16999999999999</v>
    <v>154.99</v>
    <v>152.5</v>
    <v>158.13</v>
    <v>157.44</v>
    <v>155.19999999999999</v>
    <v>156.13999999999999</v>
    <v>157.77000000000001</v>
    <v>159.32</v>
    <v>163.68</v>
    <v>159.09</v>
    <v>157.78</v>
    <v>155.87</v>
    <v>157.15</v>
    <v>159.79</v>
    <v>160.94999999999999</v>
    <v>164.37</v>
    <v>165.04</v>
    <v>161.86000000000001</v>
    <v>164.78</v>
    <v>162.71</v>
    <v>163.34</v>
    <v>154.58000000000001</v>
    <v>156.16</v>
    <v>150.74</v>
    <v>148.19</v>
    <v>140.94999999999999</v>
    <v>136.18</v>
    <v>136.93</v>
    <v>137</v>
    <v>134.29</v>
    <v>132.04</v>
    <v>131.21</v>
    <v>126.76</v>
    <v>128.47999999999999</v>
    <v>130.33000000000001</v>
    <v>125.9</v>
    <v>127.17</v>
    <v>130.66999999999999</v>
    <v>127.6</v>
    <v>126.62</v>
    <v>127.8</v>
    <v>124.8</v>
    <v>124.21</v>
    <v>129.13</v>
    <v>133.91999999999999</v>
    <v>135.09</v>
    <v>142.77000000000001</v>
    <v>141.91999999999999</v>
    <v>142.86000000000001</v>
    <v>143.02000000000001</v>
    <v>141.57</v>
    <v>137.46</v>
    <v>137.5</v>
    <v>138.18</v>
    <v>135.75</v>
    <v>133.72</v>
    <v>136.21</v>
    <v>135.1</v>
    <v>129.84</v>
    <v>129.85</v>
    <v>131.15</v>
    <v>132.6</v>
    <v>125.62</v>
    <v>129.59</v>
    <v>129</v>
    <v>129.57</v>
    <v>128.88</v>
    <v>130.38</v>
    <v>124.2</v>
    <v>119.77</v>
    <v>112.63</v>
    <v>114.82</v>
    <v>115.1</v>
    <v>121.6</v>
    <v>124.41</v>
    <v>123.03</v>
    <v>127.06</v>
    <v>127.3</v>
    <v>127.05</v>
    <v>128.04</v>
    <v>131.41999999999999</v>
    <v>131.91999999999999</v>
    <v>135.06</v>
    <v>115.21</v>
    <v>115.86</v>
    <v>118</v>
    <v>115.54</v>
    <v>111.56</v>
    <v>114.14</v>
    <v>114.23</v>
    <v>110.41</v>
    <v>110.8</v>
    <v>111.75</v>
    <v>108.56</v>
    <v>109.96</v>
    <v>110.27</v>
    <v>112</v>
    <v>112.99</v>
    <v>113.67</v>
    <v>112.84</v>
    <v>111.63</v>
    <v>110.78</v>
    <v>114.02</v>
    <v>110.27</v>
    <v>113.26</v>
    <v>112.5</v>
    <v>112.62</v>
    <v>112.49</v>
    <v>113.92</v>
    <v>114.86</v>
    <v>110.23</v>
    <v>109.65</v>
    <v>110.47</v>
    <v>114.72</v>
    <v>113.82</v>
    <v>113.52</v>
    <v>119.67</v>
    <v>123.79</v>
    <v>124.03</v>
    <v>123.16</v>
    <v>122.74</v>
    <v>118.9</v>
    <v>119.03</v>
    <v>119.54</v>
    <v>119.56</v>
    <v>115.5</v>
    <v>113.61</v>
    <v>114.92</v>
    <v>116.04</v>
    <v>117.33</v>
    <v>118.39</v>
    <v>118.99</v>
    <v>114.82</v>
    <v>115.49</v>
    <v>113.74</v>
    <v>116.5</v>
    <v>121.42</v>
    <v>123.54</v>
    <v>120.89</v>
    <v>123.5</v>
    <v>125.46</v>
    <v>130.72999999999999</v>
    <v>129.27000000000001</v>
    <v>125.96</v>
    <v>127.43</v>
    <v>130.24</v>
    <v>129.12</v>
    <v>171.35</v>
    <v>167.44</v>
    <v>171.42</v>
    <v>171.28</v>
    <v>173.7</v>
    <v>174.8</v>
    <v>172.42</v>
    <v>175.94</v>
    <v>186.51</v>
    <v>183.06</v>
    <v>183.64</v>
    <v>180.76</v>
    <v>171.55</v>
    <v>171.96</v>
    <v>170</v>
    <v>167.67</v>
    <v>172.47</v>
    <v>170.81</v>
    <v>162.59</v>
    <v>164.21</v>
    <v>166.29</v>
    <v>161.44</v>
    <v>163.06</v>
    <v>163.47999999999999</v>
    <v>158.65</v>
    <v>154.97</v>
    <v>154.41</v>
    <v>157.51</v>
    <v>162.22</v>
    <v>163.08000000000001</v>
    <v>158.84</v>
    <v>161.03</v>
    <v>162.46</v>
    <v>162.43</v>
    <v>163.41</v>
    <v>165.71</v>
    <v>167.64</v>
    <v>170.79</v>
    <v>173.53</v>
    <v>177.49</v>
    <v>174.94</v>
    <v>174.12</v>
    <v>175.52</v>
    <v>188.02</v>
    <v>182.88</v>
    <v>179.29</v>
    <v>181.51</v>
    <v>182.54</v>
    <v>189.11</v>
    <v>188.93</v>
    <v>186.37</v>
    <v>184.03</v>
    <v>186.12</v>
    <v>183.55</v>
    <v>187.23</v>
    <v>192.66</v>
    <v>187.6</v>
    <v>192.78</v>
    <v>186.56</v>
    <v>184.96</v>
    <v>177.89</v>
    <v>170.92</v>
    <v>164.2</v>
    <v>166.19</v>
    <v>173.69</v>
    <v>177.1</v>
    <v>173.65</v>
    <v>173.6</v>
    <v>177.31</v>
    <v>156.22</v>
    <v>158.91</v>
    <v>147.59</v>
    <v>149.9</v>
    <v>152.37</v>
    <v>149.83000000000001</v>
    <v>156.11000000000001</v>
    <v>156.38999999999999</v>
    <v>154.36000000000001</v>
    <v>155.96</v>
    <v>157.19</v>
    <v>158.38999999999999</v>
    <v>163.16999999999999</v>
    <v>162.83000000000001</v>
    <v>159.74</v>
    <v>156.97999999999999</v>
    <v>150.63</v>
    <v>146.16</v>
    <v>149.54</v>
    <v>153.91</v>
    <v>139.9</v>
    <v>130.53</v>
    <v>131.04</v>
    <v>133.51</v>
    <v>151.15</v>
    <v>144.44999999999999</v>
    <v>144.96</v>
    <v>144.55000000000001</v>
    <v>146.54</v>
    <v>146.08000000000001</v>
    <v>143.43</v>
    <v>137</v>
    <v>140.22999999999999</v>
    <v>147.38999999999999</v>
    <v>158.66</v>
    <v>158.4</v>
    <v>158.96</v>
    <v>160.35</v>
    <v>159.49</v>
    <v>165.36</v>
    <v>167.66</v>
    <v>167.87</v>
    <v>168.45</v>
    <v>170.56</v>
    <v>173.97</v>
    <v>174.14</v>
    <v>180.54</v>
    <v>181.02</v>
    <v>181.45</v>
    <v>182.97</v>
    <v>183.08</v>
    <v>182.05</v>
    <v>182.88</v>
    <v>179.12</v>
    <v>203.18</v>
    <v>200.05</v>
    <v>206.35</v>
    <v>204.4</v>
    <v>202.31</v>
    <v>205.67</v>
    <v>210.17</v>
    <v>209.15</v>
    <v>209.6</v>
    <v>210.1</v>
    <v>210.84</v>
    <v>210.85</v>
    <v>208.24</v>
    <v>208.61</v>
    <v>211.28</v>
    <v>208.18</v>
    <v>209.12</v>
    <v>209.45</v>
    <v>212.08</v>
    <v>211.99</v>
    <v>213.71</v>
    <v>223.14</v>
    <v>221.52</v>
    <v>221.92</v>
    <v>222.61</v>
    <v>223.77</v>
    <v>215.97</v>
    <v>217.34</v>
    <v>221.49</v>
    <v>225.79</v>
    <v>223.5</v>
    <v>221.9</v>
    <v>214.42</v>
    <v>210.84</v>
    <v>213.52</v>
    <v>212.79</v>
    <v>211.94</v>
    <v>211.58</v>
    <v>216.89</v>
    <v>215.65</v>
    <v>212.25</v>
    <v>212.56</v>
    <v>215.02</v>
    <v>219.51</v>
    <v>218.67</v>
    <v>218.76</v>
    <v>220.28</v>
    <v>223.5</v>
    <v>205.02</v>
    <v>208.48</v>
    <v>205.77</v>
    <v>210.54</v>
    <v>206.4</v>
    <v>191.73</v>
    <v>191.8</v>
    <v>193.06</v>
    <v>196.87</v>
    <v>194.9</v>
    <v>199.08</v>
    <v>198.24</v>
    <v>192.63</v>
    <v>194.8</v>
    <v>194.68</v>
    <v>196.81</v>
    <v>194.68</v>
    <v>194.35</v>
    <v>200.39</v>
    <v>241</v>
    <v>238.66</v>
    <v>233.6</v>
    <v>229.33</v>
    <v>221.9</v>
    <v>225.58</v>
    <v>226.52</v>
    <v>225.56</v>
    <v>225.85</v>
    <v>224.53</v>
    <v>221.15</v>
    <v>225.79</v>
    <v>215.95</v>
    <v>217.96</v>
    <v>222.11</v>
    <v>230.48</v>
    <v>229.54</v>
    <v>223.54</v>
    <v>222.57</v>
    <v>221.6</v>
    <v>224.64</v>
    <v>225.25</v>
    <v>225.55</v>
    <v>230.55</v>
    <v>240.54</v>
    <v>235.09</v>
    <v>242.52</v>
    <v>234.81</v>
    <v>250.21</v>
    <v>250.67</v>
    <v>242.17</v>
    <v>247.27</v>
    <v>240.83</v>
    <v>240.86</v>
    <v>240.06</v>
    <v>240.74</v>
    <v>245.67</v>
    <v>247.52</v>
    <v>241.67</v>
    <v>252.99</v>
    <v>257.94</v>
    <v>265.97000000000003</v>
    <v>267.05</v>
    <v>269.7</v>
    <v>271.18</v>
    <v>274.88</v>
    <v>277.14</v>
    <v>265.42</v>
    <v>264.79000000000002</v>
    <v>264.72000000000003</v>
    <v>262.86</v>
    <v>268.51</v>
    <v>271.26</v>
    <v>269.82</v>
    <v>256.92</v>
    <v>257.02</v>
    <v>252.79</v>
    <v>254.51</v>
    <v>252.98</v>
    <v>244.66</v>
    <v>234.03</v>
    <v>241.99</v>
    <v>250.32</v>
    <v>248.66</v>
    <v>251.24</v>
    <v>252</v>
    <v>259.68</v>
    <v>265</v>
    <v>234.77</v>
    <v>228.79</v>
    <v>225.31</v>
    <v>222.6</v>
    <v>216.55</v>
    <v>220.51</v>
    <v>217.93</v>
    <v>215.28</v>
    <v>220.6</v>
    <v>216.29</v>
    <v>221.31</v>
    <v>222.46</v>
    <v>226.84</v>
    <v>225.1</v>
    <v>221.93</v>
    <v>223.88</v>
    <v>222.9</v>
    <v>222.05</v>
    <v>219.36</v>
    <v>216.71</v>
    <v>224.36</v>
    <v>234.53</v>
    <v>233.5</v>
    <v>223.79</v>
    <v>219.09</v>
    <v>220.28</v>
    <v>209.39</v>
    <v>206.16</v>
    <v>207.74</v>
    <v>210.38</v>
    <v>206.21</v>
    <v>206.5</v>
    <v>211.13</v>
    <v>209.69</v>
    <v>211.27</v>
    <v>212.75</v>
    <v>216</v>
    <v>199.37</v>
    <v>192.7</v>
    <v>190.68</v>
    <v>173.24</v>
    <v>165.29</v>
    <v>156.71</v>
    <v>168.43</v>
    <v>175.95</v>
    <v>182.58</v>
    <v>178.83</v>
    <v>172.91</v>
    <v>182.29</v>
    <v>177.1</v>
    <v>176.08</v>
    <v>179.2</v>
    <v>172.5</v>
    <v>157.6</v>
    <v>161.06</v>
    <v>169.21</v>
    <v>173.06</v>
    <v>168.41</v>
    <v>170.33</v>
    <v>165.79</v>
    <v>168.26</v>
    <v>177.45</v>
    <v>180.48</v>
    <v>182.84</v>
    <v>175.32</v>
    <v>179.43</v>
    <v>177.25</v>
    <v>178.66</v>
    <v>174.4</v>
    <v>174.6</v>
    <v>173.25</v>
    <v>175.4</v>
    <v>168.02</v>
    <v>174.2</v>
    <v>161.34</v>
    <v>160.61000000000001</v>
    <v>162.33000000000001</v>
    <v>152.80000000000001</v>
    <v>153.66999999999999</v>
    <v>150.82</v>
    <v>153.12</v>
    <v>151.85</v>
    <v>149.38</v>
    <v>149.24</v>
    <v>149.99</v>
    <v>132.24</v>
    <v>121.11</v>
    <v>134.24</v>
    <v>135.47</v>
    <v>144.47999999999999</v>
    <v>143.55000000000001</v>
    <v>143.97999999999999</v>
    <v>150.44</v>
    <v>150.84</v>
    <v>155.57</v>
    <v>146.4</v>
    <v>140.32</v>
    <v>144.25</v>
    <v>142.56</v>
    <v>141.22</v>
    <v>136.47</v>
    <v>141</v>
    <v>144.21</v>
    <v>141.71</v>
    <v>139.74</v>
    <v>153.72</v>
    <v>152.44999999999999</v>
    <v>151.5</v>
    <v>151.97999999999999</v>
    <v>152.37</v>
    <v>150.76</v>
    <v>157.47</v>
    <v>164.24</v>
    <v>169.55</v>
    <v>166.97</v>
    <v>165.54</v>
    <v>172.2</v>
    <v>177.6</v>
    <v>175.26</v>
    <v>239.2</v>
    <v>255.55</v>
    <v>280.16000000000003</v>
    <v>261.14</v>
    <v>241.28</v>
    <v>244.18</v>
    <v>238.26</v>
    <v>240.45</v>
    <v>239.66</v>
    <v>239.9</v>
    <v>240.39</v>
    <v>232.78</v>
    <v>240.78</v>
    <v>238.32</v>
    <v>234.52</v>
    <v>232.29</v>
    <v>226.59</v>
    <v>230.41</v>
    <v>225.95</v>
    <v>227.06</v>
    <v>248.96</v>
    <v>251.65</v>
    <v>254.5</v>
    <v>261.19</v>
    <v>260.14999999999998</v>
    <v>262.08999999999997</v>
    <v>262.74</v>
    <v>261.31</v>
    <v>267.49</v>
    <v>261.45</v>
    <v>268.64999999999998</v>
    <v>275.94</v>
    <v>271.87</v>
    <v>270.02</v>
    <v>268.89999999999998</v>
    <v>274.33999999999997</v>
    <v>271.73</v>
    <v>267.8</v>
    <v>265.13</v>
    <v>268.06</v>
    <v>272.92</v>
    <v>270.36</v>
    <v>282.89999999999998</v>
    <v>298.10000000000002</v>
    <v>293.27999999999997</v>
    <v>307.52999999999997</v>
    <v>316.77</v>
    <v>316.83999999999997</v>
    <v>318</v>
    <v>330.49</v>
    <v>334.7</v>
    <v>334.14</v>
    <v>332.26</v>
    <v>337.38</v>
    <v>328.92</v>
    <v>330.11</v>
    <v>325.33</v>
    <v>325.01</v>
    <v>321.29000000000002</v>
    <v>332.78</v>
    <v>322.77999999999997</v>
    <v>317.02</v>
    <v>315.37</v>
    <v>329.11</v>
    <v>328</v>
    <v>331.43</v>
    <v>319.8</v>
    <v>305.83999999999997</v>
    <v>356.47</v>
    <v>337.18</v>
    <v>335.5</v>
    <v>331.48</v>
    <v>329.72</v>
    <v>328.99</v>
    <v>332.35</v>
    <v>322.98</v>
    <v>331.02</v>
    <v>338.39</v>
    <v>332.43</v>
    <v>339.39</v>
    <v>336.59</v>
    <v>334.81</v>
    <v>334</v>
    <v>335.94</v>
    <v>328.12</v>
    <v>330.31</v>
    <v>339.56</v>
    <v>341.99</v>
    <v>341.04</v>
    <v>338.99</v>
    <v>335.95</v>
    <v>332.85</v>
    <v>343.4</v>
    <v>368.89</v>
    <v>360.37</v>
    <v>357.76</v>
    <v>335.08</v>
    <v>335.07</v>
    <v>306.83999999999997</v>
    <v>315.35000000000002</v>
    <v>319.61</v>
    <v>322.73</v>
    <v>313.95999999999998</v>
    <v>325.43</v>
  </a>
  <a r="1" c="252">
    <v>252.99</v>
    <v>257.94</v>
    <v>265.97000000000003</v>
    <v>267.05</v>
    <v>269.7</v>
    <v>271.18</v>
    <v>274.88</v>
    <v>277.14</v>
    <v>265.42</v>
    <v>264.79000000000002</v>
    <v>264.72000000000003</v>
    <v>262.86</v>
    <v>268.51</v>
    <v>271.26</v>
    <v>269.82</v>
    <v>256.92</v>
    <v>257.02</v>
    <v>252.79</v>
    <v>254.51</v>
    <v>252.98</v>
    <v>244.66</v>
    <v>234.03</v>
    <v>241.99</v>
    <v>250.32</v>
    <v>248.66</v>
    <v>251.24</v>
    <v>252</v>
    <v>259.68</v>
    <v>265</v>
    <v>234.77</v>
    <v>228.79</v>
    <v>225.31</v>
    <v>222.6</v>
    <v>216.55</v>
    <v>220.51</v>
    <v>217.93</v>
    <v>215.28</v>
    <v>220.6</v>
    <v>216.29</v>
    <v>221.31</v>
    <v>222.46</v>
    <v>226.84</v>
    <v>225.1</v>
    <v>221.93</v>
    <v>223.88</v>
    <v>222.9</v>
    <v>222.05</v>
    <v>219.36</v>
    <v>216.71</v>
    <v>224.36</v>
    <v>234.53</v>
    <v>233.5</v>
    <v>223.79</v>
    <v>219.09</v>
    <v>220.28</v>
    <v>209.39</v>
    <v>206.16</v>
    <v>207.74</v>
    <v>210.38</v>
    <v>206.21</v>
    <v>206.5</v>
    <v>211.13</v>
    <v>209.69</v>
    <v>211.27</v>
    <v>212.75</v>
    <v>216</v>
    <v>199.37</v>
    <v>192.7</v>
    <v>190.68</v>
    <v>173.24</v>
    <v>165.29</v>
    <v>156.71</v>
    <v>168.43</v>
    <v>175.95</v>
    <v>182.58</v>
    <v>178.83</v>
    <v>172.91</v>
    <v>182.29</v>
    <v>177.1</v>
    <v>176.08</v>
    <v>179.2</v>
    <v>172.5</v>
    <v>157.6</v>
    <v>161.06</v>
    <v>169.21</v>
    <v>173.06</v>
    <v>168.41</v>
    <v>170.33</v>
    <v>165.79</v>
    <v>168.26</v>
    <v>177.45</v>
    <v>180.48</v>
    <v>182.84</v>
    <v>175.32</v>
    <v>179.43</v>
    <v>177.25</v>
    <v>178.66</v>
    <v>174.4</v>
    <v>174.6</v>
    <v>173.25</v>
    <v>175.4</v>
    <v>168.02</v>
    <v>174.2</v>
    <v>161.34</v>
    <v>160.61000000000001</v>
    <v>162.33000000000001</v>
    <v>152.80000000000001</v>
    <v>153.66999999999999</v>
    <v>150.82</v>
    <v>153.12</v>
    <v>151.85</v>
    <v>149.38</v>
    <v>149.24</v>
    <v>149.99</v>
    <v>132.24</v>
    <v>121.11</v>
    <v>134.24</v>
    <v>135.47</v>
    <v>144.47999999999999</v>
    <v>143.55000000000001</v>
    <v>143.97999999999999</v>
    <v>150.44</v>
    <v>150.84</v>
    <v>155.57</v>
    <v>146.4</v>
    <v>140.32</v>
    <v>144.25</v>
    <v>142.56</v>
    <v>141.22</v>
    <v>136.47</v>
    <v>141</v>
    <v>144.21</v>
    <v>141.71</v>
    <v>139.74</v>
    <v>153.72</v>
    <v>152.44999999999999</v>
    <v>151.5</v>
    <v>151.97999999999999</v>
    <v>152.37</v>
    <v>150.76</v>
    <v>157.47</v>
    <v>164.24</v>
    <v>169.55</v>
    <v>166.97</v>
    <v>165.54</v>
    <v>172.2</v>
    <v>177.6</v>
    <v>175.26</v>
    <v>239.2</v>
    <v>255.55</v>
    <v>280.16000000000003</v>
    <v>261.14</v>
    <v>241.28</v>
    <v>244.18</v>
    <v>238.26</v>
    <v>240.45</v>
    <v>239.66</v>
    <v>239.9</v>
    <v>240.39</v>
    <v>232.78</v>
    <v>240.78</v>
    <v>238.32</v>
    <v>234.52</v>
    <v>232.29</v>
    <v>226.59</v>
    <v>230.41</v>
    <v>225.95</v>
    <v>227.06</v>
    <v>248.96</v>
    <v>251.65</v>
    <v>254.5</v>
    <v>261.19</v>
    <v>260.14999999999998</v>
    <v>262.08999999999997</v>
    <v>262.74</v>
    <v>261.31</v>
    <v>267.49</v>
    <v>261.45</v>
    <v>268.64999999999998</v>
    <v>275.94</v>
    <v>271.87</v>
    <v>270.02</v>
    <v>268.89999999999998</v>
    <v>274.33999999999997</v>
    <v>271.73</v>
    <v>267.8</v>
    <v>265.13</v>
    <v>268.06</v>
    <v>272.92</v>
    <v>270.36</v>
    <v>282.89999999999998</v>
    <v>298.10000000000002</v>
    <v>293.27999999999997</v>
    <v>307.52999999999997</v>
    <v>316.77</v>
    <v>316.83999999999997</v>
    <v>318</v>
    <v>330.49</v>
    <v>334.7</v>
    <v>334.14</v>
    <v>332.26</v>
    <v>337.38</v>
    <v>328.92</v>
    <v>330.11</v>
    <v>325.33</v>
    <v>325.01</v>
    <v>321.29000000000002</v>
    <v>332.78</v>
    <v>322.77999999999997</v>
    <v>317.02</v>
    <v>315.37</v>
    <v>329.11</v>
    <v>328</v>
    <v>331.43</v>
    <v>319.8</v>
    <v>305.83999999999997</v>
    <v>356.47</v>
    <v>337.18</v>
    <v>335.5</v>
    <v>331.48</v>
    <v>329.72</v>
    <v>328.99</v>
    <v>332.35</v>
    <v>322.98</v>
    <v>331.02</v>
    <v>338.39</v>
    <v>332.43</v>
    <v>339.39</v>
    <v>336.59</v>
    <v>334.81</v>
    <v>334</v>
    <v>335.94</v>
    <v>328.12</v>
    <v>330.31</v>
    <v>339.56</v>
    <v>341.99</v>
    <v>341.04</v>
    <v>338.99</v>
    <v>335.95</v>
    <v>332.85</v>
    <v>343.4</v>
    <v>368.89</v>
    <v>360.37</v>
    <v>357.76</v>
    <v>335.08</v>
    <v>335.07</v>
    <v>306.83999999999997</v>
    <v>315.35000000000002</v>
    <v>319.61</v>
    <v>322.73</v>
    <v>313.95999999999998</v>
    <v>325.43</v>
  </a>
  <a r="1" c="208">
    <v>9.35</v>
    <v>9.2490000000000006</v>
    <v>9.0459999999999994</v>
    <v>8.9610000000000003</v>
    <v>8.9290000000000003</v>
    <v>8.9920000000000009</v>
    <v>9.1859999999999999</v>
    <v>9.3059999999999992</v>
    <v>9.3480000000000008</v>
    <v>9.2029999999999994</v>
    <v>8.8179999999999996</v>
    <v>8.9</v>
    <v>8.8559999999999999</v>
    <v>8.76</v>
    <v>8.9459999999999997</v>
    <v>8.6910000000000007</v>
    <v>8.6950000000000003</v>
    <v>8.7690000000000001</v>
    <v>8.657</v>
    <v>8.673</v>
    <v>8.734</v>
    <v>8.9969999999999999</v>
    <v>8.9410000000000007</v>
    <v>9.0440000000000005</v>
    <v>8.9060000000000006</v>
    <v>8.9</v>
    <v>9.0969999999999995</v>
    <v>8.7829999999999995</v>
    <v>8.5050000000000008</v>
    <v>8.3520000000000003</v>
    <v>8.1940000000000008</v>
    <v>8.2520000000000007</v>
    <v>8.4280000000000008</v>
    <v>8.5579999999999998</v>
    <v>8.5239999999999991</v>
    <v>8.7780000000000005</v>
    <v>8.6660000000000004</v>
    <v>8.4719999999999995</v>
    <v>8.8339999999999996</v>
    <v>8.9</v>
    <v>8.298</v>
    <v>8.11</v>
    <v>7.7809999999999997</v>
    <v>7.6879999999999997</v>
    <v>7.3659999999999997</v>
    <v>7.1639999999999997</v>
    <v>7.0449999999999999</v>
    <v>7.3940000000000001</v>
    <v>7.484</v>
    <v>7.16</v>
    <v>7.1369999999999996</v>
    <v>7.0720000000000001</v>
    <v>7.218</v>
    <v>7.24</v>
    <v>6.9669999999999996</v>
    <v>7.0650000000000004</v>
    <v>7.2539999999999996</v>
    <v>7.343</v>
    <v>7.5860000000000003</v>
    <v>7.4909999999999997</v>
    <v>7.4969999999999999</v>
    <v>7.43</v>
    <v>7.4269999999999996</v>
    <v>7.6059999999999999</v>
    <v>7.3949999999999996</v>
    <v>7.3609999999999998</v>
    <v>7.8769999999999998</v>
    <v>7.9340000000000002</v>
    <v>8.08</v>
    <v>8.06</v>
    <v>8.2230000000000008</v>
    <v>8.6069999999999993</v>
    <v>8.7940000000000005</v>
    <v>9.1609999999999996</v>
    <v>9.1340000000000003</v>
    <v>9.1069999999999993</v>
    <v>9.08</v>
    <v>9.1</v>
    <v>8.9909999999999997</v>
    <v>9.0280000000000005</v>
    <v>9.1</v>
    <v>9.0719999999999992</v>
    <v>9.0519999999999996</v>
    <v>8.9</v>
    <v>9.2189999999999994</v>
    <v>9.3629999999999995</v>
    <v>9.2970000000000006</v>
    <v>9.3320000000000007</v>
    <v>9.33</v>
    <v>9.4670000000000005</v>
    <v>9.4870000000000001</v>
    <v>9.4649999999999999</v>
    <v>9.3710000000000004</v>
    <v>8.6319999999999997</v>
    <v>8.577</v>
    <v>8.6199999999999992</v>
    <v>8.5649999999999995</v>
    <v>8.7100000000000009</v>
    <v>8.7959999999999994</v>
    <v>8.7859999999999996</v>
    <v>8.8919999999999995</v>
    <v>9.1199999999999992</v>
    <v>9.2279999999999998</v>
    <v>9.0960000000000001</v>
    <v>9.0890000000000004</v>
    <v>8.8949999999999996</v>
    <v>8.8719999999999999</v>
    <v>8.9450000000000003</v>
    <v>10.103999999999999</v>
    <v>10.37</v>
    <v>10.276</v>
    <v>10.31</v>
    <v>10.715999999999999</v>
    <v>10.786</v>
    <v>10.95</v>
    <v>10.954000000000001</v>
    <v>10.996</v>
    <v>10.96</v>
    <v>10.864000000000001</v>
    <v>10.8</v>
    <v>10.888</v>
    <v>10.952</v>
    <v>10.816000000000001</v>
    <v>10.731999999999999</v>
    <v>10.864000000000001</v>
    <v>10.872</v>
    <v>10.942</v>
    <v>11.144</v>
    <v>11.2</v>
    <v>11.125999999999999</v>
    <v>10.972</v>
    <v>11.208</v>
    <v>11.268000000000001</v>
    <v>11.412000000000001</v>
    <v>11.492000000000001</v>
    <v>11.47</v>
    <v>11.38</v>
    <v>11.17</v>
    <v>11.247999999999999</v>
    <v>11.336</v>
    <v>11.608000000000001</v>
    <v>11.38</v>
    <v>11.624000000000001</v>
    <v>11.78</v>
    <v>11.56</v>
    <v>11.48</v>
    <v>11.552</v>
    <v>11.568</v>
    <v>11.576000000000001</v>
    <v>11.68</v>
    <v>11.872</v>
    <v>11.878</v>
    <v>11.9</v>
    <v>11.922000000000001</v>
    <v>11.946</v>
    <v>11.914</v>
    <v>11.948</v>
    <v>12.032</v>
    <v>12.036</v>
    <v>12.028</v>
    <v>11.763999999999999</v>
    <v>11.724</v>
    <v>11.571999999999999</v>
    <v>11.616</v>
    <v>11.672000000000001</v>
    <v>11.6</v>
    <v>11.37</v>
    <v>11.4</v>
    <v>11.571999999999999</v>
    <v>11.414</v>
    <v>11.394</v>
    <v>11.576000000000001</v>
    <v>11.614000000000001</v>
    <v>11.608000000000001</v>
    <v>11.646000000000001</v>
    <v>11.625999999999999</v>
    <v>11.69</v>
    <v>11.978</v>
    <v>11.63</v>
    <v>11.808</v>
    <v>11.792</v>
    <v>11.95</v>
    <v>11.763999999999999</v>
    <v>11.98</v>
    <v>11.85</v>
    <v>11.894</v>
    <v>11.816000000000001</v>
    <v>11.965999999999999</v>
    <v>11.958</v>
    <v>11.916</v>
    <v>11.752000000000001</v>
    <v>11.311999999999999</v>
    <v>11.278</v>
    <v>11.368</v>
    <v>11.634</v>
    <v>11.182</v>
    <v>10.86</v>
    <v>11</v>
    <v>11.15</v>
    <v>11.2</v>
    <v>11.166</v>
    <v>11.06</v>
    <v>11.188000000000001</v>
    <v>10.944000000000001</v>
    <v>10.98</v>
    <v>11.05</v>
    <v>10.568</v>
    <v>10.65</v>
  </a>
  <a r="1" c="761">
    <v>2.4049999999999998</v>
    <v>2.3980000000000001</v>
    <v>2.343</v>
    <v>2.4039999999999999</v>
    <v>2.4289999999999998</v>
    <v>2.4969999999999999</v>
    <v>2.5510000000000002</v>
    <v>2.585</v>
    <v>2.6379999999999999</v>
    <v>2.6579999999999999</v>
    <v>2.6280000000000001</v>
    <v>2.5880000000000001</v>
    <v>2.673</v>
    <v>2.6989999999999998</v>
    <v>2.6829999999999998</v>
    <v>2.9129999999999998</v>
    <v>3.0609999999999999</v>
    <v>3.12</v>
    <v>3.052</v>
    <v>3.05</v>
    <v>3.0720000000000001</v>
    <v>2.8279999999999998</v>
    <v>2.8839999999999999</v>
    <v>2.9289999999999998</v>
    <v>2.984</v>
    <v>2.956</v>
    <v>2.99</v>
    <v>3.105</v>
    <v>3.12</v>
    <v>3.14</v>
    <v>3.2570000000000001</v>
    <v>3.31</v>
    <v>3.3940000000000001</v>
    <v>3.3039999999999998</v>
    <v>3.2709999999999999</v>
    <v>3.367</v>
    <v>3.278</v>
    <v>3.2450000000000001</v>
    <v>3.0489999999999999</v>
    <v>2.9860000000000002</v>
    <v>2.9990000000000001</v>
    <v>3.0790000000000002</v>
    <v>3.0579999999999998</v>
    <v>3.04</v>
    <v>3.0710000000000002</v>
    <v>3.1190000000000002</v>
    <v>3.0880000000000001</v>
    <v>3.0459999999999998</v>
    <v>3.2330000000000001</v>
    <v>3.2850000000000001</v>
    <v>3.3149999999999999</v>
    <v>3.3340000000000001</v>
    <v>3.38</v>
    <v>3.2669999999999999</v>
    <v>3.266</v>
    <v>3.12</v>
    <v>3.165</v>
    <v>3.0910000000000002</v>
    <v>3.1179999999999999</v>
    <v>3.1829999999999998</v>
    <v>3.1920000000000002</v>
    <v>3.24</v>
    <v>3.2320000000000002</v>
    <v>3.2290000000000001</v>
    <v>3.3889999999999998</v>
    <v>3.3519999999999999</v>
    <v>3.2410000000000001</v>
    <v>3.1909999999999998</v>
    <v>3.28</v>
    <v>3.2719999999999998</v>
    <v>3.16</v>
    <v>3.2269999999999999</v>
    <v>3.35</v>
    <v>3.3730000000000002</v>
    <v>3.56</v>
    <v>3.5579999999999998</v>
    <v>3.5150000000000001</v>
    <v>3.5390000000000001</v>
    <v>3.548</v>
    <v>3.649</v>
    <v>3.5670000000000002</v>
    <v>3.524</v>
    <v>3.4849999999999999</v>
    <v>3.45</v>
    <v>3.5569999999999999</v>
    <v>3.6619999999999999</v>
    <v>3.7410000000000001</v>
    <v>3.7360000000000002</v>
    <v>3.7080000000000002</v>
    <v>3.7410000000000001</v>
    <v>3.78</v>
    <v>3.8719999999999999</v>
    <v>3.94</v>
    <v>3.931</v>
    <v>3.9390000000000001</v>
    <v>3.9420000000000002</v>
    <v>3.8580000000000001</v>
    <v>3.8730000000000002</v>
    <v>4.0640000000000001</v>
    <v>4.0999999999999996</v>
    <v>4.0069999999999997</v>
    <v>4.18</v>
    <v>4.2560000000000002</v>
    <v>4.3079999999999998</v>
    <v>4.3520000000000003</v>
    <v>4.2789999999999999</v>
    <v>4.1589999999999998</v>
    <v>4.2089999999999996</v>
    <v>4.2560000000000002</v>
    <v>4.1989999999999998</v>
    <v>4.2</v>
    <v>4.133</v>
    <v>4.1710000000000003</v>
    <v>4.1820000000000004</v>
    <v>4.0510000000000002</v>
    <v>4.085</v>
    <v>3.9750000000000001</v>
    <v>4.1669999999999998</v>
    <v>4.0220000000000002</v>
    <v>3.9830000000000001</v>
    <v>4.024</v>
    <v>3.9940000000000002</v>
    <v>4.0720000000000001</v>
    <v>4.2</v>
    <v>4.1630000000000003</v>
    <v>4.29</v>
    <v>4.407</v>
    <v>4.3079999999999998</v>
    <v>4.3319999999999999</v>
    <v>4.5069999999999997</v>
    <v>4.4939999999999998</v>
    <v>4.55</v>
    <v>4.7830000000000004</v>
    <v>4.5449999999999999</v>
    <v>4.6130000000000004</v>
    <v>4.66</v>
    <v>4.649</v>
    <v>4.6820000000000004</v>
    <v>4.734</v>
    <v>4.7450000000000001</v>
    <v>4.8730000000000002</v>
    <v>5.0460000000000003</v>
    <v>5.15</v>
    <v>5.2939999999999996</v>
    <v>5</v>
    <v>4.9809999999999999</v>
    <v>5.0940000000000003</v>
    <v>5.0720000000000001</v>
    <v>5.0339999999999998</v>
    <v>5.07</v>
    <v>5.0919999999999996</v>
    <v>4.8159999999999998</v>
    <v>4.92</v>
    <v>4.9400000000000004</v>
    <v>4.9279999999999999</v>
    <v>4.7539999999999996</v>
    <v>4.8460000000000001</v>
    <v>4.952</v>
    <v>4.9059999999999997</v>
    <v>4.87</v>
    <v>4.63</v>
    <v>4.67</v>
    <v>4.4880000000000004</v>
    <v>4.3330000000000002</v>
    <v>4.3860000000000001</v>
    <v>4.532</v>
    <v>4.5670000000000002</v>
    <v>4.6180000000000003</v>
    <v>4.4429999999999996</v>
    <v>4.6210000000000004</v>
    <v>4.5389999999999997</v>
    <v>4.4400000000000004</v>
    <v>4.3479999999999999</v>
    <v>4.3849999999999998</v>
    <v>4.6790000000000003</v>
    <v>4.6210000000000004</v>
    <v>4.8849999999999998</v>
    <v>4.9320000000000004</v>
    <v>4.8369999999999997</v>
    <v>4.9770000000000003</v>
    <v>4.9509999999999996</v>
    <v>5.01</v>
    <v>4.9450000000000003</v>
    <v>4.9400000000000004</v>
    <v>4.96</v>
    <v>4.968</v>
    <v>4.923</v>
    <v>4.9429999999999996</v>
    <v>4.9160000000000004</v>
    <v>5.09</v>
    <v>5.09</v>
    <v>5.14</v>
    <v>4.9989999999999997</v>
    <v>4.95</v>
    <v>4.9219999999999997</v>
    <v>5.0540000000000003</v>
    <v>5.04</v>
    <v>4.7</v>
    <v>4.4790000000000001</v>
    <v>4.3380000000000001</v>
    <v>4.7149999999999999</v>
    <v>5.032</v>
    <v>5.0259999999999998</v>
    <v>5.056</v>
    <v>5.17</v>
    <v>5.1479999999999997</v>
    <v>5.1319999999999997</v>
    <v>5.25</v>
    <v>5.2380000000000004</v>
    <v>5.2080000000000002</v>
    <v>5.218</v>
    <v>5.17</v>
    <v>5.2279999999999998</v>
    <v>5.226</v>
    <v>5.23</v>
    <v>5.24</v>
    <v>5.2160000000000002</v>
    <v>5.258</v>
    <v>5.1879999999999997</v>
    <v>5.024</v>
    <v>5.0199999999999996</v>
    <v>5.05</v>
    <v>4.9119999999999999</v>
    <v>4.9509999999999996</v>
    <v>4.851</v>
    <v>4.891</v>
    <v>4.992</v>
    <v>5.0060000000000002</v>
    <v>5</v>
    <v>4.9240000000000004</v>
    <v>4.9450000000000003</v>
    <v>4.9980000000000002</v>
    <v>4.9710000000000001</v>
    <v>4.8979999999999997</v>
    <v>5.0039999999999996</v>
    <v>5.0060000000000002</v>
    <v>5.3380000000000001</v>
    <v>5.33</v>
    <v>5.1820000000000004</v>
    <v>4.9989999999999997</v>
    <v>4.931</v>
    <v>4.7919999999999998</v>
    <v>4.9379999999999997</v>
    <v>4.9980000000000002</v>
    <v>5.1180000000000003</v>
    <v>5.1280000000000001</v>
    <v>5.18</v>
    <v>5.34</v>
    <v>5.32</v>
    <v>5.2460000000000004</v>
    <v>5.2519999999999998</v>
    <v>5.3</v>
    <v>5.4139999999999997</v>
    <v>5.266</v>
    <v>5.2480000000000002</v>
    <v>5.0839999999999996</v>
    <v>4.9939999999999998</v>
    <v>5.048</v>
    <v>5.1079999999999997</v>
    <v>5.1120000000000001</v>
    <v>5.07</v>
    <v>5.032</v>
    <v>5.1079999999999997</v>
    <v>5.0979999999999999</v>
    <v>5.1459999999999999</v>
    <v>4.9770000000000003</v>
    <v>5.2080000000000002</v>
    <v>5.37</v>
    <v>5.4359999999999999</v>
    <v>5.4160000000000004</v>
    <v>5.516</v>
    <v>6.1559999999999997</v>
    <v>6.0179999999999998</v>
    <v>6.1260000000000003</v>
    <v>5.9459999999999997</v>
    <v>5.9420000000000002</v>
    <v>5.9939999999999998</v>
    <v>5.9320000000000004</v>
    <v>5.8</v>
    <v>5.8360000000000003</v>
    <v>6.02</v>
    <v>6.1059999999999999</v>
    <v>6.22</v>
    <v>6.23</v>
    <v>6.2080000000000002</v>
    <v>6.3680000000000003</v>
    <v>6.3840000000000003</v>
    <v>6.3719999999999999</v>
    <v>6.32</v>
    <v>6.3940000000000001</v>
    <v>6.4660000000000002</v>
    <v>6.58</v>
    <v>6.67</v>
    <v>6.8040000000000003</v>
    <v>6.6760000000000002</v>
    <v>6.6959999999999997</v>
    <v>6.52</v>
    <v>6.5759999999999996</v>
    <v>6.56</v>
    <v>6.6520000000000001</v>
    <v>6.806</v>
    <v>6.71</v>
    <v>6.6479999999999997</v>
    <v>6.81</v>
    <v>6.9379999999999997</v>
    <v>6.98</v>
    <v>7.0380000000000003</v>
    <v>7.0540000000000003</v>
    <v>6.96</v>
    <v>7.0380000000000003</v>
    <v>7.0759999999999996</v>
    <v>7.0759999999999996</v>
    <v>7.048</v>
    <v>7.1260000000000003</v>
    <v>7.0460000000000003</v>
    <v>6.8840000000000003</v>
    <v>6.9740000000000002</v>
    <v>6.492</v>
    <v>6.3620000000000001</v>
    <v>6.2060000000000004</v>
    <v>6.2359999999999998</v>
    <v>6.2279999999999998</v>
    <v>6.2140000000000004</v>
    <v>6.3019999999999996</v>
    <v>6.2679999999999998</v>
    <v>6.3040000000000003</v>
    <v>6.3940000000000001</v>
    <v>6.3760000000000003</v>
    <v>6.3140000000000001</v>
    <v>6.4059999999999997</v>
    <v>6.32</v>
    <v>6.1680000000000001</v>
    <v>6.1580000000000004</v>
    <v>6.2140000000000004</v>
    <v>6.3159999999999998</v>
    <v>6.274</v>
    <v>6.2939999999999996</v>
    <v>6.43</v>
    <v>6.6079999999999997</v>
    <v>6.9580000000000002</v>
    <v>7.0220000000000002</v>
    <v>7.016</v>
    <v>6.9740000000000002</v>
    <v>7.1180000000000003</v>
    <v>6.9260000000000002</v>
    <v>7.226</v>
    <v>7.3239999999999998</v>
    <v>7.2140000000000004</v>
    <v>6.8879999999999999</v>
    <v>6.68</v>
    <v>6.96</v>
    <v>7.0960000000000001</v>
    <v>7.2060000000000004</v>
    <v>7.5119999999999996</v>
    <v>7.63</v>
    <v>7.82</v>
    <v>7.6360000000000001</v>
    <v>7.6040000000000001</v>
    <v>7.66</v>
    <v>7.7460000000000004</v>
    <v>7.7460000000000004</v>
    <v>7.702</v>
    <v>7.6520000000000001</v>
    <v>7.3019999999999996</v>
    <v>7.4359999999999999</v>
    <v>7.3940000000000001</v>
    <v>7.1159999999999997</v>
    <v>6.2480000000000002</v>
    <v>5.94</v>
    <v>6.0579999999999998</v>
    <v>5.8929999999999998</v>
    <v>6.1740000000000004</v>
    <v>6.1779999999999999</v>
    <v>6.4749999999999996</v>
    <v>6.6779999999999999</v>
    <v>6.6210000000000004</v>
    <v>6.532</v>
    <v>6.5090000000000003</v>
    <v>6.7889999999999997</v>
    <v>6.8810000000000002</v>
    <v>7.2</v>
    <v>7.35</v>
    <v>7.6269999999999998</v>
    <v>7.4160000000000004</v>
    <v>7.5789999999999997</v>
    <v>7.5540000000000003</v>
    <v>7.5540000000000003</v>
    <v>7.4889999999999999</v>
    <v>7.6840000000000002</v>
    <v>7.7990000000000004</v>
    <v>7.9850000000000003</v>
    <v>8.32</v>
    <v>8.2899999999999991</v>
    <v>8.1419999999999995</v>
    <v>8.0749999999999993</v>
    <v>7.4930000000000003</v>
    <v>7.4279999999999999</v>
    <v>7.3789999999999996</v>
    <v>7.4130000000000003</v>
    <v>7.2039999999999997</v>
    <v>7.1909999999999998</v>
    <v>7.2</v>
    <v>7.23</v>
    <v>7.2770000000000001</v>
    <v>7.2709999999999999</v>
    <v>7.2859999999999996</v>
    <v>7.2869999999999999</v>
    <v>7.0430000000000001</v>
    <v>7.2670000000000003</v>
    <v>7.2990000000000004</v>
    <v>7.3209999999999997</v>
    <v>7.2220000000000004</v>
    <v>7.1189999999999998</v>
    <v>7.1050000000000004</v>
    <v>7.01</v>
    <v>7.1029999999999998</v>
    <v>6.9859999999999998</v>
    <v>6.9530000000000003</v>
    <v>6.77</v>
    <v>6.9009999999999998</v>
    <v>6.9130000000000003</v>
    <v>7.399</v>
    <v>7.3479999999999999</v>
    <v>7.2460000000000004</v>
    <v>7.1139999999999999</v>
    <v>7.2220000000000004</v>
    <v>7.048</v>
    <v>7.03</v>
    <v>7.0620000000000003</v>
    <v>6.92</v>
    <v>7.0650000000000004</v>
    <v>7.0730000000000004</v>
    <v>7.2</v>
    <v>7.02</v>
    <v>6.9130000000000003</v>
    <v>7.0110000000000001</v>
    <v>6.9189999999999996</v>
    <v>6.9359999999999999</v>
    <v>6.952</v>
    <v>7.02</v>
    <v>6.984</v>
    <v>6.9909999999999997</v>
    <v>7.2389999999999999</v>
    <v>7.1349999999999998</v>
    <v>7.1849999999999996</v>
    <v>7.2130000000000001</v>
    <v>7.3179999999999996</v>
    <v>7.53</v>
    <v>7.4660000000000002</v>
    <v>7.3120000000000003</v>
    <v>7.5759999999999996</v>
    <v>7.484</v>
    <v>7.8579999999999997</v>
    <v>7.976</v>
    <v>8.0609999999999999</v>
    <v>8.06</v>
    <v>8.0589999999999993</v>
    <v>8.1790000000000003</v>
    <v>8.1910000000000007</v>
    <v>8.16</v>
    <v>8.27</v>
    <v>8.2200000000000006</v>
    <v>8.1270000000000007</v>
    <v>8.298</v>
    <v>8.3729999999999993</v>
    <v>8.18</v>
    <v>7.96</v>
    <v>7.96</v>
    <v>7.843</v>
    <v>7.87</v>
    <v>7.633</v>
    <v>7.4829999999999997</v>
    <v>7.3120000000000003</v>
    <v>7.3330000000000002</v>
    <v>7.3680000000000003</v>
    <v>7.8289999999999997</v>
    <v>7.9180000000000001</v>
    <v>8.0830000000000002</v>
    <v>8.3659999999999997</v>
    <v>8.4060000000000006</v>
    <v>8.1649999999999991</v>
    <v>8.0519999999999996</v>
    <v>8.0909999999999993</v>
    <v>7.9809999999999999</v>
    <v>7.9379999999999997</v>
    <v>7.976</v>
    <v>7.8230000000000004</v>
    <v>7.6989999999999998</v>
    <v>7.7249999999999996</v>
    <v>7.5979999999999999</v>
    <v>7.54</v>
    <v>7.7610000000000001</v>
    <v>7.6070000000000002</v>
    <v>7.5439999999999996</v>
    <v>7.4379999999999997</v>
    <v>7.3140000000000001</v>
    <v>7.3289999999999997</v>
    <v>7.28</v>
    <v>7.2009999999999996</v>
    <v>7.3049999999999997</v>
    <v>7.2619999999999996</v>
    <v>7.0990000000000002</v>
    <v>7.11</v>
    <v>6.9790000000000001</v>
    <v>7.0960000000000001</v>
    <v>7.06</v>
    <v>7.0410000000000004</v>
    <v>7.03</v>
    <v>7.0830000000000002</v>
    <v>7.3129999999999997</v>
    <v>7.399</v>
    <v>7.5810000000000004</v>
    <v>7.6</v>
    <v>7.5839999999999996</v>
    <v>7.5810000000000004</v>
    <v>7.6</v>
    <v>7.6040000000000001</v>
    <v>7.4249999999999998</v>
    <v>7.7549999999999999</v>
    <v>8.1809999999999992</v>
    <v>8.4250000000000007</v>
    <v>8.6199999999999992</v>
    <v>8.7919999999999998</v>
    <v>8.6839999999999993</v>
    <v>8.7309999999999999</v>
    <v>8.4090000000000007</v>
    <v>8.42</v>
    <v>8.5399999999999991</v>
    <v>8.4130000000000003</v>
    <v>8.3770000000000007</v>
    <v>8.6820000000000004</v>
    <v>8.7279999999999998</v>
    <v>8.33</v>
    <v>8.1530000000000005</v>
    <v>7.9189999999999996</v>
    <v>7.6260000000000003</v>
    <v>7.73</v>
    <v>7.6369999999999996</v>
    <v>7.5910000000000002</v>
    <v>7.9219999999999997</v>
    <v>8.0229999999999997</v>
    <v>7.9859999999999998</v>
    <v>8.0820000000000007</v>
    <v>8.1649999999999991</v>
    <v>8.3889999999999993</v>
    <v>8.4480000000000004</v>
    <v>8.5350000000000001</v>
    <v>8.7989999999999995</v>
    <v>8.9339999999999993</v>
    <v>8.8149999999999995</v>
    <v>8.875</v>
    <v>8.8960000000000008</v>
    <v>9.1300000000000008</v>
    <v>9.35</v>
    <v>9.2490000000000006</v>
    <v>9.0459999999999994</v>
    <v>8.9610000000000003</v>
    <v>8.9290000000000003</v>
    <v>8.9920000000000009</v>
    <v>9.1859999999999999</v>
    <v>9.3059999999999992</v>
    <v>9.3480000000000008</v>
    <v>9.2029999999999994</v>
    <v>8.8179999999999996</v>
    <v>8.9</v>
    <v>8.8559999999999999</v>
    <v>8.76</v>
    <v>8.9459999999999997</v>
    <v>8.6910000000000007</v>
    <v>8.6950000000000003</v>
    <v>8.7690000000000001</v>
    <v>8.657</v>
    <v>8.673</v>
    <v>8.734</v>
    <v>8.9969999999999999</v>
    <v>8.9410000000000007</v>
    <v>9.0440000000000005</v>
    <v>8.9060000000000006</v>
    <v>8.9</v>
    <v>9.0969999999999995</v>
    <v>8.7829999999999995</v>
    <v>8.5050000000000008</v>
    <v>8.3520000000000003</v>
    <v>8.1940000000000008</v>
    <v>8.2520000000000007</v>
    <v>8.4280000000000008</v>
    <v>8.5579999999999998</v>
    <v>8.5239999999999991</v>
    <v>8.7780000000000005</v>
    <v>8.6660000000000004</v>
    <v>8.4719999999999995</v>
    <v>8.8339999999999996</v>
    <v>8.9</v>
    <v>8.298</v>
    <v>8.11</v>
    <v>7.7809999999999997</v>
    <v>7.6879999999999997</v>
    <v>7.3659999999999997</v>
    <v>7.1639999999999997</v>
    <v>7.0449999999999999</v>
    <v>7.3940000000000001</v>
    <v>7.484</v>
    <v>7.16</v>
    <v>7.1369999999999996</v>
    <v>7.0720000000000001</v>
    <v>7.218</v>
    <v>7.24</v>
    <v>6.9669999999999996</v>
    <v>7.0650000000000004</v>
    <v>7.2539999999999996</v>
    <v>7.343</v>
    <v>7.5860000000000003</v>
    <v>7.4909999999999997</v>
    <v>7.4969999999999999</v>
    <v>7.43</v>
    <v>7.4269999999999996</v>
    <v>7.6059999999999999</v>
    <v>7.3949999999999996</v>
    <v>7.3609999999999998</v>
    <v>7.8769999999999998</v>
    <v>7.9340000000000002</v>
    <v>8.08</v>
    <v>8.06</v>
    <v>8.2230000000000008</v>
    <v>8.6069999999999993</v>
    <v>8.7940000000000005</v>
    <v>9.1609999999999996</v>
    <v>9.1340000000000003</v>
    <v>9.1069999999999993</v>
    <v>9.08</v>
    <v>9.1</v>
    <v>8.9909999999999997</v>
    <v>9.0280000000000005</v>
    <v>9.1</v>
    <v>9.0719999999999992</v>
    <v>9.0519999999999996</v>
    <v>8.9</v>
    <v>9.2189999999999994</v>
    <v>9.3629999999999995</v>
    <v>9.2970000000000006</v>
    <v>9.3320000000000007</v>
    <v>9.33</v>
    <v>9.4670000000000005</v>
    <v>9.4870000000000001</v>
    <v>9.4649999999999999</v>
    <v>9.3710000000000004</v>
    <v>8.6319999999999997</v>
    <v>8.577</v>
    <v>8.6199999999999992</v>
    <v>8.5649999999999995</v>
    <v>8.7100000000000009</v>
    <v>8.7959999999999994</v>
    <v>8.7859999999999996</v>
    <v>8.8919999999999995</v>
    <v>9.1199999999999992</v>
    <v>9.2279999999999998</v>
    <v>9.0960000000000001</v>
    <v>9.0890000000000004</v>
    <v>8.8949999999999996</v>
    <v>8.8719999999999999</v>
    <v>8.9450000000000003</v>
    <v>10.103999999999999</v>
    <v>10.37</v>
    <v>10.276</v>
    <v>10.31</v>
    <v>10.715999999999999</v>
    <v>10.786</v>
    <v>10.95</v>
    <v>10.954000000000001</v>
    <v>10.996</v>
    <v>10.96</v>
    <v>10.864000000000001</v>
    <v>10.8</v>
    <v>10.888</v>
    <v>10.952</v>
    <v>10.816000000000001</v>
    <v>10.731999999999999</v>
    <v>10.864000000000001</v>
    <v>10.872</v>
    <v>10.942</v>
    <v>11.144</v>
    <v>11.2</v>
    <v>11.125999999999999</v>
    <v>10.972</v>
    <v>11.208</v>
    <v>11.268000000000001</v>
    <v>11.412000000000001</v>
    <v>11.492000000000001</v>
    <v>11.47</v>
    <v>11.38</v>
    <v>11.17</v>
    <v>11.247999999999999</v>
    <v>11.336</v>
    <v>11.608000000000001</v>
    <v>11.38</v>
    <v>11.624000000000001</v>
    <v>11.78</v>
    <v>11.56</v>
    <v>11.48</v>
    <v>11.552</v>
    <v>11.568</v>
    <v>11.576000000000001</v>
    <v>11.68</v>
    <v>11.872</v>
    <v>11.878</v>
    <v>11.9</v>
    <v>11.922000000000001</v>
    <v>11.946</v>
    <v>11.914</v>
    <v>11.948</v>
    <v>12.032</v>
    <v>12.036</v>
    <v>12.028</v>
    <v>11.763999999999999</v>
    <v>11.724</v>
    <v>11.571999999999999</v>
    <v>11.616</v>
    <v>11.672000000000001</v>
    <v>11.6</v>
    <v>11.37</v>
    <v>11.4</v>
    <v>11.571999999999999</v>
    <v>11.414</v>
    <v>11.394</v>
    <v>11.576000000000001</v>
    <v>11.614000000000001</v>
    <v>11.608000000000001</v>
    <v>11.646000000000001</v>
    <v>11.625999999999999</v>
    <v>11.69</v>
    <v>11.978</v>
    <v>11.63</v>
    <v>11.808</v>
    <v>11.792</v>
    <v>11.95</v>
    <v>11.763999999999999</v>
    <v>11.98</v>
    <v>11.85</v>
    <v>11.894</v>
    <v>11.816000000000001</v>
    <v>11.965999999999999</v>
    <v>11.958</v>
    <v>11.916</v>
    <v>11.752000000000001</v>
    <v>11.311999999999999</v>
    <v>11.278</v>
    <v>11.368</v>
    <v>11.634</v>
    <v>11.182</v>
    <v>10.86</v>
    <v>11</v>
    <v>11.15</v>
    <v>11.2</v>
    <v>11.166</v>
    <v>11.06</v>
    <v>11.188000000000001</v>
    <v>10.944000000000001</v>
    <v>10.98</v>
    <v>11.05</v>
    <v>10.568</v>
    <v>10.65</v>
  </a>
  <a r="1" c="254">
    <v>7.03</v>
    <v>7.0830000000000002</v>
    <v>7.3129999999999997</v>
    <v>7.399</v>
    <v>7.5810000000000004</v>
    <v>7.6</v>
    <v>7.5839999999999996</v>
    <v>7.5810000000000004</v>
    <v>7.6</v>
    <v>7.6040000000000001</v>
    <v>7.4249999999999998</v>
    <v>7.7549999999999999</v>
    <v>8.1809999999999992</v>
    <v>8.4250000000000007</v>
    <v>8.6199999999999992</v>
    <v>8.7919999999999998</v>
    <v>8.6839999999999993</v>
    <v>8.7309999999999999</v>
    <v>8.4090000000000007</v>
    <v>8.42</v>
    <v>8.5399999999999991</v>
    <v>8.4130000000000003</v>
    <v>8.3770000000000007</v>
    <v>8.6820000000000004</v>
    <v>8.7279999999999998</v>
    <v>8.33</v>
    <v>8.1530000000000005</v>
    <v>7.9189999999999996</v>
    <v>7.6260000000000003</v>
    <v>7.73</v>
    <v>7.6369999999999996</v>
    <v>7.5910000000000002</v>
    <v>7.9219999999999997</v>
    <v>8.0229999999999997</v>
    <v>7.9859999999999998</v>
    <v>8.0820000000000007</v>
    <v>8.1649999999999991</v>
    <v>8.3889999999999993</v>
    <v>8.4480000000000004</v>
    <v>8.5350000000000001</v>
    <v>8.7989999999999995</v>
    <v>8.9339999999999993</v>
    <v>8.8149999999999995</v>
    <v>8.875</v>
    <v>8.8960000000000008</v>
    <v>9.1300000000000008</v>
    <v>9.35</v>
    <v>9.2490000000000006</v>
    <v>9.0459999999999994</v>
    <v>8.9610000000000003</v>
    <v>8.9290000000000003</v>
    <v>8.9920000000000009</v>
    <v>9.1859999999999999</v>
    <v>9.3059999999999992</v>
    <v>9.3480000000000008</v>
    <v>9.2029999999999994</v>
    <v>8.8179999999999996</v>
    <v>8.9</v>
    <v>8.8559999999999999</v>
    <v>8.76</v>
    <v>8.9459999999999997</v>
    <v>8.6910000000000007</v>
    <v>8.6950000000000003</v>
    <v>8.7690000000000001</v>
    <v>8.657</v>
    <v>8.673</v>
    <v>8.734</v>
    <v>8.9969999999999999</v>
    <v>8.9410000000000007</v>
    <v>9.0440000000000005</v>
    <v>8.9060000000000006</v>
    <v>8.9</v>
    <v>9.0969999999999995</v>
    <v>8.7829999999999995</v>
    <v>8.5050000000000008</v>
    <v>8.3520000000000003</v>
    <v>8.1940000000000008</v>
    <v>8.2520000000000007</v>
    <v>8.4280000000000008</v>
    <v>8.5579999999999998</v>
    <v>8.5239999999999991</v>
    <v>8.7780000000000005</v>
    <v>8.6660000000000004</v>
    <v>8.4719999999999995</v>
    <v>8.8339999999999996</v>
    <v>8.9</v>
    <v>8.298</v>
    <v>8.11</v>
    <v>7.7809999999999997</v>
    <v>7.6879999999999997</v>
    <v>7.3659999999999997</v>
    <v>7.1639999999999997</v>
    <v>7.0449999999999999</v>
    <v>7.3940000000000001</v>
    <v>7.484</v>
    <v>7.16</v>
    <v>7.1369999999999996</v>
    <v>7.0720000000000001</v>
    <v>7.218</v>
    <v>7.24</v>
    <v>6.9669999999999996</v>
    <v>7.0650000000000004</v>
    <v>7.2539999999999996</v>
    <v>7.343</v>
    <v>7.5860000000000003</v>
    <v>7.4909999999999997</v>
    <v>7.4969999999999999</v>
    <v>7.43</v>
    <v>7.4269999999999996</v>
    <v>7.6059999999999999</v>
    <v>7.3949999999999996</v>
    <v>7.3609999999999998</v>
    <v>7.8769999999999998</v>
    <v>7.9340000000000002</v>
    <v>8.08</v>
    <v>8.06</v>
    <v>8.2230000000000008</v>
    <v>8.6069999999999993</v>
    <v>8.7940000000000005</v>
    <v>9.1609999999999996</v>
    <v>9.1340000000000003</v>
    <v>9.1069999999999993</v>
    <v>9.08</v>
    <v>9.1</v>
    <v>8.9909999999999997</v>
    <v>9.0280000000000005</v>
    <v>9.1</v>
    <v>9.0719999999999992</v>
    <v>9.0519999999999996</v>
    <v>8.9</v>
    <v>9.2189999999999994</v>
    <v>9.3629999999999995</v>
    <v>9.2970000000000006</v>
    <v>9.3320000000000007</v>
    <v>9.33</v>
    <v>9.4670000000000005</v>
    <v>9.4870000000000001</v>
    <v>9.4649999999999999</v>
    <v>9.3710000000000004</v>
    <v>8.6319999999999997</v>
    <v>8.577</v>
    <v>8.6199999999999992</v>
    <v>8.5649999999999995</v>
    <v>8.7100000000000009</v>
    <v>8.7959999999999994</v>
    <v>8.7859999999999996</v>
    <v>8.8919999999999995</v>
    <v>9.1199999999999992</v>
    <v>9.2279999999999998</v>
    <v>9.0960000000000001</v>
    <v>9.0890000000000004</v>
    <v>8.8949999999999996</v>
    <v>8.8719999999999999</v>
    <v>8.9450000000000003</v>
    <v>10.103999999999999</v>
    <v>10.37</v>
    <v>10.276</v>
    <v>10.31</v>
    <v>10.715999999999999</v>
    <v>10.786</v>
    <v>10.95</v>
    <v>10.954000000000001</v>
    <v>10.996</v>
    <v>10.96</v>
    <v>10.864000000000001</v>
    <v>10.8</v>
    <v>10.888</v>
    <v>10.952</v>
    <v>10.816000000000001</v>
    <v>10.731999999999999</v>
    <v>10.864000000000001</v>
    <v>10.872</v>
    <v>10.942</v>
    <v>11.144</v>
    <v>11.2</v>
    <v>11.125999999999999</v>
    <v>10.972</v>
    <v>11.208</v>
    <v>11.268000000000001</v>
    <v>11.412000000000001</v>
    <v>11.492000000000001</v>
    <v>11.47</v>
    <v>11.38</v>
    <v>11.17</v>
    <v>11.247999999999999</v>
    <v>11.336</v>
    <v>11.608000000000001</v>
    <v>11.38</v>
    <v>11.624000000000001</v>
    <v>11.78</v>
    <v>11.56</v>
    <v>11.48</v>
    <v>11.552</v>
    <v>11.568</v>
    <v>11.576000000000001</v>
    <v>11.68</v>
    <v>11.872</v>
    <v>11.878</v>
    <v>11.9</v>
    <v>11.922000000000001</v>
    <v>11.946</v>
    <v>11.914</v>
    <v>11.948</v>
    <v>12.032</v>
    <v>12.036</v>
    <v>12.028</v>
    <v>11.763999999999999</v>
    <v>11.724</v>
    <v>11.571999999999999</v>
    <v>11.616</v>
    <v>11.672000000000001</v>
    <v>11.6</v>
    <v>11.37</v>
    <v>11.4</v>
    <v>11.571999999999999</v>
    <v>11.414</v>
    <v>11.394</v>
    <v>11.576000000000001</v>
    <v>11.614000000000001</v>
    <v>11.608000000000001</v>
    <v>11.646000000000001</v>
    <v>11.625999999999999</v>
    <v>11.69</v>
    <v>11.978</v>
    <v>11.63</v>
    <v>11.808</v>
    <v>11.792</v>
    <v>11.95</v>
    <v>11.763999999999999</v>
    <v>11.98</v>
    <v>11.85</v>
    <v>11.894</v>
    <v>11.816000000000001</v>
    <v>11.965999999999999</v>
    <v>11.958</v>
    <v>11.916</v>
    <v>11.752000000000001</v>
    <v>11.311999999999999</v>
    <v>11.278</v>
    <v>11.368</v>
    <v>11.634</v>
    <v>11.182</v>
    <v>10.86</v>
    <v>11</v>
    <v>11.15</v>
    <v>11.2</v>
    <v>11.166</v>
    <v>11.06</v>
    <v>11.188000000000001</v>
    <v>10.944000000000001</v>
    <v>10.98</v>
    <v>11.05</v>
    <v>10.568</v>
    <v>10.65</v>
  </a>
  <a r="1" c="199">
    <v t="i">816</v>
    <v t="i">819</v>
    <v t="i">820</v>
    <v t="i">821</v>
    <v t="i">822</v>
    <v t="i">823</v>
    <v t="i">826</v>
    <v t="i">827</v>
    <v t="i">828</v>
    <v t="i">829</v>
    <v t="i">830</v>
    <v t="i">833</v>
    <v t="i">834</v>
    <v t="i">835</v>
    <v t="i">836</v>
    <v t="i">837</v>
    <v t="i">840</v>
    <v t="i">841</v>
    <v t="i">842</v>
    <v t="i">843</v>
    <v t="i">844</v>
    <v t="i">847</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897</v>
    <v t="i">898</v>
    <v t="i">899</v>
    <v t="i">900</v>
    <v t="i">903</v>
    <v t="i">904</v>
    <v t="i">905</v>
    <v t="i">906</v>
    <v t="i">907</v>
    <v t="i">910</v>
    <v t="i">911</v>
    <v t="i">912</v>
    <v t="i">913</v>
    <v t="i">914</v>
    <v t="i">917</v>
    <v t="i">918</v>
    <v t="i">919</v>
    <v t="i">920</v>
    <v t="i">921</v>
    <v t="i">924</v>
    <v t="i">925</v>
    <v t="i">926</v>
    <v t="i">927</v>
    <v t="i">928</v>
    <v t="i">931</v>
    <v t="i">932</v>
    <v t="i">933</v>
    <v t="i">934</v>
    <v t="i">935</v>
    <v t="i">938</v>
    <v t="i">939</v>
    <v t="i">940</v>
    <v t="i">941</v>
    <v t="i">942</v>
    <v t="i">945</v>
    <v t="i">946</v>
    <v t="i">947</v>
    <v t="i">948</v>
    <v t="i">949</v>
    <v t="i">952</v>
    <v t="i">953</v>
    <v t="i">954</v>
    <v t="i">955</v>
    <v t="i">956</v>
    <v t="i">959</v>
    <v t="i">960</v>
    <v t="i">961</v>
    <v t="i">962</v>
    <v t="i">963</v>
    <v t="i">966</v>
    <v t="i">967</v>
    <v t="i">968</v>
    <v t="i">969</v>
    <v t="i">970</v>
    <v t="i">973</v>
    <v t="i">974</v>
    <v t="i">975</v>
    <v t="i">976</v>
    <v t="i">977</v>
    <v t="i">980</v>
    <v t="i">981</v>
    <v t="i">982</v>
    <v t="i">983</v>
    <v t="i">984</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1050</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199">
    <v>4.1123000000000003</v>
    <v>4.0327999999999999</v>
    <v>4.0812999999999997</v>
    <v>4.0164999999999997</v>
    <v>4.0380000000000003</v>
    <v>3.9575</v>
    <v>3.8205</v>
    <v>3.8359999999999999</v>
    <v>3.8898000000000001</v>
    <v>3.7503000000000002</v>
    <v>3.7385000000000002</v>
    <v>3.718</v>
    <v>3.7048000000000001</v>
    <v>3.6269999999999998</v>
    <v>3.5708000000000002</v>
    <v>3.6619999999999999</v>
    <v>3.714</v>
    <v>3.7122999999999999</v>
    <v>3.6080000000000001</v>
    <v>3.5072999999999999</v>
    <v>3.5533000000000001</v>
    <v>3.556</v>
    <v>3.5163000000000002</v>
    <v>3.585</v>
    <v>3.5579999999999998</v>
    <v>3.5448</v>
    <v>3.5024999999999999</v>
    <v>3.4952999999999999</v>
    <v>3.5988000000000002</v>
    <v>3.6745000000000001</v>
    <v>3.6008</v>
    <v>3.6194999999999999</v>
    <v>3.55</v>
    <v>3.6278000000000001</v>
    <v>3.5550000000000002</v>
    <v>3.5573000000000001</v>
    <v>3.5198</v>
    <v>3.6139999999999999</v>
    <v>3.5739999999999998</v>
    <v>3.5390000000000001</v>
    <v>3.5470000000000002</v>
    <v>3.5628000000000002</v>
    <v>3.5543</v>
    <v>3.5394999999999999</v>
    <v>3.4794999999999998</v>
    <v>3.4647999999999999</v>
    <v>3.4312999999999998</v>
    <v>3.4315000000000002</v>
    <v>3.4752999999999998</v>
    <v>3.3727999999999998</v>
    <v>3.2705000000000002</v>
    <v>3.2444999999999999</v>
    <v>3.2643</v>
    <v>3.3967999999999998</v>
    <v>3.4135</v>
    <v>3.399</v>
    <v>3.5305</v>
    <v>3.5183</v>
    <v>3.556</v>
    <v>3.5688</v>
    <v>3.7675000000000001</v>
    <v>3.9838</v>
    <v>4.08</v>
    <v>4.1536999999999997</v>
    <v>4.1505000000000001</v>
    <v>4.1115000000000004</v>
    <v>4.1517999999999997</v>
    <v>4.0351999999999997</v>
    <v>4.0193000000000003</v>
    <v>4.0469999999999997</v>
    <v>4.0477999999999996</v>
    <v>4.1005000000000003</v>
    <v>4.1841999999999997</v>
    <v>4.2759999999999998</v>
    <v>-99999901</v>
    <v>4.4173</v>
    <v>4.5362999999999998</v>
    <v>4.5392999999999999</v>
    <v>4.5084999999999997</v>
    <v>4.7626999999999997</v>
    <v>4.6467999999999998</v>
    <v>4.6921999999999997</v>
    <v>4.8042999999999996</v>
    <v>4.6353</v>
    <v>4.4698000000000002</v>
    <v>4.4009999999999998</v>
    <v>4.57</v>
    <v>4.8789999999999996</v>
    <v>5.2805</v>
    <v>-99999901</v>
    <v>5.1444999999999999</v>
    <v>5.109</v>
    <v>5.3529999999999998</v>
    <v>5.2460000000000004</v>
    <v>5.4314999999999998</v>
    <v>5.3804999999999996</v>
    <v>5.2765000000000004</v>
    <v>5.2054999999999998</v>
    <v>4.8635000000000002</v>
    <v>4.9604999999999997</v>
    <v>4.6795</v>
    <v>4.7270000000000003</v>
    <v>4.7293000000000003</v>
    <v>4.9387999999999996</v>
    <v>5.0720000000000001</v>
    <v>4.8890000000000002</v>
    <v>4.8304999999999998</v>
    <v>4.9165000000000001</v>
    <v>4.9509999999999996</v>
    <v>4.9413</v>
    <v>4.9509999999999996</v>
    <v>4.8864999999999998</v>
    <v>4.7430000000000003</v>
    <v>4.7140000000000004</v>
    <v>4.7080000000000002</v>
    <v>4.8049999999999997</v>
    <v>4.8528000000000002</v>
    <v>4.6878000000000002</v>
    <v>4.7298</v>
    <v>4.7892999999999999</v>
    <v>4.5834999999999999</v>
    <v>4.577</v>
    <v>4.6872999999999996</v>
    <v>4.6417999999999999</v>
    <v>4.5617999999999999</v>
    <v>4.3944999999999999</v>
    <v>4.34</v>
    <v>4.2839999999999998</v>
    <v>4.1849999999999996</v>
    <v>4.2698</v>
    <v>4.3470000000000004</v>
    <v>4.3410000000000002</v>
    <v>4.22</v>
    <v>4.2302999999999997</v>
    <v>4.3143000000000002</v>
    <v>4.2954999999999997</v>
    <v>4.2432999999999996</v>
    <v>4.3034999999999997</v>
    <v>4.3845000000000001</v>
    <v>4.5715000000000003</v>
    <v>4.6833</v>
    <v>4.681</v>
    <v>4.6612999999999998</v>
    <v>4.6848000000000001</v>
    <v>4.6980000000000004</v>
    <v>4.6544999999999996</v>
    <v>4.673</v>
    <v>4.7538</v>
    <v>4.7507999999999999</v>
    <v>4.7198000000000002</v>
    <v>4.5688000000000004</v>
    <v>4.5330000000000004</v>
    <v>4.4260000000000002</v>
    <v>4.5380000000000003</v>
    <v>4.4515000000000002</v>
    <v>4.4977999999999998</v>
    <v>4.4612999999999996</v>
    <v>4.524</v>
    <v>4.5373000000000001</v>
    <v>-99999901</v>
    <v>4.4359999999999999</v>
    <v>4.4238</v>
    <v>4.4595000000000002</v>
    <v>4.4958</v>
    <v>4.4713000000000003</v>
    <v>4.5303000000000004</v>
    <v>4.4417999999999997</v>
    <v>4.423</v>
    <v>4.5027999999999997</v>
    <v>4.4930000000000003</v>
    <v>4.4604999999999997</v>
    <v>4.468</v>
    <v>4.5952999999999999</v>
    <v>4.5250000000000004</v>
    <v>4.657</v>
    <v>4.6849999999999996</v>
    <v>4.7314999999999996</v>
    <v>4.6375000000000002</v>
    <v>4.7525000000000004</v>
    <v>4.5990000000000002</v>
    <v>4.5925000000000002</v>
    <v>4.6277999999999997</v>
    <v>4.6210000000000004</v>
    <v>4.6885000000000003</v>
    <v>4.5834999999999999</v>
    <v>4.6435000000000004</v>
    <v>4.5385</v>
    <v>4.4943</v>
    <v>4.5190000000000001</v>
    <v>4.4489999999999998</v>
    <v>4.3815</v>
    <v>4.3384999999999998</v>
    <v>4.2717999999999998</v>
    <v>4.2474999999999996</v>
    <v>4.258</v>
    <v>4.2309999999999999</v>
    <v>4.218</v>
    <v>4.1555</v>
    <v>4.1360000000000001</v>
  </a>
  <a r="1" c="199">
    <v t="i">16</v>
    <v t="i">19</v>
    <v t="i">20</v>
    <v t="i">21</v>
    <v t="i">22</v>
    <v t="i">23</v>
    <v t="i">26</v>
    <v t="i">27</v>
    <v t="i">28</v>
    <v t="i">29</v>
    <v t="i">30</v>
    <v t="i">33</v>
    <v t="i">34</v>
    <v t="i">35</v>
    <v t="i">36</v>
    <v t="i">37</v>
    <v t="i">40</v>
    <v t="i">41</v>
    <v t="i">42</v>
    <v t="i">43</v>
    <v t="i">44</v>
    <v t="i">47</v>
    <v t="i">48</v>
    <v t="i">49</v>
    <v t="i">50</v>
    <v t="i">51</v>
    <v t="i">54</v>
    <v t="i">55</v>
    <v t="i">56</v>
    <v t="i">57</v>
    <v t="i">58</v>
    <v t="i">61</v>
    <v t="i">62</v>
    <v t="i">63</v>
    <v t="i">64</v>
    <v t="i">65</v>
    <v t="i">68</v>
    <v t="i">69</v>
    <v t="i">70</v>
    <v t="i">71</v>
    <v t="i">72</v>
    <v t="i">75</v>
    <v t="i">76</v>
    <v t="i">77</v>
    <v t="i">78</v>
    <v t="i">79</v>
    <v t="i">82</v>
    <v t="i">83</v>
    <v t="i">84</v>
    <v t="i">85</v>
    <v t="i">86</v>
    <v t="i">89</v>
    <v t="i">90</v>
    <v t="i">91</v>
    <v t="i">92</v>
    <v t="i">97</v>
    <v t="i">98</v>
    <v t="i">99</v>
    <v t="i">100</v>
    <v t="i">103</v>
    <v t="i">104</v>
    <v t="i">105</v>
    <v t="i">106</v>
    <v t="i">107</v>
    <v t="i">110</v>
    <v t="i">111</v>
    <v t="i">112</v>
    <v t="i">113</v>
    <v t="i">114</v>
    <v t="i">117</v>
    <v t="i">118</v>
    <v t="i">119</v>
    <v t="i">120</v>
    <v t="i">121</v>
    <v t="i">124</v>
    <v t="i">125</v>
    <v t="i">126</v>
    <v t="i">127</v>
    <v t="i">128</v>
    <v t="i">131</v>
    <v t="i">132</v>
    <v t="i">133</v>
    <v t="i">134</v>
    <v t="i">135</v>
    <v t="i">138</v>
    <v t="i">139</v>
    <v t="i">140</v>
    <v t="i">141</v>
    <v t="i">142</v>
    <v t="i">145</v>
    <v t="i">146</v>
    <v t="i">147</v>
    <v t="i">148</v>
    <v t="i">149</v>
    <v t="i">152</v>
    <v t="i">153</v>
    <v t="i">154</v>
    <v t="i">155</v>
    <v t="i">156</v>
    <v t="i">159</v>
    <v t="i">160</v>
    <v t="i">161</v>
    <v t="i">162</v>
    <v t="i">163</v>
    <v t="i">166</v>
    <v t="i">167</v>
    <v t="i">168</v>
    <v t="i">169</v>
    <v t="i">170</v>
    <v t="i">173</v>
    <v t="i">174</v>
    <v t="i">175</v>
    <v t="i">176</v>
    <v t="i">177</v>
    <v t="i">180</v>
    <v t="i">181</v>
    <v t="i">182</v>
    <v t="i">183</v>
    <v t="i">184</v>
    <v t="i">187</v>
    <v t="i">188</v>
    <v t="i">189</v>
    <v t="i">190</v>
    <v t="i">191</v>
    <v t="i">194</v>
    <v t="i">195</v>
    <v t="i">196</v>
    <v t="i">197</v>
    <v t="i">198</v>
    <v t="i">201</v>
    <v t="i">202</v>
    <v t="i">203</v>
    <v t="i">204</v>
    <v t="i">205</v>
    <v t="i">208</v>
    <v t="i">209</v>
    <v t="i">210</v>
    <v t="i">211</v>
    <v t="i">212</v>
    <v t="i">215</v>
    <v t="i">216</v>
    <v t="i">217</v>
    <v t="i">218</v>
    <v t="i">219</v>
    <v t="i">222</v>
    <v t="i">223</v>
    <v t="i">224</v>
    <v t="i">225</v>
    <v t="i">226</v>
    <v t="i">229</v>
    <v t="i">230</v>
    <v t="i">231</v>
    <v t="i">232</v>
    <v t="i">233</v>
    <v t="i">236</v>
    <v t="i">237</v>
    <v t="i">238</v>
    <v t="i">239</v>
    <v t="i">240</v>
    <v t="i">243</v>
    <v t="i">244</v>
    <v t="i">245</v>
    <v t="i">246</v>
    <v t="i">247</v>
    <v t="i">250</v>
    <v t="i">251</v>
    <v t="i">252</v>
    <v t="i">253</v>
    <v t="i">254</v>
    <v t="i">257</v>
    <v t="i">258</v>
    <v t="i">259</v>
    <v t="i">260</v>
    <v t="i">261</v>
    <v t="i">264</v>
    <v t="i">265</v>
    <v t="i">266</v>
    <v t="i">267</v>
    <v t="i">268</v>
    <v t="i">271</v>
    <v t="i">272</v>
    <v t="i">273</v>
    <v t="i">274</v>
    <v t="i">275</v>
    <v t="i">278</v>
    <v t="i">279</v>
    <v t="i">280</v>
    <v t="i">281</v>
    <v t="i">282</v>
    <v t="i">285</v>
    <v t="i">286</v>
    <v t="i">287</v>
    <v t="i">288</v>
    <v t="i">289</v>
    <v t="i">292</v>
    <v t="i">293</v>
    <v t="i">294</v>
    <v t="i">295</v>
    <v t="i">296</v>
  </a>
  <a r="1" c="199">
    <v t="i">85</v>
    <v t="i">88</v>
    <v t="i">89</v>
    <v t="i">90</v>
    <v t="i">91</v>
    <v t="i">92</v>
    <v t="i">95</v>
    <v t="i">96</v>
    <v t="i">97</v>
    <v t="i">98</v>
    <v t="i">99</v>
    <v t="i">102</v>
    <v t="i">103</v>
    <v t="i">104</v>
    <v t="i">105</v>
    <v t="i">106</v>
    <v t="i">109</v>
    <v t="i">110</v>
    <v t="i">111</v>
    <v t="i">112</v>
    <v t="i">113</v>
    <v t="i">116</v>
    <v t="i">117</v>
    <v t="i">118</v>
    <v t="i">119</v>
    <v t="i">120</v>
    <v t="i">123</v>
    <v t="i">124</v>
    <v t="i">125</v>
    <v t="i">126</v>
    <v t="i">127</v>
    <v t="i">130</v>
    <v t="i">131</v>
    <v t="i">132</v>
    <v t="i">133</v>
    <v t="i">134</v>
    <v t="i">137</v>
    <v t="i">138</v>
    <v t="i">139</v>
    <v t="i">140</v>
    <v t="i">141</v>
    <v t="i">144</v>
    <v t="i">145</v>
    <v t="i">146</v>
    <v t="i">147</v>
    <v t="i">148</v>
    <v t="i">151</v>
    <v t="i">152</v>
    <v t="i">153</v>
    <v t="i">154</v>
    <v t="i">155</v>
    <v t="i">158</v>
    <v t="i">159</v>
    <v t="i">160</v>
    <v t="i">161</v>
    <v t="i">166</v>
    <v t="i">167</v>
    <v t="i">168</v>
    <v t="i">169</v>
    <v t="i">172</v>
    <v t="i">173</v>
    <v t="i">174</v>
    <v t="i">175</v>
    <v t="i">176</v>
    <v t="i">179</v>
    <v t="i">180</v>
    <v t="i">181</v>
    <v t="i">182</v>
    <v t="i">183</v>
    <v t="i">186</v>
    <v t="i">187</v>
    <v t="i">188</v>
    <v t="i">189</v>
    <v t="i">190</v>
    <v t="i">193</v>
    <v t="i">194</v>
    <v t="i">195</v>
    <v t="i">196</v>
    <v t="i">197</v>
    <v t="i">200</v>
    <v t="i">201</v>
    <v t="i">202</v>
    <v t="i">203</v>
    <v t="i">204</v>
    <v t="i">207</v>
    <v t="i">208</v>
    <v t="i">209</v>
    <v t="i">210</v>
    <v t="i">211</v>
    <v t="i">214</v>
    <v t="i">215</v>
    <v t="i">216</v>
    <v t="i">217</v>
    <v t="i">218</v>
    <v t="i">221</v>
    <v t="i">222</v>
    <v t="i">223</v>
    <v t="i">224</v>
    <v t="i">225</v>
    <v t="i">228</v>
    <v t="i">229</v>
    <v t="i">230</v>
    <v t="i">231</v>
    <v t="i">232</v>
    <v t="i">235</v>
    <v t="i">236</v>
    <v t="i">237</v>
    <v t="i">238</v>
    <v t="i">239</v>
    <v t="i">242</v>
    <v t="i">243</v>
    <v t="i">244</v>
    <v t="i">245</v>
    <v t="i">246</v>
    <v t="i">249</v>
    <v t="i">250</v>
    <v t="i">251</v>
    <v t="i">252</v>
    <v t="i">253</v>
    <v t="i">256</v>
    <v t="i">257</v>
    <v t="i">258</v>
    <v t="i">259</v>
    <v t="i">260</v>
    <v t="i">263</v>
    <v t="i">264</v>
    <v t="i">265</v>
    <v t="i">266</v>
    <v t="i">267</v>
    <v t="i">270</v>
    <v t="i">271</v>
    <v t="i">272</v>
    <v t="i">273</v>
    <v t="i">274</v>
    <v t="i">277</v>
    <v t="i">278</v>
    <v t="i">279</v>
    <v t="i">280</v>
    <v t="i">281</v>
    <v t="i">284</v>
    <v t="i">285</v>
    <v t="i">286</v>
    <v t="i">287</v>
    <v t="i">288</v>
    <v t="i">291</v>
    <v t="i">292</v>
    <v t="i">293</v>
    <v t="i">294</v>
    <v t="i">295</v>
    <v t="i">298</v>
    <v t="i">299</v>
    <v t="i">300</v>
    <v t="i">301</v>
    <v t="i">302</v>
    <v t="i">305</v>
    <v t="i">306</v>
    <v t="i">307</v>
    <v t="i">308</v>
    <v t="i">309</v>
    <v t="i">312</v>
    <v t="i">313</v>
    <v t="i">314</v>
    <v t="i">315</v>
    <v t="i">316</v>
    <v t="i">319</v>
    <v t="i">320</v>
    <v t="i">321</v>
    <v t="i">322</v>
    <v t="i">323</v>
    <v t="i">326</v>
    <v t="i">327</v>
    <v t="i">328</v>
    <v t="i">329</v>
    <v t="i">330</v>
    <v t="i">333</v>
    <v t="i">334</v>
    <v t="i">335</v>
    <v t="i">336</v>
    <v t="i">337</v>
    <v t="i">340</v>
    <v t="i">341</v>
    <v t="i">342</v>
    <v t="i">343</v>
    <v t="i">344</v>
    <v t="i">347</v>
    <v t="i">348</v>
    <v t="i">349</v>
    <v t="i">350</v>
    <v t="i">351</v>
    <v t="i">354</v>
    <v t="i">355</v>
    <v t="i">356</v>
    <v t="i">357</v>
    <v t="i">358</v>
    <v t="i">361</v>
    <v t="i">362</v>
    <v t="i">363</v>
    <v t="i">364</v>
    <v t="i">365</v>
  </a>
  <a r="1" c="208">
    <v>4.9225000000000003</v>
    <v>4.9269999999999996</v>
    <v>4.9240000000000004</v>
    <v>4.9405000000000001</v>
    <v>4.931</v>
    <v>4.9364999999999997</v>
    <v>4.9409999999999998</v>
    <v>4.9344999999999999</v>
    <v>4.9435000000000002</v>
    <v>4.9435000000000002</v>
    <v>4.9349999999999996</v>
    <v>4.9325000000000001</v>
    <v>4.9189999999999996</v>
    <v>4.92</v>
    <v>4.9260000000000002</v>
    <v>4.9255000000000004</v>
    <v>4.9359999999999999</v>
    <v>4.9344999999999999</v>
    <v>4.9370000000000003</v>
    <v>4.9344999999999999</v>
    <v>4.9390000000000001</v>
    <v>4.9344999999999999</v>
    <v>4.93</v>
    <v>4.9344999999999999</v>
    <v>4.9370000000000003</v>
    <v>4.9409999999999998</v>
    <v>4.9405000000000001</v>
    <v>4.96</v>
    <v>4.9565000000000001</v>
    <v>4.9654999999999996</v>
    <v>4.9725000000000001</v>
    <v>4.9790000000000001</v>
    <v>4.9785000000000004</v>
    <v>4.9775</v>
    <v>4.9770000000000003</v>
    <v>4.9770000000000003</v>
    <v>4.9859999999999998</v>
    <v>4.9909999999999997</v>
    <v>4.9844999999999997</v>
    <v>4.9909999999999997</v>
    <v>4.9980000000000002</v>
    <v>4.9785000000000004</v>
    <v>4.9589999999999996</v>
    <v>4.9734999999999996</v>
    <v>4.9459999999999997</v>
    <v>4.9539999999999997</v>
    <v>4.9450000000000003</v>
    <v>4.9524999999999997</v>
    <v>4.9314999999999998</v>
    <v>4.9119999999999999</v>
    <v>4.9015000000000004</v>
    <v>4.9180000000000001</v>
    <v>4.93</v>
    <v>4.9180000000000001</v>
    <v>4.9160000000000004</v>
    <v>4.8869999999999996</v>
    <v>4.8899999999999997</v>
    <v>4.8860000000000001</v>
    <v>4.9015000000000004</v>
    <v>4.8834999999999997</v>
    <v>4.8810000000000002</v>
    <v>4.8895</v>
    <v>4.8975</v>
    <v>4.9234999999999998</v>
    <v>4.92</v>
    <v>4.8929999999999998</v>
    <v>4.9275000000000002</v>
    <v>4.9050000000000002</v>
    <v>4.9184999999999999</v>
    <v>4.9039999999999999</v>
    <v>4.9264999999999999</v>
    <v>4.9255000000000004</v>
    <v>4.9264999999999999</v>
    <v>4.9385000000000003</v>
    <v>4.9335000000000004</v>
    <v>4.9295</v>
    <v>4.9305000000000003</v>
    <v>4.9329999999999998</v>
    <v>4.9215</v>
    <v>4.915</v>
    <v>4.9074999999999998</v>
    <v>4.9015000000000004</v>
    <v>4.9080000000000004</v>
    <v>4.8985000000000003</v>
    <v>4.9119999999999999</v>
    <v>4.9225000000000003</v>
    <v>4.9189999999999996</v>
    <v>4.9184999999999999</v>
    <v>4.9124999999999996</v>
    <v>4.8944999999999999</v>
    <v>4.891</v>
    <v>4.9130000000000003</v>
    <v>4.8680000000000003</v>
    <v>4.8715000000000002</v>
    <v>4.8654999999999999</v>
    <v>4.8864999999999998</v>
    <v>4.8884999999999996</v>
    <v>4.891</v>
    <v>4.9169999999999998</v>
    <v>4.9024999999999999</v>
    <v>4.9169999999999998</v>
    <v>4.9234999999999998</v>
    <v>4.9295</v>
    <v>4.9109999999999996</v>
    <v>4.9260000000000002</v>
    <v>4.9074999999999998</v>
    <v>4.9189999999999996</v>
    <v>4.9015000000000004</v>
    <v>4.9015000000000004</v>
    <v>4.9020000000000001</v>
    <v>4.9024999999999999</v>
    <v>4.9104999999999999</v>
    <v>4.9240000000000004</v>
    <v>4.9275000000000002</v>
    <v>4.9344999999999999</v>
    <v>4.9370000000000003</v>
    <v>4.9420000000000002</v>
    <v>4.9255000000000004</v>
    <v>4.9219999999999997</v>
    <v>4.9335000000000004</v>
    <v>4.9424999999999999</v>
    <v>4.9480000000000004</v>
    <v>4.9509999999999996</v>
    <v>4.9515000000000002</v>
    <v>4.9474999999999998</v>
    <v>4.9379999999999997</v>
    <v>4.9349999999999996</v>
    <v>4.9275000000000002</v>
    <v>4.93</v>
    <v>4.9184999999999999</v>
    <v>4.8994999999999997</v>
    <v>4.9135</v>
    <v>4.9154999999999998</v>
    <v>4.9000000000000004</v>
    <v>4.9135</v>
    <v>4.915</v>
    <v>4.9035000000000002</v>
    <v>4.91</v>
    <v>4.8979999999999997</v>
    <v>4.8914999999999997</v>
    <v>4.8890000000000002</v>
    <v>4.8730000000000002</v>
    <v>4.8879999999999999</v>
    <v>4.8929999999999998</v>
    <v>4.9085000000000001</v>
    <v>4.8935000000000004</v>
    <v>4.8920000000000003</v>
    <v>4.8754999999999997</v>
    <v>4.8920000000000003</v>
    <v>4.9055</v>
    <v>4.9115000000000002</v>
    <v>4.9050000000000002</v>
    <v>4.9024999999999999</v>
    <v>4.8925000000000001</v>
    <v>4.8940000000000001</v>
    <v>4.9009999999999998</v>
    <v>4.9104999999999999</v>
    <v>4.8959999999999999</v>
    <v>4.8899999999999997</v>
    <v>4.8849999999999998</v>
    <v>4.8975</v>
    <v>4.8905000000000003</v>
    <v>4.8875000000000002</v>
    <v>4.8890000000000002</v>
    <v>4.9050000000000002</v>
    <v>4.9029999999999996</v>
    <v>4.9020000000000001</v>
    <v>4.8905000000000003</v>
    <v>4.8795000000000002</v>
    <v>4.8734999999999999</v>
    <v>4.8715000000000002</v>
    <v>4.8819999999999997</v>
    <v>4.8795000000000002</v>
    <v>4.8734999999999999</v>
    <v>4.8780000000000001</v>
    <v>4.8635000000000002</v>
    <v>4.8404999999999996</v>
    <v>4.8440000000000003</v>
    <v>4.8410000000000002</v>
    <v>4.8310000000000004</v>
    <v>4.8395000000000001</v>
    <v>4.8479999999999999</v>
    <v>4.8324999999999996</v>
    <v>4.8460000000000001</v>
    <v>4.8410000000000002</v>
    <v>4.8235000000000001</v>
    <v>4.8164999999999996</v>
    <v>4.8025000000000002</v>
    <v>4.7960000000000003</v>
    <v>4.7859999999999996</v>
    <v>4.7965</v>
    <v>4.7954999999999997</v>
    <v>4.7954999999999997</v>
    <v>4.7930000000000001</v>
    <v>4.8049999999999997</v>
    <v>4.7960000000000003</v>
    <v>4.8</v>
    <v>4.8064999999999998</v>
    <v>4.8090000000000002</v>
    <v>4.8209999999999997</v>
    <v>4.8120000000000003</v>
    <v>4.8334999999999999</v>
    <v>4.8425000000000002</v>
    <v>4.8285</v>
    <v>4.835</v>
    <v>4.8390000000000004</v>
    <v>4.859</v>
    <v>4.8579999999999997</v>
  </a>
  <a r="1" c="254">
    <v>4.9604999999999997</v>
    <v>4.9574999999999996</v>
    <v>4.9669999999999996</v>
    <v>4.9640000000000004</v>
    <v>4.9649999999999999</v>
    <v>4.9524999999999997</v>
    <v>4.9485000000000001</v>
    <v>4.9420000000000002</v>
    <v>4.9465000000000003</v>
    <v>4.9364999999999997</v>
    <v>4.9465000000000003</v>
    <v>4.9455</v>
    <v>4.9414999999999996</v>
    <v>4.9535</v>
    <v>4.9489999999999998</v>
    <v>4.9420000000000002</v>
    <v>4.9349999999999996</v>
    <v>4.9344999999999999</v>
    <v>4.9364999999999997</v>
    <v>4.9320000000000004</v>
    <v>4.9335000000000004</v>
    <v>4.9370000000000003</v>
    <v>4.9409999999999998</v>
    <v>4.9509999999999996</v>
    <v>4.9574999999999996</v>
    <v>4.9550000000000001</v>
    <v>4.95</v>
    <v>4.9335000000000004</v>
    <v>4.9375</v>
    <v>4.9390000000000001</v>
    <v>4.9390000000000001</v>
    <v>4.9284999999999997</v>
    <v>4.915</v>
    <v>4.9204999999999997</v>
    <v>4.9195000000000002</v>
    <v>4.9305000000000003</v>
    <v>4.92</v>
    <v>4.9275000000000002</v>
    <v>4.9279999999999999</v>
    <v>4.9210000000000003</v>
    <v>4.9329999999999998</v>
    <v>4.9275000000000002</v>
    <v>4.9269999999999996</v>
    <v>4.9279999999999999</v>
    <v>4.9414999999999996</v>
    <v>4.9340000000000002</v>
    <v>4.9225000000000003</v>
    <v>4.9269999999999996</v>
    <v>4.9240000000000004</v>
    <v>4.9405000000000001</v>
    <v>4.931</v>
    <v>4.9364999999999997</v>
    <v>4.9409999999999998</v>
    <v>4.9344999999999999</v>
    <v>4.9435000000000002</v>
    <v>4.9435000000000002</v>
    <v>4.9349999999999996</v>
    <v>4.9325000000000001</v>
    <v>4.9189999999999996</v>
    <v>4.92</v>
    <v>4.9260000000000002</v>
    <v>4.9255000000000004</v>
    <v>4.9359999999999999</v>
    <v>4.9344999999999999</v>
    <v>4.9370000000000003</v>
    <v>4.9344999999999999</v>
    <v>4.9390000000000001</v>
    <v>4.9344999999999999</v>
    <v>4.93</v>
    <v>4.9344999999999999</v>
    <v>4.9370000000000003</v>
    <v>4.9409999999999998</v>
    <v>4.9405000000000001</v>
    <v>4.96</v>
    <v>4.9565000000000001</v>
    <v>4.9654999999999996</v>
    <v>4.9725000000000001</v>
    <v>4.9790000000000001</v>
    <v>4.9785000000000004</v>
    <v>4.9775</v>
    <v>4.9770000000000003</v>
    <v>4.9770000000000003</v>
    <v>4.9859999999999998</v>
    <v>4.9909999999999997</v>
    <v>4.9844999999999997</v>
    <v>4.9909999999999997</v>
    <v>4.9980000000000002</v>
    <v>4.9785000000000004</v>
    <v>4.9589999999999996</v>
    <v>4.9734999999999996</v>
    <v>4.9459999999999997</v>
    <v>4.9539999999999997</v>
    <v>4.9450000000000003</v>
    <v>4.9524999999999997</v>
    <v>4.9314999999999998</v>
    <v>4.9119999999999999</v>
    <v>4.9015000000000004</v>
    <v>4.9180000000000001</v>
    <v>4.93</v>
    <v>4.9180000000000001</v>
    <v>4.9160000000000004</v>
    <v>4.8869999999999996</v>
    <v>4.8899999999999997</v>
    <v>4.8860000000000001</v>
    <v>4.9015000000000004</v>
    <v>4.8834999999999997</v>
    <v>4.8810000000000002</v>
    <v>4.8895</v>
    <v>4.8975</v>
    <v>4.9234999999999998</v>
    <v>4.92</v>
    <v>4.8929999999999998</v>
    <v>4.9275000000000002</v>
    <v>4.9050000000000002</v>
    <v>4.9184999999999999</v>
    <v>4.9039999999999999</v>
    <v>4.9264999999999999</v>
    <v>4.9255000000000004</v>
    <v>4.9264999999999999</v>
    <v>4.9385000000000003</v>
    <v>4.9335000000000004</v>
    <v>4.9295</v>
    <v>4.9305000000000003</v>
    <v>4.9329999999999998</v>
    <v>4.9215</v>
    <v>4.915</v>
    <v>4.9074999999999998</v>
    <v>4.9015000000000004</v>
    <v>4.9080000000000004</v>
    <v>4.8985000000000003</v>
    <v>4.9119999999999999</v>
    <v>4.9225000000000003</v>
    <v>4.9189999999999996</v>
    <v>4.9184999999999999</v>
    <v>4.9124999999999996</v>
    <v>4.8944999999999999</v>
    <v>4.891</v>
    <v>4.9130000000000003</v>
    <v>4.8680000000000003</v>
    <v>4.8715000000000002</v>
    <v>4.8654999999999999</v>
    <v>4.8864999999999998</v>
    <v>4.8884999999999996</v>
    <v>4.891</v>
    <v>4.9169999999999998</v>
    <v>4.9024999999999999</v>
    <v>4.9169999999999998</v>
    <v>4.9234999999999998</v>
    <v>4.9295</v>
    <v>4.9109999999999996</v>
    <v>4.9260000000000002</v>
    <v>4.9074999999999998</v>
    <v>4.9189999999999996</v>
    <v>4.9015000000000004</v>
    <v>4.9015000000000004</v>
    <v>4.9020000000000001</v>
    <v>4.9024999999999999</v>
    <v>4.9104999999999999</v>
    <v>4.9240000000000004</v>
    <v>4.9275000000000002</v>
    <v>4.9344999999999999</v>
    <v>4.9370000000000003</v>
    <v>4.9420000000000002</v>
    <v>4.9255000000000004</v>
    <v>4.9219999999999997</v>
    <v>4.9335000000000004</v>
    <v>4.9424999999999999</v>
    <v>4.9480000000000004</v>
    <v>4.9509999999999996</v>
    <v>4.9515000000000002</v>
    <v>4.9474999999999998</v>
    <v>4.9379999999999997</v>
    <v>4.9349999999999996</v>
    <v>4.9275000000000002</v>
    <v>4.93</v>
    <v>4.9184999999999999</v>
    <v>4.8994999999999997</v>
    <v>4.9135</v>
    <v>4.9154999999999998</v>
    <v>4.9000000000000004</v>
    <v>4.9135</v>
    <v>4.915</v>
    <v>4.9035000000000002</v>
    <v>4.91</v>
    <v>4.8979999999999997</v>
    <v>4.8914999999999997</v>
    <v>4.8890000000000002</v>
    <v>4.8730000000000002</v>
    <v>4.8879999999999999</v>
    <v>4.8929999999999998</v>
    <v>4.9085000000000001</v>
    <v>4.8935000000000004</v>
    <v>4.8920000000000003</v>
    <v>4.8754999999999997</v>
    <v>4.8920000000000003</v>
    <v>4.9055</v>
    <v>4.9115000000000002</v>
    <v>4.9050000000000002</v>
    <v>4.9024999999999999</v>
    <v>4.8925000000000001</v>
    <v>4.8940000000000001</v>
    <v>4.9009999999999998</v>
    <v>4.9104999999999999</v>
    <v>4.8959999999999999</v>
    <v>4.8899999999999997</v>
    <v>4.8849999999999998</v>
    <v>4.8975</v>
    <v>4.8905000000000003</v>
    <v>4.8875000000000002</v>
    <v>4.8890000000000002</v>
    <v>4.9050000000000002</v>
    <v>4.9029999999999996</v>
    <v>4.9020000000000001</v>
    <v>4.8905000000000003</v>
    <v>4.8795000000000002</v>
    <v>4.8734999999999999</v>
    <v>4.8715000000000002</v>
    <v>4.8819999999999997</v>
    <v>4.8795000000000002</v>
    <v>4.8734999999999999</v>
    <v>4.8780000000000001</v>
    <v>4.8635000000000002</v>
    <v>4.8404999999999996</v>
    <v>4.8440000000000003</v>
    <v>4.8410000000000002</v>
    <v>4.8310000000000004</v>
    <v>4.8395000000000001</v>
    <v>4.8479999999999999</v>
    <v>4.8324999999999996</v>
    <v>4.8460000000000001</v>
    <v>4.8410000000000002</v>
    <v>4.8235000000000001</v>
    <v>4.8164999999999996</v>
    <v>4.8025000000000002</v>
    <v>4.7960000000000003</v>
    <v>4.7859999999999996</v>
    <v>4.7965</v>
    <v>4.7954999999999997</v>
    <v>4.7954999999999997</v>
    <v>4.7930000000000001</v>
    <v>4.8049999999999997</v>
    <v>4.7960000000000003</v>
    <v>4.8</v>
    <v>4.8064999999999998</v>
    <v>4.8090000000000002</v>
    <v>4.8209999999999997</v>
    <v>4.8120000000000003</v>
    <v>4.8334999999999999</v>
    <v>4.8425000000000002</v>
    <v>4.8285</v>
    <v>4.835</v>
    <v>4.8390000000000004</v>
    <v>4.859</v>
    <v>4.8579999999999997</v>
  </a>
  <a r="1" c="761">
    <v>4.4455</v>
    <v>4.4494999999999996</v>
    <v>4.4400000000000004</v>
    <v>4.444</v>
    <v>4.4545000000000003</v>
    <v>4.4494999999999996</v>
    <v>4.4580000000000002</v>
    <v>4.4690000000000003</v>
    <v>4.4930000000000003</v>
    <v>4.5214999999999996</v>
    <v>4.5015000000000001</v>
    <v>4.5185000000000004</v>
    <v>4.5315000000000003</v>
    <v>4.5265000000000004</v>
    <v>4.5095000000000001</v>
    <v>4.5034999999999998</v>
    <v>4.5510000000000002</v>
    <v>4.5380000000000003</v>
    <v>4.5579999999999998</v>
    <v>4.5590000000000002</v>
    <v>4.5605000000000002</v>
    <v>4.5804999999999998</v>
    <v>4.5694999999999997</v>
    <v>4.5694999999999997</v>
    <v>4.5599999999999996</v>
    <v>4.5724999999999998</v>
    <v>4.5890000000000004</v>
    <v>4.6124999999999998</v>
    <v>4.6064999999999996</v>
    <v>4.625</v>
    <v>4.6174999999999997</v>
    <v>4.6485000000000003</v>
    <v>4.6559999999999997</v>
    <v>4.6544999999999996</v>
    <v>4.6315</v>
    <v>4.6345000000000001</v>
    <v>4.6440000000000001</v>
    <v>4.6595000000000004</v>
    <v>4.7130000000000001</v>
    <v>4.7175000000000002</v>
    <v>4.7104999999999997</v>
    <v>4.726</v>
    <v>4.7195</v>
    <v>4.7389999999999999</v>
    <v>4.7270000000000003</v>
    <v>4.7575000000000003</v>
    <v>4.7489999999999997</v>
    <v>4.7380000000000004</v>
    <v>4.7285000000000004</v>
    <v>4.72</v>
    <v>4.7115</v>
    <v>4.7089999999999996</v>
    <v>4.7045000000000003</v>
    <v>4.7</v>
    <v>4.6989999999999998</v>
    <v>4.6929999999999996</v>
    <v>4.7164999999999999</v>
    <v>4.7149999999999999</v>
    <v>4.7089999999999996</v>
    <v>4.6890000000000001</v>
    <v>4.6870000000000003</v>
    <v>4.6784999999999997</v>
    <v>4.6890000000000001</v>
    <v>4.6745000000000001</v>
    <v>4.6779999999999999</v>
    <v>4.6875</v>
    <v>4.6879999999999997</v>
    <v>4.7</v>
    <v>4.6965000000000003</v>
    <v>4.7234999999999996</v>
    <v>4.7495000000000003</v>
    <v>4.7054999999999998</v>
    <v>4.6825000000000001</v>
    <v>4.6920000000000002</v>
    <v>4.6905000000000001</v>
    <v>4.6795</v>
    <v>4.6745000000000001</v>
    <v>4.6725000000000003</v>
    <v>4.6645000000000003</v>
    <v>4.6630000000000003</v>
    <v>4.6764999999999999</v>
    <v>4.6680000000000001</v>
    <v>4.6645000000000003</v>
    <v>4.6795</v>
    <v>4.6689999999999996</v>
    <v>4.6695000000000002</v>
    <v>4.6825000000000001</v>
    <v>4.6760000000000002</v>
    <v>4.6740000000000004</v>
    <v>4.6734999999999998</v>
    <v>4.6875</v>
    <v>4.6909999999999998</v>
    <v>4.6875</v>
    <v>4.7065000000000001</v>
    <v>4.7130000000000001</v>
    <v>4.718</v>
    <v>4.7249999999999996</v>
    <v>4.7190000000000003</v>
    <v>4.7175000000000002</v>
    <v>4.7054999999999998</v>
    <v>4.6894999999999998</v>
    <v>4.6849999999999996</v>
    <v>4.6835000000000004</v>
    <v>4.6879999999999997</v>
    <v>4.6965000000000003</v>
    <v>4.7009999999999996</v>
    <v>4.7095000000000002</v>
    <v>4.7030000000000003</v>
    <v>4.7050000000000001</v>
    <v>4.7210000000000001</v>
    <v>4.7220000000000004</v>
    <v>4.6879999999999997</v>
    <v>4.6909999999999998</v>
    <v>4.6989999999999998</v>
    <v>4.6929999999999996</v>
    <v>4.6835000000000004</v>
    <v>4.6989999999999998</v>
    <v>4.6725000000000003</v>
    <v>4.6550000000000002</v>
    <v>4.6734999999999998</v>
    <v>4.6505000000000001</v>
    <v>4.6349999999999998</v>
    <v>4.6440000000000001</v>
    <v>4.6420000000000003</v>
    <v>4.6485000000000003</v>
    <v>4.6494999999999997</v>
    <v>4.6555</v>
    <v>4.6355000000000004</v>
    <v>4.625</v>
    <v>4.6405000000000003</v>
    <v>4.6485000000000003</v>
    <v>4.6425000000000001</v>
    <v>4.6524999999999999</v>
    <v>4.6734999999999998</v>
    <v>4.6790000000000003</v>
    <v>4.6905000000000001</v>
    <v>4.68</v>
    <v>4.6775000000000002</v>
    <v>4.6734999999999998</v>
    <v>4.6805000000000003</v>
    <v>4.6745000000000001</v>
    <v>4.7024999999999997</v>
    <v>4.7030000000000003</v>
    <v>4.6909999999999998</v>
    <v>4.6849999999999996</v>
    <v>4.6905000000000001</v>
    <v>4.6859999999999999</v>
    <v>4.67</v>
    <v>4.6784999999999997</v>
    <v>4.6805000000000003</v>
    <v>4.6760000000000002</v>
    <v>4.6464999999999996</v>
    <v>4.6619999999999999</v>
    <v>4.6689999999999996</v>
    <v>4.6840000000000002</v>
    <v>4.7004999999999999</v>
    <v>4.7149999999999999</v>
    <v>4.7060000000000004</v>
    <v>4.6905000000000001</v>
    <v>4.6779999999999999</v>
    <v>4.6825000000000001</v>
    <v>4.7184999999999997</v>
    <v>4.7184999999999997</v>
    <v>4.734</v>
    <v>4.7195</v>
    <v>4.7234999999999996</v>
    <v>4.7290000000000001</v>
    <v>4.7214999999999998</v>
    <v>4.7225000000000001</v>
    <v>4.726</v>
    <v>4.7309999999999999</v>
    <v>4.7149999999999999</v>
    <v>4.7214999999999998</v>
    <v>4.7130000000000001</v>
    <v>4.6849999999999996</v>
    <v>4.6905000000000001</v>
    <v>4.71</v>
    <v>4.7074999999999996</v>
    <v>4.7229999999999999</v>
    <v>4.7220000000000004</v>
    <v>4.7119999999999997</v>
    <v>4.7234999999999996</v>
    <v>4.7474999999999996</v>
    <v>4.7460000000000004</v>
    <v>4.7510000000000003</v>
    <v>4.7510000000000003</v>
    <v>4.7575000000000003</v>
    <v>4.7610000000000001</v>
    <v>4.7415000000000003</v>
    <v>4.7409999999999997</v>
    <v>4.7495000000000003</v>
    <v>4.7450000000000001</v>
    <v>4.7515000000000001</v>
    <v>4.7560000000000002</v>
    <v>4.76</v>
    <v>4.7735000000000003</v>
    <v>4.7815000000000003</v>
    <v>4.8040000000000003</v>
    <v>4.8360000000000003</v>
    <v>4.835</v>
    <v>4.8209999999999997</v>
    <v>4.8079999999999998</v>
    <v>4.8014999999999999</v>
    <v>4.8205</v>
    <v>4.8205</v>
    <v>4.8319999999999999</v>
    <v>4.8425000000000002</v>
    <v>4.8280000000000003</v>
    <v>4.8334999999999999</v>
    <v>4.8434999999999997</v>
    <v>4.8455000000000004</v>
    <v>4.8384999999999998</v>
    <v>4.8585000000000003</v>
    <v>4.8475000000000001</v>
    <v>4.8440000000000003</v>
    <v>4.8470000000000004</v>
    <v>4.8360000000000003</v>
    <v>4.8410000000000002</v>
    <v>4.8274999999999997</v>
    <v>4.843</v>
    <v>4.8550000000000004</v>
    <v>4.8594999999999997</v>
    <v>4.8795000000000002</v>
    <v>4.8754999999999997</v>
    <v>4.8810000000000002</v>
    <v>4.8955000000000002</v>
    <v>4.8840000000000003</v>
    <v>4.8970000000000002</v>
    <v>4.9009999999999998</v>
    <v>4.8985000000000003</v>
    <v>4.891</v>
    <v>4.8879999999999999</v>
    <v>4.8804999999999996</v>
    <v>4.8825000000000003</v>
    <v>4.8875000000000002</v>
    <v>4.8804999999999996</v>
    <v>4.8815</v>
    <v>4.8819999999999997</v>
    <v>4.8810000000000002</v>
    <v>4.8964999999999996</v>
    <v>4.8845000000000001</v>
    <v>4.8765000000000001</v>
    <v>4.8449999999999998</v>
    <v>4.8369999999999997</v>
    <v>4.8339999999999996</v>
    <v>4.8315000000000001</v>
    <v>4.8334999999999999</v>
    <v>4.8345000000000002</v>
    <v>4.8244999999999996</v>
    <v>4.8445</v>
    <v>4.8559999999999999</v>
    <v>4.8445</v>
    <v>4.8479999999999999</v>
    <v>4.8304999999999998</v>
    <v>4.8174999999999999</v>
    <v>4.8140000000000001</v>
    <v>4.8250000000000002</v>
    <v>4.82</v>
    <v>4.8094999999999999</v>
    <v>4.8019999999999996</v>
    <v>4.8120000000000003</v>
    <v>4.8</v>
    <v>4.7949999999999999</v>
    <v>4.8055000000000003</v>
    <v>4.7965</v>
    <v>4.7889999999999997</v>
    <v>4.806</v>
    <v>4.8205</v>
    <v>4.8075000000000001</v>
    <v>4.8040000000000003</v>
    <v>4.8010000000000002</v>
    <v>4.8150000000000004</v>
    <v>4.798</v>
    <v>4.7945000000000002</v>
    <v>4.806</v>
    <v>4.8005000000000004</v>
    <v>4.8</v>
    <v>4.8055000000000003</v>
    <v>4.8239999999999998</v>
    <v>4.8254999999999999</v>
    <v>4.8395000000000001</v>
    <v>4.8494999999999999</v>
    <v>4.8559999999999999</v>
    <v>4.8665000000000003</v>
    <v>4.8594999999999997</v>
    <v>4.8644999999999996</v>
    <v>4.8600000000000003</v>
    <v>4.87</v>
    <v>4.8689999999999998</v>
    <v>4.8654999999999999</v>
    <v>4.8635000000000002</v>
    <v>4.8520000000000003</v>
    <v>4.8339999999999996</v>
    <v>4.8339999999999996</v>
    <v>4.8334999999999999</v>
    <v>4.8345000000000002</v>
    <v>4.8099999999999996</v>
    <v>4.819</v>
    <v>4.8079999999999998</v>
    <v>4.8099999999999996</v>
    <v>4.8164999999999996</v>
    <v>4.8029999999999999</v>
    <v>4.806</v>
    <v>4.7990000000000004</v>
    <v>4.782</v>
    <v>4.7809999999999997</v>
    <v>4.7824999999999998</v>
    <v>4.7670000000000003</v>
    <v>4.7575000000000003</v>
    <v>4.7560000000000002</v>
    <v>4.7880000000000003</v>
    <v>4.7919999999999998</v>
    <v>4.7975000000000003</v>
    <v>4.8049999999999997</v>
    <v>4.8005000000000004</v>
    <v>4.8099999999999996</v>
    <v>4.798</v>
    <v>4.8</v>
    <v>4.82</v>
    <v>4.8070000000000004</v>
    <v>4.8049999999999997</v>
    <v>4.8205</v>
    <v>4.83</v>
    <v>4.8295000000000003</v>
    <v>4.8259999999999996</v>
    <v>4.8455000000000004</v>
    <v>4.851</v>
    <v>4.8390000000000004</v>
    <v>4.8375000000000004</v>
    <v>4.8274999999999997</v>
    <v>4.8109999999999999</v>
    <v>4.8254999999999999</v>
    <v>4.8410000000000002</v>
    <v>4.8215000000000003</v>
    <v>4.8220000000000001</v>
    <v>4.8150000000000004</v>
    <v>4.82</v>
    <v>4.8254999999999999</v>
    <v>4.8369999999999997</v>
    <v>4.8579999999999997</v>
    <v>4.8585000000000003</v>
    <v>4.8570000000000002</v>
    <v>4.87</v>
    <v>4.8695000000000004</v>
    <v>4.8704999999999998</v>
    <v>4.8419999999999996</v>
    <v>4.8174999999999999</v>
    <v>4.8280000000000003</v>
    <v>4.843</v>
    <v>4.8209999999999997</v>
    <v>4.82</v>
    <v>4.8179999999999996</v>
    <v>4.8179999999999996</v>
    <v>4.8384999999999998</v>
    <v>4.8230000000000004</v>
    <v>4.8259999999999996</v>
    <v>4.8390000000000004</v>
    <v>4.8365</v>
    <v>4.8295000000000003</v>
    <v>4.8295000000000003</v>
    <v>4.8235000000000001</v>
    <v>4.82</v>
    <v>4.8365</v>
    <v>4.8449999999999998</v>
    <v>4.8564999999999996</v>
    <v>4.859</v>
    <v>4.8795000000000002</v>
    <v>4.8819999999999997</v>
    <v>4.8555000000000001</v>
    <v>4.8484999999999996</v>
    <v>4.8159999999999998</v>
    <v>4.8315000000000001</v>
    <v>4.8099999999999996</v>
    <v>4.8304999999999998</v>
    <v>4.8414999999999999</v>
    <v>4.8535000000000004</v>
    <v>4.8555000000000001</v>
    <v>4.8425000000000002</v>
    <v>4.8484999999999996</v>
    <v>4.8609999999999998</v>
    <v>4.8695000000000004</v>
    <v>4.8695000000000004</v>
    <v>4.8769999999999998</v>
    <v>4.8834999999999997</v>
    <v>4.8624999999999998</v>
    <v>4.8605</v>
    <v>4.8559999999999999</v>
    <v>4.8659999999999997</v>
    <v>4.8620000000000001</v>
    <v>4.8540000000000001</v>
    <v>4.8384999999999998</v>
    <v>4.8259999999999996</v>
    <v>4.8235000000000001</v>
    <v>4.8395000000000001</v>
    <v>4.84</v>
    <v>4.835</v>
    <v>4.8319999999999999</v>
    <v>4.82</v>
    <v>4.8205</v>
    <v>4.8220000000000001</v>
    <v>4.8360000000000003</v>
    <v>4.8440000000000003</v>
    <v>4.8354999999999997</v>
    <v>4.8540000000000001</v>
    <v>4.8544999999999998</v>
    <v>4.8455000000000004</v>
    <v>4.8499999999999996</v>
    <v>4.8620000000000001</v>
    <v>4.8559999999999999</v>
    <v>4.8479999999999999</v>
    <v>4.851</v>
    <v>4.8544999999999998</v>
    <v>4.8635000000000002</v>
    <v>4.8739999999999997</v>
    <v>4.8579999999999997</v>
    <v>4.8635000000000002</v>
    <v>4.8630000000000004</v>
    <v>4.8739999999999997</v>
    <v>4.8680000000000003</v>
    <v>4.8680000000000003</v>
    <v>4.8819999999999997</v>
    <v>4.883</v>
    <v>4.8784999999999998</v>
    <v>4.8860000000000001</v>
    <v>4.8845000000000001</v>
    <v>4.8855000000000004</v>
    <v>4.891</v>
    <v>4.8864999999999998</v>
    <v>4.8825000000000003</v>
    <v>4.8864999999999998</v>
    <v>4.8754999999999997</v>
    <v>4.8594999999999997</v>
    <v>4.8689999999999998</v>
    <v>4.8689999999999998</v>
    <v>4.8600000000000003</v>
    <v>4.8550000000000004</v>
    <v>4.8535000000000004</v>
    <v>4.8449999999999998</v>
    <v>4.8605</v>
    <v>4.8635000000000002</v>
    <v>4.875</v>
    <v>4.8890000000000002</v>
    <v>4.8780000000000001</v>
    <v>4.8644999999999996</v>
    <v>4.8615000000000004</v>
    <v>4.8665000000000003</v>
    <v>4.8739999999999997</v>
    <v>4.8724999999999996</v>
    <v>4.8804999999999996</v>
    <v>4.8920000000000003</v>
    <v>4.9020000000000001</v>
    <v>4.9055</v>
    <v>4.9005000000000001</v>
    <v>4.9065000000000003</v>
    <v>4.8959999999999999</v>
    <v>4.8929999999999998</v>
    <v>4.8869999999999996</v>
    <v>4.9080000000000004</v>
    <v>4.8959999999999999</v>
    <v>4.8754999999999997</v>
    <v>4.8834999999999997</v>
    <v>4.8914999999999997</v>
    <v>4.8754999999999997</v>
    <v>4.8949999999999996</v>
    <v>4.8845000000000001</v>
    <v>4.8884999999999996</v>
    <v>4.8879999999999999</v>
    <v>4.8964999999999996</v>
    <v>4.8914999999999997</v>
    <v>4.8895</v>
    <v>4.8815</v>
    <v>4.8929999999999998</v>
    <v>4.8975</v>
    <v>4.9279999999999999</v>
    <v>4.9335000000000004</v>
    <v>4.9215</v>
    <v>4.9255000000000004</v>
    <v>4.9370000000000003</v>
    <v>4.9240000000000004</v>
    <v>4.9355000000000002</v>
    <v>4.9340000000000002</v>
    <v>4.9379999999999997</v>
    <v>4.9260000000000002</v>
    <v>4.9160000000000004</v>
    <v>4.9189999999999996</v>
    <v>4.9204999999999997</v>
    <v>4.9204999999999997</v>
    <v>4.9104999999999999</v>
    <v>4.9139999999999997</v>
    <v>4.9210000000000003</v>
    <v>4.9215</v>
    <v>4.9215</v>
    <v>4.9260000000000002</v>
    <v>4.93</v>
    <v>4.9184999999999999</v>
    <v>4.9255000000000004</v>
    <v>4.9264999999999999</v>
    <v>4.9245000000000001</v>
    <v>4.9400000000000004</v>
    <v>4.9349999999999996</v>
    <v>4.9435000000000002</v>
    <v>4.9545000000000003</v>
    <v>4.9539999999999997</v>
    <v>4.9554999999999998</v>
    <v>4.9645000000000001</v>
    <v>4.9664999999999999</v>
    <v>4.9645000000000001</v>
    <v>4.9604999999999997</v>
    <v>4.9574999999999996</v>
    <v>4.9669999999999996</v>
    <v>4.9640000000000004</v>
    <v>4.9649999999999999</v>
    <v>4.9524999999999997</v>
    <v>4.9485000000000001</v>
    <v>4.9420000000000002</v>
    <v>4.9465000000000003</v>
    <v>4.9364999999999997</v>
    <v>4.9465000000000003</v>
    <v>4.9455</v>
    <v>4.9414999999999996</v>
    <v>4.9535</v>
    <v>4.9489999999999998</v>
    <v>4.9420000000000002</v>
    <v>4.9349999999999996</v>
    <v>4.9344999999999999</v>
    <v>4.9364999999999997</v>
    <v>4.9320000000000004</v>
    <v>4.9335000000000004</v>
    <v>4.9370000000000003</v>
    <v>4.9409999999999998</v>
    <v>4.9509999999999996</v>
    <v>4.9574999999999996</v>
    <v>4.9550000000000001</v>
    <v>4.95</v>
    <v>4.9335000000000004</v>
    <v>4.9375</v>
    <v>4.9390000000000001</v>
    <v>4.9390000000000001</v>
    <v>4.9284999999999997</v>
    <v>4.915</v>
    <v>4.9204999999999997</v>
    <v>4.9195000000000002</v>
    <v>4.9305000000000003</v>
    <v>4.92</v>
    <v>4.9275000000000002</v>
    <v>4.9279999999999999</v>
    <v>4.9210000000000003</v>
    <v>4.9329999999999998</v>
    <v>4.9275000000000002</v>
    <v>4.9269999999999996</v>
    <v>4.9279999999999999</v>
    <v>4.9414999999999996</v>
    <v>4.9340000000000002</v>
    <v>4.9225000000000003</v>
    <v>4.9269999999999996</v>
    <v>4.9240000000000004</v>
    <v>4.9405000000000001</v>
    <v>4.931</v>
    <v>4.9364999999999997</v>
    <v>4.9409999999999998</v>
    <v>4.9344999999999999</v>
    <v>4.9435000000000002</v>
    <v>4.9435000000000002</v>
    <v>4.9349999999999996</v>
    <v>4.9325000000000001</v>
    <v>4.9189999999999996</v>
    <v>4.92</v>
    <v>4.9260000000000002</v>
    <v>4.9255000000000004</v>
    <v>4.9359999999999999</v>
    <v>4.9344999999999999</v>
    <v>4.9370000000000003</v>
    <v>4.9344999999999999</v>
    <v>4.9390000000000001</v>
    <v>4.9344999999999999</v>
    <v>4.93</v>
    <v>4.9344999999999999</v>
    <v>4.9370000000000003</v>
    <v>4.9409999999999998</v>
    <v>4.9405000000000001</v>
    <v>4.96</v>
    <v>4.9565000000000001</v>
    <v>4.9654999999999996</v>
    <v>4.9725000000000001</v>
    <v>4.9790000000000001</v>
    <v>4.9785000000000004</v>
    <v>4.9775</v>
    <v>4.9770000000000003</v>
    <v>4.9770000000000003</v>
    <v>4.9859999999999998</v>
    <v>4.9909999999999997</v>
    <v>4.9844999999999997</v>
    <v>4.9909999999999997</v>
    <v>4.9980000000000002</v>
    <v>4.9785000000000004</v>
    <v>4.9589999999999996</v>
    <v>4.9734999999999996</v>
    <v>4.9459999999999997</v>
    <v>4.9539999999999997</v>
    <v>4.9450000000000003</v>
    <v>4.9524999999999997</v>
    <v>4.9314999999999998</v>
    <v>4.9119999999999999</v>
    <v>4.9015000000000004</v>
    <v>4.9180000000000001</v>
    <v>4.93</v>
    <v>4.9180000000000001</v>
    <v>4.9160000000000004</v>
    <v>4.8869999999999996</v>
    <v>4.8899999999999997</v>
    <v>4.8860000000000001</v>
    <v>4.9015000000000004</v>
    <v>4.8834999999999997</v>
    <v>4.8810000000000002</v>
    <v>4.8895</v>
    <v>4.8975</v>
    <v>4.9234999999999998</v>
    <v>4.92</v>
    <v>4.8929999999999998</v>
    <v>4.9275000000000002</v>
    <v>4.9050000000000002</v>
    <v>4.9184999999999999</v>
    <v>4.9039999999999999</v>
    <v>4.9264999999999999</v>
    <v>4.9255000000000004</v>
    <v>4.9264999999999999</v>
    <v>4.9385000000000003</v>
    <v>4.9335000000000004</v>
    <v>4.9295</v>
    <v>4.9305000000000003</v>
    <v>4.9329999999999998</v>
    <v>4.9215</v>
    <v>4.915</v>
    <v>4.9074999999999998</v>
    <v>4.9015000000000004</v>
    <v>4.9080000000000004</v>
    <v>4.8985000000000003</v>
    <v>4.9119999999999999</v>
    <v>4.9225000000000003</v>
    <v>4.9189999999999996</v>
    <v>4.9184999999999999</v>
    <v>4.9124999999999996</v>
    <v>4.8944999999999999</v>
    <v>4.891</v>
    <v>4.9130000000000003</v>
    <v>4.8680000000000003</v>
    <v>4.8715000000000002</v>
    <v>4.8654999999999999</v>
    <v>4.8864999999999998</v>
    <v>4.8884999999999996</v>
    <v>4.891</v>
    <v>4.9169999999999998</v>
    <v>4.9024999999999999</v>
    <v>4.9169999999999998</v>
    <v>4.9234999999999998</v>
    <v>4.9295</v>
    <v>4.9109999999999996</v>
    <v>4.9260000000000002</v>
    <v>4.9074999999999998</v>
    <v>4.9189999999999996</v>
    <v>4.9015000000000004</v>
    <v>4.9015000000000004</v>
    <v>4.9020000000000001</v>
    <v>4.9024999999999999</v>
    <v>4.9104999999999999</v>
    <v>4.9240000000000004</v>
    <v>4.9275000000000002</v>
    <v>4.9344999999999999</v>
    <v>4.9370000000000003</v>
    <v>4.9420000000000002</v>
    <v>4.9255000000000004</v>
    <v>4.9219999999999997</v>
    <v>4.9335000000000004</v>
    <v>4.9424999999999999</v>
    <v>4.9480000000000004</v>
    <v>4.9509999999999996</v>
    <v>4.9515000000000002</v>
    <v>4.9474999999999998</v>
    <v>4.9379999999999997</v>
    <v>4.9349999999999996</v>
    <v>4.9275000000000002</v>
    <v>4.93</v>
    <v>4.9184999999999999</v>
    <v>4.8994999999999997</v>
    <v>4.9135</v>
    <v>4.9154999999999998</v>
    <v>4.9000000000000004</v>
    <v>4.9135</v>
    <v>4.915</v>
    <v>4.9035000000000002</v>
    <v>4.91</v>
    <v>4.8979999999999997</v>
    <v>4.8914999999999997</v>
    <v>4.8890000000000002</v>
    <v>4.8730000000000002</v>
    <v>4.8879999999999999</v>
    <v>4.8929999999999998</v>
    <v>4.9085000000000001</v>
    <v>4.8935000000000004</v>
    <v>4.8920000000000003</v>
    <v>4.8754999999999997</v>
    <v>4.8920000000000003</v>
    <v>4.9055</v>
    <v>4.9115000000000002</v>
    <v>4.9050000000000002</v>
    <v>4.9024999999999999</v>
    <v>4.8925000000000001</v>
    <v>4.8940000000000001</v>
    <v>4.9009999999999998</v>
    <v>4.9104999999999999</v>
    <v>4.8959999999999999</v>
    <v>4.8899999999999997</v>
    <v>4.8849999999999998</v>
    <v>4.8975</v>
    <v>4.8905000000000003</v>
    <v>4.8875000000000002</v>
    <v>4.8890000000000002</v>
    <v>4.9050000000000002</v>
    <v>4.9029999999999996</v>
    <v>4.9020000000000001</v>
    <v>4.8905000000000003</v>
    <v>4.8795000000000002</v>
    <v>4.8734999999999999</v>
    <v>4.8715000000000002</v>
    <v>4.8819999999999997</v>
    <v>4.8795000000000002</v>
    <v>4.8734999999999999</v>
    <v>4.8780000000000001</v>
    <v>4.8635000000000002</v>
    <v>4.8404999999999996</v>
    <v>4.8440000000000003</v>
    <v>4.8410000000000002</v>
    <v>4.8310000000000004</v>
    <v>4.8395000000000001</v>
    <v>4.8479999999999999</v>
    <v>4.8324999999999996</v>
    <v>4.8460000000000001</v>
    <v>4.8410000000000002</v>
    <v>4.8235000000000001</v>
    <v>4.8164999999999996</v>
    <v>4.8025000000000002</v>
    <v>4.7960000000000003</v>
    <v>4.7859999999999996</v>
    <v>4.7965</v>
    <v>4.7954999999999997</v>
    <v>4.7954999999999997</v>
    <v>4.7930000000000001</v>
    <v>4.8049999999999997</v>
    <v>4.7960000000000003</v>
    <v>4.8</v>
    <v>4.8064999999999998</v>
    <v>4.8090000000000002</v>
    <v>4.8209999999999997</v>
    <v>4.8120000000000003</v>
    <v>4.8334999999999999</v>
    <v>4.8425000000000002</v>
    <v>4.8285</v>
    <v>4.835</v>
    <v>4.8390000000000004</v>
    <v>4.859</v>
    <v>4.8579999999999997</v>
  </a>
  <a r="1" c="208">
    <v>23.43</v>
    <v>23.74</v>
    <v>25.004999999999999</v>
    <v>24.684999999999999</v>
    <v>24.015000000000001</v>
    <v>24.684999999999999</v>
    <v>24.335000000000001</v>
    <v>24.72</v>
    <v>24.14</v>
    <v>24.37</v>
    <v>24.305</v>
    <v>23.155000000000001</v>
    <v>23.47</v>
    <v>24.234999999999999</v>
    <v>24.635000000000002</v>
    <v>24.64</v>
    <v>24.004999999999999</v>
    <v>24.43</v>
    <v>24.96</v>
    <v>23.524999999999999</v>
    <v>23.83</v>
    <v>24.105</v>
    <v>23.475000000000001</v>
    <v>24.324999999999999</v>
    <v>24.57</v>
    <v>24.87</v>
    <v>27.32</v>
    <v>28.065000000000001</v>
    <v>28.88</v>
    <v>28.12</v>
    <v>28.44</v>
    <v>27.86</v>
    <v>27.715</v>
    <v>28.785</v>
    <v>28.29</v>
    <v>28.55</v>
    <v>28.49</v>
    <v>28.805</v>
    <v>28.87</v>
    <v>28.85</v>
    <v>28.405000000000001</v>
    <v>28.17</v>
    <v>27.114999999999998</v>
    <v>27.754999999999999</v>
    <v>28.585000000000001</v>
    <v>27.14</v>
    <v>27.67</v>
    <v>29.225000000000001</v>
    <v>29.135000000000002</v>
    <v>28.95</v>
    <v>28.605</v>
    <v>29.364999999999998</v>
    <v>29.234999999999999</v>
    <v>29.105</v>
    <v>27.79</v>
    <v>26.815000000000001</v>
    <v>27.004999999999999</v>
    <v>27.524999999999999</v>
    <v>28.76</v>
    <v>29.285</v>
    <v>28.48</v>
    <v>27.91</v>
    <v>28.6</v>
    <v>29.925000000000001</v>
    <v>29.08</v>
    <v>30.305</v>
    <v>32.225000000000001</v>
    <v>32.75</v>
    <v>33.884999999999998</v>
    <v>33.83</v>
    <v>34.79</v>
    <v>34.42</v>
    <v>34.96</v>
    <v>37.25</v>
    <v>37.29</v>
    <v>37.615000000000002</v>
    <v>37.53</v>
    <v>42.82</v>
    <v>43.38</v>
    <v>42.365000000000002</v>
    <v>42.195</v>
    <v>44.71</v>
    <v>45.994999999999997</v>
    <v>46.97</v>
    <v>48.78</v>
    <v>48.515000000000001</v>
    <v>48.204999999999998</v>
    <v>49.02</v>
    <v>50.31</v>
    <v>47.65</v>
    <v>52.35</v>
    <v>55.18</v>
    <v>52.85</v>
    <v>52.41</v>
    <v>52.15</v>
    <v>55.28</v>
    <v>55.09</v>
    <v>57.94</v>
    <v>58.02</v>
    <v>59.85</v>
    <v>58</v>
    <v>59.79</v>
    <v>58.95</v>
    <v>59.3</v>
    <v>68.260000000000005</v>
    <v>68.510000000000005</v>
    <v>66.73</v>
    <v>62.81</v>
    <v>65.349999999999994</v>
    <v>61.47</v>
    <v>61.33</v>
    <v>64.83</v>
    <v>67.760000000000005</v>
    <v>68.459999999999994</v>
    <v>65.69</v>
    <v>65.180000000000007</v>
    <v>67.91</v>
    <v>68.03</v>
    <v>69.349999999999994</v>
    <v>63.5</v>
    <v>63.31</v>
    <v>65.05</v>
    <v>62.6</v>
    <v>63.59</v>
    <v>64.52</v>
    <v>62.37</v>
    <v>61.84</v>
    <v>62.77</v>
    <v>63.47</v>
    <v>58.36</v>
    <v>58.47</v>
    <v>62.65</v>
    <v>62.02</v>
    <v>61.55</v>
    <v>61.33</v>
    <v>58.88</v>
    <v>56.03</v>
    <v>53.79</v>
    <v>54.89</v>
    <v>57.27</v>
    <v>58.25</v>
    <v>47.94</v>
    <v>46.784999999999997</v>
    <v>45.895000000000003</v>
    <v>44.494999999999997</v>
    <v>42.914999999999999</v>
    <v>45.64</v>
    <v>45.68</v>
    <v>45.29</v>
    <v>46.92</v>
    <v>46.174999999999997</v>
    <v>46.765000000000001</v>
    <v>48.234999999999999</v>
    <v>47.774999999999999</v>
    <v>47.774999999999999</v>
    <v>48.05</v>
    <v>47.615000000000002</v>
    <v>46.69</v>
    <v>49.04</v>
    <v>45.33</v>
    <v>43.96</v>
    <v>43.01</v>
    <v>43.094999999999999</v>
    <v>42.25</v>
    <v>42.575000000000003</v>
    <v>42.34</v>
    <v>43.575000000000003</v>
    <v>43.34</v>
    <v>43.03</v>
    <v>42.29</v>
    <v>43.7</v>
    <v>44</v>
    <v>44.814999999999998</v>
    <v>46.61</v>
    <v>45.02</v>
    <v>44.52</v>
    <v>43.63</v>
    <v>44.67</v>
    <v>41.765000000000001</v>
    <v>41.78</v>
    <v>42.625</v>
    <v>42.454999999999998</v>
    <v>43.43</v>
    <v>44.66</v>
    <v>46.61</v>
    <v>46.15</v>
    <v>44.89</v>
    <v>45.125</v>
    <v>45.85</v>
    <v>47.02</v>
    <v>46.86</v>
    <v>47.2</v>
    <v>50.35</v>
    <v>50.86</v>
    <v>51.99</v>
    <v>49.875</v>
    <v>48.005000000000003</v>
    <v>46.555</v>
    <v>45.575000000000003</v>
    <v>43.82</v>
    <v>43.045000000000002</v>
    <v>41.4</v>
    <v>41.155000000000001</v>
    <v>41.2</v>
    <v>40.984999999999999</v>
    <v>42.03</v>
    <v>39.935000000000002</v>
    <v>39.450000000000003</v>
  </a>
  <a r="1" c="254">
    <v>21.9</v>
    <v>21.555</v>
    <v>21.77</v>
    <v>21.85</v>
    <v>21.484999999999999</v>
    <v>21.385000000000002</v>
    <v>21.335000000000001</v>
    <v>21.315000000000001</v>
    <v>20.78</v>
    <v>20.684999999999999</v>
    <v>20.524999999999999</v>
    <v>20.149999999999999</v>
    <v>20.385000000000002</v>
    <v>20.64</v>
    <v>20.675000000000001</v>
    <v>20.64</v>
    <v>20.335000000000001</v>
    <v>19.768000000000001</v>
    <v>19.268000000000001</v>
    <v>19.347999999999999</v>
    <v>18.940000000000001</v>
    <v>18.803999999999998</v>
    <v>19.141999999999999</v>
    <v>19.335999999999999</v>
    <v>19.596</v>
    <v>19.559999999999999</v>
    <v>19.788</v>
    <v>19.940000000000001</v>
    <v>20.18</v>
    <v>21.32</v>
    <v>22.065000000000001</v>
    <v>22.41</v>
    <v>22.23</v>
    <v>22.265000000000001</v>
    <v>22.254999999999999</v>
    <v>21.995000000000001</v>
    <v>22.36</v>
    <v>22.465</v>
    <v>22.05</v>
    <v>21.8</v>
    <v>21.925000000000001</v>
    <v>22.155000000000001</v>
    <v>22.12</v>
    <v>22.094999999999999</v>
    <v>22.145</v>
    <v>22.475000000000001</v>
    <v>23.43</v>
    <v>23.74</v>
    <v>25.004999999999999</v>
    <v>24.684999999999999</v>
    <v>24.015000000000001</v>
    <v>24.684999999999999</v>
    <v>24.335000000000001</v>
    <v>24.72</v>
    <v>24.14</v>
    <v>24.37</v>
    <v>24.305</v>
    <v>23.155000000000001</v>
    <v>23.47</v>
    <v>24.234999999999999</v>
    <v>24.635000000000002</v>
    <v>24.64</v>
    <v>24.004999999999999</v>
    <v>24.43</v>
    <v>24.96</v>
    <v>23.524999999999999</v>
    <v>23.83</v>
    <v>24.105</v>
    <v>23.475000000000001</v>
    <v>24.324999999999999</v>
    <v>24.57</v>
    <v>24.87</v>
    <v>27.32</v>
    <v>28.065000000000001</v>
    <v>28.88</v>
    <v>28.12</v>
    <v>28.44</v>
    <v>27.86</v>
    <v>27.715</v>
    <v>28.785</v>
    <v>28.29</v>
    <v>28.55</v>
    <v>28.49</v>
    <v>28.805</v>
    <v>28.87</v>
    <v>28.85</v>
    <v>28.405000000000001</v>
    <v>28.17</v>
    <v>27.114999999999998</v>
    <v>27.754999999999999</v>
    <v>28.585000000000001</v>
    <v>27.14</v>
    <v>27.67</v>
    <v>29.225000000000001</v>
    <v>29.135000000000002</v>
    <v>28.95</v>
    <v>28.605</v>
    <v>29.364999999999998</v>
    <v>29.234999999999999</v>
    <v>29.105</v>
    <v>27.79</v>
    <v>26.815000000000001</v>
    <v>27.004999999999999</v>
    <v>27.524999999999999</v>
    <v>28.76</v>
    <v>29.285</v>
    <v>28.48</v>
    <v>27.91</v>
    <v>28.6</v>
    <v>29.925000000000001</v>
    <v>29.08</v>
    <v>30.305</v>
    <v>32.225000000000001</v>
    <v>32.75</v>
    <v>33.884999999999998</v>
    <v>33.83</v>
    <v>34.79</v>
    <v>34.42</v>
    <v>34.96</v>
    <v>37.25</v>
    <v>37.29</v>
    <v>37.615000000000002</v>
    <v>37.53</v>
    <v>42.82</v>
    <v>43.38</v>
    <v>42.365000000000002</v>
    <v>42.195</v>
    <v>44.71</v>
    <v>45.994999999999997</v>
    <v>46.97</v>
    <v>48.78</v>
    <v>48.515000000000001</v>
    <v>48.204999999999998</v>
    <v>49.02</v>
    <v>50.31</v>
    <v>47.65</v>
    <v>52.35</v>
    <v>55.18</v>
    <v>52.85</v>
    <v>52.41</v>
    <v>52.15</v>
    <v>55.28</v>
    <v>55.09</v>
    <v>57.94</v>
    <v>58.02</v>
    <v>59.85</v>
    <v>58</v>
    <v>59.79</v>
    <v>58.95</v>
    <v>59.3</v>
    <v>68.260000000000005</v>
    <v>68.510000000000005</v>
    <v>66.73</v>
    <v>62.81</v>
    <v>65.349999999999994</v>
    <v>61.47</v>
    <v>61.33</v>
    <v>64.83</v>
    <v>67.760000000000005</v>
    <v>68.459999999999994</v>
    <v>65.69</v>
    <v>65.180000000000007</v>
    <v>67.91</v>
    <v>68.03</v>
    <v>69.349999999999994</v>
    <v>63.5</v>
    <v>63.31</v>
    <v>65.05</v>
    <v>62.6</v>
    <v>63.59</v>
    <v>64.52</v>
    <v>62.37</v>
    <v>61.84</v>
    <v>62.77</v>
    <v>63.47</v>
    <v>58.36</v>
    <v>58.47</v>
    <v>62.65</v>
    <v>62.02</v>
    <v>61.55</v>
    <v>61.33</v>
    <v>58.88</v>
    <v>56.03</v>
    <v>53.79</v>
    <v>54.89</v>
    <v>57.27</v>
    <v>58.25</v>
    <v>47.94</v>
    <v>46.784999999999997</v>
    <v>45.895000000000003</v>
    <v>44.494999999999997</v>
    <v>42.914999999999999</v>
    <v>45.64</v>
    <v>45.68</v>
    <v>45.29</v>
    <v>46.92</v>
    <v>46.174999999999997</v>
    <v>46.765000000000001</v>
    <v>48.234999999999999</v>
    <v>47.774999999999999</v>
    <v>47.774999999999999</v>
    <v>48.05</v>
    <v>47.615000000000002</v>
    <v>46.69</v>
    <v>49.04</v>
    <v>45.33</v>
    <v>43.96</v>
    <v>43.01</v>
    <v>43.094999999999999</v>
    <v>42.25</v>
    <v>42.575000000000003</v>
    <v>42.34</v>
    <v>43.575000000000003</v>
    <v>43.34</v>
    <v>43.03</v>
    <v>42.29</v>
    <v>43.7</v>
    <v>44</v>
    <v>44.814999999999998</v>
    <v>46.61</v>
    <v>45.02</v>
    <v>44.52</v>
    <v>43.63</v>
    <v>44.67</v>
    <v>41.765000000000001</v>
    <v>41.78</v>
    <v>42.625</v>
    <v>42.454999999999998</v>
    <v>43.43</v>
    <v>44.66</v>
    <v>46.61</v>
    <v>46.15</v>
    <v>44.89</v>
    <v>45.125</v>
    <v>45.85</v>
    <v>47.02</v>
    <v>46.86</v>
    <v>47.2</v>
    <v>50.35</v>
    <v>50.86</v>
    <v>51.99</v>
    <v>49.875</v>
    <v>48.005000000000003</v>
    <v>46.555</v>
    <v>45.575000000000003</v>
    <v>43.82</v>
    <v>43.045000000000002</v>
    <v>41.4</v>
    <v>41.155000000000001</v>
    <v>41.2</v>
    <v>40.984999999999999</v>
    <v>42.03</v>
    <v>39.935000000000002</v>
    <v>39.450000000000003</v>
  </a>
  <a r="1" c="761">
    <v>37.82</v>
    <v>37.435000000000002</v>
    <v>37.125</v>
    <v>38.97</v>
    <v>37.515000000000001</v>
    <v>35.255000000000003</v>
    <v>35.97</v>
    <v>36.145000000000003</v>
    <v>37.74</v>
    <v>38.435000000000002</v>
    <v>38.090000000000003</v>
    <v>38.31</v>
    <v>38.295000000000002</v>
    <v>38.564999999999998</v>
    <v>38.630000000000003</v>
    <v>38.674999999999997</v>
    <v>40.145000000000003</v>
    <v>42.3</v>
    <v>41.78</v>
    <v>41.91</v>
    <v>42.21</v>
    <v>41.405000000000001</v>
    <v>41.74</v>
    <v>41.594999999999999</v>
    <v>41.805</v>
    <v>41.61</v>
    <v>41.82</v>
    <v>43.05</v>
    <v>43.45</v>
    <v>43.74</v>
    <v>43.38</v>
    <v>44.06</v>
    <v>44.57</v>
    <v>43.84</v>
    <v>44.395000000000003</v>
    <v>44.51</v>
    <v>44.534999999999997</v>
    <v>44.255000000000003</v>
    <v>45.59</v>
    <v>46.84</v>
    <v>45.49</v>
    <v>45.814999999999998</v>
    <v>45.854999999999997</v>
    <v>45.53</v>
    <v>45.53</v>
    <v>45.68</v>
    <v>45.49</v>
    <v>45.21</v>
    <v>44.57</v>
    <v>43.01</v>
    <v>41.35</v>
    <v>41.01</v>
    <v>41.27</v>
    <v>40.69</v>
    <v>40.299999999999997</v>
    <v>39.924999999999997</v>
    <v>39.72</v>
    <v>39.645000000000003</v>
    <v>39.840000000000003</v>
    <v>38.875</v>
    <v>40.31</v>
    <v>40.520000000000003</v>
    <v>41.564999999999998</v>
    <v>42.33</v>
    <v>42.615000000000002</v>
    <v>42.41</v>
    <v>41.28</v>
    <v>40.945</v>
    <v>41.1</v>
    <v>40.905000000000001</v>
    <v>40.494999999999997</v>
    <v>40.19</v>
    <v>41.204999999999998</v>
    <v>40.94</v>
    <v>40.424999999999997</v>
    <v>41.854999999999997</v>
    <v>42.7</v>
    <v>43.204999999999998</v>
    <v>41.65</v>
    <v>41.715000000000003</v>
    <v>42.16</v>
    <v>42.56</v>
    <v>41.725000000000001</v>
    <v>40.935000000000002</v>
    <v>40.98</v>
    <v>42.24</v>
    <v>41.53</v>
    <v>41.34</v>
    <v>43.055</v>
    <v>41.674999999999997</v>
    <v>41.74</v>
    <v>43.28</v>
    <v>42.91</v>
    <v>42.414999999999999</v>
    <v>42.914999999999999</v>
    <v>44.41</v>
    <v>43.45</v>
    <v>43.564999999999998</v>
    <v>44.32</v>
    <v>43.46</v>
    <v>42.884999999999998</v>
    <v>41.42</v>
    <v>41.234999999999999</v>
    <v>40.005000000000003</v>
    <v>39.93</v>
    <v>40.53</v>
    <v>39.97</v>
    <v>39.880000000000003</v>
    <v>39.854999999999997</v>
    <v>40.450000000000003</v>
    <v>39.935000000000002</v>
    <v>38.945</v>
    <v>39.314999999999998</v>
    <v>39.435000000000002</v>
    <v>38.520000000000003</v>
    <v>39.090000000000003</v>
    <v>39.594999999999999</v>
    <v>39.43</v>
    <v>39.42</v>
    <v>39.005000000000003</v>
    <v>38.814999999999998</v>
    <v>37.984999999999999</v>
    <v>38.034999999999997</v>
    <v>37.57</v>
    <v>36.71</v>
    <v>36.700000000000003</v>
    <v>37.26</v>
    <v>39.234999999999999</v>
    <v>39.619999999999997</v>
    <v>38.674999999999997</v>
    <v>38.155000000000001</v>
    <v>37.645000000000003</v>
    <v>36.265000000000001</v>
    <v>37.200000000000003</v>
    <v>37.24</v>
    <v>38.33</v>
    <v>37.475000000000001</v>
    <v>37.6</v>
    <v>37.664999999999999</v>
    <v>37.799999999999997</v>
    <v>38.42</v>
    <v>38.994999999999997</v>
    <v>38.844999999999999</v>
    <v>38.325000000000003</v>
    <v>38.71</v>
    <v>37.664999999999999</v>
    <v>38.835000000000001</v>
    <v>38.905000000000001</v>
    <v>38.65</v>
    <v>38.405000000000001</v>
    <v>38.515000000000001</v>
    <v>37.479999999999997</v>
    <v>37.774999999999999</v>
    <v>37.79</v>
    <v>38.325000000000003</v>
    <v>39.04</v>
    <v>40.229999999999997</v>
    <v>41.21</v>
    <v>41.414999999999999</v>
    <v>41.234999999999999</v>
    <v>40.405000000000001</v>
    <v>41.73</v>
    <v>40.72</v>
    <v>39.39</v>
    <v>39.76</v>
    <v>40.064999999999998</v>
    <v>38.195</v>
    <v>38.435000000000002</v>
    <v>38.015000000000001</v>
    <v>37.774999999999999</v>
    <v>37.229999999999997</v>
    <v>36.83</v>
    <v>36.305</v>
    <v>36.875</v>
    <v>36.225000000000001</v>
    <v>37.07</v>
    <v>37.875</v>
    <v>38.08</v>
    <v>38.924999999999997</v>
    <v>39.085000000000001</v>
    <v>38.204999999999998</v>
    <v>39.005000000000003</v>
    <v>38.82</v>
    <v>39.47</v>
    <v>38.924999999999997</v>
    <v>38.68</v>
    <v>38.465000000000003</v>
    <v>37.905000000000001</v>
    <v>36.774999999999999</v>
    <v>37.840000000000003</v>
    <v>37.145000000000003</v>
    <v>37.03</v>
    <v>31.94</v>
    <v>30.704999999999998</v>
    <v>31.04</v>
    <v>30.4</v>
    <v>30.6</v>
    <v>29.57</v>
    <v>27.864999999999998</v>
    <v>26.77</v>
    <v>26.6</v>
    <v>26.86</v>
    <v>26.765000000000001</v>
    <v>26.704999999999998</v>
    <v>26.83</v>
    <v>26.93</v>
    <v>26.89</v>
    <v>27.795000000000002</v>
    <v>27.93</v>
    <v>27.8</v>
    <v>28.105</v>
    <v>27.92</v>
    <v>28.145</v>
    <v>27.91</v>
    <v>28.01</v>
    <v>27.76</v>
    <v>28.585000000000001</v>
    <v>28.76</v>
    <v>28.664999999999999</v>
    <v>27.35</v>
    <v>27</v>
    <v>26.645</v>
    <v>25.824999999999999</v>
    <v>26.1</v>
    <v>25.18</v>
    <v>25.184999999999999</v>
    <v>25.274999999999999</v>
    <v>25.76</v>
    <v>24.895</v>
    <v>25.574999999999999</v>
    <v>25.26</v>
    <v>26.15</v>
    <v>24.864999999999998</v>
    <v>24.85</v>
    <v>25.29</v>
    <v>25.195</v>
    <v>25.92</v>
    <v>27.465</v>
    <v>26.64</v>
    <v>26</v>
    <v>26.3</v>
    <v>25.7</v>
    <v>25.765000000000001</v>
    <v>25.79</v>
    <v>25.32</v>
    <v>25.745000000000001</v>
    <v>25.614999999999998</v>
    <v>25.565000000000001</v>
    <v>25.83</v>
    <v>25.01</v>
    <v>25.11</v>
    <v>25.425000000000001</v>
    <v>25.614999999999998</v>
    <v>25.114999999999998</v>
    <v>25.565000000000001</v>
    <v>26.03</v>
    <v>26.035</v>
    <v>26.18</v>
    <v>26.29</v>
    <v>26.71</v>
    <v>25.754999999999999</v>
    <v>25.03</v>
    <v>24.86</v>
    <v>24.1</v>
    <v>24.475000000000001</v>
    <v>24.69</v>
    <v>25.024999999999999</v>
    <v>24.64</v>
    <v>25.28</v>
    <v>25.555</v>
    <v>24.434999999999999</v>
    <v>25.14</v>
    <v>24.164999999999999</v>
    <v>23.66</v>
    <v>23.225000000000001</v>
    <v>22.954999999999998</v>
    <v>23.09</v>
    <v>23.41</v>
    <v>24.475000000000001</v>
    <v>24.44</v>
    <v>23.87</v>
    <v>23.77</v>
    <v>24.28</v>
    <v>24.62</v>
    <v>24.41</v>
    <v>24.73</v>
    <v>24.895</v>
    <v>25.094999999999999</v>
    <v>25.335000000000001</v>
    <v>25.015000000000001</v>
    <v>24.99</v>
    <v>25.06</v>
    <v>24.864999999999998</v>
    <v>24.39</v>
    <v>24.495000000000001</v>
    <v>25.114999999999998</v>
    <v>23.54</v>
    <v>23.675000000000001</v>
    <v>23.87</v>
    <v>24.4</v>
    <v>24.01</v>
    <v>23.805</v>
    <v>23.49</v>
    <v>25.344999999999999</v>
    <v>25.82</v>
    <v>24.69</v>
    <v>24.475000000000001</v>
    <v>24.04</v>
    <v>23.414999999999999</v>
    <v>23.504999999999999</v>
    <v>24.06</v>
    <v>24.17</v>
    <v>24.66</v>
    <v>24.754999999999999</v>
    <v>24.68</v>
    <v>24.54</v>
    <v>24.565000000000001</v>
    <v>24.29</v>
    <v>24.37</v>
    <v>23.59</v>
    <v>23.77</v>
    <v>21.215</v>
    <v>21.824999999999999</v>
    <v>21.16</v>
    <v>21.64</v>
    <v>21.2</v>
    <v>21.605</v>
    <v>21.74</v>
    <v>21.765000000000001</v>
    <v>22.19</v>
    <v>22.315000000000001</v>
    <v>22.954999999999998</v>
    <v>23.33</v>
    <v>23.245000000000001</v>
    <v>23.12</v>
    <v>24.95</v>
    <v>26.37</v>
    <v>26.74</v>
    <v>26.42</v>
    <v>25.815000000000001</v>
    <v>25.164999999999999</v>
    <v>24.155000000000001</v>
    <v>23.72</v>
    <v>23.78</v>
    <v>21.79</v>
    <v>22.995000000000001</v>
    <v>24.035</v>
    <v>23.72</v>
    <v>23.335000000000001</v>
    <v>22.684999999999999</v>
    <v>22.725000000000001</v>
    <v>22.125</v>
    <v>22.61</v>
    <v>22.92</v>
    <v>23.48</v>
    <v>23.524999999999999</v>
    <v>22.645</v>
    <v>22.11</v>
    <v>22.445</v>
    <v>22.45</v>
    <v>21.54</v>
    <v>21.29</v>
    <v>20.5</v>
    <v>19.994</v>
    <v>20.135000000000002</v>
    <v>19.905999999999999</v>
    <v>18.25</v>
    <v>17.013999999999999</v>
    <v>16.872</v>
    <v>17.260000000000002</v>
    <v>16.678000000000001</v>
    <v>16.911999999999999</v>
    <v>17.571999999999999</v>
    <v>17.975999999999999</v>
    <v>18.303999999999998</v>
    <v>18.052</v>
    <v>17.943999999999999</v>
    <v>18.14</v>
    <v>19.234000000000002</v>
    <v>20.25</v>
    <v>20.420000000000002</v>
    <v>20.14</v>
    <v>20.145</v>
    <v>19.815999999999999</v>
    <v>20.65</v>
    <v>20.425000000000001</v>
    <v>20.03</v>
    <v>20.149999999999999</v>
    <v>20.535</v>
    <v>21.22</v>
    <v>22.655000000000001</v>
    <v>23.3</v>
    <v>23.274999999999999</v>
    <v>23.17</v>
    <v>23.065000000000001</v>
    <v>22.805</v>
    <v>22.975000000000001</v>
    <v>22.925000000000001</v>
    <v>22.465</v>
    <v>21.524999999999999</v>
    <v>22.12</v>
    <v>22.465</v>
    <v>22.355</v>
    <v>22.54</v>
    <v>22.105</v>
    <v>21.684999999999999</v>
    <v>22.43</v>
    <v>24.93</v>
    <v>25.184999999999999</v>
    <v>25.05</v>
    <v>25.77</v>
    <v>26.17</v>
    <v>26.48</v>
    <v>25.835000000000001</v>
    <v>25.58</v>
    <v>25.6</v>
    <v>25.285</v>
    <v>25.375</v>
    <v>24.925000000000001</v>
    <v>24.88</v>
    <v>25</v>
    <v>25.76</v>
    <v>25.27</v>
    <v>25.82</v>
    <v>25.75</v>
    <v>25.945</v>
    <v>25.48</v>
    <v>26.835000000000001</v>
    <v>27.445</v>
    <v>27.184999999999999</v>
    <v>27.265000000000001</v>
    <v>27.73</v>
    <v>27.1</v>
    <v>28.274999999999999</v>
    <v>27.66</v>
    <v>27.25</v>
    <v>27.43</v>
    <v>26.864999999999998</v>
    <v>27.664999999999999</v>
    <v>27.975000000000001</v>
    <v>28.4</v>
    <v>28.195</v>
    <v>26.97</v>
    <v>22.484999999999999</v>
    <v>22.254999999999999</v>
    <v>22.85</v>
    <v>22.934999999999999</v>
    <v>22.965</v>
    <v>22.45</v>
    <v>21.7</v>
    <v>21.774999999999999</v>
    <v>21.614999999999998</v>
    <v>21.31</v>
    <v>21.37</v>
    <v>21.774999999999999</v>
    <v>21.524999999999999</v>
    <v>22.425000000000001</v>
    <v>22.2</v>
    <v>22.114999999999998</v>
    <v>22.23</v>
    <v>22.324999999999999</v>
    <v>22.145</v>
    <v>22.38</v>
    <v>23.425000000000001</v>
    <v>23.52</v>
    <v>23.36</v>
    <v>23.234999999999999</v>
    <v>23.774999999999999</v>
    <v>23.245000000000001</v>
    <v>23.065000000000001</v>
    <v>22.16</v>
    <v>21.79</v>
    <v>21.97</v>
    <v>22.81</v>
    <v>22.655000000000001</v>
    <v>22.27</v>
    <v>22.184999999999999</v>
    <v>22.265000000000001</v>
    <v>22.19</v>
    <v>23.074999999999999</v>
    <v>22.84</v>
    <v>23.105</v>
    <v>24.2</v>
    <v>23.515000000000001</v>
    <v>23.965</v>
    <v>24.61</v>
    <v>24.704999999999998</v>
    <v>24.31</v>
    <v>23.82</v>
    <v>23.975000000000001</v>
    <v>23.844999999999999</v>
    <v>24.1</v>
    <v>24.63</v>
    <v>24.824999999999999</v>
    <v>24.87</v>
    <v>24.41</v>
    <v>24.7</v>
    <v>24.684999999999999</v>
    <v>23.965</v>
    <v>24.74</v>
    <v>24.425000000000001</v>
    <v>24.74</v>
    <v>25.285</v>
    <v>24.824999999999999</v>
    <v>25.97</v>
    <v>26.57</v>
    <v>25.5</v>
    <v>21.9</v>
    <v>21.555</v>
    <v>21.77</v>
    <v>21.85</v>
    <v>21.484999999999999</v>
    <v>21.385000000000002</v>
    <v>21.335000000000001</v>
    <v>21.315000000000001</v>
    <v>20.78</v>
    <v>20.684999999999999</v>
    <v>20.524999999999999</v>
    <v>20.149999999999999</v>
    <v>20.385000000000002</v>
    <v>20.64</v>
    <v>20.675000000000001</v>
    <v>20.64</v>
    <v>20.335000000000001</v>
    <v>19.768000000000001</v>
    <v>19.268000000000001</v>
    <v>19.347999999999999</v>
    <v>18.940000000000001</v>
    <v>18.803999999999998</v>
    <v>19.141999999999999</v>
    <v>19.335999999999999</v>
    <v>19.596</v>
    <v>19.559999999999999</v>
    <v>19.788</v>
    <v>19.940000000000001</v>
    <v>20.18</v>
    <v>21.32</v>
    <v>22.065000000000001</v>
    <v>22.41</v>
    <v>22.23</v>
    <v>22.265000000000001</v>
    <v>22.254999999999999</v>
    <v>21.995000000000001</v>
    <v>22.36</v>
    <v>22.465</v>
    <v>22.05</v>
    <v>21.8</v>
    <v>21.925000000000001</v>
    <v>22.155000000000001</v>
    <v>22.12</v>
    <v>22.094999999999999</v>
    <v>22.145</v>
    <v>22.475000000000001</v>
    <v>23.43</v>
    <v>23.74</v>
    <v>25.004999999999999</v>
    <v>24.684999999999999</v>
    <v>24.015000000000001</v>
    <v>24.684999999999999</v>
    <v>24.335000000000001</v>
    <v>24.72</v>
    <v>24.14</v>
    <v>24.37</v>
    <v>24.305</v>
    <v>23.155000000000001</v>
    <v>23.47</v>
    <v>24.234999999999999</v>
    <v>24.635000000000002</v>
    <v>24.64</v>
    <v>24.004999999999999</v>
    <v>24.43</v>
    <v>24.96</v>
    <v>23.524999999999999</v>
    <v>23.83</v>
    <v>24.105</v>
    <v>23.475000000000001</v>
    <v>24.324999999999999</v>
    <v>24.57</v>
    <v>24.87</v>
    <v>27.32</v>
    <v>28.065000000000001</v>
    <v>28.88</v>
    <v>28.12</v>
    <v>28.44</v>
    <v>27.86</v>
    <v>27.715</v>
    <v>28.785</v>
    <v>28.29</v>
    <v>28.55</v>
    <v>28.49</v>
    <v>28.805</v>
    <v>28.87</v>
    <v>28.85</v>
    <v>28.405000000000001</v>
    <v>28.17</v>
    <v>27.114999999999998</v>
    <v>27.754999999999999</v>
    <v>28.585000000000001</v>
    <v>27.14</v>
    <v>27.67</v>
    <v>29.225000000000001</v>
    <v>29.135000000000002</v>
    <v>28.95</v>
    <v>28.605</v>
    <v>29.364999999999998</v>
    <v>29.234999999999999</v>
    <v>29.105</v>
    <v>27.79</v>
    <v>26.815000000000001</v>
    <v>27.004999999999999</v>
    <v>27.524999999999999</v>
    <v>28.76</v>
    <v>29.285</v>
    <v>28.48</v>
    <v>27.91</v>
    <v>28.6</v>
    <v>29.925000000000001</v>
    <v>29.08</v>
    <v>30.305</v>
    <v>32.225000000000001</v>
    <v>32.75</v>
    <v>33.884999999999998</v>
    <v>33.83</v>
    <v>34.79</v>
    <v>34.42</v>
    <v>34.96</v>
    <v>37.25</v>
    <v>37.29</v>
    <v>37.615000000000002</v>
    <v>37.53</v>
    <v>42.82</v>
    <v>43.38</v>
    <v>42.365000000000002</v>
    <v>42.195</v>
    <v>44.71</v>
    <v>45.994999999999997</v>
    <v>46.97</v>
    <v>48.78</v>
    <v>48.515000000000001</v>
    <v>48.204999999999998</v>
    <v>49.02</v>
    <v>50.31</v>
    <v>47.65</v>
    <v>52.35</v>
    <v>55.18</v>
    <v>52.85</v>
    <v>52.41</v>
    <v>52.15</v>
    <v>55.28</v>
    <v>55.09</v>
    <v>57.94</v>
    <v>58.02</v>
    <v>59.85</v>
    <v>58</v>
    <v>59.79</v>
    <v>58.95</v>
    <v>59.3</v>
    <v>68.260000000000005</v>
    <v>68.510000000000005</v>
    <v>66.73</v>
    <v>62.81</v>
    <v>65.349999999999994</v>
    <v>61.47</v>
    <v>61.33</v>
    <v>64.83</v>
    <v>67.760000000000005</v>
    <v>68.459999999999994</v>
    <v>65.69</v>
    <v>65.180000000000007</v>
    <v>67.91</v>
    <v>68.03</v>
    <v>69.349999999999994</v>
    <v>63.5</v>
    <v>63.31</v>
    <v>65.05</v>
    <v>62.6</v>
    <v>63.59</v>
    <v>64.52</v>
    <v>62.37</v>
    <v>61.84</v>
    <v>62.77</v>
    <v>63.47</v>
    <v>58.36</v>
    <v>58.47</v>
    <v>62.65</v>
    <v>62.02</v>
    <v>61.55</v>
    <v>61.33</v>
    <v>58.88</v>
    <v>56.03</v>
    <v>53.79</v>
    <v>54.89</v>
    <v>57.27</v>
    <v>58.25</v>
    <v>47.94</v>
    <v>46.784999999999997</v>
    <v>45.895000000000003</v>
    <v>44.494999999999997</v>
    <v>42.914999999999999</v>
    <v>45.64</v>
    <v>45.68</v>
    <v>45.29</v>
    <v>46.92</v>
    <v>46.174999999999997</v>
    <v>46.765000000000001</v>
    <v>48.234999999999999</v>
    <v>47.774999999999999</v>
    <v>47.774999999999999</v>
    <v>48.05</v>
    <v>47.615000000000002</v>
    <v>46.69</v>
    <v>49.04</v>
    <v>45.33</v>
    <v>43.96</v>
    <v>43.01</v>
    <v>43.094999999999999</v>
    <v>42.25</v>
    <v>42.575000000000003</v>
    <v>42.34</v>
    <v>43.575000000000003</v>
    <v>43.34</v>
    <v>43.03</v>
    <v>42.29</v>
    <v>43.7</v>
    <v>44</v>
    <v>44.814999999999998</v>
    <v>46.61</v>
    <v>45.02</v>
    <v>44.52</v>
    <v>43.63</v>
    <v>44.67</v>
    <v>41.765000000000001</v>
    <v>41.78</v>
    <v>42.625</v>
    <v>42.454999999999998</v>
    <v>43.43</v>
    <v>44.66</v>
    <v>46.61</v>
    <v>46.15</v>
    <v>44.89</v>
    <v>45.125</v>
    <v>45.85</v>
    <v>47.02</v>
    <v>46.86</v>
    <v>47.2</v>
    <v>50.35</v>
    <v>50.86</v>
    <v>51.99</v>
    <v>49.875</v>
    <v>48.005000000000003</v>
    <v>46.555</v>
    <v>45.575000000000003</v>
    <v>43.82</v>
    <v>43.045000000000002</v>
    <v>41.4</v>
    <v>41.155000000000001</v>
    <v>41.2</v>
    <v>40.984999999999999</v>
    <v>42.03</v>
    <v>39.935000000000002</v>
    <v>39.450000000000003</v>
  </a>
  <a r="1" c="208">
    <v>15.202</v>
    <v>15.64</v>
    <v>16.152000000000001</v>
    <v>15.747999999999999</v>
    <v>15.561999999999999</v>
    <v>15.882</v>
    <v>16.09</v>
    <v>16.084</v>
    <v>16.321999999999999</v>
    <v>16.29</v>
    <v>15.848000000000001</v>
    <v>15.992000000000001</v>
    <v>15.602</v>
    <v>15.657999999999999</v>
    <v>15.634</v>
    <v>15.965999999999999</v>
    <v>15.926</v>
    <v>15.672000000000001</v>
    <v>15.858000000000001</v>
    <v>16.091999999999999</v>
    <v>15.756</v>
    <v>15.426</v>
    <v>15.85</v>
    <v>15.59</v>
    <v>15.417999999999999</v>
    <v>15.513999999999999</v>
    <v>15.616</v>
    <v>15.561999999999999</v>
    <v>15.706</v>
    <v>15.432</v>
    <v>15.364000000000001</v>
    <v>15.326000000000001</v>
    <v>15.182</v>
    <v>15.513999999999999</v>
    <v>15.49</v>
    <v>15.608000000000001</v>
    <v>15.526</v>
    <v>15.766</v>
    <v>15.954000000000001</v>
    <v>15.928000000000001</v>
    <v>15.83</v>
    <v>15.894</v>
    <v>15.95</v>
    <v>16.122</v>
    <v>15.99</v>
    <v>16.212</v>
    <v>16.178000000000001</v>
    <v>16.263999999999999</v>
    <v>16.38</v>
    <v>16.510000000000002</v>
    <v>16.324000000000002</v>
    <v>16.294</v>
    <v>16.114000000000001</v>
    <v>15.88</v>
    <v>15.438000000000001</v>
    <v>15.276</v>
    <v>15.316000000000001</v>
    <v>15.382</v>
    <v>15.56</v>
    <v>15.561999999999999</v>
    <v>15.651999999999999</v>
    <v>15.98</v>
    <v>16.036000000000001</v>
    <v>16.134</v>
    <v>16.059999999999999</v>
    <v>16.045999999999999</v>
    <v>16.053999999999998</v>
    <v>16.010000000000002</v>
    <v>16.216000000000001</v>
    <v>16.5</v>
    <v>16.55</v>
    <v>16.614000000000001</v>
    <v>16.744</v>
    <v>16.654</v>
    <v>16.61</v>
    <v>16.648</v>
    <v>16.928000000000001</v>
    <v>16.925999999999998</v>
    <v>16.91</v>
    <v>16.77</v>
    <v>16.673999999999999</v>
    <v>16.532</v>
    <v>16.533999999999999</v>
    <v>16.54</v>
    <v>16.806000000000001</v>
    <v>16.803999999999998</v>
    <v>16.809999999999999</v>
    <v>16.864000000000001</v>
    <v>17.238</v>
    <v>17.361999999999998</v>
    <v>17.678000000000001</v>
    <v>17.667999999999999</v>
    <v>17.167999999999999</v>
    <v>17.173999999999999</v>
    <v>17.181999999999999</v>
    <v>17.396000000000001</v>
    <v>17.388000000000002</v>
    <v>17.504000000000001</v>
    <v>17.888000000000002</v>
    <v>17.53</v>
    <v>17.388000000000002</v>
    <v>17.507999999999999</v>
    <v>17.494</v>
    <v>17.844000000000001</v>
    <v>18.068000000000001</v>
    <v>17.821999999999999</v>
    <v>17.678000000000001</v>
    <v>17.382000000000001</v>
    <v>17.45</v>
    <v>17.314</v>
    <v>17.012</v>
    <v>17.088000000000001</v>
    <v>17.327999999999999</v>
    <v>17.170000000000002</v>
    <v>17.212</v>
    <v>17.248000000000001</v>
    <v>17.318000000000001</v>
    <v>17.16</v>
    <v>17.263999999999999</v>
    <v>16.774000000000001</v>
    <v>16.388000000000002</v>
    <v>16.488</v>
    <v>16.547999999999998</v>
    <v>16.334</v>
    <v>16.494</v>
    <v>16.411999999999999</v>
    <v>16.315999999999999</v>
    <v>16.41</v>
    <v>16.542000000000002</v>
    <v>16.52</v>
    <v>16.358000000000001</v>
    <v>16.724</v>
    <v>16.686</v>
    <v>16.78</v>
    <v>16.8</v>
    <v>16.71</v>
    <v>16.846</v>
    <v>16.64</v>
    <v>16.731999999999999</v>
    <v>17.02</v>
    <v>17.084</v>
    <v>16.940000000000001</v>
    <v>16.931999999999999</v>
    <v>16.994</v>
    <v>16.84</v>
    <v>16.885999999999999</v>
    <v>16.925999999999998</v>
    <v>16.97</v>
    <v>16.986000000000001</v>
    <v>17.181999999999999</v>
    <v>17.239999999999998</v>
    <v>17.306000000000001</v>
    <v>17.143999999999998</v>
    <v>17.271999999999998</v>
    <v>17.314</v>
    <v>17.292000000000002</v>
    <v>17.164000000000001</v>
    <v>17.053999999999998</v>
    <v>17.132000000000001</v>
    <v>16.888000000000002</v>
    <v>16.827999999999999</v>
    <v>16.78</v>
    <v>16.995999999999999</v>
    <v>17.064</v>
    <v>17.167999999999999</v>
    <v>17.097999999999999</v>
    <v>17.065999999999999</v>
    <v>17.161999999999999</v>
    <v>17.181999999999999</v>
    <v>17.138000000000002</v>
    <v>17.14</v>
    <v>17.21</v>
    <v>17.248000000000001</v>
    <v>17.29</v>
    <v>17.495999999999999</v>
    <v>17.544</v>
    <v>17.026</v>
    <v>16.989999999999998</v>
    <v>16.788</v>
    <v>16.818000000000001</v>
    <v>16.975999999999999</v>
    <v>17.350000000000001</v>
    <v>17.391999999999999</v>
    <v>17.492000000000001</v>
    <v>17.622</v>
    <v>17.600000000000001</v>
    <v>17.666</v>
    <v>17.591999999999999</v>
    <v>17.41</v>
    <v>17.364000000000001</v>
    <v>17.251999999999999</v>
    <v>17.123999999999999</v>
    <v>17.052</v>
    <v>17.335999999999999</v>
    <v>17.245999999999999</v>
    <v>17.358000000000001</v>
    <v>17.132000000000001</v>
    <v>17.321999999999999</v>
    <v>17.41</v>
    <v>17.309999999999999</v>
    <v>17.283999999999999</v>
    <v>16.956</v>
    <v>16.978000000000002</v>
    <v>17.04</v>
    <v>17.065999999999999</v>
    <v>17.22</v>
    <v>16.948</v>
    <v>17.149999999999999</v>
  </a>
  <a r="1" c="761">
    <v>12.811999999999999</v>
    <v>12.988</v>
    <v>13.044</v>
    <v>12.988</v>
    <v>13.096</v>
    <v>13.141999999999999</v>
    <v>13.11</v>
    <v>13.172000000000001</v>
    <v>13.07</v>
    <v>13.066000000000001</v>
    <v>13.208</v>
    <v>13.141999999999999</v>
    <v>13.164</v>
    <v>13.096</v>
    <v>12.923999999999999</v>
    <v>12.978</v>
    <v>12.946</v>
    <v>13.02</v>
    <v>12.86</v>
    <v>12.821999999999999</v>
    <v>12.922000000000001</v>
    <v>12.946</v>
    <v>12.8</v>
    <v>12.852</v>
    <v>12.773999999999999</v>
    <v>12.683999999999999</v>
    <v>12.75</v>
    <v>12.734</v>
    <v>12.724</v>
    <v>12.97</v>
    <v>12.778</v>
    <v>12.628</v>
    <v>12.608000000000001</v>
    <v>12.561999999999999</v>
    <v>12.706</v>
    <v>12.624000000000001</v>
    <v>12.596</v>
    <v>12.602</v>
    <v>12.73</v>
    <v>12.944000000000001</v>
    <v>12.922000000000001</v>
    <v>12.912000000000001</v>
    <v>12.896000000000001</v>
    <v>12.864000000000001</v>
    <v>12.974</v>
    <v>13.068</v>
    <v>13.08</v>
    <v>13.084</v>
    <v>13.071999999999999</v>
    <v>13.006</v>
    <v>12.763999999999999</v>
    <v>12.81</v>
    <v>12.678000000000001</v>
    <v>12.682</v>
    <v>12.614000000000001</v>
    <v>12.664</v>
    <v>12.598000000000001</v>
    <v>12.651999999999999</v>
    <v>12.692</v>
    <v>12.561999999999999</v>
    <v>12.545999999999999</v>
    <v>12.544</v>
    <v>12.536</v>
    <v>12.846</v>
    <v>12.956</v>
    <v>13.064</v>
    <v>13.074</v>
    <v>13.077999999999999</v>
    <v>13.086</v>
    <v>13.048</v>
    <v>12.882</v>
    <v>12.89</v>
    <v>12.77</v>
    <v>12.79</v>
    <v>12.692</v>
    <v>12.57</v>
    <v>12.46</v>
    <v>12.554</v>
    <v>12.654</v>
    <v>12.641999999999999</v>
    <v>12.702</v>
    <v>12.802</v>
    <v>12.756</v>
    <v>12.706</v>
    <v>12.884</v>
    <v>12.952</v>
    <v>12.91</v>
    <v>12.784000000000001</v>
    <v>12.856</v>
    <v>12.86</v>
    <v>13.012</v>
    <v>12.996</v>
    <v>12.992000000000001</v>
    <v>12.932</v>
    <v>12.984</v>
    <v>13.102</v>
    <v>13.026</v>
    <v>13.214</v>
    <v>13.256</v>
    <v>13.368</v>
    <v>13.31</v>
    <v>13.472</v>
    <v>13.43</v>
    <v>13.284000000000001</v>
    <v>13.268000000000001</v>
    <v>13.337999999999999</v>
    <v>13.284000000000001</v>
    <v>13.252000000000001</v>
    <v>13.128</v>
    <v>13.098000000000001</v>
    <v>13.228</v>
    <v>13.492000000000001</v>
    <v>13.756</v>
    <v>13.917999999999999</v>
    <v>13.938000000000001</v>
    <v>14.036</v>
    <v>14.132</v>
    <v>14.3</v>
    <v>14.224</v>
    <v>14.56</v>
    <v>14.66</v>
    <v>14.61</v>
    <v>14.818</v>
    <v>14.972</v>
    <v>15.228</v>
    <v>15.272</v>
    <v>14.89</v>
    <v>15.002000000000001</v>
    <v>15.028</v>
    <v>15.11</v>
    <v>15.284000000000001</v>
    <v>15.254</v>
    <v>14.916</v>
    <v>14.98</v>
    <v>15.25</v>
    <v>15.15</v>
    <v>14.968</v>
    <v>15.007999999999999</v>
    <v>15.074</v>
    <v>15.254</v>
    <v>15.507999999999999</v>
    <v>15.486000000000001</v>
    <v>15.472</v>
    <v>15.898</v>
    <v>16.103999999999999</v>
    <v>16.358000000000001</v>
    <v>15.696</v>
    <v>15.603999999999999</v>
    <v>15.592000000000001</v>
    <v>15.794</v>
    <v>15.846</v>
    <v>15.92</v>
    <v>15.53</v>
    <v>15.2</v>
    <v>15.231999999999999</v>
    <v>15.042</v>
    <v>14.826000000000001</v>
    <v>15.061999999999999</v>
    <v>14.602</v>
    <v>14.8</v>
    <v>14.592000000000001</v>
    <v>14.747999999999999</v>
    <v>14.682</v>
    <v>14.564</v>
    <v>14.497999999999999</v>
    <v>14.42</v>
    <v>14.548</v>
    <v>14.686</v>
    <v>14.574</v>
    <v>14.507999999999999</v>
    <v>14.47</v>
    <v>14.55</v>
    <v>14.504</v>
    <v>14.602</v>
    <v>14.596</v>
    <v>14.558</v>
    <v>14.738</v>
    <v>14.712</v>
    <v>14.832000000000001</v>
    <v>14.802</v>
    <v>14.577999999999999</v>
    <v>14.635999999999999</v>
    <v>14.41</v>
    <v>14.448</v>
    <v>14.326000000000001</v>
    <v>14.1</v>
    <v>13.946</v>
    <v>13.773999999999999</v>
    <v>13.63</v>
    <v>13.404</v>
    <v>13.366</v>
    <v>13.278</v>
    <v>13.236000000000001</v>
    <v>13.262</v>
    <v>13.167999999999999</v>
    <v>13.135999999999999</v>
    <v>13.458</v>
    <v>13.401999999999999</v>
    <v>13.146000000000001</v>
    <v>12.916</v>
    <v>13.012</v>
    <v>12.936</v>
    <v>12.99</v>
    <v>13.128</v>
    <v>13.26</v>
    <v>13.16</v>
    <v>13.114000000000001</v>
    <v>13.337999999999999</v>
    <v>13.522</v>
    <v>13.61</v>
    <v>13.587999999999999</v>
    <v>13.51</v>
    <v>13.692</v>
    <v>13.7</v>
    <v>13.87</v>
    <v>13.66</v>
    <v>13.622</v>
    <v>13.622</v>
    <v>13.478</v>
    <v>13.336</v>
    <v>13.214</v>
    <v>13.151999999999999</v>
    <v>12.994</v>
    <v>13.108000000000001</v>
    <v>13.032</v>
    <v>13.254</v>
    <v>13.454000000000001</v>
    <v>13.54</v>
    <v>13.715999999999999</v>
    <v>13.702</v>
    <v>13.71</v>
    <v>13.77</v>
    <v>13.676</v>
    <v>13.734</v>
    <v>14.061999999999999</v>
    <v>14.07</v>
    <v>14.4</v>
    <v>14.444000000000001</v>
    <v>14.38</v>
    <v>14.672000000000001</v>
    <v>14.906000000000001</v>
    <v>14.654</v>
    <v>14.816000000000001</v>
    <v>14.846</v>
    <v>14.484</v>
    <v>14.294</v>
    <v>14.49</v>
    <v>14.704000000000001</v>
    <v>14.49</v>
    <v>14.358000000000001</v>
    <v>14.438000000000001</v>
    <v>14.364000000000001</v>
    <v>14.504</v>
    <v>14.442</v>
    <v>14.548</v>
    <v>14.582000000000001</v>
    <v>14.576000000000001</v>
    <v>14.576000000000001</v>
    <v>14.468</v>
    <v>14.488</v>
    <v>14.295999999999999</v>
    <v>14.236000000000001</v>
    <v>14.337999999999999</v>
    <v>14.37</v>
    <v>14.513999999999999</v>
    <v>14.33</v>
    <v>14.68</v>
    <v>14.44</v>
    <v>14.366</v>
    <v>14.214</v>
    <v>14.167999999999999</v>
    <v>14.074</v>
    <v>14.295999999999999</v>
    <v>14.252000000000001</v>
    <v>14.368</v>
    <v>14.523999999999999</v>
    <v>14.456</v>
    <v>14.59</v>
    <v>14.58</v>
    <v>14.542</v>
    <v>14.46</v>
    <v>14.423999999999999</v>
    <v>14.422000000000001</v>
    <v>14.468</v>
    <v>14.634</v>
    <v>14.714</v>
    <v>14.577999999999999</v>
    <v>14.504</v>
    <v>14.564</v>
    <v>14.64</v>
    <v>14.678000000000001</v>
    <v>14.62</v>
    <v>14.552</v>
    <v>14.412000000000001</v>
    <v>14.268000000000001</v>
    <v>14.26</v>
    <v>14.2</v>
    <v>14.257999999999999</v>
    <v>14.27</v>
    <v>14.362</v>
    <v>14.37</v>
    <v>14.302</v>
    <v>14.214</v>
    <v>14.238</v>
    <v>14.343999999999999</v>
    <v>14.433999999999999</v>
    <v>14.584</v>
    <v>14.802</v>
    <v>14.894</v>
    <v>14.747999999999999</v>
    <v>14.875999999999999</v>
    <v>15.002000000000001</v>
    <v>15.1</v>
    <v>14.907999999999999</v>
    <v>14.792</v>
    <v>14.648</v>
    <v>14.625999999999999</v>
    <v>14.513999999999999</v>
    <v>14.358000000000001</v>
    <v>14.35</v>
    <v>14.528</v>
    <v>14.56</v>
    <v>14.417999999999999</v>
    <v>14.66</v>
    <v>14.67</v>
    <v>14.666</v>
    <v>14.858000000000001</v>
    <v>15.092000000000001</v>
    <v>15.282</v>
    <v>15.045999999999999</v>
    <v>15.128</v>
    <v>15.077999999999999</v>
    <v>14.914</v>
    <v>14.917999999999999</v>
    <v>14.94</v>
    <v>15.054</v>
    <v>15.156000000000001</v>
    <v>15.02</v>
    <v>14.82</v>
    <v>14.673999999999999</v>
    <v>14.792</v>
    <v>14.974</v>
    <v>14.776</v>
    <v>14.836</v>
    <v>14.706</v>
    <v>14.818</v>
    <v>14.914</v>
    <v>14.78</v>
    <v>14.708</v>
    <v>14.742000000000001</v>
    <v>14.901999999999999</v>
    <v>15.06</v>
    <v>14.95</v>
    <v>14.954000000000001</v>
    <v>14.942</v>
    <v>15.134</v>
    <v>15.148</v>
    <v>15.1</v>
    <v>15.146000000000001</v>
    <v>15.284000000000001</v>
    <v>15.337999999999999</v>
    <v>15.106</v>
    <v>15.018000000000001</v>
    <v>14.826000000000001</v>
    <v>14.77</v>
    <v>14.634</v>
    <v>13.978</v>
    <v>13.372</v>
    <v>13.042</v>
    <v>12.92</v>
    <v>12.724</v>
    <v>13.023999999999999</v>
    <v>13.032</v>
    <v>13.086</v>
    <v>13.22</v>
    <v>13.208</v>
    <v>13.141999999999999</v>
    <v>13.257999999999999</v>
    <v>13.496</v>
    <v>13.6</v>
    <v>13.472</v>
    <v>13.478</v>
    <v>13.523999999999999</v>
    <v>13.172000000000001</v>
    <v>13.222</v>
    <v>13.27</v>
    <v>13.416</v>
    <v>13.16</v>
    <v>13.244</v>
    <v>13.398</v>
    <v>13.638</v>
    <v>13.722</v>
    <v>13.734</v>
    <v>13.666</v>
    <v>13.582000000000001</v>
    <v>13.46</v>
    <v>13.474</v>
    <v>13.432</v>
    <v>13.446</v>
    <v>13.542</v>
    <v>13.545999999999999</v>
    <v>13.506</v>
    <v>13.394</v>
    <v>13.33</v>
    <v>13.25</v>
    <v>13.538</v>
    <v>13.526</v>
    <v>13.532</v>
    <v>13.622</v>
    <v>13.526</v>
    <v>13.571999999999999</v>
    <v>13.57</v>
    <v>13.391999999999999</v>
    <v>13.294</v>
    <v>13.246</v>
    <v>13.268000000000001</v>
    <v>13.334</v>
    <v>13.396000000000001</v>
    <v>13.372</v>
    <v>13.352</v>
    <v>13.45</v>
    <v>13.396000000000001</v>
    <v>13.433999999999999</v>
    <v>13.622</v>
    <v>13.632</v>
    <v>13.534000000000001</v>
    <v>13.526</v>
    <v>13.67</v>
    <v>13.625999999999999</v>
    <v>13.468</v>
    <v>13.398</v>
    <v>13.432</v>
    <v>13.942</v>
    <v>14.202</v>
    <v>14.1</v>
    <v>14.02</v>
    <v>14.076000000000001</v>
    <v>13.984</v>
    <v>14.071999999999999</v>
    <v>14.266</v>
    <v>14.302</v>
    <v>14.401999999999999</v>
    <v>14.584</v>
    <v>14.438000000000001</v>
    <v>14.374000000000001</v>
    <v>14.337999999999999</v>
    <v>14.43</v>
    <v>14.382</v>
    <v>13.038</v>
    <v>12.954000000000001</v>
    <v>12.962</v>
    <v>12.912000000000001</v>
    <v>12.965999999999999</v>
    <v>13.004</v>
    <v>13.05</v>
    <v>13.1</v>
    <v>13.144</v>
    <v>13.052</v>
    <v>13.086</v>
    <v>12.978</v>
    <v>12.88</v>
    <v>12.933999999999999</v>
    <v>12.962</v>
    <v>13.004</v>
    <v>13.05</v>
    <v>13.106</v>
    <v>13.004</v>
    <v>13.02</v>
    <v>13.102</v>
    <v>13.1</v>
    <v>13.206</v>
    <v>13.19</v>
    <v>13.132</v>
    <v>13.022</v>
    <v>13.06</v>
    <v>13.045999999999999</v>
    <v>13.14</v>
    <v>13.24</v>
    <v>13.36</v>
    <v>13.414</v>
    <v>13.364000000000001</v>
    <v>13.192</v>
    <v>13.186</v>
    <v>13.23</v>
    <v>13.15</v>
    <v>13.15</v>
    <v>13.472</v>
    <v>13.484</v>
    <v>13.378</v>
    <v>13.576000000000001</v>
    <v>13.548</v>
    <v>13.577999999999999</v>
    <v>13.768000000000001</v>
    <v>13.932</v>
    <v>13.907999999999999</v>
    <v>14.092000000000001</v>
    <v>14.082000000000001</v>
    <v>14.342000000000001</v>
    <v>14.007999999999999</v>
    <v>14.23</v>
    <v>13.922000000000001</v>
    <v>13.928000000000001</v>
    <v>13.942</v>
    <v>13.853999999999999</v>
    <v>13.964</v>
    <v>13.981999999999999</v>
    <v>14.061999999999999</v>
    <v>14.316000000000001</v>
    <v>14.308</v>
    <v>14.366</v>
    <v>14.38</v>
    <v>14.504</v>
    <v>14.38</v>
    <v>14.432</v>
    <v>14.464</v>
    <v>14.324</v>
    <v>14.286</v>
    <v>14.214</v>
    <v>14.19</v>
    <v>14.33</v>
    <v>14.326000000000001</v>
    <v>14.438000000000001</v>
    <v>14.352</v>
    <v>14.242000000000001</v>
    <v>14.066000000000001</v>
    <v>14.007999999999999</v>
    <v>14.087999999999999</v>
    <v>14.118</v>
    <v>14.098000000000001</v>
    <v>14.122</v>
    <v>14.09</v>
    <v>14.295999999999999</v>
    <v>14.198</v>
    <v>14.416</v>
    <v>14.496</v>
    <v>14.382</v>
    <v>14.526</v>
    <v>14.516</v>
    <v>14.625999999999999</v>
    <v>14.606</v>
    <v>14.401999999999999</v>
    <v>14.41</v>
    <v>14.544</v>
    <v>14.334</v>
    <v>14.292</v>
    <v>14.186</v>
    <v>14.358000000000001</v>
    <v>14.458</v>
    <v>14.616</v>
    <v>14.632</v>
    <v>14.736000000000001</v>
    <v>14.827999999999999</v>
    <v>15.176</v>
    <v>15.202</v>
    <v>15.64</v>
    <v>16.152000000000001</v>
    <v>15.747999999999999</v>
    <v>15.561999999999999</v>
    <v>15.882</v>
    <v>16.09</v>
    <v>16.084</v>
    <v>16.321999999999999</v>
    <v>16.29</v>
    <v>15.848000000000001</v>
    <v>15.992000000000001</v>
    <v>15.602</v>
    <v>15.657999999999999</v>
    <v>15.634</v>
    <v>15.965999999999999</v>
    <v>15.926</v>
    <v>15.672000000000001</v>
    <v>15.858000000000001</v>
    <v>16.091999999999999</v>
    <v>15.756</v>
    <v>15.426</v>
    <v>15.85</v>
    <v>15.59</v>
    <v>15.417999999999999</v>
    <v>15.513999999999999</v>
    <v>15.616</v>
    <v>15.561999999999999</v>
    <v>15.706</v>
    <v>15.432</v>
    <v>15.364000000000001</v>
    <v>15.326000000000001</v>
    <v>15.182</v>
    <v>15.513999999999999</v>
    <v>15.49</v>
    <v>15.608000000000001</v>
    <v>15.526</v>
    <v>15.766</v>
    <v>15.954000000000001</v>
    <v>15.928000000000001</v>
    <v>15.83</v>
    <v>15.894</v>
    <v>15.95</v>
    <v>16.122</v>
    <v>15.99</v>
    <v>16.212</v>
    <v>16.178000000000001</v>
    <v>16.263999999999999</v>
    <v>16.38</v>
    <v>16.510000000000002</v>
    <v>16.324000000000002</v>
    <v>16.294</v>
    <v>16.114000000000001</v>
    <v>15.88</v>
    <v>15.438000000000001</v>
    <v>15.276</v>
    <v>15.316000000000001</v>
    <v>15.382</v>
    <v>15.56</v>
    <v>15.561999999999999</v>
    <v>15.651999999999999</v>
    <v>15.98</v>
    <v>16.036000000000001</v>
    <v>16.134</v>
    <v>16.059999999999999</v>
    <v>16.045999999999999</v>
    <v>16.053999999999998</v>
    <v>16.010000000000002</v>
    <v>16.216000000000001</v>
    <v>16.5</v>
    <v>16.55</v>
    <v>16.614000000000001</v>
    <v>16.744</v>
    <v>16.654</v>
    <v>16.61</v>
    <v>16.648</v>
    <v>16.928000000000001</v>
    <v>16.925999999999998</v>
    <v>16.91</v>
    <v>16.77</v>
    <v>16.673999999999999</v>
    <v>16.532</v>
    <v>16.533999999999999</v>
    <v>16.54</v>
    <v>16.806000000000001</v>
    <v>16.803999999999998</v>
    <v>16.809999999999999</v>
    <v>16.864000000000001</v>
    <v>17.238</v>
    <v>17.361999999999998</v>
    <v>17.678000000000001</v>
    <v>17.667999999999999</v>
    <v>17.167999999999999</v>
    <v>17.173999999999999</v>
    <v>17.181999999999999</v>
    <v>17.396000000000001</v>
    <v>17.388000000000002</v>
    <v>17.504000000000001</v>
    <v>17.888000000000002</v>
    <v>17.53</v>
    <v>17.388000000000002</v>
    <v>17.507999999999999</v>
    <v>17.494</v>
    <v>17.844000000000001</v>
    <v>18.068000000000001</v>
    <v>17.821999999999999</v>
    <v>17.678000000000001</v>
    <v>17.382000000000001</v>
    <v>17.45</v>
    <v>17.314</v>
    <v>17.012</v>
    <v>17.088000000000001</v>
    <v>17.327999999999999</v>
    <v>17.170000000000002</v>
    <v>17.212</v>
    <v>17.248000000000001</v>
    <v>17.318000000000001</v>
    <v>17.16</v>
    <v>17.263999999999999</v>
    <v>16.774000000000001</v>
    <v>16.388000000000002</v>
    <v>16.488</v>
    <v>16.547999999999998</v>
    <v>16.334</v>
    <v>16.494</v>
    <v>16.411999999999999</v>
    <v>16.315999999999999</v>
    <v>16.41</v>
    <v>16.542000000000002</v>
    <v>16.52</v>
    <v>16.358000000000001</v>
    <v>16.724</v>
    <v>16.686</v>
    <v>16.78</v>
    <v>16.8</v>
    <v>16.71</v>
    <v>16.846</v>
    <v>16.64</v>
    <v>16.731999999999999</v>
    <v>17.02</v>
    <v>17.084</v>
    <v>16.940000000000001</v>
    <v>16.931999999999999</v>
    <v>16.994</v>
    <v>16.84</v>
    <v>16.885999999999999</v>
    <v>16.925999999999998</v>
    <v>16.97</v>
    <v>16.986000000000001</v>
    <v>17.181999999999999</v>
    <v>17.239999999999998</v>
    <v>17.306000000000001</v>
    <v>17.143999999999998</v>
    <v>17.271999999999998</v>
    <v>17.314</v>
    <v>17.292000000000002</v>
    <v>17.164000000000001</v>
    <v>17.053999999999998</v>
    <v>17.132000000000001</v>
    <v>16.888000000000002</v>
    <v>16.827999999999999</v>
    <v>16.78</v>
    <v>16.995999999999999</v>
    <v>17.064</v>
    <v>17.167999999999999</v>
    <v>17.097999999999999</v>
    <v>17.065999999999999</v>
    <v>17.161999999999999</v>
    <v>17.181999999999999</v>
    <v>17.138000000000002</v>
    <v>17.14</v>
    <v>17.21</v>
    <v>17.248000000000001</v>
    <v>17.29</v>
    <v>17.495999999999999</v>
    <v>17.544</v>
    <v>17.026</v>
    <v>16.989999999999998</v>
    <v>16.788</v>
    <v>16.818000000000001</v>
    <v>16.975999999999999</v>
    <v>17.350000000000001</v>
    <v>17.391999999999999</v>
    <v>17.492000000000001</v>
    <v>17.622</v>
    <v>17.600000000000001</v>
    <v>17.666</v>
    <v>17.591999999999999</v>
    <v>17.41</v>
    <v>17.364000000000001</v>
    <v>17.251999999999999</v>
    <v>17.123999999999999</v>
    <v>17.052</v>
    <v>17.335999999999999</v>
    <v>17.245999999999999</v>
    <v>17.358000000000001</v>
    <v>17.132000000000001</v>
    <v>17.321999999999999</v>
    <v>17.41</v>
    <v>17.309999999999999</v>
    <v>17.283999999999999</v>
    <v>16.956</v>
    <v>16.978000000000002</v>
    <v>17.04</v>
    <v>17.065999999999999</v>
    <v>17.22</v>
    <v>16.948</v>
    <v>17.149999999999999</v>
  </a>
  <a r="1" c="254">
    <v>14.316000000000001</v>
    <v>14.308</v>
    <v>14.366</v>
    <v>14.38</v>
    <v>14.504</v>
    <v>14.38</v>
    <v>14.432</v>
    <v>14.464</v>
    <v>14.324</v>
    <v>14.286</v>
    <v>14.214</v>
    <v>14.19</v>
    <v>14.33</v>
    <v>14.326000000000001</v>
    <v>14.438000000000001</v>
    <v>14.352</v>
    <v>14.242000000000001</v>
    <v>14.066000000000001</v>
    <v>14.007999999999999</v>
    <v>14.087999999999999</v>
    <v>14.118</v>
    <v>14.098000000000001</v>
    <v>14.122</v>
    <v>14.09</v>
    <v>14.295999999999999</v>
    <v>14.198</v>
    <v>14.416</v>
    <v>14.496</v>
    <v>14.382</v>
    <v>14.526</v>
    <v>14.516</v>
    <v>14.625999999999999</v>
    <v>14.606</v>
    <v>14.401999999999999</v>
    <v>14.41</v>
    <v>14.544</v>
    <v>14.334</v>
    <v>14.292</v>
    <v>14.186</v>
    <v>14.358000000000001</v>
    <v>14.458</v>
    <v>14.616</v>
    <v>14.632</v>
    <v>14.736000000000001</v>
    <v>14.827999999999999</v>
    <v>15.176</v>
    <v>15.202</v>
    <v>15.64</v>
    <v>16.152000000000001</v>
    <v>15.747999999999999</v>
    <v>15.561999999999999</v>
    <v>15.882</v>
    <v>16.09</v>
    <v>16.084</v>
    <v>16.321999999999999</v>
    <v>16.29</v>
    <v>15.848000000000001</v>
    <v>15.992000000000001</v>
    <v>15.602</v>
    <v>15.657999999999999</v>
    <v>15.634</v>
    <v>15.965999999999999</v>
    <v>15.926</v>
    <v>15.672000000000001</v>
    <v>15.858000000000001</v>
    <v>16.091999999999999</v>
    <v>15.756</v>
    <v>15.426</v>
    <v>15.85</v>
    <v>15.59</v>
    <v>15.417999999999999</v>
    <v>15.513999999999999</v>
    <v>15.616</v>
    <v>15.561999999999999</v>
    <v>15.706</v>
    <v>15.432</v>
    <v>15.364000000000001</v>
    <v>15.326000000000001</v>
    <v>15.182</v>
    <v>15.513999999999999</v>
    <v>15.49</v>
    <v>15.608000000000001</v>
    <v>15.526</v>
    <v>15.766</v>
    <v>15.954000000000001</v>
    <v>15.928000000000001</v>
    <v>15.83</v>
    <v>15.894</v>
    <v>15.95</v>
    <v>16.122</v>
    <v>15.99</v>
    <v>16.212</v>
    <v>16.178000000000001</v>
    <v>16.263999999999999</v>
    <v>16.38</v>
    <v>16.510000000000002</v>
    <v>16.324000000000002</v>
    <v>16.294</v>
    <v>16.114000000000001</v>
    <v>15.88</v>
    <v>15.438000000000001</v>
    <v>15.276</v>
    <v>15.316000000000001</v>
    <v>15.382</v>
    <v>15.56</v>
    <v>15.561999999999999</v>
    <v>15.651999999999999</v>
    <v>15.98</v>
    <v>16.036000000000001</v>
    <v>16.134</v>
    <v>16.059999999999999</v>
    <v>16.045999999999999</v>
    <v>16.053999999999998</v>
    <v>16.010000000000002</v>
    <v>16.216000000000001</v>
    <v>16.5</v>
    <v>16.55</v>
    <v>16.614000000000001</v>
    <v>16.744</v>
    <v>16.654</v>
    <v>16.61</v>
    <v>16.648</v>
    <v>16.928000000000001</v>
    <v>16.925999999999998</v>
    <v>16.91</v>
    <v>16.77</v>
    <v>16.673999999999999</v>
    <v>16.532</v>
    <v>16.533999999999999</v>
    <v>16.54</v>
    <v>16.806000000000001</v>
    <v>16.803999999999998</v>
    <v>16.809999999999999</v>
    <v>16.864000000000001</v>
    <v>17.238</v>
    <v>17.361999999999998</v>
    <v>17.678000000000001</v>
    <v>17.667999999999999</v>
    <v>17.167999999999999</v>
    <v>17.173999999999999</v>
    <v>17.181999999999999</v>
    <v>17.396000000000001</v>
    <v>17.388000000000002</v>
    <v>17.504000000000001</v>
    <v>17.888000000000002</v>
    <v>17.53</v>
    <v>17.388000000000002</v>
    <v>17.507999999999999</v>
    <v>17.494</v>
    <v>17.844000000000001</v>
    <v>18.068000000000001</v>
    <v>17.821999999999999</v>
    <v>17.678000000000001</v>
    <v>17.382000000000001</v>
    <v>17.45</v>
    <v>17.314</v>
    <v>17.012</v>
    <v>17.088000000000001</v>
    <v>17.327999999999999</v>
    <v>17.170000000000002</v>
    <v>17.212</v>
    <v>17.248000000000001</v>
    <v>17.318000000000001</v>
    <v>17.16</v>
    <v>17.263999999999999</v>
    <v>16.774000000000001</v>
    <v>16.388000000000002</v>
    <v>16.488</v>
    <v>16.547999999999998</v>
    <v>16.334</v>
    <v>16.494</v>
    <v>16.411999999999999</v>
    <v>16.315999999999999</v>
    <v>16.41</v>
    <v>16.542000000000002</v>
    <v>16.52</v>
    <v>16.358000000000001</v>
    <v>16.724</v>
    <v>16.686</v>
    <v>16.78</v>
    <v>16.8</v>
    <v>16.71</v>
    <v>16.846</v>
    <v>16.64</v>
    <v>16.731999999999999</v>
    <v>17.02</v>
    <v>17.084</v>
    <v>16.940000000000001</v>
    <v>16.931999999999999</v>
    <v>16.994</v>
    <v>16.84</v>
    <v>16.885999999999999</v>
    <v>16.925999999999998</v>
    <v>16.97</v>
    <v>16.986000000000001</v>
    <v>17.181999999999999</v>
    <v>17.239999999999998</v>
    <v>17.306000000000001</v>
    <v>17.143999999999998</v>
    <v>17.271999999999998</v>
    <v>17.314</v>
    <v>17.292000000000002</v>
    <v>17.164000000000001</v>
    <v>17.053999999999998</v>
    <v>17.132000000000001</v>
    <v>16.888000000000002</v>
    <v>16.827999999999999</v>
    <v>16.78</v>
    <v>16.995999999999999</v>
    <v>17.064</v>
    <v>17.167999999999999</v>
    <v>17.097999999999999</v>
    <v>17.065999999999999</v>
    <v>17.161999999999999</v>
    <v>17.181999999999999</v>
    <v>17.138000000000002</v>
    <v>17.14</v>
    <v>17.21</v>
    <v>17.248000000000001</v>
    <v>17.29</v>
    <v>17.495999999999999</v>
    <v>17.544</v>
    <v>17.026</v>
    <v>16.989999999999998</v>
    <v>16.788</v>
    <v>16.818000000000001</v>
    <v>16.975999999999999</v>
    <v>17.350000000000001</v>
    <v>17.391999999999999</v>
    <v>17.492000000000001</v>
    <v>17.622</v>
    <v>17.600000000000001</v>
    <v>17.666</v>
    <v>17.591999999999999</v>
    <v>17.41</v>
    <v>17.364000000000001</v>
    <v>17.251999999999999</v>
    <v>17.123999999999999</v>
    <v>17.052</v>
    <v>17.335999999999999</v>
    <v>17.245999999999999</v>
    <v>17.358000000000001</v>
    <v>17.132000000000001</v>
    <v>17.321999999999999</v>
    <v>17.41</v>
    <v>17.309999999999999</v>
    <v>17.283999999999999</v>
    <v>16.956</v>
    <v>16.978000000000002</v>
    <v>17.04</v>
    <v>17.065999999999999</v>
    <v>17.22</v>
    <v>16.948</v>
    <v>17.149999999999999</v>
  </a>
  <a r="1" c="205">
    <v>353.27</v>
    <v>366.25</v>
    <v>354.94</v>
    <v>354.58</v>
    <v>338.63</v>
    <v>322.54000000000002</v>
    <v>342.52</v>
    <v>335.86</v>
    <v>333.53</v>
    <v>330.38</v>
    <v>341.2</v>
    <v>307.70999999999998</v>
    <v>295.39999999999998</v>
    <v>294.37</v>
    <v>287.35000000000002</v>
    <v>289.06</v>
    <v>285.27</v>
    <v>288.76</v>
    <v>287.95</v>
    <v>287.45</v>
    <v>280.68</v>
    <v>270.88</v>
    <v>268.45</v>
    <v>250.46</v>
    <v>247.06</v>
    <v>261.42</v>
    <v>272.14999999999998</v>
    <v>271.14</v>
    <v>276.85000000000002</v>
    <v>276.12</v>
    <v>288.43</v>
    <v>303.01</v>
    <v>294.05</v>
    <v>291.66000000000003</v>
    <v>294.83999999999997</v>
    <v>293.8</v>
    <v>312.64</v>
    <v>325.83999999999997</v>
    <v>323.56</v>
    <v>329.88</v>
    <v>327.16000000000003</v>
    <v>324.87</v>
    <v>322.85000000000002</v>
    <v>332.07</v>
    <v>319.06</v>
    <v>322.99</v>
    <v>317.08999999999997</v>
    <v>300.69</v>
    <v>301.55</v>
    <v>301.77</v>
    <v>305.58</v>
    <v>307.69</v>
    <v>317.22000000000003</v>
    <v>316.47000000000003</v>
    <v>281.99</v>
    <v>289.76</v>
    <v>294.85000000000002</v>
    <v>303.32</v>
    <v>295.19</v>
    <v>301.49</v>
    <v>298.61</v>
    <v>279.25</v>
    <v>279.45999999999998</v>
    <v>272.82</v>
    <v>275.16000000000003</v>
    <v>272.58</v>
    <v>284.27</v>
    <v>280.25</v>
    <v>286.5</v>
    <v>291.72000000000003</v>
    <v>296.61</v>
    <v>294.73</v>
    <v>299.14</v>
    <v>296.20999999999998</v>
    <v>287.56</v>
    <v>277.7</v>
    <v>287.16000000000003</v>
    <v>292.77</v>
    <v>313.52999999999997</v>
    <v>315.17</v>
    <v>305.70999999999998</v>
    <v>297</v>
    <v>313</v>
    <v>307.81</v>
    <v>321.05</v>
    <v>320.42</v>
    <v>322.77999999999997</v>
    <v>311.27999999999997</v>
    <v>303.63</v>
    <v>299.69</v>
    <v>293.60000000000002</v>
    <v>274.89</v>
    <v>275.26</v>
    <v>267.2</v>
    <v>262</v>
    <v>260.67</v>
    <v>281.26</v>
    <v>285.83</v>
    <v>294.07</v>
    <v>301.57</v>
    <v>288.68</v>
    <v>286.31</v>
    <v>287.75</v>
    <v>265.7</v>
    <v>272.64999999999998</v>
    <v>267.24</v>
    <v>264.58999999999997</v>
    <v>254.83</v>
    <v>250.67</v>
    <v>251.65</v>
    <v>242.3</v>
    <v>246.71</v>
    <v>253.76</v>
    <v>262.35000000000002</v>
    <v>268</v>
    <v>267.17</v>
    <v>274.06</v>
    <v>275.52999999999997</v>
    <v>270.26</v>
    <v>267.97000000000003</v>
    <v>268.69</v>
    <v>264.02</v>
    <v>259.32</v>
    <v>248.37</v>
    <v>236.5</v>
    <v>239.25</v>
    <v>245.87</v>
    <v>239.71</v>
    <v>244.52</v>
    <v>250.74</v>
    <v>251.38</v>
    <v>257.57</v>
    <v>256.43</v>
    <v>258.11500000000001</v>
    <v>251.77</v>
    <v>252.39</v>
    <v>253.5</v>
    <v>262.22000000000003</v>
    <v>274.89999999999998</v>
    <v>275.60000000000002</v>
    <v>274.35000000000002</v>
    <v>270</v>
    <v>259.82</v>
    <v>257.95</v>
    <v>263.56</v>
    <v>262.75</v>
    <v>273.70999999999998</v>
    <v>267.25</v>
    <v>265.12</v>
    <v>261.10000000000002</v>
    <v>269.89</v>
    <v>270.43</v>
    <v>278.36</v>
    <v>278.68</v>
    <v>278.64</v>
    <v>282.5</v>
    <v>278.2</v>
    <v>266.83</v>
    <v>274.17</v>
    <v>272.92</v>
    <v>272.88</v>
    <v>273.43</v>
    <v>278.42</v>
    <v>279.52</v>
    <v>282.41000000000003</v>
    <v>276.75</v>
    <v>274.77</v>
    <v>280.31</v>
    <v>290.04000000000002</v>
    <v>285.05</v>
    <v>298.95999999999998</v>
    <v>299.05</v>
    <v>293.90499999999997</v>
    <v>285.97000000000003</v>
    <v>284.75</v>
    <v>264.57</v>
    <v>259.89</v>
    <v>259.52999999999997</v>
    <v>262.8</v>
    <v>254.71</v>
    <v>262.11</v>
    <v>263.45999999999998</v>
    <v>263.88</v>
    <v>261.62</v>
    <v>263.27</v>
    <v>260.43</v>
    <v>264.58</v>
    <v>254.02</v>
    <v>258.92</v>
    <v>257.49</v>
    <v>267.62</v>
    <v>300.39999999999998</v>
    <v>299.58999999999997</v>
    <v>285.07</v>
    <v>298.07</v>
    <v>293.89</v>
    <v>295.79000000000002</v>
    <v>279.54000000000002</v>
    <v>275</v>
    <v>271.37</v>
    <v>263.19</v>
    <v>258.83999999999997</v>
    <v>270.74</v>
    <v>255.21</v>
    <v>253.45</v>
  </a>
  <a r="1" c="754">
    <v>112.11</v>
    <v>114.27</v>
    <v>112.03</v>
    <v>112.72</v>
    <v>110.78</v>
    <v>113.03</v>
    <v>112.92</v>
    <v>114.85</v>
    <v>117.19</v>
    <v>117.07</v>
    <v>124.73</v>
    <v>119.87</v>
    <v>121.18</v>
    <v>120.63</v>
    <v>121.77</v>
    <v>121.72</v>
    <v>126.52</v>
    <v>121.99</v>
    <v>121.67</v>
    <v>121.69</v>
    <v>122.28</v>
    <v>122.51</v>
    <v>123.25</v>
    <v>123.86</v>
    <v>125.1</v>
    <v>124.45</v>
    <v>120.58</v>
    <v>121.04</v>
    <v>119.88</v>
    <v>118.92</v>
    <v>118.31</v>
    <v>112.63</v>
    <v>110.53</v>
    <v>111.21</v>
    <v>116.15</v>
    <v>114.49</v>
    <v>116.43</v>
    <v>115.6</v>
    <v>118.75</v>
    <v>119.36</v>
    <v>120.81</v>
    <v>117.01</v>
    <v>118.31</v>
    <v>115.33</v>
    <v>117.57</v>
    <v>117.42</v>
    <v>117.11</v>
    <v>116.89</v>
    <v>115.25</v>
    <v>115.85</v>
    <v>115.36</v>
    <v>116.24</v>
    <v>117.03</v>
    <v>116.49</v>
    <v>115.85</v>
    <v>112.91</v>
    <v>112.91</v>
    <v>111.81</v>
    <v>111.92</v>
    <v>111.41</v>
    <v>114.45</v>
    <v>117.21</v>
    <v>118.69</v>
    <v>115.67</v>
    <v>120.55</v>
    <v>121.27</v>
    <v>121.01</v>
    <v>121.88</v>
    <v>122</v>
    <v>127.63</v>
    <v>129.71</v>
    <v>127.03</v>
    <v>131.01</v>
    <v>132.5</v>
    <v>130.72</v>
    <v>132.16999999999999</v>
    <v>128.51</v>
    <v>127.91</v>
    <v>128.66999999999999</v>
    <v>131.5</v>
    <v>131.16</v>
    <v>131.80000000000001</v>
    <v>131.4</v>
    <v>133.38999999999999</v>
    <v>133.99</v>
    <v>133.22</v>
    <v>155.76</v>
    <v>170.83</v>
    <v>168.45</v>
    <v>169.99</v>
    <v>175.99</v>
    <v>176.77</v>
    <v>179.98</v>
    <v>179.58</v>
    <v>170.57</v>
    <v>167.91</v>
    <v>168.37</v>
    <v>167.86</v>
    <v>164.64</v>
    <v>165.52</v>
    <v>168.84</v>
    <v>172.41</v>
    <v>175.71</v>
    <v>174.13</v>
    <v>178.24</v>
    <v>187.26</v>
    <v>185.41</v>
    <v>184.89</v>
    <v>184.85</v>
    <v>185.98</v>
    <v>188.13</v>
    <v>190.26</v>
    <v>183.11</v>
    <v>193.08</v>
    <v>191.98</v>
    <v>188.1</v>
    <v>191.08</v>
    <v>192.88</v>
    <v>191.67</v>
    <v>185.4</v>
    <v>186.65</v>
    <v>185.4</v>
    <v>183.86</v>
    <v>180.9</v>
    <v>183.22</v>
    <v>188.25</v>
    <v>186.16</v>
    <v>188.01</v>
    <v>188.37</v>
    <v>188.61</v>
    <v>185.94</v>
    <v>184.56</v>
    <v>186.18</v>
    <v>194.86</v>
    <v>197.7</v>
    <v>200.56</v>
    <v>208</v>
    <v>215.91</v>
    <v>214.93</v>
    <v>213.59</v>
    <v>217.74</v>
    <v>223.31</v>
    <v>216.34</v>
    <v>213.11</v>
    <v>215.07</v>
    <v>222.59</v>
    <v>220.11</v>
    <v>221.16</v>
    <v>230.63</v>
    <v>231.27</v>
    <v>220.74</v>
    <v>224.96</v>
    <v>217.25</v>
    <v>208.26</v>
    <v>203.14</v>
    <v>209.33</v>
    <v>202.6</v>
    <v>198</v>
    <v>214.63</v>
    <v>218.31</v>
    <v>218.13</v>
    <v>219.93</v>
    <v>214.9</v>
    <v>212.02</v>
    <v>220.41</v>
    <v>222.31</v>
    <v>218.13</v>
    <v>216.1</v>
    <v>222.37</v>
    <v>210.31</v>
    <v>204.78</v>
    <v>200.27</v>
    <v>205.05</v>
    <v>206.15</v>
    <v>210.07</v>
    <v>211.29</v>
    <v>215.73</v>
    <v>215.96</v>
    <v>219.55</v>
    <v>216.84</v>
    <v>217.14</v>
    <v>212.88</v>
    <v>204.88</v>
    <v>186.67</v>
    <v>187.28</v>
    <v>189.3</v>
    <v>190.42</v>
    <v>189.87</v>
    <v>175.08</v>
    <v>170.43</v>
    <v>175.04</v>
    <v>172.68</v>
    <v>168.69</v>
    <v>189.8</v>
    <v>177.57</v>
    <v>167.08</v>
    <v>169.97</v>
    <v>181.04</v>
    <v>179.66</v>
    <v>187.03</v>
    <v>189.87</v>
    <v>187.33</v>
    <v>189.41</v>
    <v>186.15</v>
    <v>190.39</v>
    <v>189.98</v>
    <v>192.78</v>
    <v>190.72</v>
    <v>196.74</v>
    <v>194.95</v>
    <v>194.99</v>
    <v>194.89</v>
    <v>196.14</v>
    <v>193.77</v>
    <v>194.44</v>
    <v>196.7</v>
    <v>177.78</v>
    <v>177.52</v>
    <v>176.07</v>
    <v>173.11</v>
    <v>174.92</v>
    <v>180.25</v>
    <v>187.25</v>
    <v>189.93</v>
    <v>195.98</v>
    <v>199.25</v>
    <v>201.23</v>
    <v>200.33</v>
    <v>208.5</v>
    <v>254.98</v>
    <v>257.12</v>
    <v>253.49</v>
    <v>262.86</v>
    <v>256.77</v>
    <v>257</v>
    <v>260.02</v>
    <v>265.61</v>
    <v>265.38</v>
    <v>277.37</v>
    <v>285.52</v>
    <v>278.56</v>
    <v>279.39</v>
    <v>262.27999999999997</v>
    <v>262.31</v>
    <v>266.22000000000003</v>
    <v>271.74</v>
    <v>266.14999999999998</v>
    <v>279.8</v>
    <v>271.2</v>
    <v>270.16000000000003</v>
    <v>273.72000000000003</v>
    <v>266</v>
    <v>266.05</v>
    <v>264.5</v>
    <v>264.41000000000003</v>
    <v>266.98</v>
    <v>265</v>
    <v>261.77999999999997</v>
    <v>262.95999999999998</v>
    <v>258.10000000000002</v>
    <v>225.95</v>
    <v>233.75</v>
    <v>234.99</v>
    <v>241.59</v>
    <v>239.37</v>
    <v>237.27</v>
    <v>228.7</v>
    <v>225.96</v>
    <v>225.38</v>
    <v>224.28</v>
    <v>230.28</v>
    <v>234.58</v>
    <v>235.42</v>
    <v>251.84</v>
    <v>249.89</v>
    <v>248.93</v>
    <v>266.73</v>
    <v>253.39</v>
    <v>256.56</v>
    <v>249.58</v>
    <v>247.51</v>
    <v>254.2</v>
    <v>256.08999999999997</v>
    <v>253.63</v>
    <v>239.85</v>
    <v>232.34</v>
    <v>236.6</v>
    <v>239.02</v>
    <v>239.07</v>
    <v>239.3</v>
    <v>234.24</v>
    <v>225.76</v>
    <v>225.17</v>
    <v>227.02</v>
    <v>228.28</v>
    <v>229.79</v>
    <v>228.64</v>
    <v>226.54</v>
    <v>226.32</v>
    <v>223.71</v>
    <v>242.6</v>
    <v>252.4</v>
    <v>264.27999999999997</v>
    <v>255.63</v>
    <v>243.84</v>
    <v>305.19</v>
    <v>279.24</v>
    <v>288.87</v>
    <v>300.77</v>
    <v>315.24</v>
    <v>316.36</v>
    <v>323.64</v>
    <v>332.47</v>
    <v>346.22</v>
    <v>347.44</v>
    <v>275</v>
    <v>278.8</v>
    <v>291.89</v>
    <v>308.55</v>
    <v>299.98</v>
    <v>306.31</v>
    <v>306.33</v>
    <v>313.83</v>
    <v>311.8</v>
    <v>309.79000000000002</v>
    <v>321.83</v>
    <v>313.58</v>
    <v>313.8</v>
    <v>311.49</v>
    <v>317.3</v>
    <v>325.60000000000002</v>
    <v>321.66500000000002</v>
    <v>309.42</v>
    <v>284.44</v>
    <v>267.72000000000003</v>
    <v>264.31</v>
    <v>270.14</v>
    <v>249.74</v>
    <v>250.54499999999999</v>
    <v>232.29</v>
    <v>231.65</v>
    <v>229.32</v>
    <v>207.69</v>
    <v>212.54</v>
    <v>202.21</v>
    <v>208.58</v>
    <v>215.35</v>
    <v>209.87</v>
    <v>216.46</v>
    <v>218.54</v>
    <v>210.85</v>
    <v>218.05</v>
    <v>219.44</v>
    <v>222.48</v>
    <v>228.62</v>
    <v>226.87</v>
    <v>216.97</v>
    <v>209.2</v>
    <v>205.39</v>
    <v>201.63</v>
    <v>206.94</v>
    <v>214.46</v>
    <v>190.24</v>
    <v>170.96</v>
    <v>179.79</v>
    <v>184.94</v>
    <v>215.45</v>
    <v>204.49</v>
    <v>208.25</v>
    <v>206.7</v>
    <v>208.42</v>
    <v>204.19</v>
    <v>206.68</v>
    <v>192.61</v>
    <v>200.88</v>
    <v>209.8</v>
    <v>218.07</v>
    <v>222.99</v>
    <v>224.82</v>
    <v>226.45</v>
    <v>223.44</v>
    <v>240.61500000000001</v>
    <v>247.26</v>
    <v>248.27</v>
    <v>273.82</v>
    <v>268.12</v>
    <v>270.58999999999997</v>
    <v>271.37</v>
    <v>285.27999999999997</v>
    <v>291.52</v>
    <v>288.14999999999998</v>
    <v>284.39999999999998</v>
    <v>291.12</v>
    <v>294.02</v>
    <v>292.39999999999998</v>
    <v>287.11</v>
    <v>291.47000000000003</v>
    <v>297.49</v>
    <v>309.06</v>
    <v>308.05</v>
    <v>303.37</v>
    <v>306.14999999999998</v>
    <v>313.43</v>
    <v>313.02999999999997</v>
    <v>299.54000000000002</v>
    <v>289.88</v>
    <v>298.8</v>
    <v>299.66000000000003</v>
    <v>291.02</v>
    <v>292.19</v>
    <v>300.38</v>
    <v>296.89</v>
    <v>308.01</v>
    <v>305.7</v>
    <v>306.43</v>
    <v>304.92</v>
    <v>315.20999999999998</v>
    <v>320.66000000000003</v>
    <v>315.14</v>
    <v>322.51</v>
    <v>320.17</v>
    <v>322.76</v>
    <v>307.92</v>
    <v>306.63</v>
    <v>311.88</v>
    <v>318.25</v>
    <v>312.83999999999997</v>
    <v>317.11</v>
    <v>313.62</v>
    <v>321.54000000000002</v>
    <v>325.99</v>
    <v>317.99</v>
    <v>308.2</v>
    <v>308.08</v>
    <v>321.42</v>
    <v>317.88</v>
    <v>317.79000000000002</v>
    <v>323.7</v>
    <v>321.67</v>
    <v>327.35000000000002</v>
    <v>328.66</v>
    <v>330.52</v>
    <v>345.27</v>
    <v>347.84</v>
    <v>340.77</v>
    <v>354.89</v>
    <v>343.57</v>
    <v>338.46</v>
    <v>336.41</v>
    <v>335.76499999999999</v>
    <v>331.49</v>
    <v>338.57</v>
    <v>327.63</v>
    <v>326.20999999999998</v>
    <v>322.23</v>
    <v>322.77</v>
    <v>317.23500000000001</v>
    <v>314.20999999999998</v>
    <v>312.52</v>
    <v>310.16000000000003</v>
    <v>310.68</v>
    <v>316.58</v>
    <v>315.94</v>
    <v>319.55</v>
    <v>307.98</v>
    <v>307.19</v>
    <v>308.48</v>
    <v>309.06</v>
    <v>301.58</v>
    <v>298.82</v>
    <v>300.82</v>
    <v>320</v>
    <v>318</v>
    <v>323.48</v>
    <v>330.42</v>
    <v>322.91000000000003</v>
    <v>321.27499999999998</v>
    <v>322.70999999999998</v>
    <v>330.9</v>
    <v>347.12</v>
    <v>336.65</v>
    <v>339.13</v>
    <v>326.33</v>
    <v>331.26</v>
    <v>334.26499999999999</v>
    <v>329.07</v>
    <v>350.9</v>
    <v>357.46</v>
    <v>360</v>
    <v>364.1</v>
    <v>358.16</v>
    <v>371</v>
    <v>383.23</v>
    <v>368.49</v>
    <v>380.91</v>
    <v>389.56</v>
    <v>403.95</v>
    <v>396.53</v>
    <v>386.5</v>
    <v>370</v>
    <v>358.79</v>
    <v>350.06</v>
    <v>365.8</v>
    <v>389.19</v>
    <v>391.15</v>
    <v>384.95</v>
    <v>401.43</v>
    <v>382.48</v>
    <v>377</v>
    <v>377.71</v>
    <v>362.82</v>
    <v>363.25</v>
    <v>351.3</v>
    <v>358.39</v>
    <v>360.93</v>
    <v>351.67</v>
    <v>354.02</v>
    <v>335.74</v>
    <v>338.52</v>
    <v>338.67</v>
    <v>339.35</v>
    <v>357.48</v>
    <v>345.78</v>
    <v>338.11</v>
    <v>354.10500000000002</v>
    <v>351.59500000000003</v>
    <v>359.09</v>
    <v>364.36</v>
    <v>359.05</v>
    <v>363.67</v>
    <v>361.26</v>
    <v>368.62</v>
    <v>359.82</v>
    <v>357.67</v>
    <v>359.15</v>
    <v>362.07</v>
    <v>378.6</v>
    <v>351.98</v>
    <v>357.14</v>
    <v>365.625</v>
    <v>340.97</v>
    <v>361.05</v>
    <v>355.4</v>
    <v>357.81</v>
    <v>361.33</v>
    <v>363.95</v>
    <v>360.46</v>
    <v>358.33</v>
    <v>357.12</v>
    <v>353.27</v>
    <v>366.25</v>
    <v>354.94</v>
    <v>354.58</v>
    <v>338.63</v>
    <v>322.54000000000002</v>
    <v>342.52</v>
    <v>335.86</v>
    <v>333.53</v>
    <v>330.38</v>
    <v>341.2</v>
    <v>307.70999999999998</v>
    <v>295.39999999999998</v>
    <v>294.37</v>
    <v>287.35000000000002</v>
    <v>289.06</v>
    <v>285.27</v>
    <v>288.76</v>
    <v>287.95</v>
    <v>287.45</v>
    <v>280.68</v>
    <v>270.88</v>
    <v>268.45</v>
    <v>250.46</v>
    <v>247.06</v>
    <v>261.42</v>
    <v>272.14999999999998</v>
    <v>271.14</v>
    <v>276.85000000000002</v>
    <v>276.12</v>
    <v>288.43</v>
    <v>303.01</v>
    <v>294.05</v>
    <v>291.66000000000003</v>
    <v>294.83999999999997</v>
    <v>293.8</v>
    <v>312.64</v>
    <v>325.83999999999997</v>
    <v>323.56</v>
    <v>329.88</v>
    <v>327.16000000000003</v>
    <v>324.87</v>
    <v>322.85000000000002</v>
    <v>332.07</v>
    <v>319.06</v>
    <v>322.99</v>
    <v>317.08999999999997</v>
    <v>300.69</v>
    <v>301.55</v>
    <v>301.77</v>
    <v>305.58</v>
    <v>307.69</v>
    <v>317.22000000000003</v>
    <v>316.47000000000003</v>
    <v>281.99</v>
    <v>289.76</v>
    <v>294.85000000000002</v>
    <v>303.32</v>
    <v>295.19</v>
    <v>301.49</v>
    <v>298.61</v>
    <v>279.25</v>
    <v>279.45999999999998</v>
    <v>272.82</v>
    <v>275.16000000000003</v>
    <v>272.58</v>
    <v>284.27</v>
    <v>280.25</v>
    <v>286.5</v>
    <v>291.72000000000003</v>
    <v>296.61</v>
    <v>294.73</v>
    <v>299.14</v>
    <v>296.20999999999998</v>
    <v>287.56</v>
    <v>277.7</v>
    <v>287.16000000000003</v>
    <v>292.77</v>
    <v>313.52999999999997</v>
    <v>315.17</v>
    <v>305.70999999999998</v>
    <v>297</v>
    <v>313</v>
    <v>307.81</v>
    <v>321.05</v>
    <v>320.42</v>
    <v>322.77999999999997</v>
    <v>311.27999999999997</v>
    <v>303.63</v>
    <v>299.69</v>
    <v>293.60000000000002</v>
    <v>274.89</v>
    <v>275.26</v>
    <v>267.2</v>
    <v>262</v>
    <v>260.67</v>
    <v>281.26</v>
    <v>285.83</v>
    <v>294.07</v>
    <v>301.57</v>
    <v>288.68</v>
    <v>286.31</v>
    <v>287.75</v>
    <v>265.7</v>
    <v>272.64999999999998</v>
    <v>267.24</v>
    <v>264.58999999999997</v>
    <v>254.83</v>
    <v>250.67</v>
    <v>251.65</v>
    <v>242.3</v>
    <v>246.71</v>
    <v>253.76</v>
    <v>262.35000000000002</v>
    <v>268</v>
    <v>267.17</v>
    <v>274.06</v>
    <v>275.52999999999997</v>
    <v>270.26</v>
    <v>267.97000000000003</v>
    <v>268.69</v>
    <v>264.02</v>
    <v>259.32</v>
    <v>248.37</v>
    <v>236.5</v>
    <v>239.25</v>
    <v>245.87</v>
    <v>239.71</v>
    <v>244.52</v>
    <v>250.74</v>
    <v>251.38</v>
    <v>257.57</v>
    <v>256.43</v>
    <v>258.11500000000001</v>
    <v>251.77</v>
    <v>252.39</v>
    <v>253.5</v>
    <v>262.22000000000003</v>
    <v>274.89999999999998</v>
    <v>275.60000000000002</v>
    <v>274.35000000000002</v>
    <v>270</v>
    <v>259.82</v>
    <v>257.95</v>
    <v>263.56</v>
    <v>262.75</v>
    <v>273.70999999999998</v>
    <v>267.25</v>
    <v>265.12</v>
    <v>261.10000000000002</v>
    <v>269.89</v>
    <v>270.43</v>
    <v>278.36</v>
    <v>278.68</v>
    <v>278.64</v>
    <v>282.5</v>
    <v>278.2</v>
    <v>266.83</v>
    <v>274.17</v>
    <v>272.92</v>
    <v>272.88</v>
    <v>273.43</v>
    <v>278.42</v>
    <v>279.52</v>
    <v>282.41000000000003</v>
    <v>276.75</v>
    <v>274.77</v>
    <v>280.31</v>
    <v>290.04000000000002</v>
    <v>285.05</v>
    <v>298.95999999999998</v>
    <v>299.05</v>
    <v>293.90499999999997</v>
    <v>285.97000000000003</v>
    <v>284.75</v>
    <v>264.57</v>
    <v>259.89</v>
    <v>259.52999999999997</v>
    <v>262.8</v>
    <v>254.71</v>
    <v>262.11</v>
    <v>263.45999999999998</v>
    <v>263.88</v>
    <v>261.62</v>
    <v>263.27</v>
    <v>260.43</v>
    <v>264.58</v>
    <v>254.02</v>
    <v>258.92</v>
    <v>257.49</v>
    <v>267.62</v>
    <v>300.39999999999998</v>
    <v>299.58999999999997</v>
    <v>285.07</v>
    <v>298.07</v>
    <v>293.89</v>
    <v>295.79000000000002</v>
    <v>279.54000000000002</v>
    <v>275</v>
    <v>271.37</v>
    <v>263.19</v>
    <v>258.83999999999997</v>
    <v>270.74</v>
    <v>255.21</v>
    <v>253.45</v>
  </a>
  <a r="1" c="252">
    <v>365.8</v>
    <v>389.19</v>
    <v>391.15</v>
    <v>384.95</v>
    <v>401.43</v>
    <v>382.48</v>
    <v>377</v>
    <v>377.71</v>
    <v>362.82</v>
    <v>363.25</v>
    <v>351.3</v>
    <v>358.39</v>
    <v>360.93</v>
    <v>351.67</v>
    <v>354.02</v>
    <v>335.74</v>
    <v>338.52</v>
    <v>338.67</v>
    <v>339.35</v>
    <v>357.48</v>
    <v>345.78</v>
    <v>338.11</v>
    <v>354.10500000000002</v>
    <v>351.59500000000003</v>
    <v>359.09</v>
    <v>364.36</v>
    <v>359.05</v>
    <v>363.67</v>
    <v>361.26</v>
    <v>368.62</v>
    <v>359.82</v>
    <v>357.67</v>
    <v>359.15</v>
    <v>362.07</v>
    <v>378.6</v>
    <v>351.98</v>
    <v>357.14</v>
    <v>365.625</v>
    <v>340.97</v>
    <v>361.05</v>
    <v>355.4</v>
    <v>357.81</v>
    <v>361.33</v>
    <v>363.95</v>
    <v>360.46</v>
    <v>358.33</v>
    <v>357.12</v>
    <v>353.27</v>
    <v>366.25</v>
    <v>354.94</v>
    <v>354.58</v>
    <v>338.63</v>
    <v>322.54000000000002</v>
    <v>342.52</v>
    <v>335.86</v>
    <v>333.53</v>
    <v>330.38</v>
    <v>341.2</v>
    <v>307.70999999999998</v>
    <v>295.39999999999998</v>
    <v>294.37</v>
    <v>287.35000000000002</v>
    <v>289.06</v>
    <v>285.27</v>
    <v>288.76</v>
    <v>287.95</v>
    <v>287.45</v>
    <v>280.68</v>
    <v>270.88</v>
    <v>268.45</v>
    <v>250.46</v>
    <v>247.06</v>
    <v>261.42</v>
    <v>272.14999999999998</v>
    <v>271.14</v>
    <v>276.85000000000002</v>
    <v>276.12</v>
    <v>288.43</v>
    <v>303.01</v>
    <v>294.05</v>
    <v>291.66000000000003</v>
    <v>294.83999999999997</v>
    <v>293.8</v>
    <v>312.64</v>
    <v>325.83999999999997</v>
    <v>323.56</v>
    <v>329.88</v>
    <v>327.16000000000003</v>
    <v>324.87</v>
    <v>322.85000000000002</v>
    <v>332.07</v>
    <v>319.06</v>
    <v>322.99</v>
    <v>317.08999999999997</v>
    <v>300.69</v>
    <v>301.55</v>
    <v>301.77</v>
    <v>305.58</v>
    <v>307.69</v>
    <v>317.22000000000003</v>
    <v>316.47000000000003</v>
    <v>281.99</v>
    <v>289.76</v>
    <v>294.85000000000002</v>
    <v>303.32</v>
    <v>295.19</v>
    <v>301.49</v>
    <v>298.61</v>
    <v>279.25</v>
    <v>279.45999999999998</v>
    <v>272.82</v>
    <v>275.16000000000003</v>
    <v>272.58</v>
    <v>284.27</v>
    <v>280.25</v>
    <v>286.5</v>
    <v>291.72000000000003</v>
    <v>296.61</v>
    <v>294.73</v>
    <v>299.14</v>
    <v>296.20999999999998</v>
    <v>287.56</v>
    <v>277.7</v>
    <v>287.16000000000003</v>
    <v>292.77</v>
    <v>313.52999999999997</v>
    <v>315.17</v>
    <v>305.70999999999998</v>
    <v>297</v>
    <v>313</v>
    <v>307.81</v>
    <v>321.05</v>
    <v>320.42</v>
    <v>322.77999999999997</v>
    <v>311.27999999999997</v>
    <v>303.63</v>
    <v>299.69</v>
    <v>293.60000000000002</v>
    <v>274.89</v>
    <v>275.26</v>
    <v>267.2</v>
    <v>262</v>
    <v>260.67</v>
    <v>281.26</v>
    <v>285.83</v>
    <v>294.07</v>
    <v>301.57</v>
    <v>288.68</v>
    <v>286.31</v>
    <v>287.75</v>
    <v>265.7</v>
    <v>272.64999999999998</v>
    <v>267.24</v>
    <v>264.58999999999997</v>
    <v>254.83</v>
    <v>250.67</v>
    <v>251.65</v>
    <v>242.3</v>
    <v>246.71</v>
    <v>253.76</v>
    <v>262.35000000000002</v>
    <v>268</v>
    <v>267.17</v>
    <v>274.06</v>
    <v>275.52999999999997</v>
    <v>270.26</v>
    <v>267.97000000000003</v>
    <v>268.69</v>
    <v>264.02</v>
    <v>259.32</v>
    <v>248.37</v>
    <v>236.5</v>
    <v>239.25</v>
    <v>245.87</v>
    <v>239.71</v>
    <v>244.52</v>
    <v>250.74</v>
    <v>251.38</v>
    <v>257.57</v>
    <v>256.43</v>
    <v>258.11500000000001</v>
    <v>251.77</v>
    <v>252.39</v>
    <v>253.5</v>
    <v>262.22000000000003</v>
    <v>274.89999999999998</v>
    <v>275.60000000000002</v>
    <v>274.35000000000002</v>
    <v>270</v>
    <v>259.82</v>
    <v>257.95</v>
    <v>263.56</v>
    <v>262.75</v>
    <v>273.70999999999998</v>
    <v>267.25</v>
    <v>265.12</v>
    <v>261.10000000000002</v>
    <v>269.89</v>
    <v>270.43</v>
    <v>278.36</v>
    <v>278.68</v>
    <v>278.64</v>
    <v>282.5</v>
    <v>278.2</v>
    <v>266.83</v>
    <v>274.17</v>
    <v>272.92</v>
    <v>272.88</v>
    <v>273.43</v>
    <v>278.42</v>
    <v>279.52</v>
    <v>282.41000000000003</v>
    <v>276.75</v>
    <v>274.77</v>
    <v>280.31</v>
    <v>290.04000000000002</v>
    <v>285.05</v>
    <v>298.95999999999998</v>
    <v>299.05</v>
    <v>293.90499999999997</v>
    <v>285.97000000000003</v>
    <v>284.75</v>
    <v>264.57</v>
    <v>259.89</v>
    <v>259.52999999999997</v>
    <v>262.8</v>
    <v>254.71</v>
    <v>262.11</v>
    <v>263.45999999999998</v>
    <v>263.88</v>
    <v>261.62</v>
    <v>263.27</v>
    <v>260.43</v>
    <v>264.58</v>
    <v>254.02</v>
    <v>258.92</v>
    <v>257.49</v>
    <v>267.62</v>
    <v>300.39999999999998</v>
    <v>299.58999999999997</v>
    <v>285.07</v>
    <v>298.07</v>
    <v>293.89</v>
    <v>295.79000000000002</v>
    <v>279.54000000000002</v>
    <v>275</v>
    <v>271.37</v>
    <v>263.19</v>
    <v>258.83999999999997</v>
    <v>270.74</v>
    <v>255.21</v>
    <v>253.45</v>
  </a>
  <a r="1" c="254">
    <v>163.05000000000001</v>
    <v>162.94</v>
    <v>163.08000000000001</v>
    <v>163.12</v>
    <v>163.19999999999999</v>
    <v>162.80000000000001</v>
    <v>163.02000000000001</v>
    <v>162.61000000000001</v>
    <v>162.74</v>
    <v>162.49</v>
    <v>162.53</v>
    <v>162.41</v>
    <v>162.74</v>
    <v>162.72</v>
    <v>162.97</v>
    <v>162.43</v>
    <v>162.29</v>
    <v>162.41999999999999</v>
    <v>162.25</v>
    <v>162.33000000000001</v>
    <v>162.46</v>
    <v>162.21</v>
    <v>162.66999999999999</v>
    <v>162.75</v>
    <v>162.66</v>
    <v>162.77000000000001</v>
    <v>162.71</v>
    <v>162.59</v>
    <v>162.69999999999999</v>
    <v>162.85</v>
    <v>162.57</v>
    <v>162.28</v>
    <v>161.80000000000001</v>
    <v>161.80000000000001</v>
    <v>161.78</v>
    <v>162.03</v>
    <v>161.94999999999999</v>
    <v>162.16999999999999</v>
    <v>162.12</v>
    <v>162.02000000000001</v>
    <v>162.12</v>
    <v>161.88999999999999</v>
    <v>161.79</v>
    <v>162.09</v>
    <v>162.44999999999999</v>
    <v>162.34</v>
    <v>162.26</v>
    <v>162.25</v>
    <v>162.65</v>
    <v>162.80000000000001</v>
    <v>162.79</v>
    <v>162.82</v>
    <v>163.09</v>
    <v>162.94</v>
    <v>163.08000000000001</v>
    <v>163.26</v>
    <v>163.16</v>
    <v>163.13</v>
    <v>162.94</v>
    <v>162.91999999999999</v>
    <v>163.05000000000001</v>
    <v>162.97</v>
    <v>163.36000000000001</v>
    <v>163.38</v>
    <v>163.44</v>
    <v>163.63999999999999</v>
    <v>163.63</v>
    <v>163.55000000000001</v>
    <v>163.53</v>
    <v>163.63</v>
    <v>163.62</v>
    <v>163.68</v>
    <v>163.84</v>
    <v>163.92</v>
    <v>163.84</v>
    <v>163.9</v>
    <v>164.04</v>
    <v>164.04</v>
    <v>163.98</v>
    <v>164.03</v>
    <v>164.12</v>
    <v>164.2</v>
    <v>164.4</v>
    <v>164.3</v>
    <v>164.32</v>
    <v>164.34</v>
    <v>164.48</v>
    <v>164.05</v>
    <v>163.19</v>
    <v>163.86</v>
    <v>162.81</v>
    <v>162.55000000000001</v>
    <v>162.47</v>
    <v>162.99</v>
    <v>162.11000000000001</v>
    <v>161.66</v>
    <v>161.41999999999999</v>
    <v>161.68</v>
    <v>162.06</v>
    <v>161.84</v>
    <v>161.37</v>
    <v>160.59</v>
    <v>160.94</v>
    <v>160.71</v>
    <v>161.44</v>
    <v>160.44</v>
    <v>160.19999999999999</v>
    <v>160.5</v>
    <v>160.77000000000001</v>
    <v>161.49</v>
    <v>161.6</v>
    <v>160.75</v>
    <v>162.69</v>
    <v>162.52000000000001</v>
    <v>162.06</v>
    <v>161.74</v>
    <v>162.5</v>
    <v>162.51</v>
    <v>162.55000000000001</v>
    <v>163.36000000000001</v>
    <v>163.16</v>
    <v>162.75</v>
    <v>162.6</v>
    <v>162.6</v>
    <v>162.43</v>
    <v>162.18</v>
    <v>161.96</v>
    <v>161.77000000000001</v>
    <v>162.36000000000001</v>
    <v>161.91999999999999</v>
    <v>162.06</v>
    <v>162.75</v>
    <v>162.66999999999999</v>
    <v>162.75</v>
    <v>162.4</v>
    <v>162.15</v>
    <v>162.11000000000001</v>
    <v>162.52000000000001</v>
    <v>161.97999999999999</v>
    <v>161.97</v>
    <v>161.66999999999999</v>
    <v>162.38999999999999</v>
    <v>162.4</v>
    <v>162.80000000000001</v>
    <v>163.6</v>
    <v>163.22</v>
    <v>163.26</v>
    <v>163.47</v>
    <v>163.92</v>
    <v>163.33000000000001</v>
    <v>163.59</v>
    <v>163.25</v>
    <v>163.41999999999999</v>
    <v>163.16</v>
    <v>163.07</v>
    <v>163</v>
    <v>162.91999999999999</v>
    <v>163.27000000000001</v>
    <v>163.51</v>
    <v>164</v>
    <v>163.98</v>
    <v>164.06</v>
    <v>163.93</v>
    <v>163.59</v>
    <v>163.89</v>
    <v>164.05</v>
    <v>164.31</v>
    <v>164.46</v>
    <v>164.6</v>
    <v>164.37</v>
    <v>164.49</v>
    <v>164.54</v>
    <v>164.51</v>
    <v>164.35</v>
    <v>164.38</v>
    <v>163.98</v>
    <v>163.24</v>
    <v>163.62</v>
    <v>163.78</v>
    <v>163.41</v>
    <v>163.33000000000001</v>
    <v>163.30000000000001</v>
    <v>163.11000000000001</v>
    <v>163.07</v>
    <v>163.07</v>
    <v>162.93</v>
    <v>162.82</v>
    <v>162.33000000000001</v>
    <v>162.75</v>
    <v>163.06</v>
    <v>163.31</v>
    <v>162.75</v>
    <v>163.04</v>
    <v>162.76</v>
    <v>163.31</v>
    <v>163.68</v>
    <v>163.66</v>
    <v>163.59</v>
    <v>163.54</v>
    <v>163.27000000000001</v>
    <v>163.44</v>
    <v>163.44</v>
    <v>163.52000000000001</v>
    <v>163.27000000000001</v>
    <v>163.15</v>
    <v>162.72999999999999</v>
    <v>162.80000000000001</v>
    <v>162.88</v>
    <v>162.88</v>
    <v>162.94</v>
    <v>163.22999999999999</v>
    <v>163.07</v>
    <v>162.91</v>
    <v>162.56</v>
    <v>162.29</v>
    <v>162.25</v>
    <v>161.88</v>
    <v>162.22</v>
    <v>162.33000000000001</v>
    <v>162.08000000000001</v>
    <v>162.19</v>
    <v>161.53</v>
    <v>160.83000000000001</v>
    <v>160.84</v>
    <v>160.33000000000001</v>
    <v>160.35</v>
    <v>160.63999999999999</v>
    <v>160.97999999999999</v>
    <v>160.55000000000001</v>
    <v>161.09</v>
    <v>160.97</v>
    <v>160.24</v>
    <v>159.75</v>
    <v>159.84</v>
    <v>159.66999999999999</v>
    <v>159.78</v>
    <v>160.22</v>
    <v>160.41999999999999</v>
    <v>160.59</v>
    <v>160.72999999999999</v>
    <v>160.97</v>
    <v>160.86000000000001</v>
    <v>160.69999999999999</v>
    <v>160.82</v>
    <v>160.82</v>
    <v>160.99</v>
    <v>161.22</v>
    <v>161.47</v>
    <v>161.55000000000001</v>
    <v>161.08000000000001</v>
    <v>161.31</v>
    <v>161.03</v>
    <v>160.88</v>
    <v>160.77000000000001</v>
  </a>
  <a r="1" c="208">
    <v>162.26</v>
    <v>162.25</v>
    <v>162.65</v>
    <v>162.80000000000001</v>
    <v>162.79</v>
    <v>162.82</v>
    <v>163.09</v>
    <v>162.94</v>
    <v>163.08000000000001</v>
    <v>163.26</v>
    <v>163.16</v>
    <v>163.13</v>
    <v>162.94</v>
    <v>162.91999999999999</v>
    <v>163.05000000000001</v>
    <v>162.97</v>
    <v>163.36000000000001</v>
    <v>163.38</v>
    <v>163.44</v>
    <v>163.63999999999999</v>
    <v>163.63</v>
    <v>163.55000000000001</v>
    <v>163.53</v>
    <v>163.63</v>
    <v>163.62</v>
    <v>163.68</v>
    <v>163.84</v>
    <v>163.92</v>
    <v>163.84</v>
    <v>163.9</v>
    <v>164.04</v>
    <v>164.04</v>
    <v>163.98</v>
    <v>164.03</v>
    <v>164.12</v>
    <v>164.2</v>
    <v>164.4</v>
    <v>164.3</v>
    <v>164.32</v>
    <v>164.34</v>
    <v>164.48</v>
    <v>164.05</v>
    <v>163.19</v>
    <v>163.86</v>
    <v>162.81</v>
    <v>162.55000000000001</v>
    <v>162.47</v>
    <v>162.99</v>
    <v>162.11000000000001</v>
    <v>161.66</v>
    <v>161.41999999999999</v>
    <v>161.68</v>
    <v>162.06</v>
    <v>161.84</v>
    <v>161.37</v>
    <v>160.59</v>
    <v>160.94</v>
    <v>160.71</v>
    <v>161.44</v>
    <v>160.44</v>
    <v>160.19999999999999</v>
    <v>160.5</v>
    <v>160.77000000000001</v>
    <v>161.49</v>
    <v>161.6</v>
    <v>160.75</v>
    <v>162.69</v>
    <v>162.52000000000001</v>
    <v>162.06</v>
    <v>161.74</v>
    <v>162.5</v>
    <v>162.51</v>
    <v>162.55000000000001</v>
    <v>163.36000000000001</v>
    <v>163.16</v>
    <v>162.75</v>
    <v>162.6</v>
    <v>162.6</v>
    <v>162.43</v>
    <v>162.18</v>
    <v>161.96</v>
    <v>161.77000000000001</v>
    <v>162.36000000000001</v>
    <v>161.91999999999999</v>
    <v>162.06</v>
    <v>162.75</v>
    <v>162.66999999999999</v>
    <v>162.75</v>
    <v>162.4</v>
    <v>162.15</v>
    <v>162.11000000000001</v>
    <v>162.52000000000001</v>
    <v>161.97999999999999</v>
    <v>161.97</v>
    <v>161.66999999999999</v>
    <v>162.38999999999999</v>
    <v>162.4</v>
    <v>162.80000000000001</v>
    <v>163.6</v>
    <v>163.22</v>
    <v>163.26</v>
    <v>163.47</v>
    <v>163.92</v>
    <v>163.33000000000001</v>
    <v>163.59</v>
    <v>163.25</v>
    <v>163.41999999999999</v>
    <v>163.16</v>
    <v>163.07</v>
    <v>163</v>
    <v>162.91999999999999</v>
    <v>163.27000000000001</v>
    <v>163.51</v>
    <v>164</v>
    <v>163.98</v>
    <v>164.06</v>
    <v>163.93</v>
    <v>163.59</v>
    <v>163.89</v>
    <v>164.05</v>
    <v>164.31</v>
    <v>164.46</v>
    <v>164.6</v>
    <v>164.37</v>
    <v>164.49</v>
    <v>164.54</v>
    <v>164.51</v>
    <v>164.35</v>
    <v>164.38</v>
    <v>163.98</v>
    <v>163.24</v>
    <v>163.62</v>
    <v>163.78</v>
    <v>163.41</v>
    <v>163.33000000000001</v>
    <v>163.30000000000001</v>
    <v>163.11000000000001</v>
    <v>163.07</v>
    <v>163.07</v>
    <v>162.93</v>
    <v>162.82</v>
    <v>162.33000000000001</v>
    <v>162.75</v>
    <v>163.06</v>
    <v>163.31</v>
    <v>162.75</v>
    <v>163.04</v>
    <v>162.76</v>
    <v>163.31</v>
    <v>163.68</v>
    <v>163.66</v>
    <v>163.59</v>
    <v>163.54</v>
    <v>163.27000000000001</v>
    <v>163.44</v>
    <v>163.44</v>
    <v>163.52000000000001</v>
    <v>163.27000000000001</v>
    <v>163.15</v>
    <v>162.72999999999999</v>
    <v>162.80000000000001</v>
    <v>162.88</v>
    <v>162.88</v>
    <v>162.94</v>
    <v>163.22999999999999</v>
    <v>163.07</v>
    <v>162.91</v>
    <v>162.56</v>
    <v>162.29</v>
    <v>162.25</v>
    <v>161.88</v>
    <v>162.22</v>
    <v>162.33000000000001</v>
    <v>162.08000000000001</v>
    <v>162.19</v>
    <v>161.53</v>
    <v>160.83000000000001</v>
    <v>160.84</v>
    <v>160.33000000000001</v>
    <v>160.35</v>
    <v>160.63999999999999</v>
    <v>160.97999999999999</v>
    <v>160.55000000000001</v>
    <v>161.09</v>
    <v>160.97</v>
    <v>160.24</v>
    <v>159.75</v>
    <v>159.84</v>
    <v>159.66999999999999</v>
    <v>159.78</v>
    <v>160.22</v>
    <v>160.41999999999999</v>
    <v>160.59</v>
    <v>160.72999999999999</v>
    <v>160.97</v>
    <v>160.86000000000001</v>
    <v>160.69999999999999</v>
    <v>160.82</v>
    <v>160.82</v>
    <v>160.99</v>
    <v>161.22</v>
    <v>161.47</v>
    <v>161.55000000000001</v>
    <v>161.08000000000001</v>
    <v>161.31</v>
    <v>161.03</v>
    <v>160.88</v>
    <v>160.77000000000001</v>
  </a>
  <a r="1" c="761">
    <v>142.4</v>
    <v>142.79</v>
    <v>142.62</v>
    <v>142.76</v>
    <v>142.96</v>
    <v>143.19</v>
    <v>143.55000000000001</v>
    <v>143.94999999999999</v>
    <v>144.37</v>
    <v>144.76</v>
    <v>144.30000000000001</v>
    <v>144.47999999999999</v>
    <v>144.78</v>
    <v>144.9</v>
    <v>144.36000000000001</v>
    <v>144.44999999999999</v>
    <v>145.53</v>
    <v>145.37</v>
    <v>145.47999999999999</v>
    <v>145.5</v>
    <v>145.34</v>
    <v>145.62</v>
    <v>145.55000000000001</v>
    <v>145.38999999999999</v>
    <v>145.26</v>
    <v>145.88999999999999</v>
    <v>146.32</v>
    <v>147.1</v>
    <v>147.06</v>
    <v>147.93</v>
    <v>148</v>
    <v>148.52000000000001</v>
    <v>148.75</v>
    <v>148.69999999999999</v>
    <v>148.35</v>
    <v>148.31</v>
    <v>148.55000000000001</v>
    <v>148.91</v>
    <v>149.85</v>
    <v>150.53</v>
    <v>150.1</v>
    <v>150.62</v>
    <v>150.83000000000001</v>
    <v>151.09</v>
    <v>151.25</v>
    <v>151.41</v>
    <v>151.47</v>
    <v>150.91999999999999</v>
    <v>150.44999999999999</v>
    <v>150.37</v>
    <v>149.81</v>
    <v>149.52000000000001</v>
    <v>149.84</v>
    <v>149.5</v>
    <v>149.51</v>
    <v>149.6</v>
    <v>150.25</v>
    <v>149.81</v>
    <v>149.84</v>
    <v>149.05000000000001</v>
    <v>149.25</v>
    <v>149.29</v>
    <v>149.58000000000001</v>
    <v>149.44</v>
    <v>149.63</v>
    <v>150.13</v>
    <v>150.15</v>
    <v>150.56</v>
    <v>150.27000000000001</v>
    <v>150.87</v>
    <v>150.97999999999999</v>
    <v>150.19999999999999</v>
    <v>149.88999999999999</v>
    <v>150</v>
    <v>149.85</v>
    <v>149.53</v>
    <v>149.44</v>
    <v>149.57</v>
    <v>149.41</v>
    <v>149.75</v>
    <v>149.71</v>
    <v>149.56</v>
    <v>149.63</v>
    <v>149.91</v>
    <v>149.41999999999999</v>
    <v>149.63999999999999</v>
    <v>149.99</v>
    <v>149.6</v>
    <v>149.43</v>
    <v>149.31</v>
    <v>149.68</v>
    <v>149.77000000000001</v>
    <v>149.82</v>
    <v>150.16</v>
    <v>150.03</v>
    <v>150.62</v>
    <v>151.07</v>
    <v>150.84</v>
    <v>150.84</v>
    <v>150.91</v>
    <v>150.5</v>
    <v>150.15</v>
    <v>150.28</v>
    <v>150.27000000000001</v>
    <v>150.28</v>
    <v>150.74</v>
    <v>151.19999999999999</v>
    <v>150.78</v>
    <v>151.05000000000001</v>
    <v>151.38999999999999</v>
    <v>151.43</v>
    <v>151.09</v>
    <v>151.38</v>
    <v>151.74</v>
    <v>151.33000000000001</v>
    <v>151.22</v>
    <v>151.58000000000001</v>
    <v>151.09</v>
    <v>150.71</v>
    <v>151.27000000000001</v>
    <v>150.69</v>
    <v>150.22999999999999</v>
    <v>150.44</v>
    <v>150.49</v>
    <v>150.22999999999999</v>
    <v>150.53</v>
    <v>150.80000000000001</v>
    <v>150.03</v>
    <v>149.84</v>
    <v>150.28</v>
    <v>150.58000000000001</v>
    <v>150.13999999999999</v>
    <v>150.58000000000001</v>
    <v>150.88</v>
    <v>151.16999999999999</v>
    <v>151.47</v>
    <v>151.19999999999999</v>
    <v>151.01</v>
    <v>150.78</v>
    <v>151.02000000000001</v>
    <v>150.58000000000001</v>
    <v>151.61000000000001</v>
    <v>151.46</v>
    <v>150.9</v>
    <v>151.04</v>
    <v>151.18</v>
    <v>151.03</v>
    <v>150.61000000000001</v>
    <v>150.59</v>
    <v>151.1</v>
    <v>150.6</v>
    <v>150.16999999999999</v>
    <v>150.41999999999999</v>
    <v>150.6</v>
    <v>150.62</v>
    <v>151.29</v>
    <v>151.44999999999999</v>
    <v>151.30000000000001</v>
    <v>150.93</v>
    <v>150.37</v>
    <v>150.63</v>
    <v>151.16999999999999</v>
    <v>151.16999999999999</v>
    <v>151.46</v>
    <v>151.18</v>
    <v>151.72</v>
    <v>151.34</v>
    <v>151.57</v>
    <v>151.94999999999999</v>
    <v>151.5</v>
    <v>151.96</v>
    <v>151.38</v>
    <v>151.9</v>
    <v>151.74</v>
    <v>151.34</v>
    <v>151.44</v>
    <v>151.87</v>
    <v>151.66</v>
    <v>151.69</v>
    <v>152.25</v>
    <v>152.13999999999999</v>
    <v>152.19</v>
    <v>152.82</v>
    <v>152.63</v>
    <v>152.41999999999999</v>
    <v>152.93</v>
    <v>153.19999999999999</v>
    <v>153.13999999999999</v>
    <v>153.1</v>
    <v>152.51</v>
    <v>153.19</v>
    <v>153.16</v>
    <v>153.15</v>
    <v>153.83000000000001</v>
    <v>153.61000000000001</v>
    <v>153.83000000000001</v>
    <v>153.93</v>
    <v>154.4</v>
    <v>154.62</v>
    <v>153.56</v>
    <v>153.85</v>
    <v>153.97</v>
    <v>154.01</v>
    <v>154.19999999999999</v>
    <v>153.85</v>
    <v>154.22</v>
    <v>154.49</v>
    <v>154.27000000000001</v>
    <v>154.35</v>
    <v>154.72999999999999</v>
    <v>154.78</v>
    <v>154.47999999999999</v>
    <v>154.83000000000001</v>
    <v>154.65</v>
    <v>154.30000000000001</v>
    <v>154.30000000000001</v>
    <v>154.30000000000001</v>
    <v>154.25</v>
    <v>154.57</v>
    <v>154.52000000000001</v>
    <v>154.62</v>
    <v>154.96</v>
    <v>155.46</v>
    <v>155.44</v>
    <v>155.26</v>
    <v>155.28</v>
    <v>155.44999999999999</v>
    <v>155.74</v>
    <v>156.07</v>
    <v>155.63999999999999</v>
    <v>155.30000000000001</v>
    <v>155.82</v>
    <v>155.75</v>
    <v>155.77000000000001</v>
    <v>156.41999999999999</v>
    <v>155.84</v>
    <v>155.97</v>
    <v>156.59</v>
    <v>156.16999999999999</v>
    <v>156.80000000000001</v>
    <v>156.59</v>
    <v>156.6</v>
    <v>156.29</v>
    <v>156.13</v>
    <v>155.63</v>
    <v>155.85</v>
    <v>155.81</v>
    <v>155.84</v>
    <v>155.91</v>
    <v>156.44</v>
    <v>156.84</v>
    <v>156.85</v>
    <v>157.11000000000001</v>
    <v>156.47</v>
    <v>156.36000000000001</v>
    <v>156.44</v>
    <v>156.74</v>
    <v>156.65</v>
    <v>156.82</v>
    <v>156.41</v>
    <v>156.27000000000001</v>
    <v>155.83000000000001</v>
    <v>155.88</v>
    <v>156.4</v>
    <v>155.80000000000001</v>
    <v>156.53</v>
    <v>156.16</v>
    <v>156.63</v>
    <v>157</v>
    <v>156.76</v>
    <v>156.68</v>
    <v>157.13999999999999</v>
    <v>156.68</v>
    <v>156.65</v>
    <v>157</v>
    <v>156.69999999999999</v>
    <v>156.85</v>
    <v>157.1</v>
    <v>157.84</v>
    <v>157.66</v>
    <v>158.26</v>
    <v>158.32</v>
    <v>158.85</v>
    <v>159.08000000000001</v>
    <v>158.53</v>
    <v>158.97</v>
    <v>158.74</v>
    <v>159.09</v>
    <v>159.16</v>
    <v>159.06</v>
    <v>158.94</v>
    <v>158.84</v>
    <v>158.28</v>
    <v>158.24</v>
    <v>158.1</v>
    <v>157.94999999999999</v>
    <v>157.63</v>
    <v>157.63999999999999</v>
    <v>157.75</v>
    <v>157.21</v>
    <v>157.32</v>
    <v>157.84</v>
    <v>157.28</v>
    <v>156.97</v>
    <v>156.80000000000001</v>
    <v>156.5</v>
    <v>156.63</v>
    <v>156.22</v>
    <v>156.18</v>
    <v>156.08000000000001</v>
    <v>157.03</v>
    <v>156.94</v>
    <v>157.35</v>
    <v>157.27000000000001</v>
    <v>157.52000000000001</v>
    <v>157.13</v>
    <v>157.31</v>
    <v>156.99</v>
    <v>157.26</v>
    <v>157.35</v>
    <v>157.34</v>
    <v>158.06</v>
    <v>158.47</v>
    <v>158.69</v>
    <v>158.66</v>
    <v>159.30000000000001</v>
    <v>158.84</v>
    <v>158.68</v>
    <v>159.27000000000001</v>
    <v>158.46</v>
    <v>158.52000000000001</v>
    <v>159</v>
    <v>158.88</v>
    <v>158.88999999999999</v>
    <v>158.65</v>
    <v>158.22</v>
    <v>158.35</v>
    <v>159.21</v>
    <v>158.88999999999999</v>
    <v>158.75</v>
    <v>159.08000000000001</v>
    <v>159.05000000000001</v>
    <v>159.38</v>
    <v>159.12</v>
    <v>158.82</v>
    <v>157.62</v>
    <v>156.79</v>
    <v>157.24</v>
    <v>157.28</v>
    <v>157.18</v>
    <v>156.83000000000001</v>
    <v>156.62</v>
    <v>156.71</v>
    <v>157.16</v>
    <v>157.03</v>
    <v>157.09</v>
    <v>157.54</v>
    <v>157.38999999999999</v>
    <v>157.44</v>
    <v>157.49</v>
    <v>157.43</v>
    <v>157.38</v>
    <v>157.71</v>
    <v>157.75</v>
    <v>157.93</v>
    <v>157.74</v>
    <v>157.80000000000001</v>
    <v>157.51</v>
    <v>157.88999999999999</v>
    <v>157.11000000000001</v>
    <v>156.47999999999999</v>
    <v>157.22999999999999</v>
    <v>157.75</v>
    <v>157.63999999999999</v>
    <v>158.44</v>
    <v>158.81</v>
    <v>158.77000000000001</v>
    <v>159.24</v>
    <v>159.27000000000001</v>
    <v>159.56</v>
    <v>159.32</v>
    <v>159.02000000000001</v>
    <v>159.22999999999999</v>
    <v>159.41</v>
    <v>159.15</v>
    <v>159.04</v>
    <v>159.02000000000001</v>
    <v>159.41</v>
    <v>159.41</v>
    <v>159.35</v>
    <v>158.56</v>
    <v>158.84</v>
    <v>158.62</v>
    <v>158.97999999999999</v>
    <v>159.34</v>
    <v>159.31</v>
    <v>159.41</v>
    <v>159.35</v>
    <v>158.94</v>
    <v>159.55000000000001</v>
    <v>159.44</v>
    <v>159.82</v>
    <v>159.72999999999999</v>
    <v>160.13</v>
    <v>159.87</v>
    <v>160.24</v>
    <v>160.27000000000001</v>
    <v>159.99</v>
    <v>159.93</v>
    <v>159.99</v>
    <v>160.22</v>
    <v>160.41</v>
    <v>160.5</v>
    <v>160.59</v>
    <v>160.13</v>
    <v>160.38999999999999</v>
    <v>160.22</v>
    <v>160.25</v>
    <v>160.16</v>
    <v>160.5</v>
    <v>160.30000000000001</v>
    <v>160.63999999999999</v>
    <v>160.37</v>
    <v>160.66</v>
    <v>160.44999999999999</v>
    <v>160.49</v>
    <v>161.04</v>
    <v>160.97999999999999</v>
    <v>161.21</v>
    <v>161.32</v>
    <v>161.08000000000001</v>
    <v>160.96</v>
    <v>161</v>
    <v>160.9</v>
    <v>160.77000000000001</v>
    <v>160.71</v>
    <v>160.97</v>
    <v>160.84</v>
    <v>160.88</v>
    <v>161.06</v>
    <v>161.4</v>
    <v>161.58000000000001</v>
    <v>161.72999999999999</v>
    <v>161.21</v>
    <v>161.15</v>
    <v>161.31</v>
    <v>161.44999999999999</v>
    <v>161.26</v>
    <v>161.26</v>
    <v>161.09</v>
    <v>161.51</v>
    <v>161.74</v>
    <v>161.68</v>
    <v>161.66999999999999</v>
    <v>161.34</v>
    <v>161.36000000000001</v>
    <v>161.26</v>
    <v>161.62</v>
    <v>161.66</v>
    <v>161.18</v>
    <v>161.33000000000001</v>
    <v>161.61000000000001</v>
    <v>161.07</v>
    <v>161.51</v>
    <v>161.19</v>
    <v>161.41</v>
    <v>161.38999999999999</v>
    <v>161.38</v>
    <v>161.18</v>
    <v>161.18</v>
    <v>160.77000000000001</v>
    <v>161.1</v>
    <v>161.25</v>
    <v>161.88</v>
    <v>162.07</v>
    <v>161.76</v>
    <v>161.80000000000001</v>
    <v>162.12</v>
    <v>161.69999999999999</v>
    <v>161.94999999999999</v>
    <v>161.84</v>
    <v>162.01</v>
    <v>161.93</v>
    <v>161.72999999999999</v>
    <v>161.86000000000001</v>
    <v>161.80000000000001</v>
    <v>161.72</v>
    <v>161.54</v>
    <v>161.81</v>
    <v>161.9</v>
    <v>161.99</v>
    <v>162.21</v>
    <v>162.15</v>
    <v>162.32</v>
    <v>162.11000000000001</v>
    <v>162.26</v>
    <v>162.5</v>
    <v>162.24</v>
    <v>162.47</v>
    <v>162.47</v>
    <v>162.6</v>
    <v>163.32</v>
    <v>163.09</v>
    <v>162.77000000000001</v>
    <v>163.03</v>
    <v>163.18</v>
    <v>163.1</v>
    <v>163.05000000000001</v>
    <v>162.94</v>
    <v>163.08000000000001</v>
    <v>163.12</v>
    <v>163.19999999999999</v>
    <v>162.80000000000001</v>
    <v>163.02000000000001</v>
    <v>162.61000000000001</v>
    <v>162.74</v>
    <v>162.49</v>
    <v>162.53</v>
    <v>162.41</v>
    <v>162.74</v>
    <v>162.72</v>
    <v>162.97</v>
    <v>162.43</v>
    <v>162.29</v>
    <v>162.41999999999999</v>
    <v>162.25</v>
    <v>162.33000000000001</v>
    <v>162.46</v>
    <v>162.21</v>
    <v>162.66999999999999</v>
    <v>162.75</v>
    <v>162.66</v>
    <v>162.77000000000001</v>
    <v>162.71</v>
    <v>162.59</v>
    <v>162.69999999999999</v>
    <v>162.85</v>
    <v>162.57</v>
    <v>162.28</v>
    <v>161.80000000000001</v>
    <v>161.80000000000001</v>
    <v>161.78</v>
    <v>162.03</v>
    <v>161.94999999999999</v>
    <v>162.16999999999999</v>
    <v>162.12</v>
    <v>162.02000000000001</v>
    <v>162.12</v>
    <v>161.88999999999999</v>
    <v>161.79</v>
    <v>162.09</v>
    <v>162.44999999999999</v>
    <v>162.34</v>
    <v>162.26</v>
    <v>162.25</v>
    <v>162.65</v>
    <v>162.80000000000001</v>
    <v>162.79</v>
    <v>162.82</v>
    <v>163.09</v>
    <v>162.94</v>
    <v>163.08000000000001</v>
    <v>163.26</v>
    <v>163.16</v>
    <v>163.13</v>
    <v>162.94</v>
    <v>162.91999999999999</v>
    <v>163.05000000000001</v>
    <v>162.97</v>
    <v>163.36000000000001</v>
    <v>163.38</v>
    <v>163.44</v>
    <v>163.63999999999999</v>
    <v>163.63</v>
    <v>163.55000000000001</v>
    <v>163.53</v>
    <v>163.63</v>
    <v>163.62</v>
    <v>163.68</v>
    <v>163.84</v>
    <v>163.92</v>
    <v>163.84</v>
    <v>163.9</v>
    <v>164.04</v>
    <v>164.04</v>
    <v>163.98</v>
    <v>164.03</v>
    <v>164.12</v>
    <v>164.2</v>
    <v>164.4</v>
    <v>164.3</v>
    <v>164.32</v>
    <v>164.34</v>
    <v>164.48</v>
    <v>164.05</v>
    <v>163.19</v>
    <v>163.86</v>
    <v>162.81</v>
    <v>162.55000000000001</v>
    <v>162.47</v>
    <v>162.99</v>
    <v>162.11000000000001</v>
    <v>161.66</v>
    <v>161.41999999999999</v>
    <v>161.68</v>
    <v>162.06</v>
    <v>161.84</v>
    <v>161.37</v>
    <v>160.59</v>
    <v>160.94</v>
    <v>160.71</v>
    <v>161.44</v>
    <v>160.44</v>
    <v>160.19999999999999</v>
    <v>160.5</v>
    <v>160.77000000000001</v>
    <v>161.49</v>
    <v>161.6</v>
    <v>160.75</v>
    <v>162.69</v>
    <v>162.52000000000001</v>
    <v>162.06</v>
    <v>161.74</v>
    <v>162.5</v>
    <v>162.51</v>
    <v>162.55000000000001</v>
    <v>163.36000000000001</v>
    <v>163.16</v>
    <v>162.75</v>
    <v>162.6</v>
    <v>162.6</v>
    <v>162.43</v>
    <v>162.18</v>
    <v>161.96</v>
    <v>161.77000000000001</v>
    <v>162.36000000000001</v>
    <v>161.91999999999999</v>
    <v>162.06</v>
    <v>162.75</v>
    <v>162.66999999999999</v>
    <v>162.75</v>
    <v>162.4</v>
    <v>162.15</v>
    <v>162.11000000000001</v>
    <v>162.52000000000001</v>
    <v>161.97999999999999</v>
    <v>161.97</v>
    <v>161.66999999999999</v>
    <v>162.38999999999999</v>
    <v>162.4</v>
    <v>162.80000000000001</v>
    <v>163.6</v>
    <v>163.22</v>
    <v>163.26</v>
    <v>163.47</v>
    <v>163.92</v>
    <v>163.33000000000001</v>
    <v>163.59</v>
    <v>163.25</v>
    <v>163.41999999999999</v>
    <v>163.16</v>
    <v>163.07</v>
    <v>163</v>
    <v>162.91999999999999</v>
    <v>163.27000000000001</v>
    <v>163.51</v>
    <v>164</v>
    <v>163.98</v>
    <v>164.06</v>
    <v>163.93</v>
    <v>163.59</v>
    <v>163.89</v>
    <v>164.05</v>
    <v>164.31</v>
    <v>164.46</v>
    <v>164.6</v>
    <v>164.37</v>
    <v>164.49</v>
    <v>164.54</v>
    <v>164.51</v>
    <v>164.35</v>
    <v>164.38</v>
    <v>163.98</v>
    <v>163.24</v>
    <v>163.62</v>
    <v>163.78</v>
    <v>163.41</v>
    <v>163.33000000000001</v>
    <v>163.30000000000001</v>
    <v>163.11000000000001</v>
    <v>163.07</v>
    <v>163.07</v>
    <v>162.93</v>
    <v>162.82</v>
    <v>162.33000000000001</v>
    <v>162.75</v>
    <v>163.06</v>
    <v>163.31</v>
    <v>162.75</v>
    <v>163.04</v>
    <v>162.76</v>
    <v>163.31</v>
    <v>163.68</v>
    <v>163.66</v>
    <v>163.59</v>
    <v>163.54</v>
    <v>163.27000000000001</v>
    <v>163.44</v>
    <v>163.44</v>
    <v>163.52000000000001</v>
    <v>163.27000000000001</v>
    <v>163.15</v>
    <v>162.72999999999999</v>
    <v>162.80000000000001</v>
    <v>162.88</v>
    <v>162.88</v>
    <v>162.94</v>
    <v>163.22999999999999</v>
    <v>163.07</v>
    <v>162.91</v>
    <v>162.56</v>
    <v>162.29</v>
    <v>162.25</v>
    <v>161.88</v>
    <v>162.22</v>
    <v>162.33000000000001</v>
    <v>162.08000000000001</v>
    <v>162.19</v>
    <v>161.53</v>
    <v>160.83000000000001</v>
    <v>160.84</v>
    <v>160.33000000000001</v>
    <v>160.35</v>
    <v>160.63999999999999</v>
    <v>160.97999999999999</v>
    <v>160.55000000000001</v>
    <v>161.09</v>
    <v>160.97</v>
    <v>160.24</v>
    <v>159.75</v>
    <v>159.84</v>
    <v>159.66999999999999</v>
    <v>159.78</v>
    <v>160.22</v>
    <v>160.41999999999999</v>
    <v>160.59</v>
    <v>160.72999999999999</v>
    <v>160.97</v>
    <v>160.86000000000001</v>
    <v>160.69999999999999</v>
    <v>160.82</v>
    <v>160.82</v>
    <v>160.99</v>
    <v>161.22</v>
    <v>161.47</v>
    <v>161.55000000000001</v>
    <v>161.08000000000001</v>
    <v>161.31</v>
    <v>161.03</v>
    <v>160.88</v>
    <v>160.77000000000001</v>
  </a>
  <a r="1" c="208">
    <v>42.19</v>
    <v>42.734999999999999</v>
    <v>42.774999999999999</v>
    <v>42.994999999999997</v>
    <v>42.905000000000001</v>
    <v>43.18</v>
    <v>43.02</v>
    <v>43.04</v>
    <v>42.78</v>
    <v>43.314999999999998</v>
    <v>43.21</v>
    <v>42.465000000000003</v>
    <v>42.155000000000001</v>
    <v>42.44</v>
    <v>42.63</v>
    <v>42.6</v>
    <v>42.37</v>
    <v>42.384999999999998</v>
    <v>42.575000000000003</v>
    <v>42.164999999999999</v>
    <v>42.54</v>
    <v>43.115000000000002</v>
    <v>42.895000000000003</v>
    <v>42.75</v>
    <v>42.384999999999998</v>
    <v>42.865000000000002</v>
    <v>42.86</v>
    <v>42.835000000000001</v>
    <v>42.884999999999998</v>
    <v>42.405000000000001</v>
    <v>42.19</v>
    <v>42.085000000000001</v>
    <v>42.204999999999998</v>
    <v>42.7</v>
    <v>42.625</v>
    <v>42.69</v>
    <v>42.52</v>
    <v>42.805</v>
    <v>43.05</v>
    <v>42.88</v>
    <v>42.465000000000003</v>
    <v>42.765000000000001</v>
    <v>42.664999999999999</v>
    <v>43.015000000000001</v>
    <v>42.8</v>
    <v>42.25</v>
    <v>41.98</v>
    <v>42.54</v>
    <v>42.46</v>
    <v>42.23</v>
    <v>42.185000000000002</v>
    <v>42.284999999999997</v>
    <v>42.414999999999999</v>
    <v>42.17</v>
    <v>41.49</v>
    <v>41.164999999999999</v>
    <v>41.155000000000001</v>
    <v>41.25</v>
    <v>41.375</v>
    <v>40.99</v>
    <v>40.405000000000001</v>
    <v>40.465000000000003</v>
    <v>40.505000000000003</v>
    <v>41.27</v>
    <v>41.325000000000003</v>
    <v>41.1</v>
    <v>42.04</v>
    <v>42.17</v>
    <v>42.35</v>
    <v>42.3</v>
    <v>42.784999999999997</v>
    <v>43.094999999999999</v>
    <v>43.41</v>
    <v>43.94</v>
    <v>43.88</v>
    <v>43.865000000000002</v>
    <v>44.13</v>
    <v>44.17</v>
    <v>44.35</v>
    <v>44.395000000000003</v>
    <v>44.395000000000003</v>
    <v>44.625</v>
    <v>44.51</v>
    <v>44.54</v>
    <v>44.83</v>
    <v>45.414999999999999</v>
    <v>45.515000000000001</v>
    <v>45.555</v>
    <v>45.71</v>
    <v>45.41</v>
    <v>45.91</v>
    <v>46.634999999999998</v>
    <v>46.31</v>
    <v>46.01</v>
    <v>45.975000000000001</v>
    <v>46.21</v>
    <v>46.255000000000003</v>
    <v>46.604999999999997</v>
    <v>46.82</v>
    <v>46.685000000000002</v>
    <v>46.564999999999998</v>
    <v>46.69</v>
    <v>46.8</v>
    <v>46.994999999999997</v>
    <v>47.125</v>
    <v>46.89</v>
    <v>47.125</v>
    <v>46.97</v>
    <v>46.655000000000001</v>
    <v>46.094999999999999</v>
    <v>46.215000000000003</v>
    <v>46.005000000000003</v>
    <v>46.884999999999998</v>
    <v>47.53</v>
    <v>47.424999999999997</v>
    <v>47.24</v>
    <v>47.545000000000002</v>
    <v>47.615000000000002</v>
    <v>47.755000000000003</v>
    <v>47.325000000000003</v>
    <v>47.835000000000001</v>
    <v>47.71</v>
    <v>47.61</v>
    <v>47.585000000000001</v>
    <v>48.045000000000002</v>
    <v>48.125</v>
    <v>47.625</v>
    <v>47.83</v>
    <v>47.87</v>
    <v>47.54</v>
    <v>47.2</v>
    <v>47.71</v>
    <v>47.89</v>
    <v>48.01</v>
    <v>47.924999999999997</v>
    <v>47.884999999999998</v>
    <v>47.935000000000002</v>
    <v>47.48</v>
    <v>47.7</v>
    <v>47.704999999999998</v>
    <v>47.854999999999997</v>
    <v>47.27</v>
    <v>47.59</v>
    <v>47.255000000000003</v>
    <v>47.47</v>
    <v>47.134999999999998</v>
    <v>46.82</v>
    <v>47.38</v>
    <v>48.28</v>
    <v>49.034999999999997</v>
    <v>49.37</v>
    <v>49.225000000000001</v>
    <v>49.295000000000002</v>
    <v>49.255000000000003</v>
    <v>49.27</v>
    <v>49.475000000000001</v>
    <v>49.725000000000001</v>
    <v>49.674999999999997</v>
    <v>49.7</v>
    <v>49.145000000000003</v>
    <v>49.03</v>
    <v>48.66</v>
    <v>48.72</v>
    <v>48.56</v>
    <v>48.725000000000001</v>
    <v>48.844999999999999</v>
    <v>49.185000000000002</v>
    <v>49.564999999999998</v>
    <v>48.935000000000002</v>
    <v>48.77</v>
    <v>49.05</v>
    <v>49.365000000000002</v>
    <v>49.35</v>
    <v>49.24</v>
    <v>49.01</v>
    <v>48.564999999999998</v>
    <v>48.195</v>
    <v>48.6</v>
    <v>48.414999999999999</v>
    <v>48.29</v>
    <v>48.494999999999997</v>
    <v>48.84</v>
    <v>48.88</v>
    <v>49.435000000000002</v>
    <v>49.695</v>
    <v>49.604999999999997</v>
    <v>49.35</v>
    <v>49.655000000000001</v>
    <v>49.575000000000003</v>
    <v>49.695</v>
    <v>49.96</v>
    <v>49.895000000000003</v>
    <v>50.32</v>
    <v>50.8</v>
    <v>51.09</v>
    <v>50.96</v>
    <v>50.87</v>
    <v>51.08</v>
    <v>51.26</v>
    <v>50.96</v>
    <v>51.05</v>
    <v>50.78</v>
    <v>50.51</v>
    <v>50.62</v>
    <v>50.51</v>
    <v>50.65</v>
    <v>50.27</v>
    <v>50.09</v>
  </a>
  <a r="1" c="761">
    <v>28.06</v>
    <v>28.254999999999999</v>
    <v>28.074999999999999</v>
    <v>27.76</v>
    <v>27.62</v>
    <v>27.565000000000001</v>
    <v>27.815000000000001</v>
    <v>28.204999999999998</v>
    <v>28.614999999999998</v>
    <v>28.72</v>
    <v>28.74</v>
    <v>28.995000000000001</v>
    <v>28.925000000000001</v>
    <v>28.96</v>
    <v>29.004999999999999</v>
    <v>29.21</v>
    <v>29.35</v>
    <v>29.4</v>
    <v>29.274999999999999</v>
    <v>29.28</v>
    <v>29.28</v>
    <v>29.324999999999999</v>
    <v>29.61</v>
    <v>29.57</v>
    <v>29.425000000000001</v>
    <v>29.43</v>
    <v>29.344999999999999</v>
    <v>29.414999999999999</v>
    <v>29.45</v>
    <v>29.79</v>
    <v>29.664999999999999</v>
    <v>29.954999999999998</v>
    <v>30.01</v>
    <v>30.045000000000002</v>
    <v>30.24</v>
    <v>30.254999999999999</v>
    <v>30.26</v>
    <v>30.425000000000001</v>
    <v>30.295000000000002</v>
    <v>30.55</v>
    <v>30.66</v>
    <v>30.635000000000002</v>
    <v>30.774999999999999</v>
    <v>30.44</v>
    <v>30.574999999999999</v>
    <v>30.33</v>
    <v>30.535</v>
    <v>30.39</v>
    <v>30.565000000000001</v>
    <v>30.515000000000001</v>
    <v>30.434999999999999</v>
    <v>30.32</v>
    <v>30.43</v>
    <v>30.74</v>
    <v>30.774999999999999</v>
    <v>30.664999999999999</v>
    <v>30.81</v>
    <v>30.87</v>
    <v>31.04</v>
    <v>30.91</v>
    <v>31.055</v>
    <v>31.23</v>
    <v>31.535</v>
    <v>31.594999999999999</v>
    <v>31.795000000000002</v>
    <v>31.965</v>
    <v>31.864999999999998</v>
    <v>32.020000000000003</v>
    <v>32.15</v>
    <v>31.74</v>
    <v>31.645</v>
    <v>32.295000000000002</v>
    <v>32.47</v>
    <v>32.51</v>
    <v>32.68</v>
    <v>32.715000000000003</v>
    <v>32.844999999999999</v>
    <v>33.07</v>
    <v>32.765000000000001</v>
    <v>32.715000000000003</v>
    <v>32.78</v>
    <v>32.869999999999997</v>
    <v>32.725000000000001</v>
    <v>32.340000000000003</v>
    <v>32.35</v>
    <v>33.034999999999997</v>
    <v>33.185000000000002</v>
    <v>33.075000000000003</v>
    <v>32.92</v>
    <v>33.024999999999999</v>
    <v>33.130000000000003</v>
    <v>33.270000000000003</v>
    <v>33.21</v>
    <v>32.880000000000003</v>
    <v>32.954999999999998</v>
    <v>33.08</v>
    <v>33.155000000000001</v>
    <v>33.015000000000001</v>
    <v>33.335000000000001</v>
    <v>33.299999999999997</v>
    <v>33.365000000000002</v>
    <v>33.104999999999997</v>
    <v>33.555</v>
    <v>33.585000000000001</v>
    <v>33.685000000000002</v>
    <v>34.204999999999998</v>
    <v>34.22</v>
    <v>34.119999999999997</v>
    <v>34.159999999999997</v>
    <v>34.11</v>
    <v>34.380000000000003</v>
    <v>34.115000000000002</v>
    <v>34.1</v>
    <v>34.075000000000003</v>
    <v>33.82</v>
    <v>33.86</v>
    <v>33.619999999999997</v>
    <v>33.880000000000003</v>
    <v>34</v>
    <v>34.229999999999997</v>
    <v>34.119999999999997</v>
    <v>33.64</v>
    <v>33.46</v>
    <v>33.414999999999999</v>
    <v>33.06</v>
    <v>32.97</v>
    <v>33.380000000000003</v>
    <v>33.44</v>
    <v>33.104999999999997</v>
    <v>33.93</v>
    <v>33.950000000000003</v>
    <v>33.799999999999997</v>
    <v>33.354999999999997</v>
    <v>33.685000000000002</v>
    <v>33.94</v>
    <v>34.15</v>
    <v>34.145000000000003</v>
    <v>34.164999999999999</v>
    <v>34.26</v>
    <v>34.284999999999997</v>
    <v>34.284999999999997</v>
    <v>34.5</v>
    <v>34.700000000000003</v>
    <v>34.58</v>
    <v>34.81</v>
    <v>34.81</v>
    <v>34.85</v>
    <v>34.950000000000003</v>
    <v>34.774999999999999</v>
    <v>34.83</v>
    <v>34.784999999999997</v>
    <v>34.75</v>
    <v>34.465000000000003</v>
    <v>34.229999999999997</v>
    <v>34.53</v>
    <v>34.545000000000002</v>
    <v>34.994999999999997</v>
    <v>35.090000000000003</v>
    <v>35.335000000000001</v>
    <v>35.49</v>
    <v>35.549999999999997</v>
    <v>35.805</v>
    <v>35.97</v>
    <v>36.229999999999997</v>
    <v>36.33</v>
    <v>36.524999999999999</v>
    <v>36.664999999999999</v>
    <v>36.734999999999999</v>
    <v>36.604999999999997</v>
    <v>36.520000000000003</v>
    <v>36.49</v>
    <v>36.555</v>
    <v>36.51</v>
    <v>36.65</v>
    <v>36.414999999999999</v>
    <v>36.520000000000003</v>
    <v>36.594999999999999</v>
    <v>36.634999999999998</v>
    <v>36.674999999999997</v>
    <v>36.835000000000001</v>
    <v>36.994999999999997</v>
    <v>37.104999999999997</v>
    <v>36.950000000000003</v>
    <v>37.1</v>
    <v>37.265000000000001</v>
    <v>37.380000000000003</v>
    <v>36.884999999999998</v>
    <v>36.79</v>
    <v>36.515000000000001</v>
    <v>36.69</v>
    <v>37.04</v>
    <v>36.164999999999999</v>
    <v>36.1</v>
    <v>36.075000000000003</v>
    <v>36.265000000000001</v>
    <v>36.115000000000002</v>
    <v>36.69</v>
    <v>36.414999999999999</v>
    <v>34.97</v>
    <v>33.975000000000001</v>
    <v>34.265000000000001</v>
    <v>34.71</v>
    <v>34.634999999999998</v>
    <v>34.700000000000003</v>
    <v>34.840000000000003</v>
    <v>35.229999999999997</v>
    <v>35.255000000000003</v>
    <v>36.005000000000003</v>
    <v>36.08</v>
    <v>36.01</v>
    <v>36.024999999999999</v>
    <v>36.024999999999999</v>
    <v>35.965000000000003</v>
    <v>36</v>
    <v>36.04</v>
    <v>35.94</v>
    <v>36.36</v>
    <v>36.119999999999997</v>
    <v>36.365000000000002</v>
    <v>35.94</v>
    <v>35.505000000000003</v>
    <v>35.29</v>
    <v>34.9</v>
    <v>35.21</v>
    <v>35.479999999999997</v>
    <v>35.174999999999997</v>
    <v>35.895000000000003</v>
    <v>36.174999999999997</v>
    <v>35.979999999999997</v>
    <v>36.265000000000001</v>
    <v>36.085000000000001</v>
    <v>36.594999999999999</v>
    <v>36.32</v>
    <v>36.56</v>
    <v>36.515000000000001</v>
    <v>36.604999999999997</v>
    <v>36.634999999999998</v>
    <v>36.844999999999999</v>
    <v>36.799999999999997</v>
    <v>36.784999999999997</v>
    <v>36.954999999999998</v>
    <v>36.984999999999999</v>
    <v>37.21</v>
    <v>37.33</v>
    <v>37.369999999999997</v>
    <v>37.74</v>
    <v>37.805</v>
    <v>37.82</v>
    <v>38.24</v>
    <v>38.26</v>
    <v>38.270000000000003</v>
    <v>38.625</v>
    <v>38.5</v>
    <v>38.43</v>
    <v>38.56</v>
    <v>38.475000000000001</v>
    <v>38.49</v>
    <v>38.715000000000003</v>
    <v>38.645000000000003</v>
    <v>38.64</v>
    <v>38.515000000000001</v>
    <v>37.76</v>
    <v>37.840000000000003</v>
    <v>37.604999999999997</v>
    <v>37.78</v>
    <v>39.375</v>
    <v>39.594999999999999</v>
    <v>40.06</v>
    <v>40.479999999999997</v>
    <v>40.54</v>
    <v>40.585000000000001</v>
    <v>40.564999999999998</v>
    <v>40.055</v>
    <v>40.15</v>
    <v>40.159999999999997</v>
    <v>40.19</v>
    <v>40.729999999999997</v>
    <v>41.265000000000001</v>
    <v>41.14</v>
    <v>41.15</v>
    <v>40.744999999999997</v>
    <v>40.92</v>
    <v>41.045000000000002</v>
    <v>41.37</v>
    <v>41.28</v>
    <v>41.384999999999998</v>
    <v>41.375</v>
    <v>41.314999999999998</v>
    <v>41.14</v>
    <v>41.454999999999998</v>
    <v>41.715000000000003</v>
    <v>41.66</v>
    <v>41.32</v>
    <v>41.4</v>
    <v>41.27</v>
    <v>41.62</v>
    <v>40.92</v>
    <v>40.98</v>
    <v>40.93</v>
    <v>41.115000000000002</v>
    <v>40.854999999999997</v>
    <v>41.134999999999998</v>
    <v>41.16</v>
    <v>41.55</v>
    <v>41.125</v>
    <v>41.02</v>
    <v>41.02</v>
    <v>40.634999999999998</v>
    <v>40.51</v>
    <v>40.555</v>
    <v>41.26</v>
    <v>41.26</v>
    <v>41.725000000000001</v>
    <v>41.36</v>
    <v>41.225000000000001</v>
    <v>41.65</v>
    <v>41.7</v>
    <v>41.39</v>
    <v>40.424999999999997</v>
    <v>41.075000000000003</v>
    <v>41.265000000000001</v>
    <v>41.04</v>
    <v>41.615000000000002</v>
    <v>41.02</v>
    <v>40.93</v>
    <v>40.700000000000003</v>
    <v>41.064999999999998</v>
    <v>40.994999999999997</v>
    <v>41.25</v>
    <v>41.125</v>
    <v>40.795000000000002</v>
    <v>41.07</v>
    <v>41.024999999999999</v>
    <v>41.22</v>
    <v>41.33</v>
    <v>41.604999999999997</v>
    <v>41.27</v>
    <v>41.16</v>
    <v>40.67</v>
    <v>39.93</v>
    <v>40.215000000000003</v>
    <v>40.284999999999997</v>
    <v>39.799999999999997</v>
    <v>39.880000000000003</v>
    <v>38.475000000000001</v>
    <v>37.655000000000001</v>
    <v>37.78</v>
    <v>37.185000000000002</v>
    <v>36.909999999999997</v>
    <v>35.89</v>
    <v>36.19</v>
    <v>35.909999999999997</v>
    <v>36.32</v>
    <v>36.36</v>
    <v>36.204999999999998</v>
    <v>36.575000000000003</v>
    <v>36.685000000000002</v>
    <v>36.664999999999999</v>
    <v>37.475000000000001</v>
    <v>37.49</v>
    <v>37.35</v>
    <v>37.229999999999997</v>
    <v>36.369999999999997</v>
    <v>36.159999999999997</v>
    <v>36.79</v>
    <v>36.734999999999999</v>
    <v>34.67</v>
    <v>33.305</v>
    <v>31.864999999999998</v>
    <v>33.215000000000003</v>
    <v>31.71</v>
    <v>32.945</v>
    <v>32.6</v>
    <v>33.465000000000003</v>
    <v>33.729999999999997</v>
    <v>33.18</v>
    <v>32.445</v>
    <v>32.07</v>
    <v>33.134999999999998</v>
    <v>33.4</v>
    <v>33.604999999999997</v>
    <v>33.61</v>
    <v>33.840000000000003</v>
    <v>33.865000000000002</v>
    <v>34.89</v>
    <v>34.914999999999999</v>
    <v>34.71</v>
    <v>34.534999999999997</v>
    <v>35.21</v>
    <v>35.090000000000003</v>
    <v>36.520000000000003</v>
    <v>36.96</v>
    <v>36.875</v>
    <v>37.07</v>
    <v>37.255000000000003</v>
    <v>37.01</v>
    <v>37.01</v>
    <v>36.674999999999997</v>
    <v>36.33</v>
    <v>35.795000000000002</v>
    <v>36.085000000000001</v>
    <v>36.424999999999997</v>
    <v>36.61</v>
    <v>36.515000000000001</v>
    <v>36.39</v>
    <v>36.07</v>
    <v>36.65</v>
    <v>36.704999999999998</v>
    <v>36.78</v>
    <v>37.07</v>
    <v>37.075000000000003</v>
    <v>37.174999999999997</v>
    <v>37.020000000000003</v>
    <v>36.615000000000002</v>
    <v>36.454999999999998</v>
    <v>36.549999999999997</v>
    <v>36.634999999999998</v>
    <v>36.54</v>
    <v>36.29</v>
    <v>36.380000000000003</v>
    <v>36.314999999999998</v>
    <v>36.65</v>
    <v>36.844999999999999</v>
    <v>36.78</v>
    <v>37.090000000000003</v>
    <v>37.03</v>
    <v>37.1</v>
    <v>37.225000000000001</v>
    <v>37.61</v>
    <v>37.325000000000003</v>
    <v>37.5</v>
    <v>37.51</v>
    <v>37.655000000000001</v>
    <v>37.965000000000003</v>
    <v>37.765000000000001</v>
    <v>37.755000000000003</v>
    <v>38.090000000000003</v>
    <v>37.575000000000003</v>
    <v>38.15</v>
    <v>37.99</v>
    <v>38.015000000000001</v>
    <v>37.770000000000003</v>
    <v>38.01</v>
    <v>38.29</v>
    <v>38.384999999999998</v>
    <v>38.784999999999997</v>
    <v>38.984999999999999</v>
    <v>39.159999999999997</v>
    <v>39.549999999999997</v>
    <v>38.299999999999997</v>
    <v>38.755000000000003</v>
    <v>38.615000000000002</v>
    <v>38.630000000000003</v>
    <v>38.71</v>
    <v>38.909999999999997</v>
    <v>39.155000000000001</v>
    <v>39.164999999999999</v>
    <v>39.255000000000003</v>
    <v>39.435000000000002</v>
    <v>39.284999999999997</v>
    <v>39.24</v>
    <v>38.984999999999999</v>
    <v>39.11</v>
    <v>39.314999999999998</v>
    <v>39.450000000000003</v>
    <v>39.33</v>
    <v>39.725000000000001</v>
    <v>39.515000000000001</v>
    <v>39.325000000000003</v>
    <v>39.4</v>
    <v>38.935000000000002</v>
    <v>39.33</v>
    <v>39.69</v>
    <v>39.21</v>
    <v>39.39</v>
    <v>39.384999999999998</v>
    <v>39.42</v>
    <v>39.744999999999997</v>
    <v>39.884999999999998</v>
    <v>39.85</v>
    <v>39.57</v>
    <v>39.524999999999999</v>
    <v>40.075000000000003</v>
    <v>40.200000000000003</v>
    <v>40.354999999999997</v>
    <v>40.454999999999998</v>
    <v>40.35</v>
    <v>40.31</v>
    <v>40.384999999999998</v>
    <v>40.5</v>
    <v>40.49</v>
    <v>40.655000000000001</v>
    <v>40.875</v>
    <v>41</v>
    <v>40.965000000000003</v>
    <v>40.994999999999997</v>
    <v>41.33</v>
    <v>41.42</v>
    <v>40.630000000000003</v>
    <v>40.799999999999997</v>
    <v>40.625</v>
    <v>40.854999999999997</v>
    <v>40.715000000000003</v>
    <v>40.494999999999997</v>
    <v>41.25</v>
    <v>41.47</v>
    <v>41.33</v>
    <v>41.45</v>
    <v>41.755000000000003</v>
    <v>42.134999999999998</v>
    <v>42.255000000000003</v>
    <v>42.524999999999999</v>
    <v>42.734999999999999</v>
    <v>42.37</v>
    <v>42.354999999999997</v>
    <v>42.195</v>
    <v>42.33</v>
    <v>41.71</v>
    <v>41.055</v>
    <v>41.9</v>
    <v>42.05</v>
    <v>42.225000000000001</v>
    <v>41.744999999999997</v>
    <v>41.765000000000001</v>
    <v>41.585000000000001</v>
    <v>41.075000000000003</v>
    <v>41.29</v>
    <v>41.62</v>
    <v>41.185000000000002</v>
    <v>41.774999999999999</v>
    <v>41.78</v>
    <v>42.19</v>
    <v>42.104999999999997</v>
    <v>42.185000000000002</v>
    <v>42.1</v>
    <v>42.164999999999999</v>
    <v>42.215000000000003</v>
    <v>42.19</v>
    <v>42.435000000000002</v>
    <v>42.39</v>
    <v>42.314999999999998</v>
    <v>42.225000000000001</v>
    <v>41.94</v>
    <v>41.884999999999998</v>
    <v>41.86</v>
    <v>41.475000000000001</v>
    <v>41.4</v>
    <v>41.765000000000001</v>
    <v>42.015000000000001</v>
    <v>42.16</v>
    <v>42.255000000000003</v>
    <v>42.36</v>
    <v>42.454999999999998</v>
    <v>42.19</v>
    <v>42.734999999999999</v>
    <v>42.774999999999999</v>
    <v>42.994999999999997</v>
    <v>42.905000000000001</v>
    <v>43.18</v>
    <v>43.02</v>
    <v>43.04</v>
    <v>42.78</v>
    <v>43.314999999999998</v>
    <v>43.21</v>
    <v>42.465000000000003</v>
    <v>42.155000000000001</v>
    <v>42.44</v>
    <v>42.63</v>
    <v>42.6</v>
    <v>42.37</v>
    <v>42.384999999999998</v>
    <v>42.575000000000003</v>
    <v>42.164999999999999</v>
    <v>42.54</v>
    <v>43.115000000000002</v>
    <v>42.895000000000003</v>
    <v>42.75</v>
    <v>42.384999999999998</v>
    <v>42.865000000000002</v>
    <v>42.86</v>
    <v>42.835000000000001</v>
    <v>42.884999999999998</v>
    <v>42.405000000000001</v>
    <v>42.19</v>
    <v>42.085000000000001</v>
    <v>42.204999999999998</v>
    <v>42.7</v>
    <v>42.625</v>
    <v>42.69</v>
    <v>42.52</v>
    <v>42.805</v>
    <v>43.05</v>
    <v>42.88</v>
    <v>42.465000000000003</v>
    <v>42.765000000000001</v>
    <v>42.664999999999999</v>
    <v>43.015000000000001</v>
    <v>42.8</v>
    <v>42.25</v>
    <v>41.98</v>
    <v>42.54</v>
    <v>42.46</v>
    <v>42.23</v>
    <v>42.185000000000002</v>
    <v>42.284999999999997</v>
    <v>42.414999999999999</v>
    <v>42.17</v>
    <v>41.49</v>
    <v>41.164999999999999</v>
    <v>41.155000000000001</v>
    <v>41.25</v>
    <v>41.375</v>
    <v>40.99</v>
    <v>40.405000000000001</v>
    <v>40.465000000000003</v>
    <v>40.505000000000003</v>
    <v>41.27</v>
    <v>41.325000000000003</v>
    <v>41.1</v>
    <v>42.04</v>
    <v>42.17</v>
    <v>42.35</v>
    <v>42.3</v>
    <v>42.784999999999997</v>
    <v>43.094999999999999</v>
    <v>43.41</v>
    <v>43.94</v>
    <v>43.88</v>
    <v>43.865000000000002</v>
    <v>44.13</v>
    <v>44.17</v>
    <v>44.35</v>
    <v>44.395000000000003</v>
    <v>44.395000000000003</v>
    <v>44.625</v>
    <v>44.51</v>
    <v>44.54</v>
    <v>44.83</v>
    <v>45.414999999999999</v>
    <v>45.515000000000001</v>
    <v>45.555</v>
    <v>45.71</v>
    <v>45.41</v>
    <v>45.91</v>
    <v>46.634999999999998</v>
    <v>46.31</v>
    <v>46.01</v>
    <v>45.975000000000001</v>
    <v>46.21</v>
    <v>46.255000000000003</v>
    <v>46.604999999999997</v>
    <v>46.82</v>
    <v>46.685000000000002</v>
    <v>46.564999999999998</v>
    <v>46.69</v>
    <v>46.8</v>
    <v>46.994999999999997</v>
    <v>47.125</v>
    <v>46.89</v>
    <v>47.125</v>
    <v>46.97</v>
    <v>46.655000000000001</v>
    <v>46.094999999999999</v>
    <v>46.215000000000003</v>
    <v>46.005000000000003</v>
    <v>46.884999999999998</v>
    <v>47.53</v>
    <v>47.424999999999997</v>
    <v>47.24</v>
    <v>47.545000000000002</v>
    <v>47.615000000000002</v>
    <v>47.755000000000003</v>
    <v>47.325000000000003</v>
    <v>47.835000000000001</v>
    <v>47.71</v>
    <v>47.61</v>
    <v>47.585000000000001</v>
    <v>48.045000000000002</v>
    <v>48.125</v>
    <v>47.625</v>
    <v>47.83</v>
    <v>47.87</v>
    <v>47.54</v>
    <v>47.2</v>
    <v>47.71</v>
    <v>47.89</v>
    <v>48.01</v>
    <v>47.924999999999997</v>
    <v>47.884999999999998</v>
    <v>47.935000000000002</v>
    <v>47.48</v>
    <v>47.7</v>
    <v>47.704999999999998</v>
    <v>47.854999999999997</v>
    <v>47.27</v>
    <v>47.59</v>
    <v>47.255000000000003</v>
    <v>47.47</v>
    <v>47.134999999999998</v>
    <v>46.82</v>
    <v>47.38</v>
    <v>48.28</v>
    <v>49.034999999999997</v>
    <v>49.37</v>
    <v>49.225000000000001</v>
    <v>49.295000000000002</v>
    <v>49.255000000000003</v>
    <v>49.27</v>
    <v>49.475000000000001</v>
    <v>49.725000000000001</v>
    <v>49.674999999999997</v>
    <v>49.7</v>
    <v>49.145000000000003</v>
    <v>49.03</v>
    <v>48.66</v>
    <v>48.72</v>
    <v>48.56</v>
    <v>48.725000000000001</v>
    <v>48.844999999999999</v>
    <v>49.185000000000002</v>
    <v>49.564999999999998</v>
    <v>48.935000000000002</v>
    <v>48.77</v>
    <v>49.05</v>
    <v>49.365000000000002</v>
    <v>49.35</v>
    <v>49.24</v>
    <v>49.01</v>
    <v>48.564999999999998</v>
    <v>48.195</v>
    <v>48.6</v>
    <v>48.414999999999999</v>
    <v>48.29</v>
    <v>48.494999999999997</v>
    <v>48.84</v>
    <v>48.88</v>
    <v>49.435000000000002</v>
    <v>49.695</v>
    <v>49.604999999999997</v>
    <v>49.35</v>
    <v>49.655000000000001</v>
    <v>49.575000000000003</v>
    <v>49.695</v>
    <v>49.96</v>
    <v>49.895000000000003</v>
    <v>50.32</v>
    <v>50.8</v>
    <v>51.09</v>
    <v>50.96</v>
    <v>50.87</v>
    <v>51.08</v>
    <v>51.26</v>
    <v>50.96</v>
    <v>51.05</v>
    <v>50.78</v>
    <v>50.51</v>
    <v>50.62</v>
    <v>50.51</v>
    <v>50.65</v>
    <v>50.27</v>
    <v>50.09</v>
  </a>
  <a r="1" c="254">
    <v>41.45</v>
    <v>41.755000000000003</v>
    <v>42.134999999999998</v>
    <v>42.255000000000003</v>
    <v>42.524999999999999</v>
    <v>42.734999999999999</v>
    <v>42.37</v>
    <v>42.354999999999997</v>
    <v>42.195</v>
    <v>42.33</v>
    <v>41.71</v>
    <v>41.055</v>
    <v>41.9</v>
    <v>42.05</v>
    <v>42.225000000000001</v>
    <v>41.744999999999997</v>
    <v>41.765000000000001</v>
    <v>41.585000000000001</v>
    <v>41.075000000000003</v>
    <v>41.29</v>
    <v>41.62</v>
    <v>41.185000000000002</v>
    <v>41.774999999999999</v>
    <v>41.78</v>
    <v>42.19</v>
    <v>42.104999999999997</v>
    <v>42.185000000000002</v>
    <v>42.1</v>
    <v>42.164999999999999</v>
    <v>42.215000000000003</v>
    <v>42.19</v>
    <v>42.435000000000002</v>
    <v>42.39</v>
    <v>42.314999999999998</v>
    <v>42.225000000000001</v>
    <v>41.94</v>
    <v>41.884999999999998</v>
    <v>41.86</v>
    <v>41.475000000000001</v>
    <v>41.4</v>
    <v>41.765000000000001</v>
    <v>42.015000000000001</v>
    <v>42.16</v>
    <v>42.255000000000003</v>
    <v>42.36</v>
    <v>42.454999999999998</v>
    <v>42.19</v>
    <v>42.734999999999999</v>
    <v>42.774999999999999</v>
    <v>42.994999999999997</v>
    <v>42.905000000000001</v>
    <v>43.18</v>
    <v>43.02</v>
    <v>43.04</v>
    <v>42.78</v>
    <v>43.314999999999998</v>
    <v>43.21</v>
    <v>42.465000000000003</v>
    <v>42.155000000000001</v>
    <v>42.44</v>
    <v>42.63</v>
    <v>42.6</v>
    <v>42.37</v>
    <v>42.384999999999998</v>
    <v>42.575000000000003</v>
    <v>42.164999999999999</v>
    <v>42.54</v>
    <v>43.115000000000002</v>
    <v>42.895000000000003</v>
    <v>42.75</v>
    <v>42.384999999999998</v>
    <v>42.865000000000002</v>
    <v>42.86</v>
    <v>42.835000000000001</v>
    <v>42.884999999999998</v>
    <v>42.405000000000001</v>
    <v>42.19</v>
    <v>42.085000000000001</v>
    <v>42.204999999999998</v>
    <v>42.7</v>
    <v>42.625</v>
    <v>42.69</v>
    <v>42.52</v>
    <v>42.805</v>
    <v>43.05</v>
    <v>42.88</v>
    <v>42.465000000000003</v>
    <v>42.765000000000001</v>
    <v>42.664999999999999</v>
    <v>43.015000000000001</v>
    <v>42.8</v>
    <v>42.25</v>
    <v>41.98</v>
    <v>42.54</v>
    <v>42.46</v>
    <v>42.23</v>
    <v>42.185000000000002</v>
    <v>42.284999999999997</v>
    <v>42.414999999999999</v>
    <v>42.17</v>
    <v>41.49</v>
    <v>41.164999999999999</v>
    <v>41.155000000000001</v>
    <v>41.25</v>
    <v>41.375</v>
    <v>40.99</v>
    <v>40.405000000000001</v>
    <v>40.465000000000003</v>
    <v>40.505000000000003</v>
    <v>41.27</v>
    <v>41.325000000000003</v>
    <v>41.1</v>
    <v>42.04</v>
    <v>42.17</v>
    <v>42.35</v>
    <v>42.3</v>
    <v>42.784999999999997</v>
    <v>43.094999999999999</v>
    <v>43.41</v>
    <v>43.94</v>
    <v>43.88</v>
    <v>43.865000000000002</v>
    <v>44.13</v>
    <v>44.17</v>
    <v>44.35</v>
    <v>44.395000000000003</v>
    <v>44.395000000000003</v>
    <v>44.625</v>
    <v>44.51</v>
    <v>44.54</v>
    <v>44.83</v>
    <v>45.414999999999999</v>
    <v>45.515000000000001</v>
    <v>45.555</v>
    <v>45.71</v>
    <v>45.41</v>
    <v>45.91</v>
    <v>46.634999999999998</v>
    <v>46.31</v>
    <v>46.01</v>
    <v>45.975000000000001</v>
    <v>46.21</v>
    <v>46.255000000000003</v>
    <v>46.604999999999997</v>
    <v>46.82</v>
    <v>46.685000000000002</v>
    <v>46.564999999999998</v>
    <v>46.69</v>
    <v>46.8</v>
    <v>46.994999999999997</v>
    <v>47.125</v>
    <v>46.89</v>
    <v>47.125</v>
    <v>46.97</v>
    <v>46.655000000000001</v>
    <v>46.094999999999999</v>
    <v>46.215000000000003</v>
    <v>46.005000000000003</v>
    <v>46.884999999999998</v>
    <v>47.53</v>
    <v>47.424999999999997</v>
    <v>47.24</v>
    <v>47.545000000000002</v>
    <v>47.615000000000002</v>
    <v>47.755000000000003</v>
    <v>47.325000000000003</v>
    <v>47.835000000000001</v>
    <v>47.71</v>
    <v>47.61</v>
    <v>47.585000000000001</v>
    <v>48.045000000000002</v>
    <v>48.125</v>
    <v>47.625</v>
    <v>47.83</v>
    <v>47.87</v>
    <v>47.54</v>
    <v>47.2</v>
    <v>47.71</v>
    <v>47.89</v>
    <v>48.01</v>
    <v>47.924999999999997</v>
    <v>47.884999999999998</v>
    <v>47.935000000000002</v>
    <v>47.48</v>
    <v>47.7</v>
    <v>47.704999999999998</v>
    <v>47.854999999999997</v>
    <v>47.27</v>
    <v>47.59</v>
    <v>47.255000000000003</v>
    <v>47.47</v>
    <v>47.134999999999998</v>
    <v>46.82</v>
    <v>47.38</v>
    <v>48.28</v>
    <v>49.034999999999997</v>
    <v>49.37</v>
    <v>49.225000000000001</v>
    <v>49.295000000000002</v>
    <v>49.255000000000003</v>
    <v>49.27</v>
    <v>49.475000000000001</v>
    <v>49.725000000000001</v>
    <v>49.674999999999997</v>
    <v>49.7</v>
    <v>49.145000000000003</v>
    <v>49.03</v>
    <v>48.66</v>
    <v>48.72</v>
    <v>48.56</v>
    <v>48.725000000000001</v>
    <v>48.844999999999999</v>
    <v>49.185000000000002</v>
    <v>49.564999999999998</v>
    <v>48.935000000000002</v>
    <v>48.77</v>
    <v>49.05</v>
    <v>49.365000000000002</v>
    <v>49.35</v>
    <v>49.24</v>
    <v>49.01</v>
    <v>48.564999999999998</v>
    <v>48.195</v>
    <v>48.6</v>
    <v>48.414999999999999</v>
    <v>48.29</v>
    <v>48.494999999999997</v>
    <v>48.84</v>
    <v>48.88</v>
    <v>49.435000000000002</v>
    <v>49.695</v>
    <v>49.604999999999997</v>
    <v>49.35</v>
    <v>49.655000000000001</v>
    <v>49.575000000000003</v>
    <v>49.695</v>
    <v>49.96</v>
    <v>49.895000000000003</v>
    <v>50.32</v>
    <v>50.8</v>
    <v>51.09</v>
    <v>50.96</v>
    <v>50.87</v>
    <v>51.08</v>
    <v>51.26</v>
    <v>50.96</v>
    <v>51.05</v>
    <v>50.78</v>
    <v>50.51</v>
    <v>50.62</v>
    <v>50.51</v>
    <v>50.65</v>
    <v>50.27</v>
    <v>50.09</v>
  </a>
  <a r="1" c="205">
    <v>214.16</v>
    <v>223.47</v>
    <v>221.08</v>
    <v>214.35</v>
    <v>210.02</v>
    <v>204.68</v>
    <v>203.17</v>
    <v>207.69</v>
    <v>220.97</v>
    <v>223.6</v>
    <v>227.92</v>
    <v>231.83</v>
    <v>231.92</v>
    <v>249.8</v>
    <v>253.73</v>
    <v>259.68</v>
    <v>251.31</v>
    <v>252.03</v>
    <v>252.74</v>
    <v>252.18</v>
    <v>236.73</v>
    <v>246.27</v>
    <v>242.11</v>
    <v>200.19</v>
    <v>192.5</v>
    <v>208.44</v>
    <v>216</v>
    <v>213.57</v>
    <v>213.58</v>
    <v>205.94</v>
    <v>207.32</v>
    <v>203.08</v>
    <v>200.12</v>
    <v>203.37</v>
    <v>200.15</v>
    <v>196.6</v>
    <v>213.84</v>
    <v>210.86</v>
    <v>203.68</v>
    <v>200.21</v>
    <v>198.62</v>
    <v>190.95</v>
    <v>202.07</v>
    <v>199.45</v>
    <v>192.43</v>
    <v>202.68</v>
    <v>203.23</v>
    <v>204.83</v>
    <v>197.74</v>
    <v>193.39</v>
    <v>196.58</v>
    <v>196.31</v>
    <v>199.46</v>
    <v>205.27</v>
    <v>201.33</v>
    <v>202.68</v>
    <v>205.37</v>
    <v>220.27</v>
    <v>203.77</v>
    <v>201.99</v>
    <v>196.04</v>
    <v>203.43</v>
    <v>210.21</v>
    <v>217.5</v>
    <v>220.18</v>
    <v>221.53</v>
    <v>231.82</v>
    <v>236.64</v>
    <v>245.04</v>
    <v>246.83</v>
    <v>255.07</v>
    <v>258.12</v>
    <v>278.26</v>
    <v>278.39</v>
    <v>274.95</v>
    <v>284.49</v>
    <v>303.45999999999998</v>
    <v>305.33</v>
    <v>347.81</v>
    <v>334.63</v>
    <v>323.20999999999998</v>
    <v>337.11</v>
    <v>354.49</v>
    <v>360.54</v>
    <v>341.54</v>
    <v>355.26</v>
    <v>421.39</v>
    <v>408.46</v>
    <v>455.19</v>
    <v>458.79</v>
    <v>448.29</v>
    <v>445.5</v>
    <v>449.7</v>
    <v>424.1</v>
    <v>420.99</v>
    <v>414.05</v>
    <v>447.58</v>
    <v>449.59</v>
    <v>467.51</v>
    <v>503.89</v>
    <v>495.54</v>
    <v>518.09</v>
    <v>516.1</v>
    <v>510.13</v>
    <v>521.54</v>
    <v>542.52</v>
    <v>523.20000000000005</v>
    <v>466.38</v>
    <v>490.33</v>
    <v>475.505</v>
    <v>452.4</v>
    <v>488.45</v>
    <v>511.57</v>
    <v>547.26</v>
    <v>507.29</v>
    <v>512.48</v>
    <v>537.37</v>
    <v>551.63</v>
    <v>519.85</v>
    <v>519.74</v>
    <v>532.57000000000005</v>
    <v>521.58000000000004</v>
    <v>539.49</v>
    <v>580.91</v>
    <v>540.88</v>
    <v>517.82000000000005</v>
    <v>552.04999999999995</v>
    <v>516.11</v>
    <v>517.40499999999997</v>
    <v>546.72</v>
    <v>557.89</v>
    <v>534.39</v>
    <v>548.13</v>
    <v>529.14</v>
    <v>500.94</v>
    <v>495.76</v>
    <v>503.57</v>
    <v>544.42999999999995</v>
    <v>552.33000000000004</v>
    <v>539.69000000000005</v>
    <v>521.95000000000005</v>
    <v>494.95</v>
    <v>454.62</v>
    <v>429.56</v>
    <v>485.39</v>
    <v>476.15</v>
    <v>484.64</v>
    <v>518.58000000000004</v>
    <v>482.05</v>
    <v>489.28</v>
    <v>483.36</v>
    <v>469.56</v>
    <v>474.32</v>
    <v>482.93</v>
    <v>483.01</v>
    <v>514.39</v>
    <v>506</v>
    <v>484.39</v>
    <v>466.42</v>
    <v>469.45499999999998</v>
    <v>473.25</v>
    <v>456.745</v>
    <v>479.18</v>
    <v>480.93</v>
    <v>476.67</v>
    <v>465.58</v>
    <v>470.72</v>
    <v>459.61</v>
    <v>457.06</v>
    <v>456.16</v>
    <v>477.57</v>
    <v>505.74</v>
    <v>521.09500000000003</v>
    <v>503.6</v>
    <v>516.13</v>
    <v>493.41</v>
    <v>504.2</v>
    <v>512.5</v>
    <v>545.09</v>
    <v>559.82000000000005</v>
    <v>615.52</v>
    <v>623.77</v>
    <v>614.61</v>
    <v>629.26</v>
    <v>630.63</v>
    <v>607.87</v>
    <v>607.57000000000005</v>
    <v>611.76</v>
    <v>615.73</v>
    <v>633.91</v>
    <v>631.75</v>
    <v>649.41999999999996</v>
    <v>645.86</v>
    <v>620.67999999999995</v>
    <v>608.1</v>
    <v>594.24</v>
    <v>605.53</v>
    <v>570.82000000000005</v>
    <v>562.23</v>
    <v>528.75</v>
    <v>538.04999999999995</v>
    <v>534.74</v>
    <v>552.72</v>
    <v>507.93</v>
    <v>516.79</v>
  </a>
  <a r="1" c="252">
    <v>234.99</v>
    <v>252.92</v>
    <v>259.67</v>
    <v>258.01</v>
    <v>264.33</v>
    <v>254.84</v>
    <v>256.12</v>
    <v>259.64999999999998</v>
    <v>250.05</v>
    <v>256.33</v>
    <v>237.7</v>
    <v>233.54</v>
    <v>243.98</v>
    <v>237.52</v>
    <v>258.89</v>
    <v>247.96</v>
    <v>246.81</v>
    <v>240.52</v>
    <v>230.29</v>
    <v>223.55</v>
    <v>206.02</v>
    <v>203.78</v>
    <v>215.05</v>
    <v>206.13</v>
    <v>214.24</v>
    <v>217.53</v>
    <v>219.76</v>
    <v>215.24</v>
    <v>217.6</v>
    <v>215.98</v>
    <v>217.97</v>
    <v>221.11</v>
    <v>221.62</v>
    <v>221.42</v>
    <v>221.43</v>
    <v>210.78</v>
    <v>207.58</v>
    <v>209.17</v>
    <v>198.11</v>
    <v>201.06</v>
    <v>213.43</v>
    <v>214.95</v>
    <v>214.9</v>
    <v>215.04</v>
    <v>214.99</v>
    <v>215.61</v>
    <v>215.34</v>
    <v>214.16</v>
    <v>223.47</v>
    <v>221.08</v>
    <v>214.35</v>
    <v>210.02</v>
    <v>204.68</v>
    <v>203.17</v>
    <v>207.69</v>
    <v>220.97</v>
    <v>223.6</v>
    <v>227.92</v>
    <v>231.83</v>
    <v>231.92</v>
    <v>249.8</v>
    <v>253.73</v>
    <v>259.68</v>
    <v>251.31</v>
    <v>252.03</v>
    <v>252.74</v>
    <v>252.18</v>
    <v>236.73</v>
    <v>246.27</v>
    <v>242.11</v>
    <v>200.19</v>
    <v>192.5</v>
    <v>208.44</v>
    <v>216</v>
    <v>213.57</v>
    <v>213.58</v>
    <v>205.94</v>
    <v>207.32</v>
    <v>203.08</v>
    <v>200.12</v>
    <v>203.37</v>
    <v>200.15</v>
    <v>196.6</v>
    <v>213.84</v>
    <v>210.86</v>
    <v>203.68</v>
    <v>200.21</v>
    <v>198.62</v>
    <v>190.95</v>
    <v>202.07</v>
    <v>199.45</v>
    <v>192.43</v>
    <v>202.68</v>
    <v>203.23</v>
    <v>204.83</v>
    <v>197.74</v>
    <v>193.39</v>
    <v>196.58</v>
    <v>196.31</v>
    <v>199.46</v>
    <v>205.27</v>
    <v>201.33</v>
    <v>202.68</v>
    <v>205.37</v>
    <v>220.27</v>
    <v>203.77</v>
    <v>201.99</v>
    <v>196.04</v>
    <v>203.43</v>
    <v>210.21</v>
    <v>217.5</v>
    <v>220.18</v>
    <v>221.53</v>
    <v>231.82</v>
    <v>236.64</v>
    <v>245.04</v>
    <v>246.83</v>
    <v>255.07</v>
    <v>258.12</v>
    <v>278.26</v>
    <v>278.39</v>
    <v>274.95</v>
    <v>284.49</v>
    <v>303.45999999999998</v>
    <v>305.33</v>
    <v>347.81</v>
    <v>334.63</v>
    <v>323.20999999999998</v>
    <v>337.11</v>
    <v>354.49</v>
    <v>360.54</v>
    <v>341.54</v>
    <v>355.26</v>
    <v>421.39</v>
    <v>408.46</v>
    <v>455.19</v>
    <v>458.79</v>
    <v>448.29</v>
    <v>445.5</v>
    <v>449.7</v>
    <v>424.1</v>
    <v>420.99</v>
    <v>414.05</v>
    <v>447.58</v>
    <v>449.59</v>
    <v>467.51</v>
    <v>503.89</v>
    <v>495.54</v>
    <v>518.09</v>
    <v>516.1</v>
    <v>510.13</v>
    <v>521.54</v>
    <v>542.52</v>
    <v>523.20000000000005</v>
    <v>466.38</v>
    <v>490.33</v>
    <v>475.505</v>
    <v>452.4</v>
    <v>488.45</v>
    <v>511.57</v>
    <v>547.26</v>
    <v>507.29</v>
    <v>512.48</v>
    <v>537.37</v>
    <v>551.63</v>
    <v>519.85</v>
    <v>519.74</v>
    <v>532.57000000000005</v>
    <v>521.58000000000004</v>
    <v>539.49</v>
    <v>580.91</v>
    <v>540.88</v>
    <v>517.82000000000005</v>
    <v>552.04999999999995</v>
    <v>516.11</v>
    <v>517.40499999999997</v>
    <v>546.72</v>
    <v>557.89</v>
    <v>534.39</v>
    <v>548.13</v>
    <v>529.14</v>
    <v>500.94</v>
    <v>495.76</v>
    <v>503.57</v>
    <v>544.42999999999995</v>
    <v>552.33000000000004</v>
    <v>539.69000000000005</v>
    <v>521.95000000000005</v>
    <v>494.95</v>
    <v>454.62</v>
    <v>429.56</v>
    <v>485.39</v>
    <v>476.15</v>
    <v>484.64</v>
    <v>518.58000000000004</v>
    <v>482.05</v>
    <v>489.28</v>
    <v>483.36</v>
    <v>469.56</v>
    <v>474.32</v>
    <v>482.93</v>
    <v>483.01</v>
    <v>514.39</v>
    <v>506</v>
    <v>484.39</v>
    <v>466.42</v>
    <v>469.45499999999998</v>
    <v>473.25</v>
    <v>456.745</v>
    <v>479.18</v>
    <v>480.93</v>
    <v>476.67</v>
    <v>465.58</v>
    <v>470.72</v>
    <v>459.61</v>
    <v>457.06</v>
    <v>456.16</v>
    <v>477.57</v>
    <v>505.74</v>
    <v>521.09500000000003</v>
    <v>503.6</v>
    <v>516.13</v>
    <v>493.41</v>
    <v>504.2</v>
    <v>512.5</v>
    <v>545.09</v>
    <v>559.82000000000005</v>
    <v>615.52</v>
    <v>623.77</v>
    <v>614.61</v>
    <v>629.26</v>
    <v>630.63</v>
    <v>607.87</v>
    <v>607.57000000000005</v>
    <v>611.76</v>
    <v>615.73</v>
    <v>633.91</v>
    <v>631.75</v>
    <v>649.41999999999996</v>
    <v>645.86</v>
    <v>620.67999999999995</v>
    <v>608.1</v>
    <v>594.24</v>
    <v>605.53</v>
    <v>570.82000000000005</v>
    <v>562.23</v>
    <v>528.75</v>
    <v>538.04999999999995</v>
    <v>534.74</v>
    <v>552.72</v>
    <v>507.93</v>
    <v>516.79</v>
  </a>
  <a r="1" c="754">
    <v>100.01</v>
    <v>101.67</v>
    <v>96.055000000000007</v>
    <v>93.67</v>
    <v>96.43</v>
    <v>96.18</v>
    <v>98.5</v>
    <v>108.04</v>
    <v>107.83</v>
    <v>112.25</v>
    <v>111.75</v>
    <v>113.45</v>
    <v>113.59</v>
    <v>113.49</v>
    <v>118.59</v>
    <v>116.79</v>
    <v>119.88</v>
    <v>118</v>
    <v>119.83</v>
    <v>120.62</v>
    <v>121.53</v>
    <v>119.16</v>
    <v>122.51</v>
    <v>122.31</v>
    <v>122.65</v>
    <v>122.01</v>
    <v>123.85</v>
    <v>121.16</v>
    <v>121.39</v>
    <v>118.57</v>
    <v>118.38</v>
    <v>116.82</v>
    <v>128.37</v>
    <v>128.91999999999999</v>
    <v>134.41</v>
    <v>137.61000000000001</v>
    <v>138.19</v>
    <v>138</v>
    <v>139.15</v>
    <v>138.9</v>
    <v>140.15</v>
    <v>135.47</v>
    <v>139.91</v>
    <v>139.6</v>
    <v>143.41</v>
    <v>146.07</v>
    <v>148.76</v>
    <v>147.41</v>
    <v>138.58000000000001</v>
    <v>135.32</v>
    <v>136.01</v>
    <v>138.58000000000001</v>
    <v>146.18</v>
    <v>149.26</v>
    <v>148.54</v>
    <v>148.02000000000001</v>
    <v>146.56</v>
    <v>158.74</v>
    <v>160.16999999999999</v>
    <v>162.66999999999999</v>
    <v>174.23</v>
    <v>168.18</v>
    <v>168.42</v>
    <v>178.29</v>
    <v>180.33</v>
    <v>177.25</v>
    <v>177.83</v>
    <v>172.06</v>
    <v>167.69</v>
    <v>170.48</v>
    <v>177.66</v>
    <v>174.23</v>
    <v>167.88</v>
    <v>170.94</v>
    <v>169.35</v>
    <v>172.48</v>
    <v>171.91</v>
    <v>171.54</v>
    <v>178.7</v>
    <v>176.76</v>
    <v>173.87</v>
    <v>165.69</v>
    <v>164.29</v>
    <v>181.86</v>
    <v>176.52</v>
    <v>176.01</v>
    <v>178</v>
    <v>176.54</v>
    <v>192.53</v>
    <v>202.64</v>
    <v>205.36</v>
    <v>205.13</v>
    <v>210.63</v>
    <v>211.38</v>
    <v>207.39</v>
    <v>198.39</v>
    <v>202.76</v>
    <v>194.79</v>
    <v>187.06</v>
    <v>191.06</v>
    <v>190.65</v>
    <v>181.42</v>
    <v>179.73</v>
    <v>178.68</v>
    <v>179.65</v>
    <v>178.63</v>
    <v>177.87</v>
    <v>179.59</v>
    <v>180.49</v>
    <v>183.34</v>
    <v>178.7</v>
    <v>180.77</v>
    <v>165.83</v>
    <v>170.42</v>
    <v>169.9</v>
    <v>170.78</v>
    <v>167.14</v>
    <v>170.5</v>
    <v>163.28</v>
    <v>160.32</v>
    <v>163.46</v>
    <v>154.02000000000001</v>
    <v>155.08000000000001</v>
    <v>146.63999999999999</v>
    <v>148.63999999999999</v>
    <v>152.27000000000001</v>
    <v>151.74</v>
    <v>153.76</v>
    <v>157.4</v>
    <v>160.19999999999999</v>
    <v>158.38</v>
    <v>144.27000000000001</v>
    <v>146.16</v>
    <v>150.6</v>
    <v>155.78</v>
    <v>154.43</v>
    <v>153.62</v>
    <v>152.38999999999999</v>
    <v>151.91999999999999</v>
    <v>150.56</v>
    <v>153.16</v>
    <v>159.66999999999999</v>
    <v>162.62</v>
    <v>164.47</v>
    <v>166.33</v>
    <v>164.66</v>
    <v>165.52</v>
    <v>160.43</v>
    <v>166.36</v>
    <v>171.61</v>
    <v>165.14</v>
    <v>166.75</v>
    <v>166.9</v>
    <v>163.55000000000001</v>
    <v>159.99</v>
    <v>166.17</v>
    <v>166.78</v>
    <v>167.87</v>
    <v>160.34</v>
    <v>158.96</v>
    <v>160.24</v>
    <v>159.9</v>
    <v>159.63</v>
    <v>158.4</v>
    <v>154.63</v>
    <v>161.78</v>
    <v>161.22999999999999</v>
    <v>160.25</v>
    <v>160.25</v>
    <v>157.54</v>
    <v>159.47</v>
    <v>162.21</v>
    <v>157.69</v>
    <v>164.31</v>
    <v>163.9</v>
    <v>171.9</v>
    <v>178.69</v>
    <v>177.1</v>
    <v>183.96</v>
    <v>181.94</v>
    <v>181.61</v>
    <v>179.83</v>
    <v>177.55</v>
    <v>159.43</v>
    <v>155.77000000000001</v>
    <v>151.58000000000001</v>
    <v>155.87</v>
    <v>154</v>
    <v>144.63</v>
    <v>138.32</v>
    <v>139.99</v>
    <v>139.75</v>
    <v>138.44</v>
    <v>144.47999999999999</v>
    <v>132.54</v>
    <v>132.5</v>
    <v>134.82</v>
    <v>130.18</v>
    <v>128.66999999999999</v>
    <v>136.32</v>
    <v>134.27000000000001</v>
    <v>136.77000000000001</v>
    <v>141.13</v>
    <v>140.75</v>
    <v>147.36000000000001</v>
    <v>148.56</v>
    <v>155.28</v>
    <v>156.4</v>
    <v>157.81</v>
    <v>151.69999999999999</v>
    <v>154.97999999999999</v>
    <v>149.99</v>
    <v>150.5</v>
    <v>146.36000000000001</v>
    <v>145.49</v>
    <v>148.56</v>
    <v>136.94</v>
    <v>140.87</v>
    <v>139.44</v>
    <v>134.35</v>
    <v>138.15</v>
    <v>142.84</v>
    <v>149.86000000000001</v>
    <v>150.77000000000001</v>
    <v>152.31</v>
    <v>152.08000000000001</v>
    <v>150.82</v>
    <v>148.29</v>
    <v>156.74</v>
    <v>155.94999999999999</v>
    <v>156.75</v>
    <v>158.32</v>
    <v>162.02000000000001</v>
    <v>167.49</v>
    <v>164.35</v>
    <v>164.08</v>
    <v>159.75</v>
    <v>159.78</v>
    <v>162.85</v>
    <v>170.9</v>
    <v>170.97</v>
    <v>172.8</v>
    <v>171.02</v>
    <v>164.18</v>
    <v>167.89</v>
    <v>165.27</v>
    <v>156.63999999999999</v>
    <v>156.13</v>
    <v>156.25</v>
    <v>155.97</v>
    <v>157.9</v>
    <v>154.09</v>
    <v>152.91</v>
    <v>153.44</v>
    <v>156.22999999999999</v>
    <v>159.91999999999999</v>
    <v>166.25</v>
    <v>148.6</v>
    <v>144.07</v>
    <v>141.86000000000001</v>
    <v>140.71</v>
    <v>141.66</v>
    <v>145.1</v>
    <v>149.82</v>
    <v>147.94999999999999</v>
    <v>147.35</v>
    <v>143.63</v>
    <v>139.30000000000001</v>
    <v>138.84</v>
    <v>134.9</v>
    <v>138.93</v>
    <v>139.38999999999999</v>
    <v>137.6</v>
    <v>137.49</v>
    <v>138.35</v>
    <v>141.13</v>
    <v>137.72</v>
    <v>136.24</v>
    <v>137.17500000000001</v>
    <v>142.06</v>
    <v>141.97999999999999</v>
    <v>143.99</v>
    <v>141.36000000000001</v>
    <v>138.59</v>
    <v>130.87</v>
    <v>127.74</v>
    <v>130.15</v>
    <v>130.6</v>
    <v>126.91</v>
    <v>126.69</v>
    <v>125.02</v>
    <v>121.41</v>
    <v>118.88</v>
    <v>119.21</v>
    <v>124.6</v>
    <v>126.29</v>
    <v>125.06</v>
    <v>125.19</v>
    <v>122.44</v>
    <v>120.79</v>
    <v>120.63</v>
    <v>125.37</v>
    <v>129.55000000000001</v>
    <v>127.33</v>
    <v>121.84</v>
    <v>116.04</v>
    <v>117.32</v>
    <v>116.09</v>
    <v>119.96</v>
    <v>118.44</v>
    <v>121.46</v>
    <v>122.28</v>
    <v>123.75</v>
    <v>123.04</v>
    <v>122.84</v>
    <v>115.01</v>
    <v>114.17</v>
    <v>117.35</v>
    <v>118.86</v>
    <v>115.95</v>
    <v>114.27</v>
    <v>119.5</v>
    <v>112.01</v>
    <v>110.16</v>
    <v>107.56</v>
    <v>110.48</v>
    <v>111.1</v>
    <v>111.72</v>
    <v>111.81</v>
    <v>113.1</v>
    <v>114.28</v>
    <v>114.69</v>
    <v>114.17</v>
    <v>110.84</v>
    <v>108.11</v>
    <v>103.96</v>
    <v>104.74</v>
    <v>99.51</v>
    <v>99.86</v>
    <v>98.23</v>
    <v>100.75</v>
    <v>101.67</v>
    <v>98.85</v>
    <v>100.31</v>
    <v>96.63</v>
    <v>96.76</v>
    <v>100.79</v>
    <v>98.11</v>
    <v>100.97</v>
    <v>104.59</v>
    <v>103.51</v>
    <v>106.23</v>
    <v>107.14</v>
    <v>106.44</v>
    <v>113.85</v>
    <v>114.81</v>
    <v>110.19</v>
    <v>106.65</v>
    <v>103.22</v>
    <v>102.74</v>
    <v>102.78</v>
    <v>102.96</v>
    <v>93.8</v>
    <v>85.76</v>
    <v>83.64</v>
    <v>78.209999999999994</v>
    <v>96.84</v>
    <v>88.7</v>
    <v>93.4</v>
    <v>94.5</v>
    <v>95.29</v>
    <v>88.29</v>
    <v>87.5</v>
    <v>85.56</v>
    <v>86.26</v>
    <v>90.39</v>
    <v>94.47</v>
    <v>96.644999999999996</v>
    <v>96.39</v>
    <v>96.06</v>
    <v>97.35</v>
    <v>96.65</v>
    <v>98.8</v>
    <v>100.59</v>
    <v>98.62</v>
    <v>100.36</v>
    <v>101.7</v>
    <v>102.84</v>
    <v>108.12</v>
    <v>112.46</v>
    <v>117.72</v>
    <v>114.99</v>
    <v>117.17</v>
    <v>114.74</v>
    <v>113.51</v>
    <v>112.06</v>
    <v>110.71</v>
    <v>110.31</v>
    <v>114.56</v>
    <v>112.86</v>
    <v>113.03</v>
    <v>110.73</v>
    <v>114.63</v>
    <v>117.31</v>
    <v>118.58</v>
    <v>115.69</v>
    <v>116.19</v>
    <v>121.73</v>
    <v>123.24</v>
    <v>121.14</v>
    <v>118.5</v>
    <v>116.16</v>
    <v>126.39</v>
    <v>127.1</v>
    <v>126.79</v>
    <v>128.24</v>
    <v>129.58000000000001</v>
    <v>138.43</v>
    <v>143.4</v>
    <v>143.68</v>
    <v>143.81</v>
    <v>141.9</v>
    <v>136.11000000000001</v>
    <v>138.52000000000001</v>
    <v>137.91</v>
    <v>134.80000000000001</v>
    <v>137.82</v>
    <v>138.41</v>
    <v>144.16</v>
    <v>146.41999999999999</v>
    <v>146.24</v>
    <v>155.61000000000001</v>
    <v>160.08000000000001</v>
    <v>160.41</v>
    <v>156.99</v>
    <v>157</v>
    <v>154.72</v>
    <v>158.65</v>
    <v>162.12</v>
    <v>166.47</v>
    <v>173.66</v>
    <v>177.44</v>
    <v>179.51</v>
    <v>176.31</v>
    <v>171.7</v>
    <v>176.78</v>
    <v>174.31</v>
    <v>163.12</v>
    <v>172.4</v>
    <v>172.76</v>
    <v>172.28</v>
    <v>174.95</v>
    <v>184.42</v>
    <v>180.95</v>
    <v>177.51</v>
    <v>176.14</v>
    <v>166.55</v>
    <v>165.2</v>
    <v>163.71</v>
    <v>167.76</v>
    <v>163.36000000000001</v>
    <v>166.62</v>
    <v>167.13</v>
    <v>168.58</v>
    <v>162.63</v>
    <v>162.32</v>
    <v>162.13</v>
    <v>161.79</v>
    <v>151.13999999999999</v>
    <v>151.41</v>
    <v>155.82</v>
    <v>159.54</v>
    <v>155.66999999999999</v>
    <v>158.57</v>
    <v>161.16</v>
    <v>160.46</v>
    <v>159.16</v>
    <v>157.91999999999999</v>
    <v>157.38999999999999</v>
    <v>159.79</v>
    <v>160.9</v>
    <v>160.88</v>
    <v>161.27000000000001</v>
    <v>159.46</v>
    <v>161.36000000000001</v>
    <v>161.79</v>
    <v>164.01</v>
    <v>169.73</v>
    <v>164.67</v>
    <v>203.71</v>
    <v>211.51</v>
    <v>235.56</v>
    <v>232.89</v>
    <v>214.9</v>
    <v>216.42</v>
    <v>218.09</v>
    <v>238.6</v>
    <v>234.56</v>
    <v>233.08</v>
    <v>240.56</v>
    <v>238.03</v>
    <v>230.23</v>
    <v>234.99</v>
    <v>252.92</v>
    <v>259.67</v>
    <v>258.01</v>
    <v>264.33</v>
    <v>254.84</v>
    <v>256.12</v>
    <v>259.64999999999998</v>
    <v>250.05</v>
    <v>256.33</v>
    <v>237.7</v>
    <v>233.54</v>
    <v>243.98</v>
    <v>237.52</v>
    <v>258.89</v>
    <v>247.96</v>
    <v>246.81</v>
    <v>240.52</v>
    <v>230.29</v>
    <v>223.55</v>
    <v>206.02</v>
    <v>203.78</v>
    <v>215.05</v>
    <v>206.13</v>
    <v>214.24</v>
    <v>217.53</v>
    <v>219.76</v>
    <v>215.24</v>
    <v>217.6</v>
    <v>215.98</v>
    <v>217.97</v>
    <v>221.11</v>
    <v>221.62</v>
    <v>221.42</v>
    <v>221.43</v>
    <v>210.78</v>
    <v>207.58</v>
    <v>209.17</v>
    <v>198.11</v>
    <v>201.06</v>
    <v>213.43</v>
    <v>214.95</v>
    <v>214.9</v>
    <v>215.04</v>
    <v>214.99</v>
    <v>215.61</v>
    <v>215.34</v>
    <v>214.16</v>
    <v>223.47</v>
    <v>221.08</v>
    <v>214.35</v>
    <v>210.02</v>
    <v>204.68</v>
    <v>203.17</v>
    <v>207.69</v>
    <v>220.97</v>
    <v>223.6</v>
    <v>227.92</v>
    <v>231.83</v>
    <v>231.92</v>
    <v>249.8</v>
    <v>253.73</v>
    <v>259.68</v>
    <v>251.31</v>
    <v>252.03</v>
    <v>252.74</v>
    <v>252.18</v>
    <v>236.73</v>
    <v>246.27</v>
    <v>242.11</v>
    <v>200.19</v>
    <v>192.5</v>
    <v>208.44</v>
    <v>216</v>
    <v>213.57</v>
    <v>213.58</v>
    <v>205.94</v>
    <v>207.32</v>
    <v>203.08</v>
    <v>200.12</v>
    <v>203.37</v>
    <v>200.15</v>
    <v>196.6</v>
    <v>213.84</v>
    <v>210.86</v>
    <v>203.68</v>
    <v>200.21</v>
    <v>198.62</v>
    <v>190.95</v>
    <v>202.07</v>
    <v>199.45</v>
    <v>192.43</v>
    <v>202.68</v>
    <v>203.23</v>
    <v>204.83</v>
    <v>197.74</v>
    <v>193.39</v>
    <v>196.58</v>
    <v>196.31</v>
    <v>199.46</v>
    <v>205.27</v>
    <v>201.33</v>
    <v>202.68</v>
    <v>205.37</v>
    <v>220.27</v>
    <v>203.77</v>
    <v>201.99</v>
    <v>196.04</v>
    <v>203.43</v>
    <v>210.21</v>
    <v>217.5</v>
    <v>220.18</v>
    <v>221.53</v>
    <v>231.82</v>
    <v>236.64</v>
    <v>245.04</v>
    <v>246.83</v>
    <v>255.07</v>
    <v>258.12</v>
    <v>278.26</v>
    <v>278.39</v>
    <v>274.95</v>
    <v>284.49</v>
    <v>303.45999999999998</v>
    <v>305.33</v>
    <v>347.81</v>
    <v>334.63</v>
    <v>323.20999999999998</v>
    <v>337.11</v>
    <v>354.49</v>
    <v>360.54</v>
    <v>341.54</v>
    <v>355.26</v>
    <v>421.39</v>
    <v>408.46</v>
    <v>455.19</v>
    <v>458.79</v>
    <v>448.29</v>
    <v>445.5</v>
    <v>449.7</v>
    <v>424.1</v>
    <v>420.99</v>
    <v>414.05</v>
    <v>447.58</v>
    <v>449.59</v>
    <v>467.51</v>
    <v>503.89</v>
    <v>495.54</v>
    <v>518.09</v>
    <v>516.1</v>
    <v>510.13</v>
    <v>521.54</v>
    <v>542.52</v>
    <v>523.20000000000005</v>
    <v>466.38</v>
    <v>490.33</v>
    <v>475.505</v>
    <v>452.4</v>
    <v>488.45</v>
    <v>511.57</v>
    <v>547.26</v>
    <v>507.29</v>
    <v>512.48</v>
    <v>537.37</v>
    <v>551.63</v>
    <v>519.85</v>
    <v>519.74</v>
    <v>532.57000000000005</v>
    <v>521.58000000000004</v>
    <v>539.49</v>
    <v>580.91</v>
    <v>540.88</v>
    <v>517.82000000000005</v>
    <v>552.04999999999995</v>
    <v>516.11</v>
    <v>517.40499999999997</v>
    <v>546.72</v>
    <v>557.89</v>
    <v>534.39</v>
    <v>548.13</v>
    <v>529.14</v>
    <v>500.94</v>
    <v>495.76</v>
    <v>503.57</v>
    <v>544.42999999999995</v>
    <v>552.33000000000004</v>
    <v>539.69000000000005</v>
    <v>521.95000000000005</v>
    <v>494.95</v>
    <v>454.62</v>
    <v>429.56</v>
    <v>485.39</v>
    <v>476.15</v>
    <v>484.64</v>
    <v>518.58000000000004</v>
    <v>482.05</v>
    <v>489.28</v>
    <v>483.36</v>
    <v>469.56</v>
    <v>474.32</v>
    <v>482.93</v>
    <v>483.01</v>
    <v>514.39</v>
    <v>506</v>
    <v>484.39</v>
    <v>466.42</v>
    <v>469.45499999999998</v>
    <v>473.25</v>
    <v>456.745</v>
    <v>479.18</v>
    <v>480.93</v>
    <v>476.67</v>
    <v>465.58</v>
    <v>470.72</v>
    <v>459.61</v>
    <v>457.06</v>
    <v>456.16</v>
    <v>477.57</v>
    <v>505.74</v>
    <v>521.09500000000003</v>
    <v>503.6</v>
    <v>516.13</v>
    <v>493.41</v>
    <v>504.2</v>
    <v>512.5</v>
    <v>545.09</v>
    <v>559.82000000000005</v>
    <v>615.52</v>
    <v>623.77</v>
    <v>614.61</v>
    <v>629.26</v>
    <v>630.63</v>
    <v>607.87</v>
    <v>607.57000000000005</v>
    <v>611.76</v>
    <v>615.73</v>
    <v>633.91</v>
    <v>631.75</v>
    <v>649.41999999999996</v>
    <v>645.86</v>
    <v>620.67999999999995</v>
    <v>608.1</v>
    <v>594.24</v>
    <v>605.53</v>
    <v>570.82000000000005</v>
    <v>562.23</v>
    <v>528.75</v>
    <v>538.04999999999995</v>
    <v>534.74</v>
    <v>552.72</v>
    <v>507.93</v>
    <v>516.79</v>
  </a>
  <a r="1" c="208">
    <v>4.9885000000000002</v>
    <v>4.6520000000000001</v>
    <v>4.6395</v>
    <v>4.7469999999999999</v>
    <v>4.6230000000000002</v>
    <v>4.4344999999999999</v>
    <v>4.45</v>
    <v>4.6020000000000003</v>
    <v>4.3425000000000002</v>
    <v>4.3105000000000002</v>
    <v>4.3295000000000003</v>
    <v>4.8624999999999998</v>
    <v>5.1040000000000001</v>
    <v>5.625</v>
    <v>5.9660000000000002</v>
    <v>5.774</v>
    <v>6.0819999999999999</v>
    <v>5.99</v>
    <v>6.1740000000000004</v>
    <v>5.9809999999999999</v>
    <v>6.8739999999999997</v>
    <v>5.5579999999999998</v>
    <v>5.3819999999999997</v>
    <v>5.5750000000000002</v>
    <v>5.4580000000000002</v>
    <v>5.7640000000000002</v>
    <v>5.1120000000000001</v>
    <v>5.101</v>
    <v>5.1210000000000004</v>
    <v>5.1429999999999998</v>
    <v>5.109</v>
    <v>4.9180000000000001</v>
    <v>4.9915000000000003</v>
    <v>4.8624999999999998</v>
    <v>4.9444999999999997</v>
    <v>5.0739999999999998</v>
    <v>4.9725000000000001</v>
    <v>4.8445</v>
    <v>4.8834999999999997</v>
    <v>4.71</v>
    <v>4.8129999999999997</v>
    <v>4.9805000000000001</v>
    <v>5.3520000000000003</v>
    <v>4.9764999999999997</v>
    <v>5.024</v>
    <v>5.3440000000000003</v>
    <v>5.2949999999999999</v>
    <v>5.13</v>
    <v>5.3410000000000002</v>
    <v>5.4240000000000004</v>
    <v>5.4139999999999997</v>
    <v>5.17</v>
    <v>5.1050000000000004</v>
    <v>5.141</v>
    <v>5.2889999999999997</v>
    <v>5.1440000000000001</v>
    <v>4.9279999999999999</v>
    <v>4.9130000000000003</v>
    <v>4.9385000000000003</v>
    <v>5.05</v>
    <v>5.1269999999999998</v>
    <v>4.9225000000000003</v>
    <v>4.9584999999999999</v>
    <v>4.8075000000000001</v>
    <v>4.766</v>
    <v>4.8564999999999996</v>
    <v>4.6269999999999998</v>
    <v>4.4980000000000002</v>
    <v>4.4855</v>
    <v>4.4954999999999998</v>
    <v>4.3674999999999997</v>
    <v>4.3654999999999999</v>
    <v>4.415</v>
    <v>4.43</v>
    <v>4.468</v>
    <v>4.4945000000000004</v>
    <v>4.57</v>
    <v>4.37</v>
    <v>4.2709999999999999</v>
    <v>4.4355000000000002</v>
    <v>4.3535000000000004</v>
    <v>4.2610000000000001</v>
    <v>4.2859999999999996</v>
    <v>4.5650000000000004</v>
    <v>4.4355000000000002</v>
    <v>4.2785000000000002</v>
    <v>4.3615000000000004</v>
    <v>4.3715000000000002</v>
    <v>4.4779999999999998</v>
    <v>4.3964999999999996</v>
    <v>4.4255000000000004</v>
    <v>4.4554999999999998</v>
    <v>4.5475000000000003</v>
    <v>4.5815000000000001</v>
    <v>4.7424999999999997</v>
    <v>4.625</v>
    <v>4.6420000000000003</v>
    <v>4.4189999999999996</v>
    <v>4.423</v>
    <v>4.4504999999999999</v>
    <v>4.5289999999999999</v>
    <v>4.7249999999999996</v>
    <v>4.8129999999999997</v>
    <v>4.62</v>
    <v>4.5685000000000002</v>
    <v>4.67</v>
    <v>4.8745000000000003</v>
    <v>4.7569999999999997</v>
    <v>4.5720000000000001</v>
    <v>4.6180000000000003</v>
    <v>4.6704999999999997</v>
    <v>4.5285000000000002</v>
    <v>4.5235000000000003</v>
    <v>4.5075000000000003</v>
    <v>4.6429999999999998</v>
    <v>4.5744999999999996</v>
    <v>4.7119999999999997</v>
    <v>4.7249999999999996</v>
    <v>4.7960000000000003</v>
    <v>4.6989999999999998</v>
    <v>4.7515000000000001</v>
    <v>4.7975000000000003</v>
    <v>4.8520000000000003</v>
    <v>4.6144999999999996</v>
    <v>4.7694999999999999</v>
    <v>4.6435000000000004</v>
    <v>4.5640000000000001</v>
    <v>4.6070000000000002</v>
    <v>4.6254999999999997</v>
    <v>4.6695000000000002</v>
    <v>4.6775000000000002</v>
    <v>4.3994999999999997</v>
    <v>4.1935000000000002</v>
    <v>4.22</v>
    <v>4.2024999999999997</v>
    <v>4.2060000000000004</v>
    <v>4.1505000000000001</v>
    <v>4.2154999999999996</v>
    <v>4.1719999999999997</v>
    <v>4.2104999999999997</v>
    <v>4.2850000000000001</v>
    <v>4.3499999999999996</v>
    <v>4.3680000000000003</v>
    <v>4.1319999999999997</v>
    <v>3.972</v>
    <v>4.0439999999999996</v>
    <v>4.048</v>
    <v>3.9874999999999998</v>
    <v>4.0605000000000002</v>
    <v>3.9155000000000002</v>
    <v>3.8929999999999998</v>
    <v>3.8730000000000002</v>
    <v>3.8929999999999998</v>
    <v>4.0834999999999999</v>
    <v>4.0359999999999996</v>
    <v>4.0895000000000001</v>
    <v>3.9885000000000002</v>
    <v>3.9765000000000001</v>
    <v>3.83</v>
    <v>3.8919999999999999</v>
    <v>3.9510000000000001</v>
    <v>3.8245</v>
    <v>3.89</v>
    <v>3.9289999999999998</v>
    <v>3.8860000000000001</v>
    <v>4.0170000000000003</v>
    <v>4.0385</v>
    <v>3.9914999999999998</v>
    <v>4.024</v>
    <v>3.9904999999999999</v>
    <v>4.0895000000000001</v>
    <v>3.992</v>
    <v>4.0564999999999998</v>
    <v>4.0679999999999996</v>
    <v>3.9594999999999998</v>
    <v>3.93</v>
    <v>3.8540000000000001</v>
    <v>3.9125000000000001</v>
    <v>4.0225</v>
    <v>4.0514999999999999</v>
    <v>4.0205000000000002</v>
    <v>4.0490000000000004</v>
    <v>4.0664999999999996</v>
    <v>3.9975000000000001</v>
    <v>4.1165000000000003</v>
    <v>4.242</v>
    <v>4.4989999999999997</v>
    <v>4.2990000000000004</v>
    <v>4.2039999999999997</v>
    <v>4.1074999999999999</v>
    <v>4.0705</v>
    <v>4.0635000000000003</v>
    <v>4.0735000000000001</v>
    <v>4.1825000000000001</v>
    <v>4.2080000000000002</v>
    <v>4.4335000000000004</v>
    <v>4.3390000000000004</v>
    <v>4.4269999999999996</v>
    <v>4.4095000000000004</v>
    <v>4.4269999999999996</v>
    <v>4.4480000000000004</v>
    <v>4.3849999999999998</v>
    <v>4.1849999999999996</v>
    <v>4.17</v>
    <v>4.0964999999999998</v>
    <v>4.0265000000000004</v>
    <v>4.0095000000000001</v>
    <v>3.8940000000000001</v>
  </a>
  <a r="1" c="254">
    <v>5.6970000000000001</v>
    <v>5.569</v>
    <v>5.6079999999999997</v>
    <v>5.4409999999999998</v>
    <v>5.423</v>
    <v>5.556</v>
    <v>5.7320000000000002</v>
    <v>5.8739999999999997</v>
    <v>6.056</v>
    <v>6.0490000000000004</v>
    <v>6.0049999999999999</v>
    <v>6.0439999999999996</v>
    <v>5.98</v>
    <v>6.2439999999999998</v>
    <v>6.2539999999999996</v>
    <v>6.3739999999999997</v>
    <v>6.141</v>
    <v>6.1950000000000003</v>
    <v>5.9660000000000002</v>
    <v>6.3319999999999999</v>
    <v>6.3380000000000001</v>
    <v>6.3230000000000004</v>
    <v>6.2240000000000002</v>
    <v>5.89</v>
    <v>6.0830000000000002</v>
    <v>6.0990000000000002</v>
    <v>6.3209999999999997</v>
    <v>6.3760000000000003</v>
    <v>6.4729999999999999</v>
    <v>6.6029999999999998</v>
    <v>6.5529999999999999</v>
    <v>7.1230000000000002</v>
    <v>6.508</v>
    <v>6.2960000000000003</v>
    <v>6.0679999999999996</v>
    <v>5.7629999999999999</v>
    <v>5.5339999999999998</v>
    <v>5.3550000000000004</v>
    <v>5.24</v>
    <v>5.3929999999999998</v>
    <v>5.359</v>
    <v>5.1369999999999996</v>
    <v>4.8895</v>
    <v>5.1219999999999999</v>
    <v>5.47</v>
    <v>5.4240000000000004</v>
    <v>4.9885000000000002</v>
    <v>4.6520000000000001</v>
    <v>4.6395</v>
    <v>4.7469999999999999</v>
    <v>4.6230000000000002</v>
    <v>4.4344999999999999</v>
    <v>4.45</v>
    <v>4.6020000000000003</v>
    <v>4.3425000000000002</v>
    <v>4.3105000000000002</v>
    <v>4.3295000000000003</v>
    <v>4.8624999999999998</v>
    <v>5.1040000000000001</v>
    <v>5.625</v>
    <v>5.9660000000000002</v>
    <v>5.774</v>
    <v>6.0819999999999999</v>
    <v>5.99</v>
    <v>6.1740000000000004</v>
    <v>5.9809999999999999</v>
    <v>6.8739999999999997</v>
    <v>5.5579999999999998</v>
    <v>5.3819999999999997</v>
    <v>5.5750000000000002</v>
    <v>5.4580000000000002</v>
    <v>5.7640000000000002</v>
    <v>5.1120000000000001</v>
    <v>5.101</v>
    <v>5.1210000000000004</v>
    <v>5.1429999999999998</v>
    <v>5.109</v>
    <v>4.9180000000000001</v>
    <v>4.9915000000000003</v>
    <v>4.8624999999999998</v>
    <v>4.9444999999999997</v>
    <v>5.0739999999999998</v>
    <v>4.9725000000000001</v>
    <v>4.8445</v>
    <v>4.8834999999999997</v>
    <v>4.71</v>
    <v>4.8129999999999997</v>
    <v>4.9805000000000001</v>
    <v>5.3520000000000003</v>
    <v>4.9764999999999997</v>
    <v>5.024</v>
    <v>5.3440000000000003</v>
    <v>5.2949999999999999</v>
    <v>5.13</v>
    <v>5.3410000000000002</v>
    <v>5.4240000000000004</v>
    <v>5.4139999999999997</v>
    <v>5.17</v>
    <v>5.1050000000000004</v>
    <v>5.141</v>
    <v>5.2889999999999997</v>
    <v>5.1440000000000001</v>
    <v>4.9279999999999999</v>
    <v>4.9130000000000003</v>
    <v>4.9385000000000003</v>
    <v>5.05</v>
    <v>5.1269999999999998</v>
    <v>4.9225000000000003</v>
    <v>4.9584999999999999</v>
    <v>4.8075000000000001</v>
    <v>4.766</v>
    <v>4.8564999999999996</v>
    <v>4.6269999999999998</v>
    <v>4.4980000000000002</v>
    <v>4.4855</v>
    <v>4.4954999999999998</v>
    <v>4.3674999999999997</v>
    <v>4.3654999999999999</v>
    <v>4.415</v>
    <v>4.43</v>
    <v>4.468</v>
    <v>4.4945000000000004</v>
    <v>4.57</v>
    <v>4.37</v>
    <v>4.2709999999999999</v>
    <v>4.4355000000000002</v>
    <v>4.3535000000000004</v>
    <v>4.2610000000000001</v>
    <v>4.2859999999999996</v>
    <v>4.5650000000000004</v>
    <v>4.4355000000000002</v>
    <v>4.2785000000000002</v>
    <v>4.3615000000000004</v>
    <v>4.3715000000000002</v>
    <v>4.4779999999999998</v>
    <v>4.3964999999999996</v>
    <v>4.4255000000000004</v>
    <v>4.4554999999999998</v>
    <v>4.5475000000000003</v>
    <v>4.5815000000000001</v>
    <v>4.7424999999999997</v>
    <v>4.625</v>
    <v>4.6420000000000003</v>
    <v>4.4189999999999996</v>
    <v>4.423</v>
    <v>4.4504999999999999</v>
    <v>4.5289999999999999</v>
    <v>4.7249999999999996</v>
    <v>4.8129999999999997</v>
    <v>4.62</v>
    <v>4.5685000000000002</v>
    <v>4.67</v>
    <v>4.8745000000000003</v>
    <v>4.7569999999999997</v>
    <v>4.5720000000000001</v>
    <v>4.6180000000000003</v>
    <v>4.6704999999999997</v>
    <v>4.5285000000000002</v>
    <v>4.5235000000000003</v>
    <v>4.5075000000000003</v>
    <v>4.6429999999999998</v>
    <v>4.5744999999999996</v>
    <v>4.7119999999999997</v>
    <v>4.7249999999999996</v>
    <v>4.7960000000000003</v>
    <v>4.6989999999999998</v>
    <v>4.7515000000000001</v>
    <v>4.7975000000000003</v>
    <v>4.8520000000000003</v>
    <v>4.6144999999999996</v>
    <v>4.7694999999999999</v>
    <v>4.6435000000000004</v>
    <v>4.5640000000000001</v>
    <v>4.6070000000000002</v>
    <v>4.6254999999999997</v>
    <v>4.6695000000000002</v>
    <v>4.6775000000000002</v>
    <v>4.3994999999999997</v>
    <v>4.1935000000000002</v>
    <v>4.22</v>
    <v>4.2024999999999997</v>
    <v>4.2060000000000004</v>
    <v>4.1505000000000001</v>
    <v>4.2154999999999996</v>
    <v>4.1719999999999997</v>
    <v>4.2104999999999997</v>
    <v>4.2850000000000001</v>
    <v>4.3499999999999996</v>
    <v>4.3680000000000003</v>
    <v>4.1319999999999997</v>
    <v>3.972</v>
    <v>4.0439999999999996</v>
    <v>4.048</v>
    <v>3.9874999999999998</v>
    <v>4.0605000000000002</v>
    <v>3.9155000000000002</v>
    <v>3.8929999999999998</v>
    <v>3.8730000000000002</v>
    <v>3.8929999999999998</v>
    <v>4.0834999999999999</v>
    <v>4.0359999999999996</v>
    <v>4.0895000000000001</v>
    <v>3.9885000000000002</v>
    <v>3.9765000000000001</v>
    <v>3.83</v>
    <v>3.8919999999999999</v>
    <v>3.9510000000000001</v>
    <v>3.8245</v>
    <v>3.89</v>
    <v>3.9289999999999998</v>
    <v>3.8860000000000001</v>
    <v>4.0170000000000003</v>
    <v>4.0385</v>
    <v>3.9914999999999998</v>
    <v>4.024</v>
    <v>3.9904999999999999</v>
    <v>4.0895000000000001</v>
    <v>3.992</v>
    <v>4.0564999999999998</v>
    <v>4.0679999999999996</v>
    <v>3.9594999999999998</v>
    <v>3.93</v>
    <v>3.8540000000000001</v>
    <v>3.9125000000000001</v>
    <v>4.0225</v>
    <v>4.0514999999999999</v>
    <v>4.0205000000000002</v>
    <v>4.0490000000000004</v>
    <v>4.0664999999999996</v>
    <v>3.9975000000000001</v>
    <v>4.1165000000000003</v>
    <v>4.242</v>
    <v>4.4989999999999997</v>
    <v>4.2990000000000004</v>
    <v>4.2039999999999997</v>
    <v>4.1074999999999999</v>
    <v>4.0705</v>
    <v>4.0635000000000003</v>
    <v>4.0735000000000001</v>
    <v>4.1825000000000001</v>
    <v>4.2080000000000002</v>
    <v>4.4335000000000004</v>
    <v>4.3390000000000004</v>
    <v>4.4269999999999996</v>
    <v>4.4095000000000004</v>
    <v>4.4269999999999996</v>
    <v>4.4480000000000004</v>
    <v>4.3849999999999998</v>
    <v>4.1849999999999996</v>
    <v>4.17</v>
    <v>4.0964999999999998</v>
    <v>4.0265000000000004</v>
    <v>4.0095000000000001</v>
    <v>3.8940000000000001</v>
  </a>
  <a r="1" c="761">
    <v>14.263999999999999</v>
    <v>14.263999999999999</v>
    <v>14.442299999999999</v>
    <v>14.6206</v>
    <v>15.3338</v>
    <v>14.6206</v>
    <v>15.3338</v>
    <v>15.3338</v>
    <v>15.1555</v>
    <v>15.1555</v>
    <v>14.263999999999999</v>
    <v>14.085699999999999</v>
    <v>13.550800000000001</v>
    <v>13.3725</v>
    <v>13.3725</v>
    <v>13.3725</v>
    <v>13.3725</v>
    <v>13.550800000000001</v>
    <v>12.8376</v>
    <v>12.3027</v>
    <v>12.1244</v>
    <v>12.1244</v>
    <v>11.767799999999999</v>
    <v>12.1244</v>
    <v>11.767799999999999</v>
    <v>11.589499999999999</v>
    <v>11.411199999999999</v>
    <v>11.054600000000001</v>
    <v>11.054600000000001</v>
    <v>11.232900000000001</v>
    <v>10.702</v>
    <v>10.901999999999999</v>
    <v>10.36</v>
    <v>10.166</v>
    <v>10.282</v>
    <v>9.2279999999999998</v>
    <v>9.4849999999999994</v>
    <v>9.5630000000000006</v>
    <v>9.3420000000000005</v>
    <v>9.8049999999999997</v>
    <v>9.9939999999999998</v>
    <v>9.35</v>
    <v>9.36</v>
    <v>9.6630000000000003</v>
    <v>9.6039999999999992</v>
    <v>9.68</v>
    <v>9.8979999999999997</v>
    <v>10.007999999999999</v>
    <v>10.066000000000001</v>
    <v>10.53</v>
    <v>10.644</v>
    <v>10.654</v>
    <v>10.625999999999999</v>
    <v>11.118</v>
    <v>10.846</v>
    <v>11.102</v>
    <v>10.926</v>
    <v>10.593999999999999</v>
    <v>10.71</v>
    <v>10.571999999999999</v>
    <v>10.31</v>
    <v>9.6419999999999995</v>
    <v>9.1</v>
    <v>9.1760000000000002</v>
    <v>9.5660000000000007</v>
    <v>9.3979999999999997</v>
    <v>9.1020000000000003</v>
    <v>8.9410000000000007</v>
    <v>8.9890000000000008</v>
    <v>9.2379999999999995</v>
    <v>8.8640000000000008</v>
    <v>9.0399999999999991</v>
    <v>8.9329999999999998</v>
    <v>8.8320000000000007</v>
    <v>8.5289999999999999</v>
    <v>8.3379999999999992</v>
    <v>8.0749999999999993</v>
    <v>7.9470000000000001</v>
    <v>7.4969999999999999</v>
    <v>7.2030000000000003</v>
    <v>7.1050000000000004</v>
    <v>7.3680000000000003</v>
    <v>7.1539999999999999</v>
    <v>7.11</v>
    <v>7.9089999999999998</v>
    <v>7.6509999999999998</v>
    <v>7.4809999999999999</v>
    <v>7.6820000000000004</v>
    <v>7.8559999999999999</v>
    <v>8.0830000000000002</v>
    <v>8.1020000000000003</v>
    <v>7.9180000000000001</v>
    <v>8.4979999999999993</v>
    <v>8.2590000000000003</v>
    <v>8.2759999999999998</v>
    <v>7.992</v>
    <v>7.64</v>
    <v>7.4640000000000004</v>
    <v>7.2770000000000001</v>
    <v>7.1630000000000003</v>
    <v>7.3550000000000004</v>
    <v>7.3369999999999997</v>
    <v>7.3209999999999997</v>
    <v>7.4630000000000001</v>
    <v>7.415</v>
    <v>7.3120000000000003</v>
    <v>7.3</v>
    <v>7.2610000000000001</v>
    <v>7.2080000000000002</v>
    <v>6.9569999999999999</v>
    <v>6.9740000000000002</v>
    <v>7.5469999999999997</v>
    <v>7.4630000000000001</v>
    <v>7.1980000000000004</v>
    <v>7.2549999999999999</v>
    <v>7.3570000000000002</v>
    <v>7.516</v>
    <v>7.5110000000000001</v>
    <v>7.3639999999999999</v>
    <v>7.4189999999999996</v>
    <v>7.26</v>
    <v>7.18</v>
    <v>7.2080000000000002</v>
    <v>7.375</v>
    <v>7.3239999999999998</v>
    <v>7.51</v>
    <v>7.5190000000000001</v>
    <v>7.4</v>
    <v>7.3609999999999998</v>
    <v>7.2990000000000004</v>
    <v>7.476</v>
    <v>7.5069999999999997</v>
    <v>7.35</v>
    <v>7.5330000000000004</v>
    <v>7.8529999999999998</v>
    <v>7.7590000000000003</v>
    <v>7.7960000000000003</v>
    <v>7.9630000000000001</v>
    <v>7.9349999999999996</v>
    <v>7.9219999999999997</v>
    <v>8.1539999999999999</v>
    <v>8.0359999999999996</v>
    <v>8.36</v>
    <v>8.641</v>
    <v>8.9589999999999996</v>
    <v>9.0389999999999997</v>
    <v>9.2349999999999994</v>
    <v>9.6479999999999997</v>
    <v>8.907</v>
    <v>8.8629999999999995</v>
    <v>8.6549999999999994</v>
    <v>8.5</v>
    <v>8.1630000000000003</v>
    <v>7.9969999999999999</v>
    <v>8.3019999999999996</v>
    <v>8.4600000000000009</v>
    <v>8.5640000000000001</v>
    <v>8.7710000000000008</v>
    <v>9.1029999999999998</v>
    <v>9.7140000000000004</v>
    <v>9.6549999999999994</v>
    <v>9.5760000000000005</v>
    <v>9.3119999999999994</v>
    <v>9.3330000000000002</v>
    <v>8.8670000000000009</v>
    <v>9.1189999999999998</v>
    <v>9.1329999999999991</v>
    <v>8.9689999999999994</v>
    <v>8.875</v>
    <v>8.9879999999999995</v>
    <v>8.9960000000000004</v>
    <v>8.6630000000000003</v>
    <v>8.548</v>
    <v>8.2360000000000007</v>
    <v>7.8579999999999997</v>
    <v>7.6550000000000002</v>
    <v>7.7190000000000003</v>
    <v>7.4020000000000001</v>
    <v>7.4320000000000004</v>
    <v>7.3970000000000002</v>
    <v>7.5030000000000001</v>
    <v>7.2350000000000003</v>
    <v>7.1020000000000003</v>
    <v>7.1989999999999998</v>
    <v>6.8949999999999996</v>
    <v>6.8760000000000003</v>
    <v>6.4450000000000003</v>
    <v>6.6859999999999999</v>
    <v>6.5659999999999998</v>
    <v>7.01</v>
    <v>6.907</v>
    <v>6.77</v>
    <v>6.4589999999999996</v>
    <v>6.4029999999999996</v>
    <v>6.27</v>
    <v>6.4980000000000002</v>
    <v>6.4409999999999998</v>
    <v>6.4</v>
    <v>6.1020000000000003</v>
    <v>5.88</v>
    <v>6.21</v>
    <v>6.4370000000000003</v>
    <v>6.6959999999999997</v>
    <v>6.6260000000000003</v>
    <v>6.6859999999999999</v>
    <v>6.6109999999999998</v>
    <v>6.7030000000000003</v>
    <v>6.4050000000000002</v>
    <v>6.5430000000000001</v>
    <v>6.41</v>
    <v>6.37</v>
    <v>6.1740000000000004</v>
    <v>6.1120000000000001</v>
    <v>6.0490000000000004</v>
    <v>5.9610000000000003</v>
    <v>6.0019999999999998</v>
    <v>6.0629999999999997</v>
    <v>6.1040000000000001</v>
    <v>6.1139999999999999</v>
    <v>6.0110000000000001</v>
    <v>6.1580000000000004</v>
    <v>6.2519999999999998</v>
    <v>6.19</v>
    <v>6.0789999999999997</v>
    <v>6.1139999999999999</v>
    <v>6.24</v>
    <v>6.3550000000000004</v>
    <v>6.2530000000000001</v>
    <v>6.2779999999999996</v>
    <v>6.3380000000000001</v>
    <v>6.1959999999999997</v>
    <v>6.1210000000000004</v>
    <v>6.3170000000000002</v>
    <v>6.827</v>
    <v>6.7969999999999997</v>
    <v>6.7770000000000001</v>
    <v>6.6059999999999999</v>
    <v>6.9169999999999998</v>
    <v>7.024</v>
    <v>6.9480000000000004</v>
    <v>7.0519999999999996</v>
    <v>7.1820000000000004</v>
    <v>6.97</v>
    <v>6.67</v>
    <v>6.6470000000000002</v>
    <v>6.4710000000000001</v>
    <v>6.4589999999999996</v>
    <v>6.3929999999999998</v>
    <v>6.2359999999999998</v>
    <v>6.33</v>
    <v>6.1379999999999999</v>
    <v>6.0919999999999996</v>
    <v>5.9630000000000001</v>
    <v>6.0739999999999998</v>
    <v>6.1859999999999999</v>
    <v>6.181</v>
    <v>6.274</v>
    <v>6.41</v>
    <v>6.0620000000000003</v>
    <v>6.1070000000000002</v>
    <v>6.0490000000000004</v>
    <v>5.8559999999999999</v>
    <v>5.7510000000000003</v>
    <v>5.94</v>
    <v>5.7910000000000004</v>
    <v>5.9160000000000004</v>
    <v>5.7889999999999997</v>
    <v>5.8620000000000001</v>
    <v>6.2519999999999998</v>
    <v>6.407</v>
    <v>6.3639999999999999</v>
    <v>6.2350000000000003</v>
    <v>6.1289999999999996</v>
    <v>6.3339999999999996</v>
    <v>6.4729999999999999</v>
    <v>6.83</v>
    <v>7.2530000000000001</v>
    <v>6.6890000000000001</v>
    <v>7.1449999999999996</v>
    <v>6.8819999999999997</v>
    <v>6.5279999999999996</v>
    <v>6.5869999999999997</v>
    <v>6.6820000000000004</v>
    <v>6.532</v>
    <v>6.2489999999999997</v>
    <v>6.0670000000000002</v>
    <v>6.3239999999999998</v>
    <v>6.2110000000000003</v>
    <v>6.4139999999999997</v>
    <v>6.2779999999999996</v>
    <v>6.6929999999999996</v>
    <v>6.7389999999999999</v>
    <v>6.6820000000000004</v>
    <v>6.5140000000000002</v>
    <v>6.3929999999999998</v>
    <v>6.7320000000000002</v>
    <v>6.9169999999999998</v>
    <v>7.0949999999999998</v>
    <v>7.09</v>
    <v>7.1749999999999998</v>
    <v>7.86</v>
    <v>7.867</v>
    <v>7.3929999999999998</v>
    <v>7.6429999999999998</v>
    <v>7.6319999999999997</v>
    <v>7.7249999999999996</v>
    <v>8.1479999999999997</v>
    <v>8.3800000000000008</v>
    <v>8.6110000000000007</v>
    <v>8.3439999999999994</v>
    <v>8.6869999999999994</v>
    <v>8.76</v>
    <v>8.7750000000000004</v>
    <v>8.4209999999999994</v>
    <v>8.2210000000000001</v>
    <v>8.3160000000000007</v>
    <v>8.4730000000000008</v>
    <v>8.19</v>
    <v>7.8150000000000004</v>
    <v>7.6559999999999997</v>
    <v>7.6840000000000002</v>
    <v>7.5869999999999997</v>
    <v>7.5110000000000001</v>
    <v>8.3710000000000004</v>
    <v>8.0640000000000001</v>
    <v>7.9770000000000003</v>
    <v>8.2780000000000005</v>
    <v>8.3049999999999997</v>
    <v>8.5350000000000001</v>
    <v>8.7319999999999993</v>
    <v>8.6639999999999997</v>
    <v>9.0370000000000008</v>
    <v>9.01</v>
    <v>8.6950000000000003</v>
    <v>9.1750000000000007</v>
    <v>10.054</v>
    <v>9.7240000000000002</v>
    <v>10.19</v>
    <v>9.6039999999999992</v>
    <v>9.7360000000000007</v>
    <v>9.6460000000000008</v>
    <v>9.875</v>
    <v>9.4160000000000004</v>
    <v>9.798</v>
    <v>10.89</v>
    <v>10.318</v>
    <v>10.148</v>
    <v>9.9109999999999996</v>
    <v>10.602</v>
    <v>10.36</v>
    <v>9.5549999999999997</v>
    <v>9.7080000000000002</v>
    <v>9.5030000000000001</v>
    <v>9.4629999999999992</v>
    <v>9.5259999999999998</v>
    <v>9.7240000000000002</v>
    <v>9.4420000000000002</v>
    <v>9.4030000000000005</v>
    <v>9.27</v>
    <v>9.0820000000000007</v>
    <v>9.016</v>
    <v>9.0960000000000001</v>
    <v>9.2579999999999991</v>
    <v>9.5519999999999996</v>
    <v>9.3420000000000005</v>
    <v>9.42</v>
    <v>9.4559999999999995</v>
    <v>8.9659999999999993</v>
    <v>8.6679999999999993</v>
    <v>8.2129999999999992</v>
    <v>7.891</v>
    <v>8.0660000000000007</v>
    <v>7.766</v>
    <v>7.8049999999999997</v>
    <v>7.4290000000000003</v>
    <v>7.4580000000000002</v>
    <v>7.5940000000000003</v>
    <v>6.8929999999999998</v>
    <v>7.0430000000000001</v>
    <v>6.8010000000000002</v>
    <v>7.02</v>
    <v>7.2729999999999997</v>
    <v>7.4690000000000003</v>
    <v>7.5220000000000002</v>
    <v>8.0389999999999997</v>
    <v>8.2360000000000007</v>
    <v>8.06</v>
    <v>8.1120000000000001</v>
    <v>8.0839999999999996</v>
    <v>8.4849999999999994</v>
    <v>8.3870000000000005</v>
    <v>8.1940000000000008</v>
    <v>8.0730000000000004</v>
    <v>7.9160000000000004</v>
    <v>7.8310000000000004</v>
    <v>7.2690000000000001</v>
    <v>7.7110000000000003</v>
    <v>7.7169999999999996</v>
    <v>7.4950000000000001</v>
    <v>7.67</v>
    <v>7.5730000000000004</v>
    <v>7.6349999999999998</v>
    <v>7.4279999999999999</v>
    <v>7.1289999999999996</v>
    <v>7.12</v>
    <v>7.577</v>
    <v>7.5410000000000004</v>
    <v>7.5460000000000003</v>
    <v>7.4729999999999999</v>
    <v>7.625</v>
    <v>7.5229999999999997</v>
    <v>7.3010000000000002</v>
    <v>7.194</v>
    <v>7.1680000000000001</v>
    <v>7.2590000000000003</v>
    <v>7.4589999999999996</v>
    <v>7.8529999999999998</v>
    <v>8.0269999999999992</v>
    <v>8.3059999999999992</v>
    <v>7.9729999999999999</v>
    <v>7.5339999999999998</v>
    <v>7.34</v>
    <v>7.17</v>
    <v>6.82</v>
    <v>7.2610000000000001</v>
    <v>6.8360000000000003</v>
    <v>6.6079999999999997</v>
    <v>6.8159999999999998</v>
    <v>6.7359999999999998</v>
    <v>6.6379999999999999</v>
    <v>6.7949999999999999</v>
    <v>6.67</v>
    <v>6.32</v>
    <v>6.5830000000000002</v>
    <v>6.7320000000000002</v>
    <v>6.8390000000000004</v>
    <v>6.9690000000000003</v>
    <v>7.1059999999999999</v>
    <v>7.0979999999999999</v>
    <v>7.0940000000000003</v>
    <v>6.59</v>
    <v>6.4340000000000002</v>
    <v>6.12</v>
    <v>6.1870000000000003</v>
    <v>6.234</v>
    <v>6.1219999999999999</v>
    <v>6.2850000000000001</v>
    <v>6.069</v>
    <v>6.1680000000000001</v>
    <v>6.1879999999999997</v>
    <v>5.835</v>
    <v>5.9660000000000002</v>
    <v>6.0419999999999998</v>
    <v>6.0389999999999997</v>
    <v>5.9480000000000004</v>
    <v>5.8630000000000004</v>
    <v>5.6210000000000004</v>
    <v>5.54</v>
    <v>5.5789999999999997</v>
    <v>5.61</v>
    <v>5.4039999999999999</v>
    <v>5.4189999999999996</v>
    <v>5.5190000000000001</v>
    <v>5.3239999999999998</v>
    <v>5.335</v>
    <v>5.3339999999999996</v>
    <v>5.4480000000000004</v>
    <v>5.5570000000000004</v>
    <v>5.5679999999999996</v>
    <v>5.53</v>
    <v>5.5140000000000002</v>
    <v>5.7160000000000002</v>
    <v>5.7850000000000001</v>
    <v>5.6319999999999997</v>
    <v>5.6680000000000001</v>
    <v>5.5789999999999997</v>
    <v>5.5609999999999999</v>
    <v>5.4939999999999998</v>
    <v>5.4720000000000004</v>
    <v>5.4630000000000001</v>
    <v>5.5679999999999996</v>
    <v>5.6539999999999999</v>
    <v>5.4610000000000003</v>
    <v>5.3949999999999996</v>
    <v>5.2240000000000002</v>
    <v>5.2249999999999996</v>
    <v>5.3259999999999996</v>
    <v>5.5030000000000001</v>
    <v>5.399</v>
    <v>5.4429999999999996</v>
    <v>5.5970000000000004</v>
    <v>5.6539999999999999</v>
    <v>6.0359999999999996</v>
    <v>5.65</v>
    <v>5.7039999999999997</v>
    <v>5.86</v>
    <v>5.7439999999999998</v>
    <v>5.6909999999999998</v>
    <v>5.46</v>
    <v>5.4269999999999996</v>
    <v>5.3250000000000002</v>
    <v>5.2190000000000003</v>
    <v>5.2530000000000001</v>
    <v>5.2619999999999996</v>
    <v>5.5650000000000004</v>
    <v>5.65</v>
    <v>5.7169999999999996</v>
    <v>5.6970000000000001</v>
    <v>5.569</v>
    <v>5.6079999999999997</v>
    <v>5.4409999999999998</v>
    <v>5.423</v>
    <v>5.556</v>
    <v>5.7320000000000002</v>
    <v>5.8739999999999997</v>
    <v>6.056</v>
    <v>6.0490000000000004</v>
    <v>6.0049999999999999</v>
    <v>6.0439999999999996</v>
    <v>5.98</v>
    <v>6.2439999999999998</v>
    <v>6.2539999999999996</v>
    <v>6.3739999999999997</v>
    <v>6.141</v>
    <v>6.1950000000000003</v>
    <v>5.9660000000000002</v>
    <v>6.3319999999999999</v>
    <v>6.3380000000000001</v>
    <v>6.3230000000000004</v>
    <v>6.2240000000000002</v>
    <v>5.89</v>
    <v>6.0830000000000002</v>
    <v>6.0990000000000002</v>
    <v>6.3209999999999997</v>
    <v>6.3760000000000003</v>
    <v>6.4729999999999999</v>
    <v>6.6029999999999998</v>
    <v>6.5529999999999999</v>
    <v>7.1230000000000002</v>
    <v>6.508</v>
    <v>6.2960000000000003</v>
    <v>6.0679999999999996</v>
    <v>5.7629999999999999</v>
    <v>5.5339999999999998</v>
    <v>5.3550000000000004</v>
    <v>5.24</v>
    <v>5.3929999999999998</v>
    <v>5.359</v>
    <v>5.1369999999999996</v>
    <v>4.8895</v>
    <v>5.1219999999999999</v>
    <v>5.47</v>
    <v>5.4240000000000004</v>
    <v>4.9885000000000002</v>
    <v>4.6520000000000001</v>
    <v>4.6395</v>
    <v>4.7469999999999999</v>
    <v>4.6230000000000002</v>
    <v>4.4344999999999999</v>
    <v>4.45</v>
    <v>4.6020000000000003</v>
    <v>4.3425000000000002</v>
    <v>4.3105000000000002</v>
    <v>4.3295000000000003</v>
    <v>4.8624999999999998</v>
    <v>5.1040000000000001</v>
    <v>5.625</v>
    <v>5.9660000000000002</v>
    <v>5.774</v>
    <v>6.0819999999999999</v>
    <v>5.99</v>
    <v>6.1740000000000004</v>
    <v>5.9809999999999999</v>
    <v>6.8739999999999997</v>
    <v>5.5579999999999998</v>
    <v>5.3819999999999997</v>
    <v>5.5750000000000002</v>
    <v>5.4580000000000002</v>
    <v>5.7640000000000002</v>
    <v>5.1120000000000001</v>
    <v>5.101</v>
    <v>5.1210000000000004</v>
    <v>5.1429999999999998</v>
    <v>5.109</v>
    <v>4.9180000000000001</v>
    <v>4.9915000000000003</v>
    <v>4.8624999999999998</v>
    <v>4.9444999999999997</v>
    <v>5.0739999999999998</v>
    <v>4.9725000000000001</v>
    <v>4.8445</v>
    <v>4.8834999999999997</v>
    <v>4.71</v>
    <v>4.8129999999999997</v>
    <v>4.9805000000000001</v>
    <v>5.3520000000000003</v>
    <v>4.9764999999999997</v>
    <v>5.024</v>
    <v>5.3440000000000003</v>
    <v>5.2949999999999999</v>
    <v>5.13</v>
    <v>5.3410000000000002</v>
    <v>5.4240000000000004</v>
    <v>5.4139999999999997</v>
    <v>5.17</v>
    <v>5.1050000000000004</v>
    <v>5.141</v>
    <v>5.2889999999999997</v>
    <v>5.1440000000000001</v>
    <v>4.9279999999999999</v>
    <v>4.9130000000000003</v>
    <v>4.9385000000000003</v>
    <v>5.05</v>
    <v>5.1269999999999998</v>
    <v>4.9225000000000003</v>
    <v>4.9584999999999999</v>
    <v>4.8075000000000001</v>
    <v>4.766</v>
    <v>4.8564999999999996</v>
    <v>4.6269999999999998</v>
    <v>4.4980000000000002</v>
    <v>4.4855</v>
    <v>4.4954999999999998</v>
    <v>4.3674999999999997</v>
    <v>4.3654999999999999</v>
    <v>4.415</v>
    <v>4.43</v>
    <v>4.468</v>
    <v>4.4945000000000004</v>
    <v>4.57</v>
    <v>4.37</v>
    <v>4.2709999999999999</v>
    <v>4.4355000000000002</v>
    <v>4.3535000000000004</v>
    <v>4.2610000000000001</v>
    <v>4.2859999999999996</v>
    <v>4.5650000000000004</v>
    <v>4.4355000000000002</v>
    <v>4.2785000000000002</v>
    <v>4.3615000000000004</v>
    <v>4.3715000000000002</v>
    <v>4.4779999999999998</v>
    <v>4.3964999999999996</v>
    <v>4.4255000000000004</v>
    <v>4.4554999999999998</v>
    <v>4.5475000000000003</v>
    <v>4.5815000000000001</v>
    <v>4.7424999999999997</v>
    <v>4.625</v>
    <v>4.6420000000000003</v>
    <v>4.4189999999999996</v>
    <v>4.423</v>
    <v>4.4504999999999999</v>
    <v>4.5289999999999999</v>
    <v>4.7249999999999996</v>
    <v>4.8129999999999997</v>
    <v>4.62</v>
    <v>4.5685000000000002</v>
    <v>4.67</v>
    <v>4.8745000000000003</v>
    <v>4.7569999999999997</v>
    <v>4.5720000000000001</v>
    <v>4.6180000000000003</v>
    <v>4.6704999999999997</v>
    <v>4.5285000000000002</v>
    <v>4.5235000000000003</v>
    <v>4.5075000000000003</v>
    <v>4.6429999999999998</v>
    <v>4.5744999999999996</v>
    <v>4.7119999999999997</v>
    <v>4.7249999999999996</v>
    <v>4.7960000000000003</v>
    <v>4.6989999999999998</v>
    <v>4.7515000000000001</v>
    <v>4.7975000000000003</v>
    <v>4.8520000000000003</v>
    <v>4.6144999999999996</v>
    <v>4.7694999999999999</v>
    <v>4.6435000000000004</v>
    <v>4.5640000000000001</v>
    <v>4.6070000000000002</v>
    <v>4.6254999999999997</v>
    <v>4.6695000000000002</v>
    <v>4.6775000000000002</v>
    <v>4.3994999999999997</v>
    <v>4.1935000000000002</v>
    <v>4.22</v>
    <v>4.2024999999999997</v>
    <v>4.2060000000000004</v>
    <v>4.1505000000000001</v>
    <v>4.2154999999999996</v>
    <v>4.1719999999999997</v>
    <v>4.2104999999999997</v>
    <v>4.2850000000000001</v>
    <v>4.3499999999999996</v>
    <v>4.3680000000000003</v>
    <v>4.1319999999999997</v>
    <v>3.972</v>
    <v>4.0439999999999996</v>
    <v>4.048</v>
    <v>3.9874999999999998</v>
    <v>4.0605000000000002</v>
    <v>3.9155000000000002</v>
    <v>3.8929999999999998</v>
    <v>3.8730000000000002</v>
    <v>3.8929999999999998</v>
    <v>4.0834999999999999</v>
    <v>4.0359999999999996</v>
    <v>4.0895000000000001</v>
    <v>3.9885000000000002</v>
    <v>3.9765000000000001</v>
    <v>3.83</v>
    <v>3.8919999999999999</v>
    <v>3.9510000000000001</v>
    <v>3.8245</v>
    <v>3.89</v>
    <v>3.9289999999999998</v>
    <v>3.8860000000000001</v>
    <v>4.0170000000000003</v>
    <v>4.0385</v>
    <v>3.9914999999999998</v>
    <v>4.024</v>
    <v>3.9904999999999999</v>
    <v>4.0895000000000001</v>
    <v>3.992</v>
    <v>4.0564999999999998</v>
    <v>4.0679999999999996</v>
    <v>3.9594999999999998</v>
    <v>3.93</v>
    <v>3.8540000000000001</v>
    <v>3.9125000000000001</v>
    <v>4.0225</v>
    <v>4.0514999999999999</v>
    <v>4.0205000000000002</v>
    <v>4.0490000000000004</v>
    <v>4.0664999999999996</v>
    <v>3.9975000000000001</v>
    <v>4.1165000000000003</v>
    <v>4.242</v>
    <v>4.4989999999999997</v>
    <v>4.2990000000000004</v>
    <v>4.2039999999999997</v>
    <v>4.1074999999999999</v>
    <v>4.0705</v>
    <v>4.0635000000000003</v>
    <v>4.0735000000000001</v>
    <v>4.1825000000000001</v>
    <v>4.2080000000000002</v>
    <v>4.4335000000000004</v>
    <v>4.3390000000000004</v>
    <v>4.4269999999999996</v>
    <v>4.4095000000000004</v>
    <v>4.4269999999999996</v>
    <v>4.4480000000000004</v>
    <v>4.3849999999999998</v>
    <v>4.1849999999999996</v>
    <v>4.17</v>
    <v>4.0964999999999998</v>
    <v>4.0265000000000004</v>
    <v>4.0095000000000001</v>
    <v>3.8940000000000001</v>
  </a>
  <a r="1" c="205">
    <v>184.57</v>
    <v>194.33</v>
    <v>186.36</v>
    <v>194.11</v>
    <v>191.62</v>
    <v>173.15</v>
    <v>178.06</v>
    <v>185.18</v>
    <v>190.03</v>
    <v>184.11</v>
    <v>195.96</v>
    <v>191.04</v>
    <v>193.46</v>
    <v>201.46</v>
    <v>202.72</v>
    <v>196.94</v>
    <v>197.76</v>
    <v>214</v>
    <v>221.14</v>
    <v>215.86</v>
    <v>212.18</v>
    <v>222.44</v>
    <v>229.18</v>
    <v>211</v>
    <v>209.24</v>
    <v>227.68</v>
    <v>242.46</v>
    <v>228.37</v>
    <v>223.69</v>
    <v>216.1</v>
    <v>217.23</v>
    <v>219.96</v>
    <v>223.89</v>
    <v>232.48</v>
    <v>248.18</v>
    <v>248.89</v>
    <v>254.86</v>
    <v>267.89999999999998</v>
    <v>250.14</v>
    <v>258.93</v>
    <v>298.91000000000003</v>
    <v>280.81</v>
    <v>274.86</v>
    <v>253.87</v>
    <v>235.72</v>
    <v>252.32</v>
    <v>260.64</v>
    <v>251.41</v>
    <v>241.27</v>
    <v>242.76</v>
    <v>247.37</v>
    <v>245.8</v>
    <v>257.20999999999998</v>
    <v>275.57</v>
    <v>253.63</v>
    <v>255.05</v>
    <v>272.33</v>
    <v>272.04000000000002</v>
    <v>243.29</v>
    <v>243.48</v>
    <v>219.65</v>
    <v>238.21</v>
    <v>247.8</v>
    <v>258.16000000000003</v>
    <v>253.22</v>
    <v>255.1</v>
    <v>281.79000000000002</v>
    <v>284.17</v>
    <v>307.5</v>
    <v>307.93</v>
    <v>313.42</v>
    <v>308.2</v>
    <v>328</v>
    <v>345.02</v>
    <v>347.51</v>
    <v>343.79</v>
    <v>350.47</v>
    <v>337.68</v>
    <v>336.09</v>
    <v>321.52999999999997</v>
    <v>303.97000000000003</v>
    <v>304.93</v>
    <v>319.70999999999998</v>
    <v>329.5</v>
    <v>329.89</v>
    <v>335.73</v>
    <v>344.67</v>
    <v>319.19</v>
    <v>335.26</v>
    <v>379.69</v>
    <v>374.01</v>
    <v>403.71</v>
    <v>404.94</v>
    <v>382.45</v>
    <v>362.83</v>
    <v>353.63</v>
    <v>358.5</v>
    <v>378</v>
    <v>377.57</v>
    <v>381.35</v>
    <v>380.18</v>
    <v>376.95</v>
    <v>361.47</v>
    <v>362.9</v>
    <v>426.89</v>
    <v>417.43</v>
    <v>421.9</v>
    <v>376.99</v>
    <v>401.93</v>
    <v>355.94</v>
    <v>354.77</v>
    <v>363.58</v>
    <v>385.03</v>
    <v>413.84</v>
    <v>382.81</v>
    <v>378.85</v>
    <v>389.57</v>
    <v>425.48</v>
    <v>381.22</v>
    <v>392.5</v>
    <v>407.25</v>
    <v>380.56</v>
    <v>391.22</v>
    <v>394.47</v>
    <v>368.65</v>
    <v>333.36</v>
    <v>335.7</v>
    <v>314.13</v>
    <v>317.05</v>
    <v>327.24</v>
    <v>324.5</v>
    <v>307.39</v>
    <v>310.77</v>
    <v>299.38</v>
    <v>276.95999999999998</v>
    <v>277.60000000000002</v>
    <v>285.39999999999998</v>
    <v>317.22000000000003</v>
    <v>312.19</v>
    <v>313.22000000000003</v>
    <v>282.39</v>
    <v>271.31</v>
    <v>243.33</v>
    <v>222.05</v>
    <v>249.06</v>
    <v>262.89</v>
    <v>288.14</v>
    <v>323.73</v>
    <v>328.22</v>
    <v>334.22</v>
    <v>379.13</v>
    <v>325.14999999999998</v>
    <v>328.57</v>
    <v>355.64</v>
    <v>327.23</v>
    <v>325.83</v>
    <v>351.22</v>
    <v>306.43</v>
    <v>287.47000000000003</v>
    <v>290.02999999999997</v>
    <v>289.52</v>
    <v>275.49</v>
    <v>288.14</v>
    <v>294.37</v>
    <v>295.39</v>
    <v>279.2</v>
    <v>277.83</v>
    <v>272.02999999999997</v>
    <v>268.64</v>
    <v>264.41000000000003</v>
    <v>281.86</v>
    <v>301.88</v>
    <v>303.48</v>
    <v>293.17</v>
    <v>305.37</v>
    <v>266.5</v>
    <v>271.17</v>
    <v>289.93</v>
    <v>295.98</v>
    <v>317.36</v>
    <v>321.52</v>
    <v>310.39</v>
    <v>300.60000000000002</v>
    <v>290.61</v>
    <v>295.83</v>
    <v>282.45</v>
    <v>292.20999999999998</v>
    <v>287.81</v>
    <v>319.19</v>
    <v>337.04</v>
    <v>333.64</v>
    <v>338.36</v>
    <v>334.56</v>
    <v>302.35000000000002</v>
    <v>312.62</v>
    <v>288.02</v>
    <v>289.98</v>
    <v>263.32</v>
    <v>250.6</v>
    <v>232.9</v>
    <v>232.02</v>
    <v>231.8</v>
    <v>237.53</v>
    <v>207.82</v>
    <v>209.29</v>
  </a>
  <a r="1" c="252">
    <v>121.52</v>
    <v>129.34</v>
    <v>134.99</v>
    <v>134.24</v>
    <v>138.06</v>
    <v>132.71</v>
    <v>131.96</v>
    <v>132</v>
    <v>128.69999999999999</v>
    <v>134.63</v>
    <v>159.30000000000001</v>
    <v>154.51</v>
    <v>166.72</v>
    <v>158.01</v>
    <v>156.66999999999999</v>
    <v>139.97</v>
    <v>139.33000000000001</v>
    <v>139.07</v>
    <v>138.15</v>
    <v>142.94</v>
    <v>135.61000000000001</v>
    <v>139.51</v>
    <v>151.81</v>
    <v>148.85</v>
    <v>154</v>
    <v>164.26</v>
    <v>163.5</v>
    <v>164.89</v>
    <v>170.96</v>
    <v>177.35</v>
    <v>181.79</v>
    <v>185.86</v>
    <v>192.73</v>
    <v>197.45</v>
    <v>198.5</v>
    <v>178.34</v>
    <v>178.45</v>
    <v>175.2</v>
    <v>170.44</v>
    <v>175.71</v>
    <v>185.83</v>
    <v>190.98</v>
    <v>191.87</v>
    <v>191.37</v>
    <v>191.72</v>
    <v>189.02</v>
    <v>186.81</v>
    <v>184.57</v>
    <v>194.33</v>
    <v>186.36</v>
    <v>194.11</v>
    <v>191.62</v>
    <v>173.15</v>
    <v>178.06</v>
    <v>185.18</v>
    <v>190.03</v>
    <v>184.11</v>
    <v>195.96</v>
    <v>191.04</v>
    <v>193.46</v>
    <v>201.46</v>
    <v>202.72</v>
    <v>196.94</v>
    <v>197.76</v>
    <v>214</v>
    <v>221.14</v>
    <v>215.86</v>
    <v>212.18</v>
    <v>222.44</v>
    <v>229.18</v>
    <v>211</v>
    <v>209.24</v>
    <v>227.68</v>
    <v>242.46</v>
    <v>228.37</v>
    <v>223.69</v>
    <v>216.1</v>
    <v>217.23</v>
    <v>219.96</v>
    <v>223.89</v>
    <v>232.48</v>
    <v>248.18</v>
    <v>248.89</v>
    <v>254.86</v>
    <v>267.89999999999998</v>
    <v>250.14</v>
    <v>258.93</v>
    <v>298.91000000000003</v>
    <v>280.81</v>
    <v>274.86</v>
    <v>253.87</v>
    <v>235.72</v>
    <v>252.32</v>
    <v>260.64</v>
    <v>251.41</v>
    <v>241.27</v>
    <v>242.76</v>
    <v>247.37</v>
    <v>245.8</v>
    <v>257.20999999999998</v>
    <v>275.57</v>
    <v>253.63</v>
    <v>255.05</v>
    <v>272.33</v>
    <v>272.04000000000002</v>
    <v>243.29</v>
    <v>243.48</v>
    <v>219.65</v>
    <v>238.21</v>
    <v>247.8</v>
    <v>258.16000000000003</v>
    <v>253.22</v>
    <v>255.1</v>
    <v>281.79000000000002</v>
    <v>284.17</v>
    <v>307.5</v>
    <v>307.93</v>
    <v>313.42</v>
    <v>308.2</v>
    <v>328</v>
    <v>345.02</v>
    <v>347.51</v>
    <v>343.79</v>
    <v>350.47</v>
    <v>337.68</v>
    <v>336.09</v>
    <v>321.52999999999997</v>
    <v>303.97000000000003</v>
    <v>304.93</v>
    <v>319.70999999999998</v>
    <v>329.5</v>
    <v>329.89</v>
    <v>335.73</v>
    <v>344.67</v>
    <v>319.19</v>
    <v>335.26</v>
    <v>379.69</v>
    <v>374.01</v>
    <v>403.71</v>
    <v>404.94</v>
    <v>382.45</v>
    <v>362.83</v>
    <v>353.63</v>
    <v>358.5</v>
    <v>378</v>
    <v>377.57</v>
    <v>381.35</v>
    <v>380.18</v>
    <v>376.95</v>
    <v>361.47</v>
    <v>362.9</v>
    <v>426.89</v>
    <v>417.43</v>
    <v>421.9</v>
    <v>376.99</v>
    <v>401.93</v>
    <v>355.94</v>
    <v>354.77</v>
    <v>363.58</v>
    <v>385.03</v>
    <v>413.84</v>
    <v>382.81</v>
    <v>378.85</v>
    <v>389.57</v>
    <v>425.48</v>
    <v>381.22</v>
    <v>392.5</v>
    <v>407.25</v>
    <v>380.56</v>
    <v>391.22</v>
    <v>394.47</v>
    <v>368.65</v>
    <v>333.36</v>
    <v>335.7</v>
    <v>314.13</v>
    <v>317.05</v>
    <v>327.24</v>
    <v>324.5</v>
    <v>307.39</v>
    <v>310.77</v>
    <v>299.38</v>
    <v>276.95999999999998</v>
    <v>277.60000000000002</v>
    <v>285.39999999999998</v>
    <v>317.22000000000003</v>
    <v>312.19</v>
    <v>313.22000000000003</v>
    <v>282.39</v>
    <v>271.31</v>
    <v>243.33</v>
    <v>222.05</v>
    <v>249.06</v>
    <v>262.89</v>
    <v>288.14</v>
    <v>323.73</v>
    <v>328.22</v>
    <v>334.22</v>
    <v>379.13</v>
    <v>325.14999999999998</v>
    <v>328.57</v>
    <v>355.64</v>
    <v>327.23</v>
    <v>325.83</v>
    <v>351.22</v>
    <v>306.43</v>
    <v>287.47000000000003</v>
    <v>290.02999999999997</v>
    <v>289.52</v>
    <v>275.49</v>
    <v>288.14</v>
    <v>294.37</v>
    <v>295.39</v>
    <v>279.2</v>
    <v>277.83</v>
    <v>272.02999999999997</v>
    <v>268.64</v>
    <v>264.41000000000003</v>
    <v>281.86</v>
    <v>301.88</v>
    <v>303.48</v>
    <v>293.17</v>
    <v>305.37</v>
    <v>266.5</v>
    <v>271.17</v>
    <v>289.93</v>
    <v>295.98</v>
    <v>317.36</v>
    <v>321.52</v>
    <v>310.39</v>
    <v>300.60000000000002</v>
    <v>290.61</v>
    <v>295.83</v>
    <v>282.45</v>
    <v>292.20999999999998</v>
    <v>287.81</v>
    <v>319.19</v>
    <v>337.04</v>
    <v>333.64</v>
    <v>338.36</v>
    <v>334.56</v>
    <v>302.35000000000002</v>
    <v>312.62</v>
    <v>288.02</v>
    <v>289.98</v>
    <v>263.32</v>
    <v>250.6</v>
    <v>232.9</v>
    <v>232.02</v>
    <v>231.8</v>
    <v>237.53</v>
    <v>207.82</v>
    <v>209.29</v>
  </a>
  <a r="1" c="754">
    <v>30.98</v>
    <v>31.36</v>
    <v>30.46</v>
    <v>29.36</v>
    <v>29.15</v>
    <v>29.19</v>
    <v>29.6</v>
    <v>29.35</v>
    <v>31.02</v>
    <v>32.85</v>
    <v>32.82</v>
    <v>32.82</v>
    <v>34.659999999999997</v>
    <v>33.33</v>
    <v>33.97</v>
    <v>33.840000000000003</v>
    <v>35.43</v>
    <v>36.1</v>
    <v>35.47</v>
    <v>36.07</v>
    <v>36.4</v>
    <v>35.119999999999997</v>
    <v>36.020000000000003</v>
    <v>36.14</v>
    <v>36.26</v>
    <v>36.090000000000003</v>
    <v>37.26</v>
    <v>36.79</v>
    <v>38.22</v>
    <v>39.200000000000003</v>
    <v>38.729999999999997</v>
    <v>38.99</v>
    <v>40.42</v>
    <v>41.38</v>
    <v>41.85</v>
    <v>41.82</v>
    <v>42.24</v>
    <v>44.11</v>
    <v>43.84</v>
    <v>43.19</v>
    <v>44.21</v>
    <v>42.77</v>
    <v>44.01</v>
    <v>44.61</v>
    <v>45.43</v>
    <v>44.81</v>
    <v>44.81</v>
    <v>43.53</v>
    <v>42.12</v>
    <v>40.86</v>
    <v>40.6</v>
    <v>41.17</v>
    <v>42.32</v>
    <v>42.37</v>
    <v>41.79</v>
    <v>42.5</v>
    <v>41.75</v>
    <v>45.16</v>
    <v>44.1</v>
    <v>45.73</v>
    <v>46.17</v>
    <v>47</v>
    <v>47.67</v>
    <v>48</v>
    <v>47.73</v>
    <v>47.31</v>
    <v>48.93</v>
    <v>48.69</v>
    <v>47.54</v>
    <v>48.79</v>
    <v>49.13</v>
    <v>49.42</v>
    <v>58</v>
    <v>61.89</v>
    <v>61.81</v>
    <v>62.35</v>
    <v>61.9</v>
    <v>60.57</v>
    <v>62.01</v>
    <v>60.51</v>
    <v>59.72</v>
    <v>56.78</v>
    <v>57.45</v>
    <v>60.47</v>
    <v>58.86</v>
    <v>58.57</v>
    <v>58.02</v>
    <v>57.97</v>
    <v>59.48</v>
    <v>63.47</v>
    <v>66.89</v>
    <v>65.94</v>
    <v>64.72</v>
    <v>64.319999999999993</v>
    <v>63.86</v>
    <v>61.49</v>
    <v>62.86</v>
    <v>61.77</v>
    <v>59.73</v>
    <v>58.76</v>
    <v>59.59</v>
    <v>58</v>
    <v>60.01</v>
    <v>63.24</v>
    <v>63.3</v>
    <v>62.12</v>
    <v>59.68</v>
    <v>60.88</v>
    <v>60.62</v>
    <v>60</v>
    <v>58.9</v>
    <v>59.44</v>
    <v>57.57</v>
    <v>57.64</v>
    <v>57.39</v>
    <v>57.48</v>
    <v>55.85</v>
    <v>56.03</v>
    <v>53.6</v>
    <v>52.12</v>
    <v>53.05</v>
    <v>51.81</v>
    <v>51</v>
    <v>49.26</v>
    <v>51.51</v>
    <v>52.35</v>
    <v>52.1</v>
    <v>52.88</v>
    <v>55.06</v>
    <v>55.84</v>
    <v>54.63</v>
    <v>54.34</v>
    <v>55.36</v>
    <v>56.51</v>
    <v>57.92</v>
    <v>55.3</v>
    <v>54.7</v>
    <v>54.52</v>
    <v>53.69</v>
    <v>54.37</v>
    <v>56.65</v>
    <v>57.08</v>
    <v>58.33</v>
    <v>58.13</v>
    <v>58.89</v>
    <v>57.82</v>
    <v>57.06</v>
    <v>59.06</v>
    <v>59.67</v>
    <v>59.03</v>
    <v>58.02</v>
    <v>59.19</v>
    <v>57.06</v>
    <v>70.099999999999994</v>
    <v>65.89</v>
    <v>66.75</v>
    <v>66.03</v>
    <v>65.88</v>
    <v>66.62</v>
    <v>66.89</v>
    <v>70.430000000000007</v>
    <v>70.92</v>
    <v>71.75</v>
    <v>73.98</v>
    <v>73.430000000000007</v>
    <v>70.989999999999995</v>
    <v>71.930000000000007</v>
    <v>71.75</v>
    <v>71.62</v>
    <v>70.89</v>
    <v>71.25</v>
    <v>72.459999999999994</v>
    <v>72.739999999999995</v>
    <v>72.86</v>
    <v>73.86</v>
    <v>74.56</v>
    <v>76.55</v>
    <v>75.11</v>
    <v>76.55</v>
    <v>76.760000000000005</v>
    <v>78.400000000000006</v>
    <v>79.44</v>
    <v>80.48</v>
    <v>75.819999999999993</v>
    <v>74.53</v>
    <v>72.02</v>
    <v>73.75</v>
    <v>73.14</v>
    <v>70.17</v>
    <v>67.45</v>
    <v>70.5</v>
    <v>69.209999999999994</v>
    <v>65.150000000000006</v>
    <v>69.680000000000007</v>
    <v>65.48</v>
    <v>58.93</v>
    <v>56.25</v>
    <v>57.94</v>
    <v>57.2</v>
    <v>61.98</v>
    <v>63.34</v>
    <v>66.7</v>
    <v>66.959999999999994</v>
    <v>66.989999999999995</v>
    <v>71.28</v>
    <v>76.63</v>
    <v>77.459999999999994</v>
    <v>78.55</v>
    <v>80.209999999999994</v>
    <v>78.290000000000006</v>
    <v>79.38</v>
    <v>79.430000000000007</v>
    <v>79.48</v>
    <v>78.790000000000006</v>
    <v>77.72</v>
    <v>77.95</v>
    <v>71.88</v>
    <v>73.900000000000006</v>
    <v>74.260000000000005</v>
    <v>68.540000000000006</v>
    <v>70.8</v>
    <v>70.86</v>
    <v>75.37</v>
    <v>75.97</v>
    <v>77.98</v>
    <v>75.25</v>
    <v>77.92</v>
    <v>80.98</v>
    <v>86.06</v>
    <v>87.02</v>
    <v>88.19</v>
    <v>89.73</v>
    <v>90.68</v>
    <v>92.42</v>
    <v>89.83</v>
    <v>88.91</v>
    <v>88.8</v>
    <v>91.46</v>
    <v>94.27</v>
    <v>95.33</v>
    <v>95.18</v>
    <v>97.87</v>
    <v>98.69</v>
    <v>99.03</v>
    <v>104.62</v>
    <v>102.58</v>
    <v>100.52</v>
    <v>101.08</v>
    <v>102.07</v>
    <v>98.23</v>
    <v>98.44</v>
    <v>96.77</v>
    <v>97.82</v>
    <v>96.71</v>
    <v>95.84</v>
    <v>96.38</v>
    <v>98.53</v>
    <v>97.18</v>
    <v>92.44</v>
    <v>92.28</v>
    <v>90.91</v>
    <v>93.57</v>
    <v>99.43</v>
    <v>109.45</v>
    <v>110.02</v>
    <v>104.67</v>
    <v>104</v>
    <v>102.71</v>
    <v>100.01</v>
    <v>95.11</v>
    <v>95.35</v>
    <v>104.25</v>
    <v>103.38</v>
    <v>105.72</v>
    <v>105.34</v>
    <v>99.8</v>
    <v>101.04</v>
    <v>98.09</v>
    <v>100.16</v>
    <v>103.62</v>
    <v>106.54</v>
    <v>112.02</v>
    <v>108.66</v>
    <v>111.24</v>
    <v>103.95</v>
    <v>100.21</v>
    <v>103.84</v>
    <v>104.08</v>
    <v>106.64</v>
    <v>107.85</v>
    <v>103.29</v>
    <v>97.33</v>
    <v>96.18</v>
    <v>97.67</v>
    <v>99.02</v>
    <v>99.78</v>
    <v>99.6</v>
    <v>96.99</v>
    <v>94.84</v>
    <v>94.73</v>
    <v>100.59</v>
    <v>106.24</v>
    <v>100.96</v>
    <v>97.43</v>
    <v>93.66</v>
    <v>89.87</v>
    <v>92.05</v>
    <v>93</v>
    <v>96.45</v>
    <v>95.67</v>
    <v>98.29</v>
    <v>103.2</v>
    <v>107.96</v>
    <v>107.76</v>
    <v>100.33</v>
    <v>81.319999999999993</v>
    <v>82.49</v>
    <v>85.58</v>
    <v>89.68</v>
    <v>90.49</v>
    <v>87.5</v>
    <v>87.74</v>
    <v>90.1</v>
    <v>100.46</v>
    <v>95.89</v>
    <v>93.66</v>
    <v>87.5</v>
    <v>87.3</v>
    <v>86.46</v>
    <v>86.8</v>
    <v>88.68</v>
    <v>86.38</v>
    <v>86.24</v>
    <v>82.64</v>
    <v>80.22</v>
    <v>76.13</v>
    <v>78.400000000000006</v>
    <v>74.92</v>
    <v>75.19</v>
    <v>68.27</v>
    <v>69.569999999999993</v>
    <v>71.84</v>
    <v>65.040000000000006</v>
    <v>66.540000000000006</v>
    <v>62.81</v>
    <v>66.48</v>
    <v>67.319999999999993</v>
    <v>62.4</v>
    <v>64.3</v>
    <v>66.989999999999995</v>
    <v>65.38</v>
    <v>69.77</v>
    <v>68.709999999999994</v>
    <v>68.239999999999995</v>
    <v>76.709999999999994</v>
    <v>75.64</v>
    <v>71.489999999999995</v>
    <v>67.900000000000006</v>
    <v>65.73</v>
    <v>64.94</v>
    <v>63.7</v>
    <v>67.540000000000006</v>
    <v>53.91</v>
    <v>50.58</v>
    <v>52.83</v>
    <v>51.39</v>
    <v>63.04</v>
    <v>55.44</v>
    <v>55.2</v>
    <v>56.14</v>
    <v>56.54</v>
    <v>55.45</v>
    <v>55.29</v>
    <v>52.12</v>
    <v>55.13</v>
    <v>59.34</v>
    <v>63.51</v>
    <v>64.489999999999995</v>
    <v>64.81</v>
    <v>64.84</v>
    <v>64.319999999999993</v>
    <v>69.17</v>
    <v>71.64</v>
    <v>70.95</v>
    <v>69.790000000000006</v>
    <v>69.62</v>
    <v>70.59</v>
    <v>70.569999999999993</v>
    <v>77.77</v>
    <v>78.900000000000006</v>
    <v>80.7</v>
    <v>78.819999999999993</v>
    <v>78.599999999999994</v>
    <v>79.38</v>
    <v>79.45</v>
    <v>79.56</v>
    <v>78.88</v>
    <v>78.459999999999994</v>
    <v>81.19</v>
    <v>78.25</v>
    <v>79.52</v>
    <v>75.63</v>
    <v>76.78</v>
    <v>80.5</v>
    <v>81.63</v>
    <v>79.650000000000006</v>
    <v>79.739999999999995</v>
    <v>81.19</v>
    <v>82.02</v>
    <v>81.510000000000005</v>
    <v>80.95</v>
    <v>77.37</v>
    <v>80.760000000000005</v>
    <v>79.77</v>
    <v>82.29</v>
    <v>81.2</v>
    <v>80.64</v>
    <v>80.959999999999994</v>
    <v>85.63</v>
    <v>89.88</v>
    <v>87.23</v>
    <v>89.21</v>
    <v>86.64</v>
    <v>88.36</v>
    <v>90.9</v>
    <v>88.05</v>
    <v>90.4</v>
    <v>91.25</v>
    <v>93.72</v>
    <v>93.3</v>
    <v>94.52</v>
    <v>96.07</v>
    <v>97.82</v>
    <v>100.28</v>
    <v>99.6</v>
    <v>99.88</v>
    <v>97.02</v>
    <v>98.43</v>
    <v>98.72</v>
    <v>100.14</v>
    <v>104.3</v>
    <v>106.98</v>
    <v>107.23</v>
    <v>107.6</v>
    <v>102.79</v>
    <v>106.74</v>
    <v>105.6</v>
    <v>107.15</v>
    <v>113.82</v>
    <v>115.44</v>
    <v>113.6</v>
    <v>116.56</v>
    <v>114.01</v>
    <v>91.65</v>
    <v>93.4</v>
    <v>90.49</v>
    <v>87.76</v>
    <v>86.55</v>
    <v>86.6</v>
    <v>89.9</v>
    <v>90.5</v>
    <v>91.58</v>
    <v>90.71</v>
    <v>95.2</v>
    <v>90.47</v>
    <v>87.8</v>
    <v>88.47</v>
    <v>95.62</v>
    <v>97.84</v>
    <v>98.67</v>
    <v>99.22</v>
    <v>103.49</v>
    <v>103.51</v>
    <v>102.99</v>
    <v>106.34</v>
    <v>104.47</v>
    <v>103.41</v>
    <v>108.05</v>
    <v>109.11</v>
    <v>114.6</v>
    <v>109.29</v>
    <v>106.52</v>
    <v>106.57</v>
    <v>106.99</v>
    <v>107.97</v>
    <v>107.72</v>
    <v>114.65</v>
    <v>112.79</v>
    <v>113.58</v>
    <v>114.77</v>
    <v>113.56</v>
    <v>116.67</v>
    <v>122.35</v>
    <v>111.1</v>
    <v>115.13</v>
    <v>109.37</v>
    <v>110.41</v>
    <v>115.96</v>
    <v>116.35</v>
    <v>120.2</v>
    <v>120.79</v>
    <v>115.37</v>
    <v>121.52</v>
    <v>129.34</v>
    <v>134.99</v>
    <v>134.24</v>
    <v>138.06</v>
    <v>132.71</v>
    <v>131.96</v>
    <v>132</v>
    <v>128.69999999999999</v>
    <v>134.63</v>
    <v>159.30000000000001</v>
    <v>154.51</v>
    <v>166.72</v>
    <v>158.01</v>
    <v>156.66999999999999</v>
    <v>139.97</v>
    <v>139.33000000000001</v>
    <v>139.07</v>
    <v>138.15</v>
    <v>142.94</v>
    <v>135.61000000000001</v>
    <v>139.51</v>
    <v>151.81</v>
    <v>148.85</v>
    <v>154</v>
    <v>164.26</v>
    <v>163.5</v>
    <v>164.89</v>
    <v>170.96</v>
    <v>177.35</v>
    <v>181.79</v>
    <v>185.86</v>
    <v>192.73</v>
    <v>197.45</v>
    <v>198.5</v>
    <v>178.34</v>
    <v>178.45</v>
    <v>175.2</v>
    <v>170.44</v>
    <v>175.71</v>
    <v>185.83</v>
    <v>190.98</v>
    <v>191.87</v>
    <v>191.37</v>
    <v>191.72</v>
    <v>189.02</v>
    <v>186.81</v>
    <v>184.57</v>
    <v>194.33</v>
    <v>186.36</v>
    <v>194.11</v>
    <v>191.62</v>
    <v>173.15</v>
    <v>178.06</v>
    <v>185.18</v>
    <v>190.03</v>
    <v>184.11</v>
    <v>195.96</v>
    <v>191.04</v>
    <v>193.46</v>
    <v>201.46</v>
    <v>202.72</v>
    <v>196.94</v>
    <v>197.76</v>
    <v>214</v>
    <v>221.14</v>
    <v>215.86</v>
    <v>212.18</v>
    <v>222.44</v>
    <v>229.18</v>
    <v>211</v>
    <v>209.24</v>
    <v>227.68</v>
    <v>242.46</v>
    <v>228.37</v>
    <v>223.69</v>
    <v>216.1</v>
    <v>217.23</v>
    <v>219.96</v>
    <v>223.89</v>
    <v>232.48</v>
    <v>248.18</v>
    <v>248.89</v>
    <v>254.86</v>
    <v>267.89999999999998</v>
    <v>250.14</v>
    <v>258.93</v>
    <v>298.91000000000003</v>
    <v>280.81</v>
    <v>274.86</v>
    <v>253.87</v>
    <v>235.72</v>
    <v>252.32</v>
    <v>260.64</v>
    <v>251.41</v>
    <v>241.27</v>
    <v>242.76</v>
    <v>247.37</v>
    <v>245.8</v>
    <v>257.20999999999998</v>
    <v>275.57</v>
    <v>253.63</v>
    <v>255.05</v>
    <v>272.33</v>
    <v>272.04000000000002</v>
    <v>243.29</v>
    <v>243.48</v>
    <v>219.65</v>
    <v>238.21</v>
    <v>247.8</v>
    <v>258.16000000000003</v>
    <v>253.22</v>
    <v>255.1</v>
    <v>281.79000000000002</v>
    <v>284.17</v>
    <v>307.5</v>
    <v>307.93</v>
    <v>313.42</v>
    <v>308.2</v>
    <v>328</v>
    <v>345.02</v>
    <v>347.51</v>
    <v>343.79</v>
    <v>350.47</v>
    <v>337.68</v>
    <v>336.09</v>
    <v>321.52999999999997</v>
    <v>303.97000000000003</v>
    <v>304.93</v>
    <v>319.70999999999998</v>
    <v>329.5</v>
    <v>329.89</v>
    <v>335.73</v>
    <v>344.67</v>
    <v>319.19</v>
    <v>335.26</v>
    <v>379.69</v>
    <v>374.01</v>
    <v>403.71</v>
    <v>404.94</v>
    <v>382.45</v>
    <v>362.83</v>
    <v>353.63</v>
    <v>358.5</v>
    <v>378</v>
    <v>377.57</v>
    <v>381.35</v>
    <v>380.18</v>
    <v>376.95</v>
    <v>361.47</v>
    <v>362.9</v>
    <v>426.89</v>
    <v>417.43</v>
    <v>421.9</v>
    <v>376.99</v>
    <v>401.93</v>
    <v>355.94</v>
    <v>354.77</v>
    <v>363.58</v>
    <v>385.03</v>
    <v>413.84</v>
    <v>382.81</v>
    <v>378.85</v>
    <v>389.57</v>
    <v>425.48</v>
    <v>381.22</v>
    <v>392.5</v>
    <v>407.25</v>
    <v>380.56</v>
    <v>391.22</v>
    <v>394.47</v>
    <v>368.65</v>
    <v>333.36</v>
    <v>335.7</v>
    <v>314.13</v>
    <v>317.05</v>
    <v>327.24</v>
    <v>324.5</v>
    <v>307.39</v>
    <v>310.77</v>
    <v>299.38</v>
    <v>276.95999999999998</v>
    <v>277.60000000000002</v>
    <v>285.39999999999998</v>
    <v>317.22000000000003</v>
    <v>312.19</v>
    <v>313.22000000000003</v>
    <v>282.39</v>
    <v>271.31</v>
    <v>243.33</v>
    <v>222.05</v>
    <v>249.06</v>
    <v>262.89</v>
    <v>288.14</v>
    <v>323.73</v>
    <v>328.22</v>
    <v>334.22</v>
    <v>379.13</v>
    <v>325.14999999999998</v>
    <v>328.57</v>
    <v>355.64</v>
    <v>327.23</v>
    <v>325.83</v>
    <v>351.22</v>
    <v>306.43</v>
    <v>287.47000000000003</v>
    <v>290.02999999999997</v>
    <v>289.52</v>
    <v>275.49</v>
    <v>288.14</v>
    <v>294.37</v>
    <v>295.39</v>
    <v>279.2</v>
    <v>277.83</v>
    <v>272.02999999999997</v>
    <v>268.64</v>
    <v>264.41000000000003</v>
    <v>281.86</v>
    <v>301.88</v>
    <v>303.48</v>
    <v>293.17</v>
    <v>305.37</v>
    <v>266.5</v>
    <v>271.17</v>
    <v>289.93</v>
    <v>295.98</v>
    <v>317.36</v>
    <v>321.52</v>
    <v>310.39</v>
    <v>300.60000000000002</v>
    <v>290.61</v>
    <v>295.83</v>
    <v>282.45</v>
    <v>292.20999999999998</v>
    <v>287.81</v>
    <v>319.19</v>
    <v>337.04</v>
    <v>333.64</v>
    <v>338.36</v>
    <v>334.56</v>
    <v>302.35000000000002</v>
    <v>312.62</v>
    <v>288.02</v>
    <v>289.98</v>
    <v>263.32</v>
    <v>250.6</v>
    <v>232.9</v>
    <v>232.02</v>
    <v>231.8</v>
    <v>237.53</v>
    <v>207.82</v>
    <v>209.29</v>
  </a>
  <a r="1" c="761">
    <v>178.39</v>
    <v>178.09</v>
    <v>178.95</v>
    <v>180.26</v>
    <v>179.36</v>
    <v>180.9</v>
    <v>180.96</v>
    <v>180.13</v>
    <v>179.09</v>
    <v>177.88</v>
    <v>177.06</v>
    <v>176.39</v>
    <v>175.35</v>
    <v>175.78</v>
    <v>174.38</v>
    <v>174.32</v>
    <v>173.65</v>
    <v>173.27</v>
    <v>175.35</v>
    <v>174.75</v>
    <v>173.12</v>
    <v>175.54</v>
    <v>175.9</v>
    <v>175.21</v>
    <v>175.54</v>
    <v>176.34</v>
    <v>177.84</v>
    <v>178.57</v>
    <v>179.35</v>
    <v>181.6</v>
    <v>179.47</v>
    <v>179.21</v>
    <v>180.24</v>
    <v>180.4</v>
    <v>178.92</v>
    <v>176.98</v>
    <v>176.27</v>
    <v>176.27</v>
    <v>177.93</v>
    <v>178.98</v>
    <v>177.71</v>
    <v>178.72</v>
    <v>177.95</v>
    <v>178.47</v>
    <v>179.37</v>
    <v>179.56</v>
    <v>179.8</v>
    <v>179.25</v>
    <v>180.87</v>
    <v>178.84</v>
    <v>178.79</v>
    <v>179.44</v>
    <v>177.84</v>
    <v>178.19</v>
    <v>177.35</v>
    <v>176.95</v>
    <v>179.69</v>
    <v>179.94</v>
    <v>179.49</v>
    <v>177.64</v>
    <v>178.06</v>
    <v>178.46</v>
    <v>178.39</v>
    <v>179.12</v>
    <v>177.25</v>
    <v>178.51</v>
    <v>178.14</v>
    <v>179.88</v>
    <v>179.87</v>
    <v>181.36</v>
    <v>182.11</v>
    <v>180.8</v>
    <v>180.65</v>
    <v>181.77</v>
    <v>181.78</v>
    <v>180.9</v>
    <v>179.89</v>
    <v>179.39</v>
    <v>178.51</v>
    <v>178.06</v>
    <v>178.26</v>
    <v>178.83</v>
    <v>179.58</v>
    <v>179.8</v>
    <v>179.52</v>
    <v>179.36</v>
    <v>180.19</v>
    <v>179.64</v>
    <v>179.76</v>
    <v>180.04</v>
    <v>181.46</v>
    <v>183.79</v>
    <v>186.68</v>
    <v>187.7</v>
    <v>188.81</v>
    <v>189.27</v>
    <v>190.65</v>
    <v>191.51</v>
    <v>190.02</v>
    <v>190.49</v>
    <v>190.13</v>
    <v>190.49</v>
    <v>190.29</v>
    <v>190.37</v>
    <v>190.54</v>
    <v>192.32</v>
    <v>192.16</v>
    <v>192.72</v>
    <v>192.8</v>
    <v>194.23</v>
    <v>197.02</v>
    <v>200.92</v>
    <v>202.47</v>
    <v>202.46</v>
    <v>205.84</v>
    <v>205.92</v>
    <v>207.33</v>
    <v>208.62</v>
    <v>209.47</v>
    <v>215.9</v>
    <v>211.92</v>
    <v>214.74</v>
    <v>214.98</v>
    <v>214.46</v>
    <v>215.1</v>
    <v>210.3</v>
    <v>208.21</v>
    <v>209.16</v>
    <v>208.73</v>
    <v>209.56</v>
    <v>209.17</v>
    <v>206.27</v>
    <v>206.52</v>
    <v>204.02</v>
    <v>206.73</v>
    <v>205.97</v>
    <v>206.77</v>
    <v>207.65</v>
    <v>210.52</v>
    <v>207.44</v>
    <v>208.36</v>
    <v>210.29</v>
    <v>209.97</v>
    <v>212.27</v>
    <v>214.02</v>
    <v>214.62</v>
    <v>211.51</v>
    <v>207.4</v>
    <v>206.27</v>
    <v>208.04</v>
    <v>207.97</v>
    <v>207.46</v>
    <v>207.15</v>
    <v>206.1</v>
    <v>206.33</v>
    <v>204.96</v>
    <v>207.94</v>
    <v>209.18</v>
    <v>204.81</v>
    <v>205.67</v>
    <v>206.61</v>
    <v>205.88</v>
    <v>205.74</v>
    <v>208.58</v>
    <v>207.42</v>
    <v>207.62</v>
    <v>207.63</v>
    <v>210.42</v>
    <v>208.78</v>
    <v>208.28</v>
    <v>207.89</v>
    <v>206.53</v>
    <v>208.48</v>
    <v>208.34</v>
    <v>208.04</v>
    <v>207.87</v>
    <v>209.76</v>
    <v>209.24</v>
    <v>211.17</v>
    <v>209.71</v>
    <v>208.72</v>
    <v>210.72</v>
    <v>213.51</v>
    <v>211.92</v>
    <v>214.05</v>
    <v>216.75</v>
    <v>216.18</v>
    <v>216.69</v>
    <v>211.98</v>
    <v>210.23</v>
    <v>212.46</v>
    <v>214.37</v>
    <v>208.8</v>
    <v>210.63</v>
    <v>210.39</v>
    <v>211.73</v>
    <v>214.44</v>
    <v>217.54</v>
    <v>212.94</v>
    <v>210.3</v>
    <v>209.32</v>
    <v>210.3</v>
    <v>212.24</v>
    <v>213.17</v>
    <v>215.36</v>
    <v>216.05</v>
    <v>213.05</v>
    <v>216.84</v>
    <v>216.89</v>
    <v>216.61</v>
    <v>215.83</v>
    <v>213.75</v>
    <v>215.59</v>
    <v>215.64</v>
    <v>216.06</v>
    <v>216.05</v>
    <v>218</v>
    <v>217.05</v>
    <v>216.64</v>
    <v>215.5</v>
    <v>215.84</v>
    <v>217.23</v>
    <v>217.1</v>
    <v>216.65</v>
    <v>218.45</v>
    <v>218.7</v>
    <v>221.81</v>
    <v>222.78</v>
    <v>222.39</v>
    <v>221.31</v>
    <v>221.71</v>
    <v>222.3</v>
    <v>224.77</v>
    <v>226.5</v>
    <v>227.35</v>
    <v>228.26</v>
    <v>228.93</v>
    <v>227.78</v>
    <v>226.32</v>
    <v>230.79</v>
    <v>229.75</v>
    <v>230.72</v>
    <v>232.46</v>
    <v>231.02</v>
    <v>228.19</v>
    <v>228.54</v>
    <v>230.15</v>
    <v>232.65</v>
    <v>232.37</v>
    <v>234</v>
    <v>235.76</v>
    <v>238.16</v>
    <v>240.17</v>
    <v>240.93</v>
    <v>242.92</v>
    <v>241.12</v>
    <v>242.45</v>
    <v>242.81</v>
    <v>242.98</v>
    <v>245.69</v>
    <v>245.82</v>
    <v>242.04</v>
    <v>242.34</v>
    <v>241.04</v>
    <v>240.35</v>
    <v>238.26</v>
    <v>239.14</v>
    <v>239.97</v>
    <v>235.32</v>
    <v>234.74</v>
    <v>235.18</v>
    <v>233.35</v>
    <v>233.19</v>
    <v>236.83</v>
    <v>237.59</v>
    <v>241.72</v>
    <v>243.73</v>
    <v>249.14</v>
    <v>240.54</v>
    <v>240.39</v>
    <v>239.6</v>
    <v>239.94</v>
    <v>241.57</v>
    <v>241.39</v>
    <v>241.11</v>
    <v>241.54</v>
    <v>239.09</v>
    <v>239.22</v>
    <v>241.64</v>
    <v>244.98</v>
    <v>248.03</v>
    <v>244.67</v>
    <v>242.94</v>
    <v>241.81</v>
    <v>240.79</v>
    <v>241.27</v>
    <v>239.22</v>
    <v>241.37</v>
    <v>241</v>
    <v>240.61</v>
    <v>239.69</v>
    <v>248.24</v>
    <v>245.79</v>
    <v>243.2</v>
    <v>244.98</v>
    <v>247.94</v>
    <v>248.39</v>
    <v>251.75</v>
    <v>250.35</v>
    <v>248.87</v>
    <v>249.84</v>
    <v>252.86</v>
    <v>252.71</v>
    <v>249.25</v>
    <v>252.13</v>
    <v>253.71</v>
    <v>252.55</v>
    <v>252.91</v>
    <v>249.93</v>
    <v>253.37</v>
    <v>253.07</v>
    <v>256.76</v>
    <v>258.62</v>
    <v>262.33999999999997</v>
    <v>262.27</v>
    <v>263.82</v>
    <v>263.2</v>
    <v>265.98</v>
    <v>269.92</v>
    <v>269.10000000000002</v>
    <v>267.58</v>
    <v>267.64999999999998</v>
    <v>263.72000000000003</v>
    <v>264.85000000000002</v>
    <v>268.25</v>
    <v>269.38</v>
    <v>269.29000000000002</v>
    <v>268.89</v>
    <v>269</v>
    <v>264.05</v>
    <v>265.23</v>
    <v>264.45</v>
    <v>262.14999999999998</v>
    <v>263.52</v>
    <v>264.60000000000002</v>
    <v>260.39999999999998</v>
    <v>258.22000000000003</v>
    <v>257.61</v>
    <v>256.63</v>
    <v>255.76</v>
    <v>257.79000000000002</v>
    <v>262.66000000000003</v>
    <v>262.97000000000003</v>
    <v>262.83999999999997</v>
    <v>265.91000000000003</v>
    <v>267.16000000000003</v>
    <v>268.25</v>
    <v>267</v>
    <v>267.16000000000003</v>
    <v>267.81</v>
    <v>268.02999999999997</v>
    <v>270.86</v>
    <v>272.5</v>
    <v>276.52</v>
    <v>277.08</v>
    <v>275.75</v>
    <v>268.89999999999998</v>
    <v>264.08</v>
    <v>261.95999999999998</v>
    <v>264.02</v>
    <v>267.66000000000003</v>
    <v>271.36</v>
    <v>273.86</v>
    <v>270.01</v>
    <v>272.85000000000002</v>
    <v>279.29000000000002</v>
    <v>277.69</v>
    <v>284.75</v>
    <v>275.68</v>
    <v>280.22000000000003</v>
    <v>275.95999999999998</v>
    <v>280.58</v>
    <v>278.29000000000002</v>
    <v>279.56</v>
    <v>274.56</v>
    <v>279.86</v>
    <v>286.63</v>
    <v>285.64</v>
    <v>284.25</v>
    <v>283.91000000000003</v>
    <v>278.83</v>
    <v>278.38</v>
    <v>272.08</v>
    <v>275.42</v>
    <v>273.05</v>
    <v>275.2</v>
    <v>278.70999999999998</v>
    <v>279.64999999999998</v>
    <v>279.47000000000003</v>
    <v>283.70999999999998</v>
    <v>280.94</v>
    <v>278.39</v>
    <v>279.31</v>
    <v>279.49</v>
    <v>277.33999999999997</v>
    <v>282.5</v>
    <v>281.88</v>
    <v>282.8</v>
    <v>281.27</v>
    <v>279.95</v>
    <v>279.27999999999997</v>
    <v>278.94</v>
    <v>278.43</v>
    <v>280.27999999999997</v>
    <v>283.64999999999998</v>
    <v>281.26</v>
    <v>280.99</v>
    <v>281.27999999999997</v>
    <v>281.26</v>
    <v>279.91000000000003</v>
    <v>280.93</v>
    <v>272.70999999999998</v>
    <v>273.64</v>
    <v>271.87</v>
    <v>267.39</v>
    <v>267.95999999999998</v>
    <v>271.66000000000003</v>
    <v>271.57</v>
    <v>270.93</v>
    <v>270.77</v>
    <v>270.69</v>
    <v>269.58999999999997</v>
    <v>270.56</v>
    <v>272.08999999999997</v>
    <v>275.55</v>
    <v>274.2</v>
    <v>274.89999999999998</v>
    <v>275.49</v>
    <v>275.5</v>
    <v>275.45</v>
    <v>277.86</v>
    <v>279.52999999999997</v>
    <v>278.47000000000003</v>
    <v>274.32</v>
    <v>271.61</v>
    <v>272.91000000000003</v>
    <v>275.94</v>
    <v>274.58</v>
    <v>275.86</v>
    <v>277.91000000000003</v>
    <v>279.11</v>
    <v>279.89999999999998</v>
    <v>277.68</v>
    <v>279.04000000000002</v>
    <v>278.47000000000003</v>
    <v>276.32</v>
    <v>274.97000000000003</v>
    <v>274.18</v>
    <v>274.57</v>
    <v>273.72000000000003</v>
    <v>272.67</v>
    <v>274.23</v>
    <v>275.31</v>
    <v>275.73</v>
    <v>276.38</v>
    <v>277.73</v>
    <v>279.32</v>
    <v>279.48</v>
    <v>281.82</v>
    <v>284.17</v>
    <v>288.31</v>
    <v>292.08999999999997</v>
    <v>291.39</v>
    <v>292.49</v>
    <v>296.32</v>
    <v>296.89999999999998</v>
    <v>297.57</v>
    <v>296.51</v>
    <v>297.60000000000002</v>
    <v>298.32</v>
    <v>297.62</v>
    <v>297.64</v>
    <v>295.48</v>
    <v>299.17</v>
    <v>303.32</v>
    <v>306.81</v>
    <v>305.79000000000002</v>
    <v>305.77</v>
    <v>309.17</v>
    <v>312.27</v>
    <v>312.95</v>
    <v>315.04000000000002</v>
    <v>313.89999999999998</v>
    <v>316.86</v>
    <v>322.92</v>
    <v>326.68</v>
    <v>333.2</v>
    <v>332.54</v>
    <v>330.59</v>
    <v>338.61</v>
    <v>340.51</v>
    <v>345.61</v>
    <v>350.24</v>
    <v>349.13</v>
    <v>356.53</v>
    <v>340.16</v>
    <v>332.48</v>
    <v>341.51</v>
    <v>339.58</v>
    <v>327.78</v>
    <v>324.88</v>
    <v>328.19</v>
    <v>330.64</v>
    <v>330.64</v>
    <v>331.9</v>
    <v>330.73</v>
    <v>331.86</v>
    <v>330.44</v>
    <v>331.13</v>
    <v>339.15</v>
    <v>339.17</v>
    <v>345.66</v>
    <v>345.72</v>
    <v>337.92</v>
    <v>335.73</v>
    <v>336.07</v>
    <v>337.97</v>
    <v>337.21</v>
    <v>338.62</v>
    <v>339.91</v>
    <v>342.5</v>
    <v>343.35</v>
    <v>342.69</v>
    <v>347.41</v>
    <v>349</v>
    <v>344.34</v>
    <v>346.14</v>
    <v>346.02</v>
    <v>346.81</v>
    <v>345.41</v>
    <v>346.41</v>
    <v>345.07</v>
    <v>346.76</v>
    <v>349.73</v>
    <v>349.58</v>
    <v>350</v>
    <v>352.3</v>
    <v>355.97</v>
    <v>355.1</v>
    <v>360.95</v>
    <v>362.3</v>
    <v>352.54</v>
    <v>355.42</v>
    <v>352.02</v>
    <v>362.78</v>
    <v>367</v>
    <v>364.91</v>
    <v>365.53</v>
    <v>370.43</v>
    <v>378.49</v>
    <v>377.87</v>
    <v>379.03</v>
    <v>379.77</v>
    <v>378.73</v>
    <v>383.79</v>
    <v>386.51</v>
    <v>395.93</v>
    <v>397.28</v>
    <v>405.32</v>
    <v>408.5</v>
    <v>406.61</v>
    <v>423.37</v>
    <v>423.06</v>
    <v>402.19</v>
    <v>377.87</v>
    <v>403.12</v>
    <v>399.17</v>
    <v>393.19</v>
    <v>399.75</v>
    <v>407.76</v>
    <v>403.09</v>
    <v>407.88</v>
    <v>397.84</v>
    <v>405.33</v>
    <v>402.32</v>
    <v>394.87</v>
    <v>404.5</v>
    <v>406.65</v>
    <v>410.3</v>
    <v>422.63</v>
    <v>417.26</v>
    <v>421.77</v>
    <v>420.04</v>
    <v>423.65</v>
    <v>435.11</v>
    <v>421.95</v>
    <v>423.57</v>
    <v>418.84</v>
    <v>423.72</v>
    <v>421.83</v>
    <v>429.63</v>
    <v>427.08</v>
    <v>426.08</v>
    <v>421.82</v>
    <v>414.87</v>
    <v>415.7</v>
    <v>405.57</v>
    <v>381.43</v>
    <v>379.22</v>
    <v>361.73</v>
    <v>364.78</v>
    <v>376.45</v>
    <v>364.57</v>
    <v>375.31</v>
    <v>379.28</v>
    <v>382.61</v>
    <v>393.42</v>
    <v>386.85</v>
    <v>384.38</v>
    <v>389.32</v>
    <v>391.07</v>
    <v>389.2</v>
    <v>384.29</v>
    <v>389.18</v>
    <v>388.75</v>
    <v>389.86</v>
    <v>394.16</v>
    <v>390.02</v>
    <v>385.77</v>
    <v>385.97</v>
    <v>386.37</v>
    <v>385.72</v>
    <v>381.04</v>
    <v>373.82</v>
    <v>371.69</v>
    <v>377.49</v>
    <v>370.38</v>
    <v>373.94</v>
    <v>381.84</v>
    <v>385.1</v>
    <v>383.17</v>
    <v>383.88</v>
    <v>379.19</v>
    <v>382.87</v>
    <v>383.73</v>
    <v>373.97</v>
    <v>372.4</v>
    <v>370.94</v>
    <v>372.31</v>
    <v>372.94</v>
    <v>372.31</v>
    <v>375.44</v>
    <v>370.73</v>
    <v>364.55</v>
    <v>367.3</v>
    <v>374.95</v>
    <v>368.31</v>
    <v>370.15</v>
    <v>365.86</v>
    <v>367.72</v>
    <v>360.11</v>
    <v>358.73</v>
    <v>353.99</v>
    <v>341.71</v>
    <v>338.76</v>
    <v>348.46</v>
    <v>358.81</v>
    <v>356.41</v>
    <v>359.05</v>
    <v>352.69</v>
    <v>346.01</v>
    <v>349.98</v>
    <v>346.55</v>
    <v>337.92</v>
    <v>338.04</v>
    <v>342.33</v>
    <v>336.71</v>
    <v>337.02</v>
    <v>342.81</v>
    <v>344.4</v>
    <v>348.19</v>
    <v>347.42</v>
    <v>346.61</v>
    <v>337.87</v>
    <v>345.85</v>
    <v>342.97</v>
    <v>336.87</v>
    <v>341.29</v>
    <v>338.01</v>
    <v>335.26</v>
    <v>335.2</v>
    <v>336.5</v>
    <v>341.78</v>
    <v>347.87</v>
    <v>340.2</v>
    <v>342.13</v>
    <v>342.8</v>
    <v>338.74</v>
    <v>336.92</v>
    <v>340.07</v>
    <v>336.11</v>
    <v>335.39</v>
    <v>338.55</v>
    <v>352.42</v>
    <v>352.78</v>
    <v>359.89</v>
    <v>359.9</v>
    <v>363.3</v>
    <v>366.14</v>
    <v>361.72</v>
    <v>361.89</v>
    <v>365.2</v>
    <v>359.69</v>
    <v>367.33</v>
    <v>370.12</v>
    <v>376.54</v>
    <v>383.03</v>
    <v>380.2</v>
    <v>377.09</v>
    <v>376.82</v>
    <v>376.11</v>
    <v>364.73</v>
    <v>359.89</v>
    <v>360.32</v>
    <v>370.54</v>
    <v>365.09</v>
    <v>362.64</v>
    <v>361.69</v>
    <v>361.34</v>
    <v>359.02</v>
    <v>359.96</v>
    <v>354.69</v>
    <v>354.7</v>
    <v>359.79</v>
    <v>364.03</v>
    <v>362.98</v>
    <v>362.56</v>
    <v>362</v>
    <v>359.43</v>
    <v>357.52</v>
    <v>359.02</v>
    <v>346.71</v>
    <v>350.29</v>
    <v>349.75</v>
    <v>353.67</v>
    <v>351.81</v>
    <v>352.75</v>
    <v>353.19</v>
    <v>350.7</v>
    <v>351.21</v>
    <v>357.54</v>
    <v>356.47</v>
    <v>355.16</v>
    <v>351.81</v>
    <v>354.45</v>
    <v>354.75</v>
    <v>353.27</v>
    <v>351.56</v>
    <v>352.29</v>
    <v>345.67</v>
    <v>340.78</v>
  </a>
  <a r="1" c="208">
    <v>352.02</v>
    <v>362.78</v>
    <v>367</v>
    <v>364.91</v>
    <v>365.53</v>
    <v>370.43</v>
    <v>378.49</v>
    <v>377.87</v>
    <v>379.03</v>
    <v>379.77</v>
    <v>378.73</v>
    <v>383.79</v>
    <v>386.51</v>
    <v>395.93</v>
    <v>397.28</v>
    <v>405.32</v>
    <v>408.5</v>
    <v>406.61</v>
    <v>423.37</v>
    <v>423.06</v>
    <v>402.19</v>
    <v>377.87</v>
    <v>403.12</v>
    <v>399.17</v>
    <v>393.19</v>
    <v>399.75</v>
    <v>407.76</v>
    <v>403.09</v>
    <v>407.88</v>
    <v>397.84</v>
    <v>405.33</v>
    <v>402.32</v>
    <v>394.87</v>
    <v>404.5</v>
    <v>406.65</v>
    <v>410.3</v>
    <v>422.63</v>
    <v>417.26</v>
    <v>421.77</v>
    <v>420.04</v>
    <v>423.65</v>
    <v>435.11</v>
    <v>421.95</v>
    <v>423.57</v>
    <v>418.84</v>
    <v>423.72</v>
    <v>421.83</v>
    <v>429.63</v>
    <v>427.08</v>
    <v>426.08</v>
    <v>421.82</v>
    <v>414.87</v>
    <v>415.7</v>
    <v>405.57</v>
    <v>381.43</v>
    <v>379.22</v>
    <v>361.73</v>
    <v>364.78</v>
    <v>376.45</v>
    <v>364.57</v>
    <v>375.31</v>
    <v>379.28</v>
    <v>382.61</v>
    <v>393.42</v>
    <v>386.85</v>
    <v>384.38</v>
    <v>389.32</v>
    <v>391.07</v>
    <v>389.2</v>
    <v>384.29</v>
    <v>389.18</v>
    <v>388.75</v>
    <v>389.86</v>
    <v>394.16</v>
    <v>390.02</v>
    <v>385.77</v>
    <v>385.97</v>
    <v>386.37</v>
    <v>385.72</v>
    <v>381.04</v>
    <v>373.82</v>
    <v>371.69</v>
    <v>377.49</v>
    <v>370.38</v>
    <v>373.94</v>
    <v>381.84</v>
    <v>385.1</v>
    <v>383.17</v>
    <v>383.88</v>
    <v>379.19</v>
    <v>382.87</v>
    <v>383.73</v>
    <v>373.97</v>
    <v>372.4</v>
    <v>370.94</v>
    <v>372.31</v>
    <v>372.94</v>
    <v>372.31</v>
    <v>375.44</v>
    <v>370.73</v>
    <v>364.55</v>
    <v>367.3</v>
    <v>374.95</v>
    <v>368.31</v>
    <v>370.15</v>
    <v>365.86</v>
    <v>367.72</v>
    <v>360.11</v>
    <v>358.73</v>
    <v>353.99</v>
    <v>341.71</v>
    <v>338.76</v>
    <v>348.46</v>
    <v>358.81</v>
    <v>356.41</v>
    <v>359.05</v>
    <v>352.69</v>
    <v>346.01</v>
    <v>349.98</v>
    <v>346.55</v>
    <v>337.92</v>
    <v>338.04</v>
    <v>342.33</v>
    <v>336.71</v>
    <v>337.02</v>
    <v>342.81</v>
    <v>344.4</v>
    <v>348.19</v>
    <v>347.42</v>
    <v>346.61</v>
    <v>337.87</v>
    <v>345.85</v>
    <v>342.97</v>
    <v>336.87</v>
    <v>341.29</v>
    <v>338.01</v>
    <v>335.26</v>
    <v>335.2</v>
    <v>336.5</v>
    <v>341.78</v>
    <v>347.87</v>
    <v>340.2</v>
    <v>342.13</v>
    <v>342.8</v>
    <v>338.74</v>
    <v>336.92</v>
    <v>340.07</v>
    <v>336.11</v>
    <v>335.39</v>
    <v>338.55</v>
    <v>352.42</v>
    <v>352.78</v>
    <v>359.89</v>
    <v>359.9</v>
    <v>363.3</v>
    <v>366.14</v>
    <v>361.72</v>
    <v>361.89</v>
    <v>365.2</v>
    <v>359.69</v>
    <v>367.33</v>
    <v>370.12</v>
    <v>376.54</v>
    <v>383.03</v>
    <v>380.2</v>
    <v>377.09</v>
    <v>376.82</v>
    <v>376.11</v>
    <v>364.73</v>
    <v>359.89</v>
    <v>360.32</v>
    <v>370.54</v>
    <v>365.09</v>
    <v>362.64</v>
    <v>361.69</v>
    <v>361.34</v>
    <v>359.02</v>
    <v>359.96</v>
    <v>354.69</v>
    <v>354.7</v>
    <v>359.79</v>
    <v>364.03</v>
    <v>362.98</v>
    <v>362.56</v>
    <v>362</v>
    <v>359.43</v>
    <v>357.52</v>
    <v>359.02</v>
    <v>346.71</v>
    <v>350.29</v>
    <v>349.75</v>
    <v>353.67</v>
    <v>351.81</v>
    <v>352.75</v>
    <v>353.19</v>
    <v>350.7</v>
    <v>351.21</v>
    <v>357.54</v>
    <v>356.47</v>
    <v>355.16</v>
    <v>351.81</v>
    <v>354.45</v>
    <v>354.75</v>
    <v>353.27</v>
    <v>351.56</v>
    <v>352.29</v>
    <v>345.67</v>
    <v>340.78</v>
  </a>
  <a r="1" c="254">
    <v>341.51</v>
    <v>339.58</v>
    <v>327.78</v>
    <v>324.88</v>
    <v>328.19</v>
    <v>330.64</v>
    <v>330.64</v>
    <v>331.9</v>
    <v>330.73</v>
    <v>331.86</v>
    <v>330.44</v>
    <v>331.13</v>
    <v>339.15</v>
    <v>339.17</v>
    <v>345.66</v>
    <v>345.72</v>
    <v>337.92</v>
    <v>335.73</v>
    <v>336.07</v>
    <v>337.97</v>
    <v>337.21</v>
    <v>338.62</v>
    <v>339.91</v>
    <v>342.5</v>
    <v>343.35</v>
    <v>342.69</v>
    <v>347.41</v>
    <v>349</v>
    <v>344.34</v>
    <v>346.14</v>
    <v>346.02</v>
    <v>346.81</v>
    <v>345.41</v>
    <v>346.41</v>
    <v>345.07</v>
    <v>346.76</v>
    <v>349.73</v>
    <v>349.58</v>
    <v>350</v>
    <v>352.3</v>
    <v>355.97</v>
    <v>355.1</v>
    <v>360.95</v>
    <v>362.3</v>
    <v>352.54</v>
    <v>355.42</v>
    <v>352.02</v>
    <v>362.78</v>
    <v>367</v>
    <v>364.91</v>
    <v>365.53</v>
    <v>370.43</v>
    <v>378.49</v>
    <v>377.87</v>
    <v>379.03</v>
    <v>379.77</v>
    <v>378.73</v>
    <v>383.79</v>
    <v>386.51</v>
    <v>395.93</v>
    <v>397.28</v>
    <v>405.32</v>
    <v>408.5</v>
    <v>406.61</v>
    <v>423.37</v>
    <v>423.06</v>
    <v>402.19</v>
    <v>377.87</v>
    <v>403.12</v>
    <v>399.17</v>
    <v>393.19</v>
    <v>399.75</v>
    <v>407.76</v>
    <v>403.09</v>
    <v>407.88</v>
    <v>397.84</v>
    <v>405.33</v>
    <v>402.32</v>
    <v>394.87</v>
    <v>404.5</v>
    <v>406.65</v>
    <v>410.3</v>
    <v>422.63</v>
    <v>417.26</v>
    <v>421.77</v>
    <v>420.04</v>
    <v>423.65</v>
    <v>435.11</v>
    <v>421.95</v>
    <v>423.57</v>
    <v>418.84</v>
    <v>423.72</v>
    <v>421.83</v>
    <v>429.63</v>
    <v>427.08</v>
    <v>426.08</v>
    <v>421.82</v>
    <v>414.87</v>
    <v>415.7</v>
    <v>405.57</v>
    <v>381.43</v>
    <v>379.22</v>
    <v>361.73</v>
    <v>364.78</v>
    <v>376.45</v>
    <v>364.57</v>
    <v>375.31</v>
    <v>379.28</v>
    <v>382.61</v>
    <v>393.42</v>
    <v>386.85</v>
    <v>384.38</v>
    <v>389.32</v>
    <v>391.07</v>
    <v>389.2</v>
    <v>384.29</v>
    <v>389.18</v>
    <v>388.75</v>
    <v>389.86</v>
    <v>394.16</v>
    <v>390.02</v>
    <v>385.77</v>
    <v>385.97</v>
    <v>386.37</v>
    <v>385.72</v>
    <v>381.04</v>
    <v>373.82</v>
    <v>371.69</v>
    <v>377.49</v>
    <v>370.38</v>
    <v>373.94</v>
    <v>381.84</v>
    <v>385.1</v>
    <v>383.17</v>
    <v>383.88</v>
    <v>379.19</v>
    <v>382.87</v>
    <v>383.73</v>
    <v>373.97</v>
    <v>372.4</v>
    <v>370.94</v>
    <v>372.31</v>
    <v>372.94</v>
    <v>372.31</v>
    <v>375.44</v>
    <v>370.73</v>
    <v>364.55</v>
    <v>367.3</v>
    <v>374.95</v>
    <v>368.31</v>
    <v>370.15</v>
    <v>365.86</v>
    <v>367.72</v>
    <v>360.11</v>
    <v>358.73</v>
    <v>353.99</v>
    <v>341.71</v>
    <v>338.76</v>
    <v>348.46</v>
    <v>358.81</v>
    <v>356.41</v>
    <v>359.05</v>
    <v>352.69</v>
    <v>346.01</v>
    <v>349.98</v>
    <v>346.55</v>
    <v>337.92</v>
    <v>338.04</v>
    <v>342.33</v>
    <v>336.71</v>
    <v>337.02</v>
    <v>342.81</v>
    <v>344.4</v>
    <v>348.19</v>
    <v>347.42</v>
    <v>346.61</v>
    <v>337.87</v>
    <v>345.85</v>
    <v>342.97</v>
    <v>336.87</v>
    <v>341.29</v>
    <v>338.01</v>
    <v>335.26</v>
    <v>335.2</v>
    <v>336.5</v>
    <v>341.78</v>
    <v>347.87</v>
    <v>340.2</v>
    <v>342.13</v>
    <v>342.8</v>
    <v>338.74</v>
    <v>336.92</v>
    <v>340.07</v>
    <v>336.11</v>
    <v>335.39</v>
    <v>338.55</v>
    <v>352.42</v>
    <v>352.78</v>
    <v>359.89</v>
    <v>359.9</v>
    <v>363.3</v>
    <v>366.14</v>
    <v>361.72</v>
    <v>361.89</v>
    <v>365.2</v>
    <v>359.69</v>
    <v>367.33</v>
    <v>370.12</v>
    <v>376.54</v>
    <v>383.03</v>
    <v>380.2</v>
    <v>377.09</v>
    <v>376.82</v>
    <v>376.11</v>
    <v>364.73</v>
    <v>359.89</v>
    <v>360.32</v>
    <v>370.54</v>
    <v>365.09</v>
    <v>362.64</v>
    <v>361.69</v>
    <v>361.34</v>
    <v>359.02</v>
    <v>359.96</v>
    <v>354.69</v>
    <v>354.7</v>
    <v>359.79</v>
    <v>364.03</v>
    <v>362.98</v>
    <v>362.56</v>
    <v>362</v>
    <v>359.43</v>
    <v>357.52</v>
    <v>359.02</v>
    <v>346.71</v>
    <v>350.29</v>
    <v>349.75</v>
    <v>353.67</v>
    <v>351.81</v>
    <v>352.75</v>
    <v>353.19</v>
    <v>350.7</v>
    <v>351.21</v>
    <v>357.54</v>
    <v>356.47</v>
    <v>355.16</v>
    <v>351.81</v>
    <v>354.45</v>
    <v>354.75</v>
    <v>353.27</v>
    <v>351.56</v>
    <v>352.29</v>
    <v>345.67</v>
    <v>340.78</v>
  </a>
  <a r="1" c="205">
    <v>29.27</v>
    <v>30.96</v>
    <v>30.07</v>
    <v>30.54</v>
    <v>30.01</v>
    <v>29.9</v>
    <v>30.16</v>
    <v>30.12</v>
    <v>28.6</v>
    <v>28.27</v>
    <v>29.42</v>
    <v>32.64</v>
    <v>31.41</v>
    <v>32.24</v>
    <v>32.450000000000003</v>
    <v>31.7</v>
    <v>30.8</v>
    <v>31.2</v>
    <v>31.21</v>
    <v>30.12</v>
    <v>29.11</v>
    <v>29.71</v>
    <v>29.67</v>
    <v>33.76</v>
    <v>30.85</v>
    <v>34.380000000000003</v>
    <v>33.53</v>
    <v>33.33</v>
    <v>32.04</v>
    <v>30.43</v>
    <v>30.54</v>
    <v>30.11</v>
    <v>29.71</v>
    <v>32.159999999999997</v>
    <v>32.42</v>
    <v>30.71</v>
    <v>31.13</v>
    <v>33.6</v>
    <v>32.28</v>
    <v>32.39</v>
    <v>31.83</v>
    <v>30.68</v>
    <v>32.65</v>
    <v>32.24</v>
    <v>31.31</v>
    <v>31.98</v>
    <v>31.79</v>
    <v>31.79</v>
    <v>30.9</v>
    <v>30.75</v>
    <v>31.86</v>
    <v>31.51</v>
    <v>30.35</v>
    <v>30.79</v>
    <v>20.53</v>
    <v>21.58</v>
    <v>22.23</v>
    <v>24.05</v>
    <v>22.21</v>
    <v>21.97</v>
    <v>21.06</v>
    <v>22.77</v>
    <v>22.51</v>
    <v>23.22</v>
    <v>22.05</v>
    <v>22.67</v>
    <v>23.37</v>
    <v>23.22</v>
    <v>25.26</v>
    <v>25.97</v>
    <v>27.2</v>
    <v>27.29</v>
    <v>28.4</v>
    <v>28.56</v>
    <v>28.81</v>
    <v>28.43</v>
    <v>29.18</v>
    <v>26.75</v>
    <v>29.08</v>
    <v>27.85</v>
    <v>27.25</v>
    <v>26.32</v>
    <v>27.4</v>
    <v>27.09</v>
    <v>27.92</v>
    <v>27.83</v>
    <v>34.659999999999997</v>
    <v>33.619999999999997</v>
    <v>35.369999999999997</v>
    <v>33.520000000000003</v>
    <v>32.79</v>
    <v>32</v>
    <v>33.03</v>
    <v>31.04</v>
    <v>30.85</v>
    <v>30.56</v>
    <v>33.46</v>
    <v>33.46</v>
    <v>35.58</v>
    <v>37.1</v>
    <v>38.19</v>
    <v>41.3</v>
    <v>46.09</v>
    <v>46.88</v>
    <v>50.17</v>
    <v>47.42</v>
    <v>46.9</v>
    <v>41.64</v>
    <v>43.99</v>
    <v>40.64</v>
    <v>29.27</v>
    <v>31.97</v>
    <v>30.46</v>
    <v>30.85</v>
    <v>29.22</v>
    <v>27.78</v>
    <v>30.66</v>
    <v>35.46</v>
    <v>33.32</v>
    <v>32.450000000000003</v>
    <v>31.68</v>
    <v>30.63</v>
    <v>28.15</v>
    <v>29.33</v>
    <v>27.65</v>
    <v>27.22</v>
    <v>27.19</v>
    <v>26.25</v>
    <v>28.17</v>
    <v>28.24</v>
    <v>28.31</v>
    <v>27.66</v>
    <v>27.65</v>
    <v>26.89</v>
    <v>24.68</v>
    <v>24.18</v>
    <v>23.83</v>
    <v>25.5</v>
    <v>30.56</v>
    <v>31.2</v>
    <v>30.1</v>
    <v>29.81</v>
    <v>28.45</v>
    <v>25.7</v>
    <v>27.73</v>
    <v>28.4</v>
    <v>28.64</v>
    <v>31.69</v>
    <v>30.32</v>
    <v>29.38</v>
    <v>31.13</v>
    <v>31.46</v>
    <v>31.6</v>
    <v>37.61</v>
    <v>39.159999999999997</v>
    <v>39.840000000000003</v>
    <v>38.28</v>
    <v>37.409999999999997</v>
    <v>36.58</v>
    <v>36.5</v>
    <v>37.24</v>
    <v>35.17</v>
    <v>38.46</v>
    <v>37.39</v>
    <v>38.46</v>
    <v>37.08</v>
    <v>37.28</v>
    <v>36.71</v>
    <v>37</v>
    <v>37.869999999999997</v>
    <v>39.590000000000003</v>
    <v>40.26</v>
    <v>38.93</v>
    <v>37.380000000000003</v>
    <v>40.1</v>
    <v>36.74</v>
    <v>35.64</v>
    <v>36.85</v>
    <v>40.35</v>
    <v>39.090000000000003</v>
    <v>41.2</v>
    <v>41.54</v>
    <v>41.44</v>
    <v>41.51</v>
    <v>43.26</v>
    <v>41.78</v>
    <v>41.02</v>
    <v>41.07</v>
    <v>41.92</v>
    <v>43.69</v>
    <v>43.19</v>
    <v>43.46</v>
    <v>44.94</v>
    <v>42.77</v>
    <v>41.854999999999997</v>
    <v>39.979999999999997</v>
    <v>39.07</v>
    <v>35.78</v>
    <v>35.090000000000003</v>
    <v>31.63</v>
    <v>32.1</v>
    <v>32.47</v>
    <v>35.57</v>
    <v>33.72</v>
    <v>32.94</v>
  </a>
  <a r="1" c="252">
    <v>47.92</v>
    <v>48.29</v>
    <v>51.57</v>
    <v>52.36</v>
    <v>52.69</v>
    <v>50.37</v>
    <v>51.96</v>
    <v>50.75</v>
    <v>47.4</v>
    <v>42.03</v>
    <v>40.335000000000001</v>
    <v>39.76</v>
    <v>40.19</v>
    <v>38.82</v>
    <v>37.909999999999997</v>
    <v>35.090000000000003</v>
    <v>36.42</v>
    <v>34.1</v>
    <v>34.9</v>
    <v>33.729999999999997</v>
    <v>31.56</v>
    <v>32.19</v>
    <v>33.32</v>
    <v>32.479999999999997</v>
    <v>32.83</v>
    <v>33.85</v>
    <v>33.409999999999997</v>
    <v>32.92</v>
    <v>33.68</v>
    <v>34.229999999999997</v>
    <v>34.69</v>
    <v>35.369999999999997</v>
    <v>35.020000000000003</v>
    <v>34.9</v>
    <v>34.020000000000003</v>
    <v>32.33</v>
    <v>31.37</v>
    <v>31.66</v>
    <v>29.84</v>
    <v>29.37</v>
    <v>31.11</v>
    <v>31.07</v>
    <v>30.76</v>
    <v>30.55</v>
    <v>30.64</v>
    <v>30.08</v>
    <v>29.65</v>
    <v>29.27</v>
    <v>30.96</v>
    <v>30.07</v>
    <v>30.54</v>
    <v>30.01</v>
    <v>29.9</v>
    <v>30.16</v>
    <v>30.12</v>
    <v>28.6</v>
    <v>28.27</v>
    <v>29.42</v>
    <v>32.64</v>
    <v>31.41</v>
    <v>32.24</v>
    <v>32.450000000000003</v>
    <v>31.7</v>
    <v>30.8</v>
    <v>31.2</v>
    <v>31.21</v>
    <v>30.12</v>
    <v>29.11</v>
    <v>29.71</v>
    <v>29.67</v>
    <v>33.76</v>
    <v>30.85</v>
    <v>34.380000000000003</v>
    <v>33.53</v>
    <v>33.33</v>
    <v>32.04</v>
    <v>30.43</v>
    <v>30.54</v>
    <v>30.11</v>
    <v>29.71</v>
    <v>32.159999999999997</v>
    <v>32.42</v>
    <v>30.71</v>
    <v>31.13</v>
    <v>33.6</v>
    <v>32.28</v>
    <v>32.39</v>
    <v>31.83</v>
    <v>30.68</v>
    <v>32.65</v>
    <v>32.24</v>
    <v>31.31</v>
    <v>31.98</v>
    <v>31.79</v>
    <v>31.79</v>
    <v>30.9</v>
    <v>30.75</v>
    <v>31.86</v>
    <v>31.51</v>
    <v>30.35</v>
    <v>30.79</v>
    <v>20.53</v>
    <v>21.58</v>
    <v>22.23</v>
    <v>24.05</v>
    <v>22.21</v>
    <v>21.97</v>
    <v>21.06</v>
    <v>22.77</v>
    <v>22.51</v>
    <v>23.22</v>
    <v>22.05</v>
    <v>22.67</v>
    <v>23.37</v>
    <v>23.22</v>
    <v>25.26</v>
    <v>25.97</v>
    <v>27.2</v>
    <v>27.29</v>
    <v>28.4</v>
    <v>28.56</v>
    <v>28.81</v>
    <v>28.43</v>
    <v>29.18</v>
    <v>26.75</v>
    <v>29.08</v>
    <v>27.85</v>
    <v>27.25</v>
    <v>26.32</v>
    <v>27.4</v>
    <v>27.09</v>
    <v>27.92</v>
    <v>27.83</v>
    <v>34.659999999999997</v>
    <v>33.619999999999997</v>
    <v>35.369999999999997</v>
    <v>33.520000000000003</v>
    <v>32.79</v>
    <v>32</v>
    <v>33.03</v>
    <v>31.04</v>
    <v>30.85</v>
    <v>30.56</v>
    <v>33.46</v>
    <v>33.46</v>
    <v>35.58</v>
    <v>37.1</v>
    <v>38.19</v>
    <v>41.3</v>
    <v>46.09</v>
    <v>46.88</v>
    <v>50.17</v>
    <v>47.42</v>
    <v>46.9</v>
    <v>41.64</v>
    <v>43.99</v>
    <v>40.64</v>
    <v>29.27</v>
    <v>31.97</v>
    <v>30.46</v>
    <v>30.85</v>
    <v>29.22</v>
    <v>27.78</v>
    <v>30.66</v>
    <v>35.46</v>
    <v>33.32</v>
    <v>32.450000000000003</v>
    <v>31.68</v>
    <v>30.63</v>
    <v>28.15</v>
    <v>29.33</v>
    <v>27.65</v>
    <v>27.22</v>
    <v>27.19</v>
    <v>26.25</v>
    <v>28.17</v>
    <v>28.24</v>
    <v>28.31</v>
    <v>27.66</v>
    <v>27.65</v>
    <v>26.89</v>
    <v>24.68</v>
    <v>24.18</v>
    <v>23.83</v>
    <v>25.5</v>
    <v>30.56</v>
    <v>31.2</v>
    <v>30.1</v>
    <v>29.81</v>
    <v>28.45</v>
    <v>25.7</v>
    <v>27.73</v>
    <v>28.4</v>
    <v>28.64</v>
    <v>31.69</v>
    <v>30.32</v>
    <v>29.38</v>
    <v>31.13</v>
    <v>31.46</v>
    <v>31.6</v>
    <v>37.61</v>
    <v>39.159999999999997</v>
    <v>39.840000000000003</v>
    <v>38.28</v>
    <v>37.409999999999997</v>
    <v>36.58</v>
    <v>36.5</v>
    <v>37.24</v>
    <v>35.17</v>
    <v>38.46</v>
    <v>37.39</v>
    <v>38.46</v>
    <v>37.08</v>
    <v>37.28</v>
    <v>36.71</v>
    <v>37</v>
    <v>37.869999999999997</v>
    <v>39.590000000000003</v>
    <v>40.26</v>
    <v>38.93</v>
    <v>37.380000000000003</v>
    <v>40.1</v>
    <v>36.74</v>
    <v>35.64</v>
    <v>36.85</v>
    <v>40.35</v>
    <v>39.090000000000003</v>
    <v>41.2</v>
    <v>41.54</v>
    <v>41.44</v>
    <v>41.51</v>
    <v>43.26</v>
    <v>41.78</v>
    <v>41.02</v>
    <v>41.07</v>
    <v>41.92</v>
    <v>43.69</v>
    <v>43.19</v>
    <v>43.46</v>
    <v>44.94</v>
    <v>42.77</v>
    <v>41.854999999999997</v>
    <v>39.979999999999997</v>
    <v>39.07</v>
    <v>35.78</v>
    <v>35.090000000000003</v>
    <v>31.63</v>
    <v>32.1</v>
    <v>32.47</v>
    <v>35.57</v>
    <v>33.72</v>
    <v>32.94</v>
  </a>
  <a r="1" c="754">
    <v>25.489000000000001</v>
    <v>26.261500000000002</v>
    <v>25.399000000000001</v>
    <v>23.946000000000002</v>
    <v>24.14</v>
    <v>23.661999999999999</v>
    <v>23.946999999999999</v>
    <v>25.227</v>
    <v>24.59</v>
    <v>25.5</v>
    <v>25.259</v>
    <v>25.437999999999999</v>
    <v>26.027000000000001</v>
    <v>26.488</v>
    <v>26.603000000000002</v>
    <v>25.58</v>
    <v>29.387</v>
    <v>28.777999999999999</v>
    <v>28.367000000000001</v>
    <v>28.859000000000002</v>
    <v>30.46</v>
    <v>28.984999999999999</v>
    <v>28.666</v>
    <v>28.567</v>
    <v>29.036999999999999</v>
    <v>28.561</v>
    <v>28.763000000000002</v>
    <v>27.347000000000001</v>
    <v>26.963000000000001</v>
    <v>26.635000000000002</v>
    <v>26.295999999999999</v>
    <v>25.341999999999999</v>
    <v>25.614999999999998</v>
    <v>27.265000000000001</v>
    <v>26.225999999999999</v>
    <v>26.536999999999999</v>
    <v>27.332000000000001</v>
    <v>29.44</v>
    <v>30.010999999999999</v>
    <v>32.219000000000001</v>
    <v>31.594000000000001</v>
    <v>30.207999999999998</v>
    <v>30.417999999999999</v>
    <v>28.972000000000001</v>
    <v>29.433</v>
    <v>29.5</v>
    <v>29.145</v>
    <v>28.425999999999998</v>
    <v>28.545000000000002</v>
    <v>28.064</v>
    <v>28.88</v>
    <v>29.213000000000001</v>
    <v>32.027999999999999</v>
    <v>34.372999999999998</v>
    <v>34.238</v>
    <v>34.331000000000003</v>
    <v>33.956000000000003</v>
    <v>32.631</v>
    <v>31.823</v>
    <v>31.143999999999998</v>
    <v>42.335999999999999</v>
    <v>43.624000000000002</v>
    <v>45.738</v>
    <v>47.018999999999998</v>
    <v>47.558</v>
    <v>47.414999999999999</v>
    <v>49.567</v>
    <v>51.296999999999997</v>
    <v>52.960999999999999</v>
    <v>58.35</v>
    <v>57.963000000000001</v>
    <v>66.334999999999994</v>
    <v>68.159000000000006</v>
    <v>68.36</v>
    <v>69.8</v>
    <v>74.028999999999996</v>
    <v>77.301000000000002</v>
    <v>79.149000000000001</v>
    <v>88.055000000000007</v>
    <v>100.4</v>
    <v>80.331999999999994</v>
    <v>78.757000000000005</v>
    <v>73.417000000000002</v>
    <v>97.552000000000007</v>
    <v>86.001000000000005</v>
    <v>87.634</v>
    <v>85.111000000000004</v>
    <v>81.653999999999996</v>
    <v>86.611999999999995</v>
    <v>90.548000000000002</v>
    <v>107.434</v>
    <v>109.083</v>
    <v>112.47</v>
    <v>115.976</v>
    <v>114.001</v>
    <v>108.02200000000001</v>
    <v>116.3</v>
    <v>118.807</v>
    <v>113.011</v>
    <v>106.883</v>
    <v>100.068</v>
    <v>91.096999999999994</v>
    <v>89.647000000000006</v>
    <v>97.161000000000001</v>
    <v>97.274000000000001</v>
    <v>104.279</v>
    <v>102.506</v>
    <v>102.32899999999999</v>
    <v>101.003</v>
    <v>103.715</v>
    <v>100.991</v>
    <v>101.557</v>
    <v>95.799000000000007</v>
    <v>94.802000000000007</v>
    <v>92.85</v>
    <v>90.42</v>
    <v>90.853999999999999</v>
    <v>93.727999999999994</v>
    <v>89.849000000000004</v>
    <v>88.275000000000006</v>
    <v>97.63</v>
    <v>96.007999999999996</v>
    <v>92.847999999999999</v>
    <v>71.364999999999995</v>
    <v>71.701999999999998</v>
    <v>76.186000000000007</v>
    <v>75.471999999999994</v>
    <v>78.739999999999995</v>
    <v>85.744</v>
    <v>89.034999999999997</v>
    <v>85.88</v>
    <v>73.83</v>
    <v>76.251999999999995</v>
    <v>78.27</v>
    <v>83.034999999999997</v>
    <v>81.929000000000002</v>
    <v>82.263999999999996</v>
    <v>79.97</v>
    <v>79.849999999999994</v>
    <v>78.275999999999996</v>
    <v>82.236999999999995</v>
    <v>95.236000000000004</v>
    <v>90.44</v>
    <v>88.789000000000001</v>
    <v>90.394000000000005</v>
    <v>89.894999999999996</v>
    <v>87.326999999999998</v>
    <v>84.738</v>
    <v>88.388000000000005</v>
    <v>87.471999999999994</v>
    <v>83.971999999999994</v>
    <v>82.793999999999997</v>
    <v>78.450999999999993</v>
    <v>77.058999999999997</v>
    <v>77.161000000000001</v>
    <v>80.251999999999995</v>
    <v>77.792000000000002</v>
    <v>76.911000000000001</v>
    <v>78.686000000000007</v>
    <v>76.760999999999996</v>
    <v>77.474000000000004</v>
    <v>87.11</v>
    <v>84.453999999999994</v>
    <v>88.741</v>
    <v>92.001000000000005</v>
    <v>91.763499999999993</v>
    <v>90.525999999999996</v>
    <v>82.697999999999993</v>
    <v>84.311999999999998</v>
    <v>83.116</v>
    <v>89.036000000000001</v>
    <v>81.935000000000002</v>
    <v>81.231999999999999</v>
    <v>83.716999999999999</v>
    <v>84.7</v>
    <v>84.658000000000001</v>
    <v>89.933999999999997</v>
    <v>89.561000000000007</v>
    <v>89.998000000000005</v>
    <v>88.921999999999997</v>
    <v>90.995999999999995</v>
    <v>89.768000000000001</v>
    <v>87.695999999999998</v>
    <v>81.631</v>
    <v>80.161000000000001</v>
    <v>79.677999999999997</v>
    <v>78.628</v>
    <v>78.322000000000003</v>
    <v>71.156000000000006</v>
    <v>69.561000000000007</v>
    <v>71.218999999999994</v>
    <v>69.772999999999996</v>
    <v>66.631</v>
    <v>70.165000000000006</v>
    <v>67.224000000000004</v>
    <v>62.465000000000003</v>
    <v>60.883000000000003</v>
    <v>61.694000000000003</v>
    <v>49.27</v>
    <v>50.994</v>
    <v>50.875999999999998</v>
    <v>54.097999999999999</v>
    <v>56.743000000000002</v>
    <v>57.709000000000003</v>
    <v>62.668999999999997</v>
    <v>62.88</v>
    <v>62.362000000000002</v>
    <v>61.091000000000001</v>
    <v>62.378</v>
    <v>60.481999999999999</v>
    <v>61.323999999999998</v>
    <v>56.250999999999998</v>
    <v>54.764000000000003</v>
    <v>44.348999999999997</v>
    <v>44.881999999999998</v>
    <v>43.77</v>
    <v>44.177999999999997</v>
    <v>42.347000000000001</v>
    <v>41.46</v>
    <v>38.646000000000001</v>
    <v>40.987000000000002</v>
    <v>41.271999999999998</v>
    <v>44.54</v>
    <v>44.213000000000001</v>
    <v>45.716000000000001</v>
    <v>44.91</v>
    <v>43.938000000000002</v>
    <v>43.688000000000002</v>
    <v>43.72</v>
    <v>45.726999999999997</v>
    <v>46.594000000000001</v>
    <v>46.360999999999997</v>
    <v>45.814999999999998</v>
    <v>40.24</v>
    <v>41.973999999999997</v>
    <v>41.64</v>
    <v>40.549999999999997</v>
    <v>42</v>
    <v>41.55</v>
    <v>41.23</v>
    <v>47.74</v>
    <v>45.35</v>
    <v>47.29</v>
    <v>46.47</v>
    <v>47.8</v>
    <v>47.39</v>
    <v>47.76</v>
    <v>48.75</v>
    <v>47.585000000000001</v>
    <v>47.26</v>
    <v>47.8</v>
    <v>45.97</v>
    <v>45.36</v>
    <v>46.23</v>
    <v>47.27</v>
    <v>47.72</v>
    <v>49.12</v>
    <v>33.07</v>
    <v>29.11</v>
    <v>26.05</v>
    <v>26.03</v>
    <v>27.7</v>
    <v>22.7</v>
    <v>25.48</v>
    <v>24.52</v>
    <v>23.23</v>
    <v>21.7</v>
    <v>20.329999999999998</v>
    <v>18.010000000000002</v>
    <v>18.579999999999998</v>
    <v>21.54</v>
    <v>28.27</v>
    <v>25.8</v>
    <v>29.7</v>
    <v>33.15</v>
    <v>38.409999999999997</v>
    <v>34.43</v>
    <v>35.07</v>
    <v>32.64</v>
    <v>42</v>
    <v>40.21</v>
    <v>41.81</v>
    <v>41.14</v>
    <v>43.93</v>
    <v>44.16</v>
    <v>40.54</v>
    <v>38.29</v>
    <v>37.93</v>
    <v>36.450000000000003</v>
    <v>33.44</v>
    <v>33.799999999999997</v>
    <v>32.229999999999997</v>
    <v>31.24</v>
    <v>31.59</v>
    <v>32.4</v>
    <v>34.33</v>
    <v>33.74</v>
    <v>31.98</v>
    <v>30.68</v>
    <v>30.48</v>
    <v>30.05</v>
    <v>33.33</v>
    <v>36.450000000000003</v>
    <v>34.380000000000003</v>
    <v>32.61</v>
    <v>32.6</v>
    <v>31.08</v>
    <v>30.53</v>
    <v>30.99</v>
    <v>31.12</v>
    <v>30.82</v>
    <v>32.450000000000003</v>
    <v>33.86</v>
    <v>33.409999999999997</v>
    <v>33.270000000000003</v>
    <v>29.07</v>
    <v>28.18</v>
    <v>27.8</v>
    <v>28.64</v>
    <v>28.52</v>
    <v>26.85</v>
    <v>29.16</v>
    <v>31.49</v>
    <v>33.840000000000003</v>
    <v>36.28</v>
    <v>42.65</v>
    <v>38.61</v>
    <v>39.68</v>
    <v>42.28</v>
    <v>47.91</v>
    <v>55.8</v>
    <v>60.25</v>
    <v>59.27</v>
    <v>56.07</v>
    <v>51.61</v>
    <v>45.54</v>
    <v>51.11</v>
    <v>42.95</v>
    <v>41.46</v>
    <v>36.07</v>
    <v>39.14</v>
    <v>38.9</v>
    <v>37.049999999999997</v>
    <v>38.24</v>
    <v>36.9</v>
    <v>40.840000000000003</v>
    <v>42.47</v>
    <v>39.08</v>
    <v>42.17</v>
    <v>41.94</v>
    <v>37.9</v>
    <v>40.1</v>
    <v>39.1</v>
    <v>42.15</v>
    <v>41.72</v>
    <v>40.64</v>
    <v>37.04</v>
    <v>34.72</v>
    <v>34.26</v>
    <v>34.24</v>
    <v>35.049999999999997</v>
    <v>35.090000000000003</v>
    <v>32.32</v>
    <v>29.82</v>
    <v>33</v>
    <v>31.71</v>
    <v>36.71</v>
    <v>33.68</v>
    <v>33.15</v>
    <v>33.119999999999997</v>
    <v>33.479999999999997</v>
    <v>31.89</v>
    <v>31.504999999999999</v>
    <v>29.51</v>
    <v>30.58</v>
    <v>32.9</v>
    <v>35.81</v>
    <v>36.47</v>
    <v>37.270000000000003</v>
    <v>36</v>
    <v>31.86</v>
    <v>32.729999999999997</v>
    <v>33.71</v>
    <v>32.17</v>
    <v>32.94</v>
    <v>32.479999999999997</v>
    <v>32.11</v>
    <v>31.99</v>
    <v>33.520000000000003</v>
    <v>38.89</v>
    <v>45</v>
    <v>43.96</v>
    <v>46.15</v>
    <v>44.79</v>
    <v>42.77</v>
    <v>41.65</v>
    <v>41.32</v>
    <v>40.090000000000003</v>
    <v>41.57</v>
    <v>41.96</v>
    <v>41.15</v>
    <v>40.020000000000003</v>
    <v>41.2</v>
    <v>43.19</v>
    <v>44.13</v>
    <v>40.770000000000003</v>
    <v>41.55</v>
    <v>43.12</v>
    <v>42.91</v>
    <v>43.21</v>
    <v>43.36</v>
    <v>41.56</v>
    <v>43.69</v>
    <v>43.11</v>
    <v>44.47</v>
    <v>45.32</v>
    <v>40.89</v>
    <v>42.84</v>
    <v>46.61</v>
    <v>49.27</v>
    <v>47.58</v>
    <v>49.01</v>
    <v>47.2</v>
    <v>48.74</v>
    <v>48.56</v>
    <v>47.11</v>
    <v>49.11</v>
    <v>50.02</v>
    <v>50.36</v>
    <v>49.24</v>
    <v>49.73</v>
    <v>53.17</v>
    <v>53.22</v>
    <v>52.75</v>
    <v>51.77</v>
    <v>51.5</v>
    <v>49.86</v>
    <v>51.7</v>
    <v>52.52</v>
    <v>54.47</v>
    <v>60.05</v>
    <v>58.63</v>
    <v>60.71</v>
    <v>58.97</v>
    <v>56.64</v>
    <v>58.23</v>
    <v>57.26</v>
    <v>46.79</v>
    <v>46.67</v>
    <v>44.6</v>
    <v>45.2</v>
    <v>46.43</v>
    <v>46.07</v>
    <v>45.49</v>
    <v>45.37</v>
    <v>45.86</v>
    <v>43.24</v>
    <v>42.61</v>
    <v>42.31</v>
    <v>43.88</v>
    <v>44.07</v>
    <v>44.36</v>
    <v>44.76</v>
    <v>43.97</v>
    <v>41.54</v>
    <v>40.78</v>
    <v>40.1</v>
    <v>40.700000000000003</v>
    <v>40.409999999999997</v>
    <v>40.04</v>
    <v>42.92</v>
    <v>43.91</v>
    <v>43.95</v>
    <v>45</v>
    <v>45.38</v>
    <v>44.91</v>
    <v>44.9</v>
    <v>45.94</v>
    <v>45.81</v>
    <v>46.87</v>
    <v>46.99</v>
    <v>46.2</v>
    <v>46.24</v>
    <v>45.82</v>
    <v>46.36</v>
    <v>47.94</v>
    <v>52.39</v>
    <v>52.5</v>
    <v>51.96</v>
    <v>54.62</v>
    <v>55.07</v>
    <v>58.68</v>
    <v>57.98</v>
    <v>52.86</v>
    <v>54.75</v>
    <v>53.11</v>
    <v>53.94</v>
    <v>53.84</v>
    <v>52.18</v>
    <v>55.04</v>
    <v>54.82</v>
    <v>52.5</v>
    <v>47.92</v>
    <v>48.29</v>
    <v>51.57</v>
    <v>52.36</v>
    <v>52.69</v>
    <v>50.37</v>
    <v>51.96</v>
    <v>50.75</v>
    <v>47.4</v>
    <v>42.03</v>
    <v>40.335000000000001</v>
    <v>39.76</v>
    <v>40.19</v>
    <v>38.82</v>
    <v>37.909999999999997</v>
    <v>35.090000000000003</v>
    <v>36.42</v>
    <v>34.1</v>
    <v>34.9</v>
    <v>33.729999999999997</v>
    <v>31.56</v>
    <v>32.19</v>
    <v>33.32</v>
    <v>32.479999999999997</v>
    <v>32.83</v>
    <v>33.85</v>
    <v>33.409999999999997</v>
    <v>32.92</v>
    <v>33.68</v>
    <v>34.229999999999997</v>
    <v>34.69</v>
    <v>35.369999999999997</v>
    <v>35.020000000000003</v>
    <v>34.9</v>
    <v>34.020000000000003</v>
    <v>32.33</v>
    <v>31.37</v>
    <v>31.66</v>
    <v>29.84</v>
    <v>29.37</v>
    <v>31.11</v>
    <v>31.07</v>
    <v>30.76</v>
    <v>30.55</v>
    <v>30.64</v>
    <v>30.08</v>
    <v>29.65</v>
    <v>29.27</v>
    <v>30.96</v>
    <v>30.07</v>
    <v>30.54</v>
    <v>30.01</v>
    <v>29.9</v>
    <v>30.16</v>
    <v>30.12</v>
    <v>28.6</v>
    <v>28.27</v>
    <v>29.42</v>
    <v>32.64</v>
    <v>31.41</v>
    <v>32.24</v>
    <v>32.450000000000003</v>
    <v>31.7</v>
    <v>30.8</v>
    <v>31.2</v>
    <v>31.21</v>
    <v>30.12</v>
    <v>29.11</v>
    <v>29.71</v>
    <v>29.67</v>
    <v>33.76</v>
    <v>30.85</v>
    <v>34.380000000000003</v>
    <v>33.53</v>
    <v>33.33</v>
    <v>32.04</v>
    <v>30.43</v>
    <v>30.54</v>
    <v>30.11</v>
    <v>29.71</v>
    <v>32.159999999999997</v>
    <v>32.42</v>
    <v>30.71</v>
    <v>31.13</v>
    <v>33.6</v>
    <v>32.28</v>
    <v>32.39</v>
    <v>31.83</v>
    <v>30.68</v>
    <v>32.65</v>
    <v>32.24</v>
    <v>31.31</v>
    <v>31.98</v>
    <v>31.79</v>
    <v>31.79</v>
    <v>30.9</v>
    <v>30.75</v>
    <v>31.86</v>
    <v>31.51</v>
    <v>30.35</v>
    <v>30.79</v>
    <v>20.53</v>
    <v>21.58</v>
    <v>22.23</v>
    <v>24.05</v>
    <v>22.21</v>
    <v>21.97</v>
    <v>21.06</v>
    <v>22.77</v>
    <v>22.51</v>
    <v>23.22</v>
    <v>22.05</v>
    <v>22.67</v>
    <v>23.37</v>
    <v>23.22</v>
    <v>25.26</v>
    <v>25.97</v>
    <v>27.2</v>
    <v>27.29</v>
    <v>28.4</v>
    <v>28.56</v>
    <v>28.81</v>
    <v>28.43</v>
    <v>29.18</v>
    <v>26.75</v>
    <v>29.08</v>
    <v>27.85</v>
    <v>27.25</v>
    <v>26.32</v>
    <v>27.4</v>
    <v>27.09</v>
    <v>27.92</v>
    <v>27.83</v>
    <v>34.659999999999997</v>
    <v>33.619999999999997</v>
    <v>35.369999999999997</v>
    <v>33.520000000000003</v>
    <v>32.79</v>
    <v>32</v>
    <v>33.03</v>
    <v>31.04</v>
    <v>30.85</v>
    <v>30.56</v>
    <v>33.46</v>
    <v>33.46</v>
    <v>35.58</v>
    <v>37.1</v>
    <v>38.19</v>
    <v>41.3</v>
    <v>46.09</v>
    <v>46.88</v>
    <v>50.17</v>
    <v>47.42</v>
    <v>46.9</v>
    <v>41.64</v>
    <v>43.99</v>
    <v>40.64</v>
    <v>29.27</v>
    <v>31.97</v>
    <v>30.46</v>
    <v>30.85</v>
    <v>29.22</v>
    <v>27.78</v>
    <v>30.66</v>
    <v>35.46</v>
    <v>33.32</v>
    <v>32.450000000000003</v>
    <v>31.68</v>
    <v>30.63</v>
    <v>28.15</v>
    <v>29.33</v>
    <v>27.65</v>
    <v>27.22</v>
    <v>27.19</v>
    <v>26.25</v>
    <v>28.17</v>
    <v>28.24</v>
    <v>28.31</v>
    <v>27.66</v>
    <v>27.65</v>
    <v>26.89</v>
    <v>24.68</v>
    <v>24.18</v>
    <v>23.83</v>
    <v>25.5</v>
    <v>30.56</v>
    <v>31.2</v>
    <v>30.1</v>
    <v>29.81</v>
    <v>28.45</v>
    <v>25.7</v>
    <v>27.73</v>
    <v>28.4</v>
    <v>28.64</v>
    <v>31.69</v>
    <v>30.32</v>
    <v>29.38</v>
    <v>31.13</v>
    <v>31.46</v>
    <v>31.6</v>
    <v>37.61</v>
    <v>39.159999999999997</v>
    <v>39.840000000000003</v>
    <v>38.28</v>
    <v>37.409999999999997</v>
    <v>36.58</v>
    <v>36.5</v>
    <v>37.24</v>
    <v>35.17</v>
    <v>38.46</v>
    <v>37.39</v>
    <v>38.46</v>
    <v>37.08</v>
    <v>37.28</v>
    <v>36.71</v>
    <v>37</v>
    <v>37.869999999999997</v>
    <v>39.590000000000003</v>
    <v>40.26</v>
    <v>38.93</v>
    <v>37.380000000000003</v>
    <v>40.1</v>
    <v>36.74</v>
    <v>35.64</v>
    <v>36.85</v>
    <v>40.35</v>
    <v>39.090000000000003</v>
    <v>41.2</v>
    <v>41.54</v>
    <v>41.44</v>
    <v>41.51</v>
    <v>43.26</v>
    <v>41.78</v>
    <v>41.02</v>
    <v>41.07</v>
    <v>41.92</v>
    <v>43.69</v>
    <v>43.19</v>
    <v>43.46</v>
    <v>44.94</v>
    <v>42.77</v>
    <v>41.854999999999997</v>
    <v>39.979999999999997</v>
    <v>39.07</v>
    <v>35.78</v>
    <v>35.090000000000003</v>
    <v>31.63</v>
    <v>32.1</v>
    <v>32.47</v>
    <v>35.57</v>
    <v>33.72</v>
    <v>32.94</v>
  </a>
  <a r="1" c="205">
    <v>84.98</v>
    <v>89.39</v>
    <v>90.23</v>
    <v>88.23</v>
    <v>84.64</v>
    <v>83.45</v>
    <v>83.22</v>
    <v>82.89</v>
    <v>83.05</v>
    <v>81.209999999999994</v>
    <v>80.38</v>
    <v>80.459999999999994</v>
    <v>79.8</v>
    <v>82.55</v>
    <v>83.1</v>
    <v>80.23</v>
    <v>81.77</v>
    <v>82.93</v>
    <v>83.62</v>
    <v>81.34</v>
    <v>78.92</v>
    <v>78.66</v>
    <v>75.540000000000006</v>
    <v>73.73</v>
    <v>74.209999999999994</v>
    <v>80.28</v>
    <v>82.35</v>
    <v>82.01</v>
    <v>81.34</v>
    <v>78.23</v>
    <v>78.61</v>
    <v>79.010000000000005</v>
    <v>79.09</v>
    <v>79.61</v>
    <v>79.48</v>
    <v>77.790000000000006</v>
    <v>78.39</v>
    <v>80.92</v>
    <v>79.290000000000006</v>
    <v>81.69</v>
    <v>80.86</v>
    <v>77.510000000000005</v>
    <v>78.09</v>
    <v>75.680000000000007</v>
    <v>89.57</v>
    <v>92.65</v>
    <v>93.3</v>
    <v>90.44</v>
    <v>87.67</v>
    <v>87.86</v>
    <v>91.58</v>
    <v>90.79</v>
    <v>87.62</v>
    <v>89.53</v>
    <v>87.91</v>
    <v>90.16</v>
    <v>92.36</v>
    <v>98.45</v>
    <v>97.68</v>
    <v>94.88</v>
    <v>87.81</v>
    <v>99.05</v>
    <v>106.71</v>
    <v>107.11</v>
    <v>109.51</v>
    <v>109.38</v>
    <v>114.45</v>
    <v>119.93</v>
    <v>128.49</v>
    <v>131.30000000000001</v>
    <v>133.83000000000001</v>
    <v>134.6</v>
    <v>133.37</v>
    <v>139.69</v>
    <v>147.84</v>
    <v>151.31</v>
    <v>157.32</v>
    <v>165.56</v>
    <v>164.31</v>
    <v>158.21</v>
    <v>153.22999999999999</v>
    <v>156.57</v>
    <v>165.15</v>
    <v>164.95</v>
    <v>163.66</v>
    <v>168.75</v>
    <v>172.15</v>
    <v>160.01</v>
    <v>170.13</v>
    <v>170.84</v>
    <v>164.5</v>
    <v>177.95</v>
    <v>182.58</v>
    <v>176.89</v>
    <v>168.93</v>
    <v>176.27</v>
    <v>186.8</v>
    <v>190.69</v>
    <v>196.33</v>
    <v>208.26</v>
    <v>198.7</v>
    <v>204.83</v>
    <v>205</v>
    <v>219.43</v>
    <v>290.79000000000002</v>
    <v>301.64999999999998</v>
    <v>316.43</v>
    <v>263.47000000000003</v>
    <v>288.85000000000002</v>
    <v>266.88</v>
    <v>252.59</v>
    <v>280.70999999999998</v>
    <v>279.7</v>
    <v>308.88</v>
    <v>278.67</v>
    <v>289.54000000000002</v>
    <v>310.58</v>
    <v>307.86</v>
    <v>279.04000000000002</v>
    <v>276.7</v>
    <v>281.26</v>
    <v>266.77</v>
    <v>277.75</v>
    <v>297.89</v>
    <v>272.05</v>
    <v>245.29</v>
    <v>249.27</v>
    <v>230.7</v>
    <v>231.71</v>
    <v>243.27</v>
    <v>235.81</v>
    <v>217.53</v>
    <v>222.44</v>
    <v>206.26</v>
    <v>188.3</v>
    <v>188.68</v>
    <v>194.94</v>
    <v>207.96</v>
    <v>210.99</v>
    <v>209.32</v>
    <v>194.23</v>
    <v>189.17</v>
    <v>174.47</v>
    <v>163.4</v>
    <v>183.3</v>
    <v>187.56</v>
    <v>193.77500000000001</v>
    <v>218.59</v>
    <v>211.02</v>
    <v>210.54</v>
    <v>218.72</v>
    <v>208.56</v>
    <v>212.31</v>
    <v>217.08</v>
    <v>222.18</v>
    <v>222.02</v>
    <v>234.33</v>
    <v>216</v>
    <v>237.27</v>
    <v>251.01</v>
    <v>237.04</v>
    <v>229.29</v>
    <v>240.38</v>
    <v>245.11</v>
    <v>241.45</v>
    <v>216.62</v>
    <v>211.66</v>
    <v>210.39</v>
    <v>206.48</v>
    <v>208.83</v>
    <v>223.55</v>
    <v>225.41</v>
    <v>235.01</v>
    <v>226.96</v>
    <v>236.1</v>
    <v>218.82</v>
    <v>221.7</v>
    <v>229.71</v>
    <v>240.76</v>
    <v>244.25</v>
    <v>257.38</v>
    <v>262.36</v>
    <v>260.89999999999998</v>
    <v>258.95</v>
    <v>261.935</v>
    <v>251.9</v>
    <v>263.27</v>
    <v>264.20999999999998</v>
    <v>268.08</v>
    <v>272.29000000000002</v>
    <v>271.25</v>
    <v>287.01</v>
    <v>284.68</v>
    <v>274.66000000000003</v>
    <v>275.27999999999997</v>
    <v>265.86</v>
    <v>268.72500000000002</v>
    <v>245.28</v>
    <v>241.24</v>
    <v>227.83</v>
    <v>237.09</v>
    <v>240.42</v>
    <v>244.76</v>
    <v>223.47</v>
    <v>228.51</v>
  </a>
  <a r="1" c="754">
    <v>49.02</v>
    <v>49.49</v>
    <v>47.55</v>
    <v>46.63</v>
    <v>47.26</v>
    <v>46.83</v>
    <v>47.22</v>
    <v>47.7</v>
    <v>48.9</v>
    <v>51.36</v>
    <v>51.24</v>
    <v>51.18</v>
    <v>51.58</v>
    <v>52.49</v>
    <v>54.62</v>
    <v>53.45</v>
    <v>57.03</v>
    <v>57.17</v>
    <v>54.66</v>
    <v>55.58</v>
    <v>56.38</v>
    <v>54.68</v>
    <v>55.5</v>
    <v>56.03</v>
    <v>55.9</v>
    <v>55.58</v>
    <v>56.1</v>
    <v>55.73</v>
    <v>52.8</v>
    <v>52.01</v>
    <v>50.7</v>
    <v>50.43</v>
    <v>52.19</v>
    <v>52.88</v>
    <v>54.48</v>
    <v>54.26</v>
    <v>57.21</v>
    <v>59.29</v>
    <v>59.59</v>
    <v>59.72</v>
    <v>59.66</v>
    <v>57.54</v>
    <v>60.25</v>
    <v>60.25</v>
    <v>61.15</v>
    <v>61.26</v>
    <v>61.3</v>
    <v>60.31</v>
    <v>58.17</v>
    <v>56.76</v>
    <v>58.07</v>
    <v>59.92</v>
    <v>64.11</v>
    <v>63.47</v>
    <v>63.43</v>
    <v>65.87</v>
    <v>65.680000000000007</v>
    <v>65.52</v>
    <v>65.36</v>
    <v>68.209999999999994</v>
    <v>71.08</v>
    <v>70.11</v>
    <v>70.599999999999994</v>
    <v>72.28</v>
    <v>70</v>
    <v>68.040000000000006</v>
    <v>70.14</v>
    <v>68.83</v>
    <v>67.7</v>
    <v>66.87</v>
    <v>67.53</v>
    <v>67.02</v>
    <v>67.08</v>
    <v>69.37</v>
    <v>71.02</v>
    <v>68.83</v>
    <v>70.42</v>
    <v>68.13</v>
    <v>68.959999999999994</v>
    <v>67.44</v>
    <v>66.290000000000006</v>
    <v>65.040000000000006</v>
    <v>65.52</v>
    <v>69.87</v>
    <v>67.58</v>
    <v>68.62</v>
    <v>69.13</v>
    <v>67.540000000000006</v>
    <v>71.66</v>
    <v>77.61</v>
    <v>79.349999999999994</v>
    <v>78.73</v>
    <v>81.37</v>
    <v>85.09</v>
    <v>75.42</v>
    <v>72.36</v>
    <v>71.77</v>
    <v>67.63</v>
    <v>66.08</v>
    <v>66.87</v>
    <v>67.2</v>
    <v>65.06</v>
    <v>65.540000000000006</v>
    <v>66.59</v>
    <v>66.540000000000006</v>
    <v>66.12</v>
    <v>68.260000000000005</v>
    <v>72.31</v>
    <v>70.88</v>
    <v>73.2</v>
    <v>73.59</v>
    <v>73.03</v>
    <v>70.88</v>
    <v>72.650000000000006</v>
    <v>71.92</v>
    <v>73.34</v>
    <v>71.430000000000007</v>
    <v>71.53</v>
    <v>70.16</v>
    <v>67.88</v>
    <v>68.28</v>
    <v>66.48</v>
    <v>65.239999999999995</v>
    <v>62.13</v>
    <v>62.88</v>
    <v>63.86</v>
    <v>64.849999999999994</v>
    <v>67.48</v>
    <v>69.62</v>
    <v>68.75</v>
    <v>65.91</v>
    <v>63.82</v>
    <v>66.67</v>
    <v>68.510000000000005</v>
    <v>69.819999999999993</v>
    <v>68.680000000000007</v>
    <v>68.11</v>
    <v>67.680000000000007</v>
    <v>68.47</v>
    <v>69.02</v>
    <v>68.02</v>
    <v>70.150000000000006</v>
    <v>73.08</v>
    <v>71.92</v>
    <v>74.47</v>
    <v>73.3</v>
    <v>73.680000000000007</v>
    <v>75.02</v>
    <v>76.680000000000007</v>
    <v>78.33</v>
    <v>75.78</v>
    <v>76.849999999999994</v>
    <v>68.81</v>
    <v>68.209999999999994</v>
    <v>66.38</v>
    <v>69.8</v>
    <v>68.099999999999994</v>
    <v>67.989999999999995</v>
    <v>69.47</v>
    <v>70.400000000000006</v>
    <v>73.36</v>
    <v>72.87</v>
    <v>73.27</v>
    <v>71.819999999999993</v>
    <v>73.14</v>
    <v>73.239999999999995</v>
    <v>71.89</v>
    <v>67.77</v>
    <v>68.260000000000005</v>
    <v>68.27</v>
    <v>68.73</v>
    <v>69.900000000000006</v>
    <v>71</v>
    <v>71.599999999999994</v>
    <v>72.2</v>
    <v>72.08</v>
    <v>74.91</v>
    <v>73.84</v>
    <v>74.88</v>
    <v>72.180000000000007</v>
    <v>73.59</v>
    <v>73.599999999999994</v>
    <v>75.599999999999994</v>
    <v>67.930000000000007</v>
    <v>68.204999999999998</v>
    <v>66.510000000000005</v>
    <v>69.010000000000005</v>
    <v>68.39</v>
    <v>64.349999999999994</v>
    <v>63.99</v>
    <v>65.72</v>
    <v>64.48</v>
    <v>62.8</v>
    <v>66.98</v>
    <v>63.06</v>
    <v>59.25</v>
    <v>57.67</v>
    <v>58.22</v>
    <v>56.15</v>
    <v>61.16</v>
    <v>60.56</v>
    <v>60.51</v>
    <v>64.05</v>
    <v>63.79</v>
    <v>69.33</v>
    <v>69.319999999999993</v>
    <v>71.040000000000006</v>
    <v>69.41</v>
    <v>71.34</v>
    <v>68.66</v>
    <v>71.84</v>
    <v>68.819999999999993</v>
    <v>69.709999999999994</v>
    <v>68.44</v>
    <v>69.84</v>
    <v>76.239999999999995</v>
    <v>70.02</v>
    <v>70.87</v>
    <v>69.89</v>
    <v>66.2</v>
    <v>68.930000000000007</v>
    <v>71.599999999999994</v>
    <v>74.89</v>
    <v>74.3</v>
    <v>74.48</v>
    <v>73.400000000000006</v>
    <v>72.77</v>
    <v>71.55</v>
    <v>74.88</v>
    <v>73.87</v>
    <v>71.81</v>
    <v>71.2</v>
    <v>71.180000000000007</v>
    <v>73.45</v>
    <v>70.989999999999995</v>
    <v>72.12</v>
    <v>70.31</v>
    <v>72.040000000000006</v>
    <v>72.239999999999995</v>
    <v>73.41</v>
    <v>73.72</v>
    <v>73.11</v>
    <v>72.84</v>
    <v>72.540000000000006</v>
    <v>74.010000000000005</v>
    <v>77.680000000000007</v>
    <v>79.41</v>
    <v>81.680000000000007</v>
    <v>79.91</v>
    <v>79.849999999999994</v>
    <v>81.83</v>
    <v>83.35</v>
    <v>81.83</v>
    <v>81.93</v>
    <v>81.61</v>
    <v>83.44</v>
    <v>84.87</v>
    <v>82.8</v>
    <v>80.11</v>
    <v>84.77</v>
    <v>84.38</v>
    <v>87.19</v>
    <v>90.63</v>
    <v>93.94</v>
    <v>93.8</v>
    <v>92.25</v>
    <v>92.78</v>
    <v>90.07</v>
    <v>90.7</v>
    <v>87.83</v>
    <v>88.71</v>
    <v>89.34</v>
    <v>89.86</v>
    <v>92.94</v>
    <v>92.51</v>
    <v>92.24</v>
    <v>93.14</v>
    <v>90.1</v>
    <v>92.69</v>
    <v>96.86</v>
    <v>95.91</v>
    <v>118.15</v>
    <v>113.37</v>
    <v>113.51</v>
    <v>107.03</v>
    <v>106.68</v>
    <v>111.36</v>
    <v>109.005</v>
    <v>120.77</v>
    <v>124.78</v>
    <v>112.25</v>
    <v>105.28</v>
    <v>109.11</v>
    <v>111.9</v>
    <v>113.76</v>
    <v>115.95</v>
    <v>115.71</v>
    <v>113.62</v>
    <v>111.66</v>
    <v>110.45</v>
    <v>113.56</v>
    <v>118.18</v>
    <v>119.01</v>
    <v>116.23</v>
    <v>118.23</v>
    <v>114.32</v>
    <v>115.15</v>
    <v>115.2</v>
    <v>116</v>
    <v>117.58</v>
    <v>124.76</v>
    <v>123.78</v>
    <v>125.21</v>
    <v>126.06</v>
    <v>124.02</v>
    <v>100.33</v>
    <v>103.88</v>
    <v>106.79</v>
    <v>110.33</v>
    <v>112.86</v>
    <v>113.56</v>
    <v>109.69</v>
    <v>116.46</v>
    <v>119.24</v>
    <v>110.62</v>
    <v>112.8</v>
    <v>109.12</v>
    <v>105.42</v>
    <v>103.5</v>
    <v>106.51</v>
    <v>107.29</v>
    <v>111.04</v>
    <v>108.71</v>
    <v>103.81</v>
    <v>97.91</v>
    <v>93</v>
    <v>94.9</v>
    <v>87.65</v>
    <v>91.82</v>
    <v>85.83</v>
    <v>88.33</v>
    <v>90.14</v>
    <v>72.28</v>
    <v>70.84</v>
    <v>65.67</v>
    <v>67.16</v>
    <v>69.849999999999994</v>
    <v>68.760000000000005</v>
    <v>68.739999999999995</v>
    <v>70.400000000000006</v>
    <v>68.28</v>
    <v>69.81</v>
    <v>70.489999999999995</v>
    <v>70.39</v>
    <v>72.760000000000005</v>
    <v>71.67</v>
    <v>66.760000000000005</v>
    <v>64.86</v>
    <v>62.04</v>
    <v>61.57</v>
    <v>62.67</v>
    <v>63.23</v>
    <v>55.64</v>
    <v>49.43</v>
    <v>51</v>
    <v>50.03</v>
    <v>60.96</v>
    <v>52.87</v>
    <v>53.39</v>
    <v>52.26</v>
    <v>53.32</v>
    <v>51.93</v>
    <v>51.7</v>
    <v>49.38</v>
    <v>50.62</v>
    <v>53.77</v>
    <v>57.33</v>
    <v>58.92</v>
    <v>58.7</v>
    <v>58.68</v>
    <v>58.37</v>
    <v>60.95</v>
    <v>62.33</v>
    <v>61.98</v>
    <v>61.22</v>
    <v>56.31</v>
    <v>57.63</v>
    <v>59.65</v>
    <v>64.5</v>
    <v>65.48</v>
    <v>65.900000000000006</v>
    <v>65.2</v>
    <v>63.76</v>
    <v>62.56</v>
    <v>61.42</v>
    <v>60.11</v>
    <v>61.85</v>
    <v>60.69</v>
    <v>63.82</v>
    <v>64.59</v>
    <v>63.73</v>
    <v>60.19</v>
    <v>61.47</v>
    <v>62.36</v>
    <v>66.3</v>
    <v>65.16</v>
    <v>68.349999999999994</v>
    <v>69.14</v>
    <v>68.84</v>
    <v>68.239999999999995</v>
    <v>69.64</v>
    <v>67.19</v>
    <v>70.42</v>
    <v>69.989999999999995</v>
    <v>74.95</v>
    <v>73.510000000000005</v>
    <v>70.78</v>
    <v>75.209999999999994</v>
    <v>75.930000000000007</v>
    <v>79.97</v>
    <v>77.16</v>
    <v>77.400000000000006</v>
    <v>76.239999999999995</v>
    <v>74.25</v>
    <v>75.180000000000007</v>
    <v>71.55</v>
    <v>71.95</v>
    <v>72.260000000000005</v>
    <v>73.36</v>
    <v>72.709999999999994</v>
    <v>72.510000000000005</v>
    <v>72.41</v>
    <v>70.849999999999994</v>
    <v>72.010000000000005</v>
    <v>74.650000000000006</v>
    <v>73.06</v>
    <v>71.989999999999995</v>
    <v>73.27</v>
    <v>74.040000000000006</v>
    <v>74.209999999999994</v>
    <v>75.91</v>
    <v>76.34</v>
    <v>81.739999999999995</v>
    <v>80.37</v>
    <v>74.45</v>
    <v>76.53</v>
    <v>76.63</v>
    <v>75.319999999999993</v>
    <v>75.849999999999994</v>
    <v>77.34</v>
    <v>77.28</v>
    <v>77.81</v>
    <v>79.319999999999993</v>
    <v>79.040000000000006</v>
    <v>76.19</v>
    <v>76.739999999999995</v>
    <v>72.069999999999993</v>
    <v>71.22</v>
    <v>71.209999999999994</v>
    <v>73</v>
    <v>72.95</v>
    <v>74.260000000000005</v>
    <v>74.790000000000006</v>
    <v>77.23</v>
    <v>62.865000000000002</v>
    <v>64.599999999999994</v>
    <v>62.31</v>
    <v>64.099999999999994</v>
    <v>63.33</v>
    <v>66</v>
    <v>66.84</v>
    <v>67.099999999999994</v>
    <v>66.59</v>
    <v>67.349999999999994</v>
    <v>67.430000000000007</v>
    <v>68.86</v>
    <v>70.98</v>
    <v>74.23</v>
    <v>74.260000000000005</v>
    <v>75.53</v>
    <v>74.62</v>
    <v>80.09</v>
    <v>83.81</v>
    <v>83.17</v>
    <v>82.39</v>
    <v>84.07</v>
    <v>83.89</v>
    <v>86.2</v>
    <v>86.22</v>
    <v>88.92</v>
    <v>86.97</v>
    <v>92.5</v>
    <v>90.68</v>
    <v>85.61</v>
    <v>89.39</v>
    <v>86.22</v>
    <v>88.89</v>
    <v>88.23</v>
    <v>87.95</v>
    <v>85.84</v>
    <v>84.26</v>
    <v>81.05</v>
    <v>82.77</v>
    <v>84.13</v>
    <v>88.71</v>
    <v>88.46</v>
    <v>90.15</v>
    <v>88.57</v>
    <v>93.74</v>
    <v>90.37</v>
    <v>87.59</v>
    <v>92.9</v>
    <v>93.33</v>
    <v>90.92</v>
    <v>93.23</v>
    <v>89.33</v>
    <v>89.33</v>
    <v>87.52</v>
    <v>86.45</v>
    <v>83.45</v>
    <v>78.680000000000007</v>
    <v>81.319999999999993</v>
    <v>76.680000000000007</v>
    <v>77.45</v>
    <v>83.79</v>
    <v>83.43</v>
    <v>87.72</v>
    <v>89.4</v>
    <v>91.1</v>
    <v>92.89</v>
    <v>100.2</v>
    <v>98.19</v>
    <v>98.91</v>
    <v>92</v>
    <v>88.9</v>
    <v>92.47</v>
    <v>89.43</v>
    <v>84.424999999999997</v>
    <v>84.26</v>
    <v>84.07</v>
    <v>81.7</v>
    <v>84.47</v>
    <v>84.09</v>
    <v>84.8</v>
    <v>87.68</v>
    <v>86.49</v>
    <v>86.34</v>
    <v>85.76</v>
    <v>86.76</v>
    <v>84.98</v>
    <v>89.39</v>
    <v>90.23</v>
    <v>88.23</v>
    <v>84.64</v>
    <v>83.45</v>
    <v>83.22</v>
    <v>82.89</v>
    <v>83.05</v>
    <v>81.209999999999994</v>
    <v>80.38</v>
    <v>80.459999999999994</v>
    <v>79.8</v>
    <v>82.55</v>
    <v>83.1</v>
    <v>80.23</v>
    <v>81.77</v>
    <v>82.93</v>
    <v>83.62</v>
    <v>81.34</v>
    <v>78.92</v>
    <v>78.66</v>
    <v>75.540000000000006</v>
    <v>73.73</v>
    <v>74.209999999999994</v>
    <v>80.28</v>
    <v>82.35</v>
    <v>82.01</v>
    <v>81.34</v>
    <v>78.23</v>
    <v>78.61</v>
    <v>79.010000000000005</v>
    <v>79.09</v>
    <v>79.61</v>
    <v>79.48</v>
    <v>77.790000000000006</v>
    <v>78.39</v>
    <v>80.92</v>
    <v>79.290000000000006</v>
    <v>81.69</v>
    <v>80.86</v>
    <v>77.510000000000005</v>
    <v>78.09</v>
    <v>75.680000000000007</v>
    <v>89.57</v>
    <v>92.65</v>
    <v>93.3</v>
    <v>90.44</v>
    <v>87.67</v>
    <v>87.86</v>
    <v>91.58</v>
    <v>90.79</v>
    <v>87.62</v>
    <v>89.53</v>
    <v>87.91</v>
    <v>90.16</v>
    <v>92.36</v>
    <v>98.45</v>
    <v>97.68</v>
    <v>94.88</v>
    <v>87.81</v>
    <v>99.05</v>
    <v>106.71</v>
    <v>107.11</v>
    <v>109.51</v>
    <v>109.38</v>
    <v>114.45</v>
    <v>119.93</v>
    <v>128.49</v>
    <v>131.30000000000001</v>
    <v>133.83000000000001</v>
    <v>134.6</v>
    <v>133.37</v>
    <v>139.69</v>
    <v>147.84</v>
    <v>151.31</v>
    <v>157.32</v>
    <v>165.56</v>
    <v>164.31</v>
    <v>158.21</v>
    <v>153.22999999999999</v>
    <v>156.57</v>
    <v>165.15</v>
    <v>164.95</v>
    <v>163.66</v>
    <v>168.75</v>
    <v>172.15</v>
    <v>160.01</v>
    <v>170.13</v>
    <v>170.84</v>
    <v>164.5</v>
    <v>177.95</v>
    <v>182.58</v>
    <v>176.89</v>
    <v>168.93</v>
    <v>176.27</v>
    <v>186.8</v>
    <v>190.69</v>
    <v>196.33</v>
    <v>208.26</v>
    <v>198.7</v>
    <v>204.83</v>
    <v>205</v>
    <v>219.43</v>
    <v>290.79000000000002</v>
    <v>301.64999999999998</v>
    <v>316.43</v>
    <v>263.47000000000003</v>
    <v>288.85000000000002</v>
    <v>266.88</v>
    <v>252.59</v>
    <v>280.70999999999998</v>
    <v>279.7</v>
    <v>308.88</v>
    <v>278.67</v>
    <v>289.54000000000002</v>
    <v>310.58</v>
    <v>307.86</v>
    <v>279.04000000000002</v>
    <v>276.7</v>
    <v>281.26</v>
    <v>266.77</v>
    <v>277.75</v>
    <v>297.89</v>
    <v>272.05</v>
    <v>245.29</v>
    <v>249.27</v>
    <v>230.7</v>
    <v>231.71</v>
    <v>243.27</v>
    <v>235.81</v>
    <v>217.53</v>
    <v>222.44</v>
    <v>206.26</v>
    <v>188.3</v>
    <v>188.68</v>
    <v>194.94</v>
    <v>207.96</v>
    <v>210.99</v>
    <v>209.32</v>
    <v>194.23</v>
    <v>189.17</v>
    <v>174.47</v>
    <v>163.4</v>
    <v>183.3</v>
    <v>187.56</v>
    <v>193.77500000000001</v>
    <v>218.59</v>
    <v>211.02</v>
    <v>210.54</v>
    <v>218.72</v>
    <v>208.56</v>
    <v>212.31</v>
    <v>217.08</v>
    <v>222.18</v>
    <v>222.02</v>
    <v>234.33</v>
    <v>216</v>
    <v>237.27</v>
    <v>251.01</v>
    <v>237.04</v>
    <v>229.29</v>
    <v>240.38</v>
    <v>245.11</v>
    <v>241.45</v>
    <v>216.62</v>
    <v>211.66</v>
    <v>210.39</v>
    <v>206.48</v>
    <v>208.83</v>
    <v>223.55</v>
    <v>225.41</v>
    <v>235.01</v>
    <v>226.96</v>
    <v>236.1</v>
    <v>218.82</v>
    <v>221.7</v>
    <v>229.71</v>
    <v>240.76</v>
    <v>244.25</v>
    <v>257.38</v>
    <v>262.36</v>
    <v>260.89999999999998</v>
    <v>258.95</v>
    <v>261.935</v>
    <v>251.9</v>
    <v>263.27</v>
    <v>264.20999999999998</v>
    <v>268.08</v>
    <v>272.29000000000002</v>
    <v>271.25</v>
    <v>287.01</v>
    <v>284.68</v>
    <v>274.66000000000003</v>
    <v>275.27999999999997</v>
    <v>265.86</v>
    <v>268.72500000000002</v>
    <v>245.28</v>
    <v>241.24</v>
    <v>227.83</v>
    <v>237.09</v>
    <v>240.42</v>
    <v>244.76</v>
    <v>223.47</v>
    <v>228.51</v>
  </a>
  <a r="1" c="252">
    <v>82.77</v>
    <v>84.13</v>
    <v>88.71</v>
    <v>88.46</v>
    <v>90.15</v>
    <v>88.57</v>
    <v>93.74</v>
    <v>90.37</v>
    <v>87.59</v>
    <v>92.9</v>
    <v>93.33</v>
    <v>90.92</v>
    <v>93.23</v>
    <v>89.33</v>
    <v>89.33</v>
    <v>87.52</v>
    <v>86.45</v>
    <v>83.45</v>
    <v>78.680000000000007</v>
    <v>81.319999999999993</v>
    <v>76.680000000000007</v>
    <v>77.45</v>
    <v>83.79</v>
    <v>83.43</v>
    <v>87.72</v>
    <v>89.4</v>
    <v>91.1</v>
    <v>92.89</v>
    <v>100.2</v>
    <v>98.19</v>
    <v>98.91</v>
    <v>92</v>
    <v>88.9</v>
    <v>92.47</v>
    <v>89.43</v>
    <v>84.424999999999997</v>
    <v>84.26</v>
    <v>84.07</v>
    <v>81.7</v>
    <v>84.47</v>
    <v>84.09</v>
    <v>84.8</v>
    <v>87.68</v>
    <v>86.49</v>
    <v>86.34</v>
    <v>85.76</v>
    <v>86.76</v>
    <v>84.98</v>
    <v>89.39</v>
    <v>90.23</v>
    <v>88.23</v>
    <v>84.64</v>
    <v>83.45</v>
    <v>83.22</v>
    <v>82.89</v>
    <v>83.05</v>
    <v>81.209999999999994</v>
    <v>80.38</v>
    <v>80.459999999999994</v>
    <v>79.8</v>
    <v>82.55</v>
    <v>83.1</v>
    <v>80.23</v>
    <v>81.77</v>
    <v>82.93</v>
    <v>83.62</v>
    <v>81.34</v>
    <v>78.92</v>
    <v>78.66</v>
    <v>75.540000000000006</v>
    <v>73.73</v>
    <v>74.209999999999994</v>
    <v>80.28</v>
    <v>82.35</v>
    <v>82.01</v>
    <v>81.34</v>
    <v>78.23</v>
    <v>78.61</v>
    <v>79.010000000000005</v>
    <v>79.09</v>
    <v>79.61</v>
    <v>79.48</v>
    <v>77.790000000000006</v>
    <v>78.39</v>
    <v>80.92</v>
    <v>79.290000000000006</v>
    <v>81.69</v>
    <v>80.86</v>
    <v>77.510000000000005</v>
    <v>78.09</v>
    <v>75.680000000000007</v>
    <v>89.57</v>
    <v>92.65</v>
    <v>93.3</v>
    <v>90.44</v>
    <v>87.67</v>
    <v>87.86</v>
    <v>91.58</v>
    <v>90.79</v>
    <v>87.62</v>
    <v>89.53</v>
    <v>87.91</v>
    <v>90.16</v>
    <v>92.36</v>
    <v>98.45</v>
    <v>97.68</v>
    <v>94.88</v>
    <v>87.81</v>
    <v>99.05</v>
    <v>106.71</v>
    <v>107.11</v>
    <v>109.51</v>
    <v>109.38</v>
    <v>114.45</v>
    <v>119.93</v>
    <v>128.49</v>
    <v>131.30000000000001</v>
    <v>133.83000000000001</v>
    <v>134.6</v>
    <v>133.37</v>
    <v>139.69</v>
    <v>147.84</v>
    <v>151.31</v>
    <v>157.32</v>
    <v>165.56</v>
    <v>164.31</v>
    <v>158.21</v>
    <v>153.22999999999999</v>
    <v>156.57</v>
    <v>165.15</v>
    <v>164.95</v>
    <v>163.66</v>
    <v>168.75</v>
    <v>172.15</v>
    <v>160.01</v>
    <v>170.13</v>
    <v>170.84</v>
    <v>164.5</v>
    <v>177.95</v>
    <v>182.58</v>
    <v>176.89</v>
    <v>168.93</v>
    <v>176.27</v>
    <v>186.8</v>
    <v>190.69</v>
    <v>196.33</v>
    <v>208.26</v>
    <v>198.7</v>
    <v>204.83</v>
    <v>205</v>
    <v>219.43</v>
    <v>290.79000000000002</v>
    <v>301.64999999999998</v>
    <v>316.43</v>
    <v>263.47000000000003</v>
    <v>288.85000000000002</v>
    <v>266.88</v>
    <v>252.59</v>
    <v>280.70999999999998</v>
    <v>279.7</v>
    <v>308.88</v>
    <v>278.67</v>
    <v>289.54000000000002</v>
    <v>310.58</v>
    <v>307.86</v>
    <v>279.04000000000002</v>
    <v>276.7</v>
    <v>281.26</v>
    <v>266.77</v>
    <v>277.75</v>
    <v>297.89</v>
    <v>272.05</v>
    <v>245.29</v>
    <v>249.27</v>
    <v>230.7</v>
    <v>231.71</v>
    <v>243.27</v>
    <v>235.81</v>
    <v>217.53</v>
    <v>222.44</v>
    <v>206.26</v>
    <v>188.3</v>
    <v>188.68</v>
    <v>194.94</v>
    <v>207.96</v>
    <v>210.99</v>
    <v>209.32</v>
    <v>194.23</v>
    <v>189.17</v>
    <v>174.47</v>
    <v>163.4</v>
    <v>183.3</v>
    <v>187.56</v>
    <v>193.77500000000001</v>
    <v>218.59</v>
    <v>211.02</v>
    <v>210.54</v>
    <v>218.72</v>
    <v>208.56</v>
    <v>212.31</v>
    <v>217.08</v>
    <v>222.18</v>
    <v>222.02</v>
    <v>234.33</v>
    <v>216</v>
    <v>237.27</v>
    <v>251.01</v>
    <v>237.04</v>
    <v>229.29</v>
    <v>240.38</v>
    <v>245.11</v>
    <v>241.45</v>
    <v>216.62</v>
    <v>211.66</v>
    <v>210.39</v>
    <v>206.48</v>
    <v>208.83</v>
    <v>223.55</v>
    <v>225.41</v>
    <v>235.01</v>
    <v>226.96</v>
    <v>236.1</v>
    <v>218.82</v>
    <v>221.7</v>
    <v>229.71</v>
    <v>240.76</v>
    <v>244.25</v>
    <v>257.38</v>
    <v>262.36</v>
    <v>260.89999999999998</v>
    <v>258.95</v>
    <v>261.935</v>
    <v>251.9</v>
    <v>263.27</v>
    <v>264.20999999999998</v>
    <v>268.08</v>
    <v>272.29000000000002</v>
    <v>271.25</v>
    <v>287.01</v>
    <v>284.68</v>
    <v>274.66000000000003</v>
    <v>275.27999999999997</v>
    <v>265.86</v>
    <v>268.72500000000002</v>
    <v>245.28</v>
    <v>241.24</v>
    <v>227.83</v>
    <v>237.09</v>
    <v>240.42</v>
    <v>244.76</v>
    <v>223.47</v>
    <v>228.51</v>
  </a>
  <a r="1" c="761">
    <v>177.38</v>
    <v>177.53</v>
    <v>176.46</v>
    <v>177.19</v>
    <v>177.69</v>
    <v>178.15</v>
    <v>178.4</v>
    <v>179.36</v>
    <v>180.63</v>
    <v>182.33</v>
    <v>180.25</v>
    <v>181.75</v>
    <v>183.07</v>
    <v>182.46</v>
    <v>181.41</v>
    <v>181.49</v>
    <v>183.92</v>
    <v>183.22</v>
    <v>184.4</v>
    <v>184.22</v>
    <v>184.16</v>
    <v>185.31</v>
    <v>185.45</v>
    <v>184.26</v>
    <v>183.9</v>
    <v>185.39</v>
    <v>186.37</v>
    <v>187.78</v>
    <v>187.02</v>
    <v>189.1</v>
    <v>189</v>
    <v>191.44</v>
    <v>192.45</v>
    <v>192.58</v>
    <v>190.91</v>
    <v>190.87</v>
    <v>192</v>
    <v>193.11</v>
    <v>194.77</v>
    <v>196.79</v>
    <v>195.52</v>
    <v>197.42</v>
    <v>198.01</v>
    <v>198.8</v>
    <v>198.63</v>
    <v>199.93</v>
    <v>198.39</v>
    <v>196.42</v>
    <v>195.86</v>
    <v>196.62</v>
    <v>194.95</v>
    <v>194.33</v>
    <v>194.55</v>
    <v>193.53</v>
    <v>193.32</v>
    <v>193.36</v>
    <v>194.87</v>
    <v>193.88</v>
    <v>193.59</v>
    <v>192.27</v>
    <v>191.9</v>
    <v>192.36</v>
    <v>193.06</v>
    <v>191.7</v>
    <v>192.01</v>
    <v>193.1</v>
    <v>193.06</v>
    <v>194.29</v>
    <v>193.5</v>
    <v>195.15</v>
    <v>195.52</v>
    <v>193.92</v>
    <v>192.56</v>
    <v>192.73</v>
    <v>192.42</v>
    <v>191.74</v>
    <v>191.23</v>
    <v>191.86</v>
    <v>191.51</v>
    <v>192.81</v>
    <v>192.86</v>
    <v>192.32</v>
    <v>191.86</v>
    <v>192.63</v>
    <v>191.24</v>
    <v>191.9</v>
    <v>193.37</v>
    <v>192.02</v>
    <v>191.62</v>
    <v>191.62</v>
    <v>192.75</v>
    <v>192.25</v>
    <v>192.92</v>
    <v>194.74</v>
    <v>195.02</v>
    <v>195.94</v>
    <v>196.44</v>
    <v>195.64</v>
    <v>195.58</v>
    <v>195.24</v>
    <v>194.01</v>
    <v>193.81</v>
    <v>193.67</v>
    <v>193.34</v>
    <v>193.6</v>
    <v>194.5</v>
    <v>195.45</v>
    <v>194.35</v>
    <v>195.09</v>
    <v>196.08</v>
    <v>195.37</v>
    <v>193.11</v>
    <v>193.21</v>
    <v>194.49</v>
    <v>193.59</v>
    <v>193.25</v>
    <v>194.6</v>
    <v>193.74</v>
    <v>192.56</v>
    <v>194.74</v>
    <v>192.94</v>
    <v>191.88</v>
    <v>192.4</v>
    <v>192.26</v>
    <v>192.19</v>
    <v>192.74</v>
    <v>192.41</v>
    <v>190.74</v>
    <v>190.16</v>
    <v>191.37</v>
    <v>192.55</v>
    <v>191.66</v>
    <v>192.32</v>
    <v>192.97</v>
    <v>193.59</v>
    <v>194.44</v>
    <v>193.82</v>
    <v>192.92</v>
    <v>192.73</v>
    <v>192.85</v>
    <v>191.95</v>
    <v>194.78</v>
    <v>194.41</v>
    <v>193.09</v>
    <v>193.06</v>
    <v>193.22</v>
    <v>192.87</v>
    <v>191.92</v>
    <v>192.15</v>
    <v>192.91</v>
    <v>191.97</v>
    <v>190.13</v>
    <v>190.68</v>
    <v>190.97</v>
    <v>192.35</v>
    <v>192.76</v>
    <v>193.7</v>
    <v>192.99</v>
    <v>191.59</v>
    <v>189.69</v>
    <v>189.96</v>
    <v>192.19</v>
    <v>191.92</v>
    <v>193.41</v>
    <v>192.74</v>
    <v>193.37</v>
    <v>192.89</v>
    <v>192.76</v>
    <v>192.85</v>
    <v>192.88</v>
    <v>193.13</v>
    <v>192.13</v>
    <v>191.74</v>
    <v>191.43</v>
    <v>189.98</v>
    <v>190.15</v>
    <v>191.44</v>
    <v>191.24</v>
    <v>192.36</v>
    <v>192.95</v>
    <v>191.84</v>
    <v>193.08</v>
    <v>194.24</v>
    <v>193.83</v>
    <v>194.66</v>
    <v>195.24</v>
    <v>195.52</v>
    <v>195.7</v>
    <v>194.57</v>
    <v>194.33</v>
    <v>194.86</v>
    <v>194.29</v>
    <v>194.94</v>
    <v>195.14</v>
    <v>196.12</v>
    <v>196.31</v>
    <v>197.3</v>
    <v>197.84</v>
    <v>198.57</v>
    <v>198.15</v>
    <v>198.29</v>
    <v>196.96</v>
    <v>197.07</v>
    <v>198.07</v>
    <v>198</v>
    <v>199.2</v>
    <v>199.29</v>
    <v>198.02</v>
    <v>198.04</v>
    <v>198.78</v>
    <v>199.2</v>
    <v>198.55</v>
    <v>199.11</v>
    <v>198.67</v>
    <v>197.62</v>
    <v>198.05</v>
    <v>197.72</v>
    <v>197.38</v>
    <v>196.89</v>
    <v>197.88</v>
    <v>199.24</v>
    <v>199.56</v>
    <v>199.95</v>
    <v>199.84</v>
    <v>200.49</v>
    <v>201.4</v>
    <v>200.72</v>
    <v>201.04</v>
    <v>201.57</v>
    <v>201.1</v>
    <v>200.03</v>
    <v>199.99</v>
    <v>199.35</v>
    <v>200.16</v>
    <v>200.71</v>
    <v>199.57</v>
    <v>200.28</v>
    <v>201.14</v>
    <v>200.97</v>
    <v>203.02</v>
    <v>201.85</v>
    <v>200.91</v>
    <v>200.15</v>
    <v>199.32</v>
    <v>199.42</v>
    <v>199.19</v>
    <v>199.67</v>
    <v>199.08</v>
    <v>199.35</v>
    <v>200.57</v>
    <v>201.7</v>
    <v>201.48</v>
    <v>202.12</v>
    <v>199.8</v>
    <v>198.92</v>
    <v>199.18</v>
    <v>200.39</v>
    <v>199.62</v>
    <v>199.84</v>
    <v>198.71</v>
    <v>198.32</v>
    <v>198.07</v>
    <v>197.56</v>
    <v>198.21</v>
    <v>197.59</v>
    <v>197</v>
    <v>196.62</v>
    <v>198.21</v>
    <v>199.3</v>
    <v>198.73</v>
    <v>198.54</v>
    <v>199.57</v>
    <v>199.57</v>
    <v>199.33</v>
    <v>199.7</v>
    <v>199.5</v>
    <v>199.57</v>
    <v>200.75</v>
    <v>201.67</v>
    <v>201.55</v>
    <v>202.36</v>
    <v>203.58</v>
    <v>204.73</v>
    <v>205.04</v>
    <v>205.11</v>
    <v>205.4</v>
    <v>205.59</v>
    <v>205.59</v>
    <v>205.56</v>
    <v>205.26</v>
    <v>205.11</v>
    <v>203.37</v>
    <v>202.07</v>
    <v>202.13</v>
    <v>202.09</v>
    <v>201.88</v>
    <v>200.73</v>
    <v>201.15</v>
    <v>201</v>
    <v>199.24</v>
    <v>199.83</v>
    <v>199.4</v>
    <v>198.22</v>
    <v>198.35</v>
    <v>197.44</v>
    <v>196.62</v>
    <v>195.96</v>
    <v>195.44</v>
    <v>194.69</v>
    <v>194.31</v>
    <v>196.56</v>
    <v>196.75</v>
    <v>197.45</v>
    <v>197.63</v>
    <v>198.1</v>
    <v>197.91</v>
    <v>197.33</v>
    <v>197.14</v>
    <v>197.72</v>
    <v>197.18</v>
    <v>197.08</v>
    <v>197.95</v>
    <v>199.03</v>
    <v>200.47</v>
    <v>200.37</v>
    <v>201.4</v>
    <v>201.42</v>
    <v>200.96</v>
    <v>201.32</v>
    <v>199.9</v>
    <v>199.22</v>
    <v>200.64</v>
    <v>200.25</v>
    <v>199.4</v>
    <v>199.48</v>
    <v>198.03</v>
    <v>198.27</v>
    <v>199.5</v>
    <v>199.38</v>
    <v>199.83</v>
    <v>200.45</v>
    <v>200.59</v>
    <v>200.98</v>
    <v>199.12</v>
    <v>198.82</v>
    <v>193.8</v>
    <v>192.26</v>
    <v>192.83</v>
    <v>192.86</v>
    <v>191.83</v>
    <v>192.27</v>
    <v>192.37</v>
    <v>191.97</v>
    <v>193.91</v>
    <v>193.38</v>
    <v>193.93</v>
    <v>193.94</v>
    <v>194.14</v>
    <v>194.23</v>
    <v>193.9</v>
    <v>193.92</v>
    <v>194.2</v>
    <v>194.84</v>
    <v>194.84</v>
    <v>195.89</v>
    <v>195.27</v>
    <v>196.23</v>
    <v>196.98</v>
    <v>195.38</v>
    <v>195.74</v>
    <v>195.59</v>
    <v>196.44</v>
    <v>196.87</v>
    <v>198.2</v>
    <v>197.52</v>
    <v>198.42</v>
    <v>199.04</v>
    <v>199.58</v>
    <v>198.99</v>
    <v>200.48</v>
    <v>199.69</v>
    <v>199.01</v>
    <v>199.17</v>
    <v>200.27</v>
    <v>198.75</v>
    <v>199</v>
    <v>198.57</v>
    <v>199.88</v>
    <v>199.3</v>
    <v>198.76</v>
    <v>197.4</v>
    <v>196.74</v>
    <v>196.4</v>
    <v>197.97</v>
    <v>198.77</v>
    <v>198.92</v>
    <v>198.63</v>
    <v>197.81</v>
    <v>197.74</v>
    <v>198.55</v>
    <v>199.33</v>
    <v>199.96</v>
    <v>199.98</v>
    <v>200.69</v>
    <v>200.84</v>
    <v>200.63</v>
    <v>200.78</v>
    <v>200.62</v>
    <v>199.66</v>
    <v>200.31</v>
    <v>200.17</v>
    <v>201.21</v>
    <v>200.72</v>
    <v>201.82</v>
    <v>200.43</v>
    <v>200.78</v>
    <v>200.43</v>
    <v>201.2</v>
    <v>200.18</v>
    <v>200.61</v>
    <v>200.92</v>
    <v>200.59</v>
    <v>200.4</v>
    <v>200.39</v>
    <v>200.17</v>
    <v>200.13</v>
    <v>200.74</v>
    <v>199.53</v>
    <v>200.57</v>
    <v>200.53</v>
    <v>199.78</v>
    <v>198.97</v>
    <v>199.13</v>
    <v>198.54</v>
    <v>198.15</v>
    <v>197.87</v>
    <v>198.1</v>
    <v>198.36</v>
    <v>198.98</v>
    <v>198.65</v>
    <v>200.36</v>
    <v>200.83</v>
    <v>200.93</v>
    <v>199.02</v>
    <v>198.66</v>
    <v>199.42</v>
    <v>199.47</v>
    <v>199.11</v>
    <v>199.64</v>
    <v>199.49</v>
    <v>200.73</v>
    <v>200.94</v>
    <v>200.57</v>
    <v>200.99</v>
    <v>199.89</v>
    <v>199.69</v>
    <v>198.65</v>
    <v>200.1</v>
    <v>199.57</v>
    <v>198.08</v>
    <v>198.4</v>
    <v>198.91</v>
    <v>198.22</v>
    <v>198.99</v>
    <v>197.76</v>
    <v>198.23</v>
    <v>198.12</v>
    <v>198.71</v>
    <v>198.05</v>
    <v>197.58</v>
    <v>196.34</v>
    <v>197.63</v>
    <v>198.27</v>
    <v>199.33</v>
    <v>200.08</v>
    <v>199.79</v>
    <v>200.01</v>
    <v>200.62</v>
    <v>199.37</v>
    <v>199.91</v>
    <v>199.84</v>
    <v>200.37</v>
    <v>199.48</v>
    <v>198.79</v>
    <v>198.76</v>
    <v>198.71</v>
    <v>198.6</v>
    <v>198.11</v>
    <v>198.74</v>
    <v>199.65</v>
    <v>199.47</v>
    <v>199.68</v>
    <v>199.87</v>
    <v>200.06</v>
    <v>199.29</v>
    <v>199.41</v>
    <v>200.55</v>
    <v>199.91</v>
    <v>201.25</v>
    <v>201.33</v>
    <v>202.28</v>
    <v>203.56</v>
    <v>203.53</v>
    <v>202.97</v>
    <v>202.9</v>
    <v>203.56</v>
    <v>203.45</v>
    <v>203.19</v>
    <v>202.19</v>
    <v>202.47</v>
    <v>202.36</v>
    <v>202.74</v>
    <v>202.68</v>
    <v>202.55</v>
    <v>202.05</v>
    <v>202.25</v>
    <v>201.91</v>
    <v>202.14</v>
    <v>201.76</v>
    <v>202.16</v>
    <v>202.39</v>
    <v>202.97</v>
    <v>202.33</v>
    <v>201.4</v>
    <v>201.59</v>
    <v>201.37</v>
    <v>201.56</v>
    <v>201.2</v>
    <v>201.24</v>
    <v>201.78</v>
    <v>202.37</v>
    <v>202.65</v>
    <v>202.44</v>
    <v>202.34</v>
    <v>201.19</v>
    <v>201.15</v>
    <v>201.24</v>
    <v>200.96</v>
    <v>200.41</v>
    <v>199.46</v>
    <v>199.69</v>
    <v>199.6</v>
    <v>200.03</v>
    <v>199.62</v>
    <v>200</v>
    <v>200.18</v>
    <v>199.8</v>
    <v>200.17</v>
    <v>199.21</v>
    <v>199.04</v>
    <v>200.12</v>
    <v>201.13</v>
    <v>200.28</v>
    <v>199.35</v>
    <v>199.88</v>
    <v>200.5</v>
    <v>201.35</v>
    <v>201.06</v>
    <v>201.18</v>
    <v>201.75</v>
    <v>201.33</v>
    <v>201.95</v>
    <v>202.26</v>
    <v>201.86</v>
    <v>201.79</v>
    <v>201.19</v>
    <v>200.86</v>
    <v>201.28</v>
    <v>201.29</v>
    <v>202.2</v>
    <v>202.06</v>
    <v>202.26</v>
    <v>202.69</v>
    <v>202.41</v>
    <v>201.91</v>
    <v>201.43</v>
    <v>201.89</v>
    <v>202.1</v>
    <v>202.27</v>
    <v>202.15</v>
    <v>202.95</v>
    <v>203.41</v>
    <v>203.96</v>
    <v>204.32</v>
    <v>204.29</v>
    <v>204.58</v>
    <v>204.87</v>
    <v>204.9</v>
    <v>205.1</v>
    <v>205.52</v>
    <v>205.73</v>
    <v>205.93</v>
    <v>206.04</v>
    <v>206.86</v>
    <v>205.47</v>
    <v>203.71</v>
    <v>204.56</v>
    <v>202.36</v>
    <v>201.83</v>
    <v>201.66</v>
    <v>202.71</v>
    <v>200.62</v>
    <v>199.71</v>
    <v>198.93</v>
    <v>199.76</v>
    <v>200.92</v>
    <v>200</v>
    <v>199.59</v>
    <v>197.44</v>
    <v>198.34</v>
    <v>197.96</v>
    <v>199.52</v>
    <v>196.9</v>
    <v>195.95</v>
    <v>197.33</v>
    <v>198.27</v>
    <v>199.17</v>
    <v>198.99</v>
    <v>197.2</v>
    <v>200.92</v>
    <v>199.78</v>
    <v>198.62</v>
    <v>197.76</v>
    <v>199.17</v>
    <v>198.9</v>
    <v>198.8</v>
    <v>200.78</v>
    <v>200.42</v>
    <v>199.63</v>
    <v>199.81</v>
    <v>199.83</v>
    <v>199.7</v>
    <v>199.05</v>
    <v>198.49</v>
    <v>197.78</v>
    <v>199.18</v>
    <v>197.96</v>
    <v>198.83</v>
    <v>200.46</v>
    <v>200.6</v>
    <v>200.78</v>
    <v>199.96</v>
    <v>198.73</v>
    <v>198.6</v>
    <v>199.9</v>
    <v>197.6</v>
    <v>197.54</v>
    <v>196.97</v>
    <v>199.31</v>
    <v>198.81</v>
    <v>200.31</v>
    <v>202.15</v>
    <v>201.36</v>
    <v>201.42</v>
    <v>201.97</v>
    <v>202.4</v>
    <v>201.24</v>
    <v>201.82</v>
    <v>200.37</v>
    <v>200.57</v>
    <v>200.25</v>
    <v>199.67</v>
    <v>199.73</v>
    <v>199.48</v>
    <v>200.5</v>
    <v>201.23</v>
    <v>202.06</v>
    <v>202.64</v>
    <v>202.93</v>
    <v>203.19</v>
    <v>201.79</v>
    <v>202.51</v>
    <v>203.03</v>
    <v>203.94</v>
    <v>204.13</v>
    <v>204.29</v>
    <v>204.11</v>
    <v>203.98</v>
    <v>203.58</v>
    <v>203.11</v>
    <v>202.52</v>
    <v>202.41</v>
    <v>201.47</v>
    <v>199.38</v>
    <v>200.2</v>
    <v>200.75</v>
    <v>199.98</v>
    <v>200.04</v>
    <v>199.79</v>
    <v>199.23</v>
    <v>199.28</v>
    <v>198.86</v>
    <v>198.57</v>
    <v>198.38</v>
    <v>197.63</v>
    <v>198.74</v>
    <v>199.62</v>
    <v>200.05</v>
    <v>199.12</v>
    <v>198.87</v>
    <v>198.16</v>
    <v>199.43</v>
    <v>200.16</v>
    <v>200.52</v>
    <v>200.08</v>
    <v>200.05</v>
    <v>198.96</v>
    <v>199.15</v>
    <v>199.39</v>
    <v>199.83</v>
    <v>198.41</v>
    <v>197.88</v>
    <v>196.92</v>
    <v>197.27</v>
    <v>197.22</v>
    <v>197.14</v>
    <v>197.25</v>
    <v>198.39</v>
    <v>197.86</v>
    <v>197.38</v>
    <v>197.17</v>
    <v>196.1</v>
    <v>195.92</v>
    <v>195.11</v>
    <v>195.81</v>
    <v>196.16</v>
    <v>195.16</v>
    <v>195.81</v>
    <v>194.08</v>
    <v>192.66</v>
    <v>192.91</v>
    <v>192.57</v>
    <v>192.17</v>
    <v>192.72</v>
    <v>193.39</v>
    <v>192.13</v>
    <v>193.69</v>
    <v>193.4</v>
    <v>191.42</v>
    <v>190.27</v>
    <v>190.26</v>
    <v>189.31</v>
    <v>189.18</v>
    <v>189.22</v>
    <v>188.51</v>
    <v>190.21</v>
    <v>189.77</v>
    <v>190.81</v>
    <v>189.57</v>
    <v>189.57</v>
    <v>189.98</v>
    <v>189.91</v>
    <v>190.47</v>
    <v>190.31</v>
    <v>191.74</v>
    <v>191.7</v>
    <v>190.22</v>
    <v>190.93</v>
    <v>190.12</v>
    <v>190.31</v>
    <v>190.58</v>
  </a>
  <a r="1" c="208">
    <v>199.35</v>
    <v>199.88</v>
    <v>200.5</v>
    <v>201.35</v>
    <v>201.06</v>
    <v>201.18</v>
    <v>201.75</v>
    <v>201.33</v>
    <v>201.95</v>
    <v>202.26</v>
    <v>201.86</v>
    <v>201.79</v>
    <v>201.19</v>
    <v>200.86</v>
    <v>201.28</v>
    <v>201.29</v>
    <v>202.2</v>
    <v>202.06</v>
    <v>202.26</v>
    <v>202.69</v>
    <v>202.41</v>
    <v>201.91</v>
    <v>201.43</v>
    <v>201.89</v>
    <v>202.1</v>
    <v>202.27</v>
    <v>202.15</v>
    <v>202.95</v>
    <v>203.41</v>
    <v>203.96</v>
    <v>204.32</v>
    <v>204.29</v>
    <v>204.58</v>
    <v>204.87</v>
    <v>204.9</v>
    <v>205.1</v>
    <v>205.52</v>
    <v>205.73</v>
    <v>205.93</v>
    <v>206.04</v>
    <v>206.86</v>
    <v>205.47</v>
    <v>203.71</v>
    <v>204.56</v>
    <v>202.36</v>
    <v>201.83</v>
    <v>201.66</v>
    <v>202.71</v>
    <v>200.62</v>
    <v>199.71</v>
    <v>198.93</v>
    <v>199.76</v>
    <v>200.92</v>
    <v>200</v>
    <v>199.59</v>
    <v>197.44</v>
    <v>198.34</v>
    <v>197.96</v>
    <v>199.52</v>
    <v>196.9</v>
    <v>195.95</v>
    <v>197.33</v>
    <v>198.27</v>
    <v>199.17</v>
    <v>198.99</v>
    <v>197.2</v>
    <v>200.92</v>
    <v>199.78</v>
    <v>198.62</v>
    <v>197.76</v>
    <v>199.17</v>
    <v>198.9</v>
    <v>198.8</v>
    <v>200.78</v>
    <v>200.42</v>
    <v>199.63</v>
    <v>199.81</v>
    <v>199.83</v>
    <v>199.7</v>
    <v>199.05</v>
    <v>198.49</v>
    <v>197.78</v>
    <v>199.18</v>
    <v>197.96</v>
    <v>198.83</v>
    <v>200.46</v>
    <v>200.6</v>
    <v>200.78</v>
    <v>199.96</v>
    <v>198.73</v>
    <v>198.6</v>
    <v>199.9</v>
    <v>197.6</v>
    <v>197.54</v>
    <v>196.97</v>
    <v>199.31</v>
    <v>198.81</v>
    <v>200.31</v>
    <v>202.15</v>
    <v>201.36</v>
    <v>201.42</v>
    <v>201.97</v>
    <v>202.4</v>
    <v>201.24</v>
    <v>201.82</v>
    <v>200.37</v>
    <v>200.57</v>
    <v>200.25</v>
    <v>199.67</v>
    <v>199.73</v>
    <v>199.48</v>
    <v>200.5</v>
    <v>201.23</v>
    <v>202.06</v>
    <v>202.64</v>
    <v>202.93</v>
    <v>203.19</v>
    <v>201.79</v>
    <v>202.51</v>
    <v>203.03</v>
    <v>203.94</v>
    <v>204.13</v>
    <v>204.29</v>
    <v>204.11</v>
    <v>203.98</v>
    <v>203.58</v>
    <v>203.11</v>
    <v>202.52</v>
    <v>202.41</v>
    <v>201.47</v>
    <v>199.38</v>
    <v>200.2</v>
    <v>200.75</v>
    <v>199.98</v>
    <v>200.04</v>
    <v>199.79</v>
    <v>199.23</v>
    <v>199.28</v>
    <v>198.86</v>
    <v>198.57</v>
    <v>198.38</v>
    <v>197.63</v>
    <v>198.74</v>
    <v>199.62</v>
    <v>200.05</v>
    <v>199.12</v>
    <v>198.87</v>
    <v>198.16</v>
    <v>199.43</v>
    <v>200.16</v>
    <v>200.52</v>
    <v>200.08</v>
    <v>200.05</v>
    <v>198.96</v>
    <v>199.15</v>
    <v>199.39</v>
    <v>199.83</v>
    <v>198.41</v>
    <v>197.88</v>
    <v>196.92</v>
    <v>197.27</v>
    <v>197.22</v>
    <v>197.14</v>
    <v>197.25</v>
    <v>198.39</v>
    <v>197.86</v>
    <v>197.38</v>
    <v>197.17</v>
    <v>196.1</v>
    <v>195.92</v>
    <v>195.11</v>
    <v>195.81</v>
    <v>196.16</v>
    <v>195.16</v>
    <v>195.81</v>
    <v>194.08</v>
    <v>192.66</v>
    <v>192.91</v>
    <v>192.57</v>
    <v>192.17</v>
    <v>192.72</v>
    <v>193.39</v>
    <v>192.13</v>
    <v>193.69</v>
    <v>193.4</v>
    <v>191.42</v>
    <v>190.27</v>
    <v>190.26</v>
    <v>189.31</v>
    <v>189.18</v>
    <v>189.22</v>
    <v>188.51</v>
    <v>190.21</v>
    <v>189.77</v>
    <v>190.81</v>
    <v>189.57</v>
    <v>189.57</v>
    <v>189.98</v>
    <v>189.91</v>
    <v>190.47</v>
    <v>190.31</v>
    <v>191.74</v>
    <v>191.7</v>
    <v>190.22</v>
    <v>190.93</v>
    <v>190.12</v>
    <v>190.31</v>
    <v>190.58</v>
  </a>
  <a r="1" c="254">
    <v>203.19</v>
    <v>202.19</v>
    <v>202.47</v>
    <v>202.36</v>
    <v>202.74</v>
    <v>202.68</v>
    <v>202.55</v>
    <v>202.05</v>
    <v>202.25</v>
    <v>201.91</v>
    <v>202.14</v>
    <v>201.76</v>
    <v>202.16</v>
    <v>202.39</v>
    <v>202.97</v>
    <v>202.33</v>
    <v>201.4</v>
    <v>201.59</v>
    <v>201.37</v>
    <v>201.56</v>
    <v>201.2</v>
    <v>201.24</v>
    <v>201.78</v>
    <v>202.37</v>
    <v>202.65</v>
    <v>202.44</v>
    <v>202.34</v>
    <v>201.19</v>
    <v>201.15</v>
    <v>201.24</v>
    <v>200.96</v>
    <v>200.41</v>
    <v>199.46</v>
    <v>199.69</v>
    <v>199.6</v>
    <v>200.03</v>
    <v>199.62</v>
    <v>200</v>
    <v>200.18</v>
    <v>199.8</v>
    <v>200.17</v>
    <v>199.21</v>
    <v>199.04</v>
    <v>200.12</v>
    <v>201.13</v>
    <v>200.28</v>
    <v>199.35</v>
    <v>199.88</v>
    <v>200.5</v>
    <v>201.35</v>
    <v>201.06</v>
    <v>201.18</v>
    <v>201.75</v>
    <v>201.33</v>
    <v>201.95</v>
    <v>202.26</v>
    <v>201.86</v>
    <v>201.79</v>
    <v>201.19</v>
    <v>200.86</v>
    <v>201.28</v>
    <v>201.29</v>
    <v>202.2</v>
    <v>202.06</v>
    <v>202.26</v>
    <v>202.69</v>
    <v>202.41</v>
    <v>201.91</v>
    <v>201.43</v>
    <v>201.89</v>
    <v>202.1</v>
    <v>202.27</v>
    <v>202.15</v>
    <v>202.95</v>
    <v>203.41</v>
    <v>203.96</v>
    <v>204.32</v>
    <v>204.29</v>
    <v>204.58</v>
    <v>204.87</v>
    <v>204.9</v>
    <v>205.1</v>
    <v>205.52</v>
    <v>205.73</v>
    <v>205.93</v>
    <v>206.04</v>
    <v>206.86</v>
    <v>205.47</v>
    <v>203.71</v>
    <v>204.56</v>
    <v>202.36</v>
    <v>201.83</v>
    <v>201.66</v>
    <v>202.71</v>
    <v>200.62</v>
    <v>199.71</v>
    <v>198.93</v>
    <v>199.76</v>
    <v>200.92</v>
    <v>200</v>
    <v>199.59</v>
    <v>197.44</v>
    <v>198.34</v>
    <v>197.96</v>
    <v>199.52</v>
    <v>196.9</v>
    <v>195.95</v>
    <v>197.33</v>
    <v>198.27</v>
    <v>199.17</v>
    <v>198.99</v>
    <v>197.2</v>
    <v>200.92</v>
    <v>199.78</v>
    <v>198.62</v>
    <v>197.76</v>
    <v>199.17</v>
    <v>198.9</v>
    <v>198.8</v>
    <v>200.78</v>
    <v>200.42</v>
    <v>199.63</v>
    <v>199.81</v>
    <v>199.83</v>
    <v>199.7</v>
    <v>199.05</v>
    <v>198.49</v>
    <v>197.78</v>
    <v>199.18</v>
    <v>197.96</v>
    <v>198.83</v>
    <v>200.46</v>
    <v>200.6</v>
    <v>200.78</v>
    <v>199.96</v>
    <v>198.73</v>
    <v>198.6</v>
    <v>199.9</v>
    <v>197.6</v>
    <v>197.54</v>
    <v>196.97</v>
    <v>199.31</v>
    <v>198.81</v>
    <v>200.31</v>
    <v>202.15</v>
    <v>201.36</v>
    <v>201.42</v>
    <v>201.97</v>
    <v>202.4</v>
    <v>201.24</v>
    <v>201.82</v>
    <v>200.37</v>
    <v>200.57</v>
    <v>200.25</v>
    <v>199.67</v>
    <v>199.73</v>
    <v>199.48</v>
    <v>200.5</v>
    <v>201.23</v>
    <v>202.06</v>
    <v>202.64</v>
    <v>202.93</v>
    <v>203.19</v>
    <v>201.79</v>
    <v>202.51</v>
    <v>203.03</v>
    <v>203.94</v>
    <v>204.13</v>
    <v>204.29</v>
    <v>204.11</v>
    <v>203.98</v>
    <v>203.58</v>
    <v>203.11</v>
    <v>202.52</v>
    <v>202.41</v>
    <v>201.47</v>
    <v>199.38</v>
    <v>200.2</v>
    <v>200.75</v>
    <v>199.98</v>
    <v>200.04</v>
    <v>199.79</v>
    <v>199.23</v>
    <v>199.28</v>
    <v>198.86</v>
    <v>198.57</v>
    <v>198.38</v>
    <v>197.63</v>
    <v>198.74</v>
    <v>199.62</v>
    <v>200.05</v>
    <v>199.12</v>
    <v>198.87</v>
    <v>198.16</v>
    <v>199.43</v>
    <v>200.16</v>
    <v>200.52</v>
    <v>200.08</v>
    <v>200.05</v>
    <v>198.96</v>
    <v>199.15</v>
    <v>199.39</v>
    <v>199.83</v>
    <v>198.41</v>
    <v>197.88</v>
    <v>196.92</v>
    <v>197.27</v>
    <v>197.22</v>
    <v>197.14</v>
    <v>197.25</v>
    <v>198.39</v>
    <v>197.86</v>
    <v>197.38</v>
    <v>197.17</v>
    <v>196.1</v>
    <v>195.92</v>
    <v>195.11</v>
    <v>195.81</v>
    <v>196.16</v>
    <v>195.16</v>
    <v>195.81</v>
    <v>194.08</v>
    <v>192.66</v>
    <v>192.91</v>
    <v>192.57</v>
    <v>192.17</v>
    <v>192.72</v>
    <v>193.39</v>
    <v>192.13</v>
    <v>193.69</v>
    <v>193.4</v>
    <v>191.42</v>
    <v>190.27</v>
    <v>190.26</v>
    <v>189.31</v>
    <v>189.18</v>
    <v>189.22</v>
    <v>188.51</v>
    <v>190.21</v>
    <v>189.77</v>
    <v>190.81</v>
    <v>189.57</v>
    <v>189.57</v>
    <v>189.98</v>
    <v>189.91</v>
    <v>190.47</v>
    <v>190.31</v>
    <v>191.74</v>
    <v>191.7</v>
    <v>190.22</v>
    <v>190.93</v>
    <v>190.12</v>
    <v>190.31</v>
    <v>190.58</v>
  </a>
  <a r="1" c="205">
    <v>26.15</v>
    <v>28.13</v>
    <v>30.64</v>
    <v>31.27</v>
    <v>30.2</v>
    <v>29.28</v>
    <v>28.11</v>
    <v>28.8</v>
    <v>28.82</v>
    <v>30.15</v>
    <v>28.72</v>
    <v>28.83</v>
    <v>27.04</v>
    <v>26.04</v>
    <v>27.43</v>
    <v>25.63</v>
    <v>23.75</v>
    <v>24.69</v>
    <v>24.97</v>
    <v>23.22</v>
    <v>21.22</v>
    <v>20.97</v>
    <v>21.4</v>
    <v>20.11</v>
    <v>17.21</v>
    <v>20.72</v>
    <v>21.21</v>
    <v>20.440000000000001</v>
    <v>19.64</v>
    <v>18.82</v>
    <v>19.670000000000002</v>
    <v>18.440000000000001</v>
    <v>19.07</v>
    <v>19.38</v>
    <v>18.059999999999999</v>
    <v>18.05</v>
    <v>18.66</v>
    <v>19.649999999999999</v>
    <v>20.14</v>
    <v>18.78</v>
    <v>18.940000000000001</v>
    <v>18.239999999999998</v>
    <v>18.91</v>
    <v>18.829999999999998</v>
    <v>18.59</v>
    <v>19.04</v>
    <v>18.760000000000002</v>
    <v>18.91</v>
    <v>17.829999999999998</v>
    <v>17.55</v>
    <v>17.46</v>
    <v>17.47</v>
    <v>16.489999999999998</v>
    <v>16.100000000000001</v>
    <v>15.73</v>
    <v>16.309999999999999</v>
    <v>15.93</v>
    <v>16.190000000000001</v>
    <v>14.65</v>
    <v>13.9</v>
    <v>12.98</v>
    <v>14.43</v>
    <v>13.7</v>
    <v>14.32</v>
    <v>14.14</v>
    <v>13.74</v>
    <v>14.57</v>
    <v>13.87</v>
    <v>14.25</v>
    <v>14.65</v>
    <v>16.97</v>
    <v>20.81</v>
    <v>21.52</v>
    <v>21.69</v>
    <v>21.66</v>
    <v>20.36</v>
    <v>21.24</v>
    <v>19.309999999999999</v>
    <v>18.489999999999998</v>
    <v>18.8</v>
    <v>18.11</v>
    <v>18.27</v>
    <v>20.28</v>
    <v>20.49</v>
    <v>20.92</v>
    <v>21.54</v>
    <v>23.83</v>
    <v>21.99</v>
    <v>22.57</v>
    <v>24.03</v>
    <v>22.35</v>
    <v>21.44</v>
    <v>22.13</v>
    <v>20.350000000000001</v>
    <v>19.059999999999999</v>
    <v>18.190000000000001</v>
    <v>19.3</v>
    <v>25.74</v>
    <v>29.4</v>
    <v>27.82</v>
    <v>27.48</v>
    <v>29.49</v>
    <v>30.14</v>
    <v>29.18</v>
    <v>29.91</v>
    <v>27.55</v>
    <v>27.64</v>
    <v>23.85</v>
    <v>25.83</v>
    <v>23.52</v>
    <v>23.25</v>
    <v>23.82</v>
    <v>23.37</v>
    <v>26.26</v>
    <v>23.94</v>
    <v>22.92</v>
    <v>24.69</v>
    <v>24.47</v>
    <v>25.03</v>
    <v>22.98</v>
    <v>21.91</v>
    <v>22.76</v>
    <v>23.83</v>
    <v>23.99</v>
    <v>23.5</v>
    <v>22.53</v>
    <v>22.56</v>
    <v>21.06</v>
    <v>20.64</v>
    <v>21.16</v>
    <v>20.09</v>
    <v>18.66</v>
    <v>18.95</v>
    <v>18.27</v>
    <v>16.920000000000002</v>
    <v>16.73</v>
    <v>16.72</v>
    <v>17.8</v>
    <v>17.350000000000001</v>
    <v>17.100000000000001</v>
    <v>16.21</v>
    <v>19.510000000000002</v>
    <v>17.635000000000002</v>
    <v>16.18</v>
    <v>17.98</v>
    <v>18.079999999999998</v>
    <v>19.98</v>
    <v>21.83</v>
    <v>21.39</v>
    <v>19.405000000000001</v>
    <v>20.76</v>
    <v>20.190000000000001</v>
    <v>20.23</v>
    <v>20.74</v>
    <v>20.9</v>
    <v>21.17</v>
    <v>20.87</v>
    <v>19.53</v>
    <v>19.32</v>
    <v>18.8</v>
    <v>20.39</v>
    <v>18.68</v>
    <v>19.350000000000001</v>
    <v>17.510000000000002</v>
    <v>17.899999999999999</v>
    <v>16.989999999999998</v>
    <v>17.2</v>
    <v>16.54</v>
    <v>16.489999999999998</v>
    <v>16.82</v>
    <v>16.579999999999998</v>
    <v>17.670000000000002</v>
    <v>17.12</v>
    <v>16.66</v>
    <v>16.8</v>
    <v>16.829999999999998</v>
    <v>16.41</v>
    <v>16.27</v>
    <v>17.690000000000001</v>
    <v>17.11</v>
    <v>17.7</v>
    <v>17.559999999999999</v>
    <v>16.809999999999999</v>
    <v>17.48</v>
    <v>17.41</v>
    <v>16.78</v>
    <v>16.43</v>
    <v>16.57</v>
    <v>16.559999999999999</v>
    <v>15.77</v>
    <v>15.64</v>
    <v>15.79</v>
    <v>15.22</v>
    <v>14.6</v>
    <v>14.57</v>
    <v>13.74</v>
    <v>13.38</v>
    <v>12.03</v>
    <v>12.815</v>
    <v>11.78</v>
    <v>11.83</v>
    <v>11.78</v>
    <v>12.1</v>
    <v>11.63</v>
    <v>11.66</v>
  </a>
  <a r="1" c="252">
    <v>31.06</v>
    <v>32.65</v>
    <v>35.04</v>
    <v>32</v>
    <v>34.26</v>
    <v>36.11</v>
    <v>37.06</v>
    <v>33.090000000000003</v>
    <v>29.74</v>
    <v>31.02</v>
    <v>28.39</v>
    <v>29.5</v>
    <v>29.37</v>
    <v>28.99</v>
    <v>26.4</v>
    <v>23.39</v>
    <v>23.61</v>
    <v>22.83</v>
    <v>22.93</v>
    <v>23.44</v>
    <v>20.51</v>
    <v>20.41</v>
    <v>23.11</v>
    <v>22.59</v>
    <v>22.41</v>
    <v>22.67</v>
    <v>21.42</v>
    <v>22.5</v>
    <v>25.08</v>
    <v>28.73</v>
    <v>27</v>
    <v>28.44</v>
    <v>28.33</v>
    <v>26.8</v>
    <v>27.98</v>
    <v>26.1</v>
    <v>23.74</v>
    <v>25.52</v>
    <v>23.8</v>
    <v>24.89</v>
    <v>26.82</v>
    <v>32.19</v>
    <v>29.12</v>
    <v>27.52</v>
    <v>25.29</v>
    <v>26.15</v>
    <v>26.25</v>
    <v>26.15</v>
    <v>28.13</v>
    <v>30.64</v>
    <v>31.27</v>
    <v>30.2</v>
    <v>29.28</v>
    <v>28.11</v>
    <v>28.8</v>
    <v>28.82</v>
    <v>30.15</v>
    <v>28.72</v>
    <v>28.83</v>
    <v>27.04</v>
    <v>26.04</v>
    <v>27.43</v>
    <v>25.63</v>
    <v>23.75</v>
    <v>24.69</v>
    <v>24.97</v>
    <v>23.22</v>
    <v>21.22</v>
    <v>20.97</v>
    <v>21.4</v>
    <v>20.11</v>
    <v>17.21</v>
    <v>20.72</v>
    <v>21.21</v>
    <v>20.440000000000001</v>
    <v>19.64</v>
    <v>18.82</v>
    <v>19.670000000000002</v>
    <v>18.440000000000001</v>
    <v>19.07</v>
    <v>19.38</v>
    <v>18.059999999999999</v>
    <v>18.05</v>
    <v>18.66</v>
    <v>19.649999999999999</v>
    <v>20.14</v>
    <v>18.78</v>
    <v>18.940000000000001</v>
    <v>18.239999999999998</v>
    <v>18.91</v>
    <v>18.829999999999998</v>
    <v>18.59</v>
    <v>19.04</v>
    <v>18.760000000000002</v>
    <v>18.91</v>
    <v>17.829999999999998</v>
    <v>17.55</v>
    <v>17.46</v>
    <v>17.47</v>
    <v>16.489999999999998</v>
    <v>16.100000000000001</v>
    <v>15.73</v>
    <v>16.309999999999999</v>
    <v>15.93</v>
    <v>16.190000000000001</v>
    <v>14.65</v>
    <v>13.9</v>
    <v>12.98</v>
    <v>14.43</v>
    <v>13.7</v>
    <v>14.32</v>
    <v>14.14</v>
    <v>13.74</v>
    <v>14.57</v>
    <v>13.87</v>
    <v>14.25</v>
    <v>14.65</v>
    <v>16.97</v>
    <v>20.81</v>
    <v>21.52</v>
    <v>21.69</v>
    <v>21.66</v>
    <v>20.36</v>
    <v>21.24</v>
    <v>19.309999999999999</v>
    <v>18.489999999999998</v>
    <v>18.8</v>
    <v>18.11</v>
    <v>18.27</v>
    <v>20.28</v>
    <v>20.49</v>
    <v>20.92</v>
    <v>21.54</v>
    <v>23.83</v>
    <v>21.99</v>
    <v>22.57</v>
    <v>24.03</v>
    <v>22.35</v>
    <v>21.44</v>
    <v>22.13</v>
    <v>20.350000000000001</v>
    <v>19.059999999999999</v>
    <v>18.190000000000001</v>
    <v>19.3</v>
    <v>25.74</v>
    <v>29.4</v>
    <v>27.82</v>
    <v>27.48</v>
    <v>29.49</v>
    <v>30.14</v>
    <v>29.18</v>
    <v>29.91</v>
    <v>27.55</v>
    <v>27.64</v>
    <v>23.85</v>
    <v>25.83</v>
    <v>23.52</v>
    <v>23.25</v>
    <v>23.82</v>
    <v>23.37</v>
    <v>26.26</v>
    <v>23.94</v>
    <v>22.92</v>
    <v>24.69</v>
    <v>24.47</v>
    <v>25.03</v>
    <v>22.98</v>
    <v>21.91</v>
    <v>22.76</v>
    <v>23.83</v>
    <v>23.99</v>
    <v>23.5</v>
    <v>22.53</v>
    <v>22.56</v>
    <v>21.06</v>
    <v>20.64</v>
    <v>21.16</v>
    <v>20.09</v>
    <v>18.66</v>
    <v>18.95</v>
    <v>18.27</v>
    <v>16.920000000000002</v>
    <v>16.73</v>
    <v>16.72</v>
    <v>17.8</v>
    <v>17.350000000000001</v>
    <v>17.100000000000001</v>
    <v>16.21</v>
    <v>19.510000000000002</v>
    <v>17.635000000000002</v>
    <v>16.18</v>
    <v>17.98</v>
    <v>18.079999999999998</v>
    <v>19.98</v>
    <v>21.83</v>
    <v>21.39</v>
    <v>19.405000000000001</v>
    <v>20.76</v>
    <v>20.190000000000001</v>
    <v>20.23</v>
    <v>20.74</v>
    <v>20.9</v>
    <v>21.17</v>
    <v>20.87</v>
    <v>19.53</v>
    <v>19.32</v>
    <v>18.8</v>
    <v>20.39</v>
    <v>18.68</v>
    <v>19.350000000000001</v>
    <v>17.510000000000002</v>
    <v>17.899999999999999</v>
    <v>16.989999999999998</v>
    <v>17.2</v>
    <v>16.54</v>
    <v>16.489999999999998</v>
    <v>16.82</v>
    <v>16.579999999999998</v>
    <v>17.670000000000002</v>
    <v>17.12</v>
    <v>16.66</v>
    <v>16.8</v>
    <v>16.829999999999998</v>
    <v>16.41</v>
    <v>16.27</v>
    <v>17.690000000000001</v>
    <v>17.11</v>
    <v>17.7</v>
    <v>17.559999999999999</v>
    <v>16.809999999999999</v>
    <v>17.48</v>
    <v>17.41</v>
    <v>16.78</v>
    <v>16.43</v>
    <v>16.57</v>
    <v>16.559999999999999</v>
    <v>15.77</v>
    <v>15.64</v>
    <v>15.79</v>
    <v>15.22</v>
    <v>14.6</v>
    <v>14.57</v>
    <v>13.74</v>
    <v>13.38</v>
    <v>12.03</v>
    <v>12.815</v>
    <v>11.78</v>
    <v>11.83</v>
    <v>11.78</v>
    <v>12.1</v>
    <v>11.63</v>
    <v>11.66</v>
  </a>
  <a r="1" c="754">
    <v>0.77500000000000002</v>
    <v>0.78649999999999998</v>
    <v>0.68010000000000004</v>
    <v>0.65800000000000003</v>
    <v>0.60609999999999997</v>
    <v>0.6421</v>
    <v>0.72199999999999998</v>
    <v>0.80640000000000001</v>
    <v>0.97009999999999996</v>
    <v>0.87760000000000005</v>
    <v>0.78280000000000005</v>
    <v>0.78720000000000001</v>
    <v>0.85760000000000003</v>
    <v>0.71189999999999998</v>
    <v>0.72009999999999996</v>
    <v>0.72640000000000005</v>
    <v>0.82</v>
    <v>0.89429999999999998</v>
    <v>0.91349999999999998</v>
    <v>0.85899999999999999</v>
    <v>0.876</v>
    <v>0.83609999999999995</v>
    <v>0.78490000000000004</v>
    <v>0.86</v>
    <v>0.84340000000000004</v>
    <v>0.8276</v>
    <v>0.83679999999999999</v>
    <v>0.82</v>
    <v>0.94430000000000003</v>
    <v>1.01</v>
    <v>0.9708</v>
    <v>1.03</v>
    <v>0.995</v>
    <v>1.05</v>
    <v>1</v>
    <v>0.93</v>
    <v>0.96</v>
    <v>1.02</v>
    <v>0.98140000000000005</v>
    <v>0.97230000000000005</v>
    <v>1.02</v>
    <v>0.94</v>
    <v>0.95450000000000002</v>
    <v>0.92320000000000002</v>
    <v>0.96789999999999998</v>
    <v>0.97</v>
    <v>0.9325</v>
    <v>0.88009999999999999</v>
    <v>0.82210000000000005</v>
    <v>0.83989999999999998</v>
    <v>0.87619999999999998</v>
    <v>0.82130000000000003</v>
    <v>0.88</v>
    <v>0.84809999999999997</v>
    <v>0.84550000000000003</v>
    <v>0.78839999999999999</v>
    <v>0.76</v>
    <v>0.72240000000000004</v>
    <v>0.70830000000000004</v>
    <v>0.70630000000000004</v>
    <v>0.68500000000000005</v>
    <v>0.78310000000000002</v>
    <v>0.81059999999999999</v>
    <v>0.755</v>
    <v>0.71799999999999997</v>
    <v>0.82</v>
    <v>0.82</v>
    <v>0.88180000000000003</v>
    <v>0.84530000000000005</v>
    <v>0.92</v>
    <v>0.96899999999999997</v>
    <v>0.88290000000000002</v>
    <v>0.95699999999999996</v>
    <v>0.96</v>
    <v>0.93</v>
    <v>1.0900000000000001</v>
    <v>1.35</v>
    <v>1.44</v>
    <v>1.85</v>
    <v>1.98</v>
    <v>1.74</v>
    <v>2.0499999999999998</v>
    <v>1.82</v>
    <v>1.89</v>
    <v>1.79</v>
    <v>1.9</v>
    <v>1.88</v>
    <v>1.99</v>
    <v>1.85</v>
    <v>1.72</v>
    <v>1.43</v>
    <v>1.36</v>
    <v>1.6</v>
    <v>1.84</v>
    <v>1.87</v>
    <v>1.84</v>
    <v>2.21</v>
    <v>2.17</v>
    <v>2.06</v>
    <v>2.08</v>
    <v>2.35</v>
    <v>2.17</v>
    <v>2.0499999999999998</v>
    <v>1.9</v>
    <v>1.94</v>
    <v>2.08</v>
    <v>1.95</v>
    <v>2.1</v>
    <v>2.04</v>
    <v>1.99</v>
    <v>1.84</v>
    <v>1.97</v>
    <v>2</v>
    <v>1.88</v>
    <v>1.85</v>
    <v>1.87</v>
    <v>1.82</v>
    <v>1.71</v>
    <v>1.63</v>
    <v>1.58</v>
    <v>1.73</v>
    <v>1.67</v>
    <v>1.67</v>
    <v>1.59</v>
    <v>1.51</v>
    <v>1.55</v>
    <v>1.52</v>
    <v>1.48</v>
    <v>1.44</v>
    <v>1.44</v>
    <v>1.37</v>
    <v>1.41</v>
    <v>1.45</v>
    <v>1.4</v>
    <v>1.41</v>
    <v>1.38</v>
    <v>1.36</v>
    <v>1.31</v>
    <v>1.3</v>
    <v>1.37</v>
    <v>1.4</v>
    <v>1.33</v>
    <v>1.29</v>
    <v>1.3</v>
    <v>1.31</v>
    <v>1.24</v>
    <v>1.23</v>
    <v>1.17</v>
    <v>1.22</v>
    <v>1.4</v>
    <v>1.42</v>
    <v>1.37</v>
    <v>1.35</v>
    <v>1.32</v>
    <v>1.29</v>
    <v>1.28</v>
    <v>1.2</v>
    <v>1.1599999999999999</v>
    <v>1.2</v>
    <v>1.1599999999999999</v>
    <v>1.1599999999999999</v>
    <v>1.1000000000000001</v>
    <v>1.1399999999999999</v>
    <v>1.19</v>
    <v>1.1599999999999999</v>
    <v>1.1399999999999999</v>
    <v>1.1599999999999999</v>
    <v>1.1299999999999999</v>
    <v>1.0900000000000001</v>
    <v>1.06</v>
    <v>1.1499999999999999</v>
    <v>1.1399999999999999</v>
    <v>1.08</v>
    <v>1.1100000000000001</v>
    <v>1.1000000000000001</v>
    <v>1.1000000000000001</v>
    <v>1.24</v>
    <v>1.1200000000000001</v>
    <v>1.22</v>
    <v>1.18</v>
    <v>1.21</v>
    <v>1.33</v>
    <v>1.27</v>
    <v>1.1499999999999999</v>
    <v>1.07</v>
    <v>1.02</v>
    <v>1.01</v>
    <v>1.08</v>
    <v>0.98019999999999996</v>
    <v>1.03</v>
    <v>0.99009999999999998</v>
    <v>0.99</v>
    <v>0.95499999999999996</v>
    <v>1</v>
    <v>0.96550000000000002</v>
    <v>0.94110000000000005</v>
    <v>0.86060000000000003</v>
    <v>0.86970000000000003</v>
    <v>0.81</v>
    <v>0.8</v>
    <v>0.84209999999999996</v>
    <v>0.88119999999999998</v>
    <v>0.94799999999999995</v>
    <v>0.89880000000000004</v>
    <v>0.93910000000000005</v>
    <v>0.92989999999999995</v>
    <v>0.92659999999999998</v>
    <v>0.94910000000000005</v>
    <v>1.07</v>
    <v>1.07</v>
    <v>1.07</v>
    <v>1</v>
    <v>0.9909</v>
    <v>0.95169999999999999</v>
    <v>1</v>
    <v>1.01</v>
    <v>0.94140000000000001</v>
    <v>0.92879999999999996</v>
    <v>0.92190000000000005</v>
    <v>0.88</v>
    <v>0.84289999999999998</v>
    <v>0.93600000000000005</v>
    <v>0.99660000000000004</v>
    <v>1</v>
    <v>1.01</v>
    <v>0.98340000000000005</v>
    <v>0.99790000000000001</v>
    <v>0.96560000000000001</v>
    <v>0.96</v>
    <v>0.9274</v>
    <v>0.9</v>
    <v>0.94</v>
    <v>0.95209999999999995</v>
    <v>0.98009999999999997</v>
    <v>1.03</v>
    <v>0.9829</v>
    <v>0.92</v>
    <v>0.91820000000000002</v>
    <v>0.91949999999999998</v>
    <v>1</v>
    <v>0.96</v>
    <v>0.91620000000000001</v>
    <v>0.91239999999999999</v>
    <v>0.8931</v>
    <v>0.97</v>
    <v>1.01</v>
    <v>0.99750000000000005</v>
    <v>1.04</v>
    <v>1.04</v>
    <v>1.17</v>
    <v>1.21</v>
    <v>1.2</v>
    <v>1.19</v>
    <v>1.1399999999999999</v>
    <v>1.04</v>
    <v>1.2</v>
    <v>1.1399999999999999</v>
    <v>1.1299999999999999</v>
    <v>1.06</v>
    <v>1.04</v>
    <v>0.99850000000000005</v>
    <v>1.0900000000000001</v>
    <v>1.1299999999999999</v>
    <v>1.46</v>
    <v>1.6</v>
    <v>1.63</v>
    <v>1.54</v>
    <v>1.78</v>
    <v>1.87</v>
    <v>1.64</v>
    <v>1.44</v>
    <v>1.49</v>
    <v>1.67</v>
    <v>1.97</v>
    <v>2.93</v>
    <v>2.89</v>
    <v>2.7</v>
    <v>2.74</v>
    <v>3.02</v>
    <v>2.76</v>
    <v>2.99</v>
    <v>2.97</v>
    <v>3.77</v>
    <v>5.0599999999999996</v>
    <v>4.6500000000000004</v>
    <v>4.68</v>
    <v>4.12</v>
    <v>3.91</v>
    <v>5</v>
    <v>7.23</v>
    <v>8.4</v>
    <v>8.9600000000000009</v>
    <v>6.37</v>
    <v>6.44</v>
    <v>8.15</v>
    <v>7.95</v>
    <v>9.9</v>
    <v>9.91</v>
    <v>9.3000000000000007</v>
    <v>8.4</v>
    <v>9.61</v>
    <v>9.14</v>
    <v>10.210000000000001</v>
    <v>9.5500000000000007</v>
    <v>6.1</v>
    <v>5.77</v>
    <v>3.83</v>
    <v>4.7300000000000004</v>
    <v>5.79</v>
    <v>5.81</v>
    <v>5.27</v>
    <v>6.29</v>
    <v>6.25</v>
    <v>6.03</v>
    <v>6.09</v>
    <v>5.58</v>
    <v>5.74</v>
    <v>5.52</v>
    <v>5.64</v>
    <v>5.94</v>
    <v>5.76</v>
    <v>5.78</v>
    <v>6.26</v>
    <v>5.99</v>
    <v>5.81</v>
    <v>5.83</v>
    <v>5.33</v>
    <v>6.04</v>
    <v>6.5</v>
    <v>6.37</v>
    <v>6.04</v>
    <v>6.54</v>
    <v>7.39</v>
    <v>7.25</v>
    <v>6.41</v>
    <v>5.92</v>
    <v>6.14</v>
    <v>5.56</v>
    <v>5.48</v>
    <v>4.9000000000000004</v>
    <v>5.32</v>
    <v>5.6</v>
    <v>5.23</v>
    <v>5.18</v>
    <v>4.63</v>
    <v>5.38</v>
    <v>5.82</v>
    <v>6.91</v>
    <v>10.15</v>
    <v>11.18</v>
    <v>10.8</v>
    <v>10.6</v>
    <v>8.69</v>
    <v>8.36</v>
    <v>8.7200000000000006</v>
    <v>8.7799999999999994</v>
    <v>8.27</v>
    <v>8.06</v>
    <v>7.58</v>
    <v>7.6</v>
    <v>7.42</v>
    <v>7.34</v>
    <v>7.16</v>
    <v>6.34</v>
    <v>6.6</v>
    <v>6.22</v>
    <v>7.2</v>
    <v>7.2</v>
    <v>7.25</v>
    <v>7.02</v>
    <v>6.92</v>
    <v>6.44</v>
    <v>6.42</v>
    <v>6.24</v>
    <v>6.25</v>
    <v>7.13</v>
    <v>7.35</v>
    <v>7.53</v>
    <v>7.37</v>
    <v>7</v>
    <v>6.91</v>
    <v>6.98</v>
    <v>7.91</v>
    <v>7.28</v>
    <v>7.23</v>
    <v>6.89</v>
    <v>10.42</v>
    <v>11.09</v>
    <v>10.72</v>
    <v>10.73</v>
    <v>11.08</v>
    <v>11.03</v>
    <v>12.25</v>
    <v>13.15</v>
    <v>16.559999999999999</v>
    <v>15.36</v>
    <v>19.04</v>
    <v>18.8</v>
    <v>17.55</v>
    <v>17.55</v>
    <v>16.27</v>
    <v>16.329999999999998</v>
    <v>17.11</v>
    <v>17.68</v>
    <v>17.82</v>
    <v>16.47</v>
    <v>18.62</v>
    <v>17.95</v>
    <v>16.93</v>
    <v>16.53</v>
    <v>15.88</v>
    <v>15.17</v>
    <v>16</v>
    <v>15.55</v>
    <v>15.71</v>
    <v>15.65</v>
    <v>14.94</v>
    <v>14.97</v>
    <v>14.18</v>
    <v>14.06</v>
    <v>14.02</v>
    <v>14.64</v>
    <v>14.82</v>
    <v>15.98</v>
    <v>16.79</v>
    <v>16.760000000000002</v>
    <v>15.99</v>
    <v>16.39</v>
    <v>16.010000000000002</v>
    <v>14.81</v>
    <v>15.83</v>
    <v>16.149999999999999</v>
    <v>16.91</v>
    <v>19.239999999999998</v>
    <v>18.89</v>
    <v>18.39</v>
    <v>17.59</v>
    <v>20.3</v>
    <v>19.760000000000002</v>
    <v>18.87</v>
    <v>18.350000000000001</v>
    <v>17.670000000000002</v>
    <v>17.059999999999999</v>
    <v>17.190000000000001</v>
    <v>16.38</v>
    <v>17.18</v>
    <v>18.3</v>
    <v>17.579999999999998</v>
    <v>17.170000000000002</v>
    <v>16.899999999999999</v>
    <v>17.37</v>
    <v>18.510000000000002</v>
    <v>18.649999999999999</v>
    <v>18.18</v>
    <v>17.010000000000002</v>
    <v>16.559999999999999</v>
    <v>15.32</v>
    <v>15.06</v>
    <v>14.81</v>
    <v>15.54</v>
    <v>15.02</v>
    <v>15.45</v>
    <v>15.23</v>
    <v>15.92</v>
    <v>15.62</v>
    <v>15.85</v>
    <v>15.3</v>
    <v>15.29</v>
    <v>15.37</v>
    <v>15.42</v>
    <v>16.149999999999999</v>
    <v>16.04</v>
    <v>16.52</v>
    <v>17.760000000000002</v>
    <v>18.32</v>
    <v>18.98</v>
    <v>22.54</v>
    <v>24.02</v>
    <v>26.88</v>
    <v>25.67</v>
    <v>27.52</v>
    <v>27.72</v>
    <v>26.34</v>
    <v>26.76</v>
    <v>25.31</v>
    <v>24.71</v>
    <v>25.63</v>
    <v>29.21</v>
    <v>32.700000000000003</v>
    <v>35.020000000000003</v>
    <v>35.72</v>
    <v>34.25</v>
    <v>35.07</v>
    <v>33.020000000000003</v>
    <v>40.619999999999997</v>
    <v>43.06</v>
    <v>44.78</v>
    <v>40.46</v>
    <v>38.33</v>
    <v>34.4</v>
    <v>32.19</v>
    <v>27.29</v>
    <v>31.06</v>
    <v>32.65</v>
    <v>35.04</v>
    <v>32</v>
    <v>34.26</v>
    <v>36.11</v>
    <v>37.06</v>
    <v>33.090000000000003</v>
    <v>29.74</v>
    <v>31.02</v>
    <v>28.39</v>
    <v>29.5</v>
    <v>29.37</v>
    <v>28.99</v>
    <v>26.4</v>
    <v>23.39</v>
    <v>23.61</v>
    <v>22.83</v>
    <v>22.93</v>
    <v>23.44</v>
    <v>20.51</v>
    <v>20.41</v>
    <v>23.11</v>
    <v>22.59</v>
    <v>22.41</v>
    <v>22.67</v>
    <v>21.42</v>
    <v>22.5</v>
    <v>25.08</v>
    <v>28.73</v>
    <v>27</v>
    <v>28.44</v>
    <v>28.33</v>
    <v>26.8</v>
    <v>27.98</v>
    <v>26.1</v>
    <v>23.74</v>
    <v>25.52</v>
    <v>23.8</v>
    <v>24.89</v>
    <v>26.82</v>
    <v>32.19</v>
    <v>29.12</v>
    <v>27.52</v>
    <v>25.29</v>
    <v>26.15</v>
    <v>26.25</v>
    <v>26.15</v>
    <v>28.13</v>
    <v>30.64</v>
    <v>31.27</v>
    <v>30.2</v>
    <v>29.28</v>
    <v>28.11</v>
    <v>28.8</v>
    <v>28.82</v>
    <v>30.15</v>
    <v>28.72</v>
    <v>28.83</v>
    <v>27.04</v>
    <v>26.04</v>
    <v>27.43</v>
    <v>25.63</v>
    <v>23.75</v>
    <v>24.69</v>
    <v>24.97</v>
    <v>23.22</v>
    <v>21.22</v>
    <v>20.97</v>
    <v>21.4</v>
    <v>20.11</v>
    <v>17.21</v>
    <v>20.72</v>
    <v>21.21</v>
    <v>20.440000000000001</v>
    <v>19.64</v>
    <v>18.82</v>
    <v>19.670000000000002</v>
    <v>18.440000000000001</v>
    <v>19.07</v>
    <v>19.38</v>
    <v>18.059999999999999</v>
    <v>18.05</v>
    <v>18.66</v>
    <v>19.649999999999999</v>
    <v>20.14</v>
    <v>18.78</v>
    <v>18.940000000000001</v>
    <v>18.239999999999998</v>
    <v>18.91</v>
    <v>18.829999999999998</v>
    <v>18.59</v>
    <v>19.04</v>
    <v>18.760000000000002</v>
    <v>18.91</v>
    <v>17.829999999999998</v>
    <v>17.55</v>
    <v>17.46</v>
    <v>17.47</v>
    <v>16.489999999999998</v>
    <v>16.100000000000001</v>
    <v>15.73</v>
    <v>16.309999999999999</v>
    <v>15.93</v>
    <v>16.190000000000001</v>
    <v>14.65</v>
    <v>13.9</v>
    <v>12.98</v>
    <v>14.43</v>
    <v>13.7</v>
    <v>14.32</v>
    <v>14.14</v>
    <v>13.74</v>
    <v>14.57</v>
    <v>13.87</v>
    <v>14.25</v>
    <v>14.65</v>
    <v>16.97</v>
    <v>20.81</v>
    <v>21.52</v>
    <v>21.69</v>
    <v>21.66</v>
    <v>20.36</v>
    <v>21.24</v>
    <v>19.309999999999999</v>
    <v>18.489999999999998</v>
    <v>18.8</v>
    <v>18.11</v>
    <v>18.27</v>
    <v>20.28</v>
    <v>20.49</v>
    <v>20.92</v>
    <v>21.54</v>
    <v>23.83</v>
    <v>21.99</v>
    <v>22.57</v>
    <v>24.03</v>
    <v>22.35</v>
    <v>21.44</v>
    <v>22.13</v>
    <v>20.350000000000001</v>
    <v>19.059999999999999</v>
    <v>18.190000000000001</v>
    <v>19.3</v>
    <v>25.74</v>
    <v>29.4</v>
    <v>27.82</v>
    <v>27.48</v>
    <v>29.49</v>
    <v>30.14</v>
    <v>29.18</v>
    <v>29.91</v>
    <v>27.55</v>
    <v>27.64</v>
    <v>23.85</v>
    <v>25.83</v>
    <v>23.52</v>
    <v>23.25</v>
    <v>23.82</v>
    <v>23.37</v>
    <v>26.26</v>
    <v>23.94</v>
    <v>22.92</v>
    <v>24.69</v>
    <v>24.47</v>
    <v>25.03</v>
    <v>22.98</v>
    <v>21.91</v>
    <v>22.76</v>
    <v>23.83</v>
    <v>23.99</v>
    <v>23.5</v>
    <v>22.53</v>
    <v>22.56</v>
    <v>21.06</v>
    <v>20.64</v>
    <v>21.16</v>
    <v>20.09</v>
    <v>18.66</v>
    <v>18.95</v>
    <v>18.27</v>
    <v>16.920000000000002</v>
    <v>16.73</v>
    <v>16.72</v>
    <v>17.8</v>
    <v>17.350000000000001</v>
    <v>17.100000000000001</v>
    <v>16.21</v>
    <v>19.510000000000002</v>
    <v>17.635000000000002</v>
    <v>16.18</v>
    <v>17.98</v>
    <v>18.079999999999998</v>
    <v>19.98</v>
    <v>21.83</v>
    <v>21.39</v>
    <v>19.405000000000001</v>
    <v>20.76</v>
    <v>20.190000000000001</v>
    <v>20.23</v>
    <v>20.74</v>
    <v>20.9</v>
    <v>21.17</v>
    <v>20.87</v>
    <v>19.53</v>
    <v>19.32</v>
    <v>18.8</v>
    <v>20.39</v>
    <v>18.68</v>
    <v>19.350000000000001</v>
    <v>17.510000000000002</v>
    <v>17.899999999999999</v>
    <v>16.989999999999998</v>
    <v>17.2</v>
    <v>16.54</v>
    <v>16.489999999999998</v>
    <v>16.82</v>
    <v>16.579999999999998</v>
    <v>17.670000000000002</v>
    <v>17.12</v>
    <v>16.66</v>
    <v>16.8</v>
    <v>16.829999999999998</v>
    <v>16.41</v>
    <v>16.27</v>
    <v>17.690000000000001</v>
    <v>17.11</v>
    <v>17.7</v>
    <v>17.559999999999999</v>
    <v>16.809999999999999</v>
    <v>17.48</v>
    <v>17.41</v>
    <v>16.78</v>
    <v>16.43</v>
    <v>16.57</v>
    <v>16.559999999999999</v>
    <v>15.77</v>
    <v>15.64</v>
    <v>15.79</v>
    <v>15.22</v>
    <v>14.6</v>
    <v>14.57</v>
    <v>13.74</v>
    <v>13.38</v>
    <v>12.03</v>
    <v>12.815</v>
    <v>11.78</v>
    <v>11.83</v>
    <v>11.78</v>
    <v>12.1</v>
    <v>11.63</v>
    <v>11.66</v>
  </a>
  <a r="1" c="205">
    <v>12.67</v>
    <v>14.16</v>
    <v>14.79</v>
    <v>14.98</v>
    <v>15.27</v>
    <v>15.13</v>
    <v>15.32</v>
    <v>16.45</v>
    <v>16.75</v>
    <v>17.309999999999999</v>
    <v>16.57</v>
    <v>19.239999999999998</v>
    <v>18.100000000000001</v>
    <v>17.25</v>
    <v>17.079999999999998</v>
    <v>17.28</v>
    <v>16.23</v>
    <v>17.55</v>
    <v>17.55</v>
    <v>16.97</v>
    <v>15.47</v>
    <v>15.32</v>
    <v>15.34</v>
    <v>14.14</v>
    <v>12.06</v>
    <v>14.45</v>
    <v>14.97</v>
    <v>14.83</v>
    <v>14.8</v>
    <v>14.2</v>
    <v>15.22</v>
    <v>14.65</v>
    <v>15.49</v>
    <v>16.22</v>
    <v>15.68</v>
    <v>15.65</v>
    <v>16.5</v>
    <v>17.079999999999998</v>
    <v>17.09</v>
    <v>16.29</v>
    <v>16.43</v>
    <v>15.29</v>
    <v>16.53</v>
    <v>15.6</v>
    <v>14.164999999999999</v>
    <v>14.7</v>
    <v>14.64</v>
    <v>14.81</v>
    <v>14.5</v>
    <v>14.04</v>
    <v>14.4</v>
    <v>14.68</v>
    <v>14.1</v>
    <v>14.14</v>
    <v>13.38</v>
    <v>14.37</v>
    <v>14.33</v>
    <v>15.16</v>
    <v>14.005000000000001</v>
    <v>12.8</v>
    <v>11.83</v>
    <v>12.36</v>
    <v>12.55</v>
    <v>12.86</v>
    <v>13.52</v>
    <v>14.19</v>
    <v>16.11</v>
    <v>16.690000000000001</v>
    <v>16.600000000000001</v>
    <v>17.37</v>
    <v>18.12</v>
    <v>17.420000000000002</v>
    <v>16.920000000000002</v>
    <v>18.11</v>
    <v>18.11</v>
    <v>17.41</v>
    <v>18.48</v>
    <v>18.21</v>
    <v>18.61</v>
    <v>18.28</v>
    <v>16.57</v>
    <v>15.98</v>
    <v>17.239999999999998</v>
    <v>18.5</v>
    <v>18.68</v>
    <v>20.350000000000001</v>
    <v>23.7</v>
    <v>24.11</v>
    <v>24.08</v>
    <v>25.34</v>
    <v>24.51</v>
    <v>24.92</v>
    <v>24.62</v>
    <v>23.49</v>
    <v>23.18</v>
    <v>22.645</v>
    <v>23.67</v>
    <v>24.47</v>
    <v>24.49</v>
    <v>26.08</v>
    <v>26.94</v>
    <v>27.74</v>
    <v>27.11</v>
    <v>28.25</v>
    <v>27.32</v>
    <v>27.65</v>
    <v>27.47</v>
    <v>24.66</v>
    <v>25.69</v>
    <v>25.295000000000002</v>
    <v>24.08</v>
    <v>26.14</v>
    <v>26.61</v>
    <v>27.38</v>
    <v>27.42</v>
    <v>27.43</v>
    <v>28.1</v>
    <v>28.63</v>
    <v>28.69</v>
    <v>27.42</v>
    <v>27.76</v>
    <v>28.57</v>
    <v>27.75</v>
    <v>27.38</v>
    <v>23.96</v>
    <v>22.11</v>
    <v>22.87</v>
    <v>21.17</v>
    <v>21.09</v>
    <v>21.51</v>
    <v>20.965</v>
    <v>20.190000000000001</v>
    <v>20.190000000000001</v>
    <v>20.100000000000001</v>
    <v>18.82</v>
    <v>18.260000000000002</v>
    <v>19.899999999999999</v>
    <v>21.49</v>
    <v>23.38</v>
    <v>23.86</v>
    <v>22.53</v>
    <v>21.97</v>
    <v>21.24</v>
    <v>18.239999999999998</v>
    <v>22.12</v>
    <v>20.170000000000002</v>
    <v>21.42</v>
    <v>21.56</v>
    <v>21.5</v>
    <v>21.21</v>
    <v>20.52</v>
    <v>19.399999999999999</v>
    <v>20.239999999999998</v>
    <v>20.32</v>
    <v>19.21</v>
    <v>19.015000000000001</v>
    <v>20.04</v>
    <v>18.91</v>
    <v>19.38</v>
    <v>20.98</v>
    <v>19.829999999999998</v>
    <v>20</v>
    <v>21.3</v>
    <v>20.61</v>
    <v>20.88</v>
    <v>18.989999999999998</v>
    <v>18.995000000000001</v>
    <v>17.79</v>
    <v>18.635000000000002</v>
    <v>21.14</v>
    <v>21.8</v>
    <v>22.26</v>
    <v>22.07</v>
    <v>20.95</v>
    <v>21.47</v>
    <v>20.95</v>
    <v>19.7</v>
    <v>20.350000000000001</v>
    <v>21.88</v>
    <v>23.75</v>
    <v>24.18</v>
    <v>24.93</v>
    <v>24.69</v>
    <v>23.48</v>
    <v>23</v>
    <v>21.62</v>
    <v>21.39</v>
    <v>20.149999999999999</v>
    <v>19.61</v>
    <v>19.73</v>
    <v>19.32</v>
    <v>18.93</v>
    <v>18.54</v>
    <v>16.84</v>
    <v>16.885000000000002</v>
    <v>16.47</v>
    <v>16.670000000000002</v>
    <v>15.1</v>
    <v>15.5</v>
    <v>13.72</v>
    <v>13.97</v>
    <v>13.77</v>
    <v>14.02</v>
    <v>12.89</v>
    <v>12.53</v>
  </a>
  <a r="1" c="754">
    <v>9.67</v>
    <v>10.67</v>
    <v>10.56</v>
    <v>9.7899999999999991</v>
    <v>9.5399999999999991</v>
    <v>9.61</v>
    <v>9.7799999999999994</v>
    <v>10.210000000000001</v>
    <v>11.3</v>
    <v>11.39</v>
    <v>11.01</v>
    <v>11.07</v>
    <v>10.28</v>
    <v>10.210000000000001</v>
    <v>10.36</v>
    <v>9.7899999999999991</v>
    <v>9.73</v>
    <v>10.68</v>
    <v>10.16</v>
    <v>10.48</v>
    <v>11.32</v>
    <v>11.17</v>
    <v>11.6</v>
    <v>12.02</v>
    <v>11.82</v>
    <v>12.86</v>
    <v>13</v>
    <v>12.55</v>
    <v>13.77</v>
    <v>15</v>
    <v>15.14</v>
    <v>14.76</v>
    <v>14.88</v>
    <v>15.83</v>
    <v>14.02</v>
    <v>14.065</v>
    <v>15.24</v>
    <v>15.75</v>
    <v>15.63</v>
    <v>16.399999999999999</v>
    <v>16.68</v>
    <v>16.45</v>
    <v>16.75</v>
    <v>17.78</v>
    <v>17.350000000000001</v>
    <v>18.62</v>
    <v>17.600000000000001</v>
    <v>15.47</v>
    <v>15.41</v>
    <v>15.04</v>
    <v>15.86</v>
    <v>14.83</v>
    <v>16.010000000000002</v>
    <v>15.74</v>
    <v>15.55</v>
    <v>13.09</v>
    <v>11.73</v>
    <v>11.29</v>
    <v>10.87</v>
    <v>10.33</v>
    <v>10.29</v>
    <v>10.6</v>
    <v>10.38</v>
    <v>10.07</v>
    <v>10.63</v>
    <v>11.35</v>
    <v>11.55</v>
    <v>11.34</v>
    <v>10.9</v>
    <v>11.3</v>
    <v>11.21</v>
    <v>10.34</v>
    <v>10.81</v>
    <v>11.32</v>
    <v>13.05</v>
    <v>14.55</v>
    <v>15.92</v>
    <v>15.44</v>
    <v>17.62</v>
    <v>16.53</v>
    <v>16.45</v>
    <v>16.04</v>
    <v>15.1</v>
    <v>15.73</v>
    <v>14.85</v>
    <v>17.37</v>
    <v>16.8</v>
    <v>15.65</v>
    <v>14.12</v>
    <v>14.44</v>
    <v>13.48</v>
    <v>12.25</v>
    <v>12.12</v>
    <v>11.97</v>
    <v>12.35</v>
    <v>11.78</v>
    <v>11.62</v>
    <v>11.73</v>
    <v>10.93</v>
    <v>11.6</v>
    <v>11.43</v>
    <v>11.09</v>
    <v>12.4</v>
    <v>11.98</v>
    <v>11.4</v>
    <v>12.44</v>
    <v>12.05</v>
    <v>12.24</v>
    <v>12.24</v>
    <v>11.47</v>
    <v>10.61</v>
    <v>10.29</v>
    <v>10.19</v>
    <v>10.199999999999999</v>
    <v>10.050000000000001</v>
    <v>10</v>
    <v>9.8699999999999992</v>
    <v>9.75</v>
    <v>9.1</v>
    <v>8.57</v>
    <v>8.06</v>
    <v>7.97</v>
    <v>8.2899999999999991</v>
    <v>9.1300000000000008</v>
    <v>11.24</v>
    <v>11.85</v>
    <v>11.88</v>
    <v>12.11</v>
    <v>11.93</v>
    <v>11.08</v>
    <v>10.11</v>
    <v>9.82</v>
    <v>10.3</v>
    <v>10.42</v>
    <v>10.77</v>
    <v>10.17</v>
    <v>10.35</v>
    <v>10.28</v>
    <v>9.1999999999999993</v>
    <v>9.5</v>
    <v>9.7799999999999994</v>
    <v>10.38</v>
    <v>10</v>
    <v>10.06</v>
    <v>10.96</v>
    <v>10.61</v>
    <v>10.79</v>
    <v>9.9700000000000006</v>
    <v>10.37</v>
    <v>10.34</v>
    <v>10</v>
    <v>10.050000000000001</v>
    <v>9.74</v>
    <v>9.65</v>
    <v>9.67</v>
    <v>9.65</v>
    <v>10.16</v>
    <v>9.7200000000000006</v>
    <v>9.8949999999999996</v>
    <v>9.99</v>
    <v>10.64</v>
    <v>10.98</v>
    <v>10.53</v>
    <v>10.91</v>
    <v>10.66</v>
    <v>10.42</v>
    <v>9.5500000000000007</v>
    <v>9.2100000000000009</v>
    <v>9.1999999999999993</v>
    <v>9.0299999999999994</v>
    <v>9.1199999999999992</v>
    <v>9.14</v>
    <v>9.9499999999999993</v>
    <v>9.7200000000000006</v>
    <v>9.57</v>
    <v>9.64</v>
    <v>9.4</v>
    <v>9.14</v>
    <v>9.16</v>
    <v>9.31</v>
    <v>9.8049999999999997</v>
    <v>11.48</v>
    <v>12.7</v>
    <v>12.42</v>
    <v>10.95</v>
    <v>12.03</v>
    <v>12.24</v>
    <v>11.59</v>
    <v>11.32</v>
    <v>10.73</v>
    <v>11.2</v>
    <v>10.63</v>
    <v>10.37</v>
    <v>10.19</v>
    <v>9.32</v>
    <v>8.57</v>
    <v>8.31</v>
    <v>8.41</v>
    <v>7.64</v>
    <v>8.2899999999999991</v>
    <v>8.06</v>
    <v>7.61</v>
    <v>7.84</v>
    <v>7.65</v>
    <v>7.68</v>
    <v>7.99</v>
    <v>8.0500000000000007</v>
    <v>8.0399999999999991</v>
    <v>8.35</v>
    <v>8.0500000000000007</v>
    <v>8.5</v>
    <v>8.36</v>
    <v>7.9</v>
    <v>7.64</v>
    <v>7.68</v>
    <v>7.53</v>
    <v>6.78</v>
    <v>6.85</v>
    <v>6.69</v>
    <v>6.38</v>
    <v>6.81</v>
    <v>7.24</v>
    <v>7.09</v>
    <v>7.03</v>
    <v>7.2</v>
    <v>6.96</v>
    <v>7.1</v>
    <v>7.17</v>
    <v>7.22</v>
    <v>7.19</v>
    <v>7.33</v>
    <v>7.53</v>
    <v>7.44</v>
    <v>7.77</v>
    <v>7.84</v>
    <v>7.42</v>
    <v>7.08</v>
    <v>7.25</v>
    <v>7.43</v>
    <v>7.85</v>
    <v>8.16</v>
    <v>8.16</v>
    <v>7.82</v>
    <v>7.74</v>
    <v>8.41</v>
    <v>8.74</v>
    <v>8.77</v>
    <v>9.08</v>
    <v>9.1999999999999993</v>
    <v>9.86</v>
    <v>9.74</v>
    <v>9.92</v>
    <v>9.77</v>
    <v>10.19</v>
    <v>9.64</v>
    <v>10.56</v>
    <v>10.87</v>
    <v>10.48</v>
    <v>9.24</v>
    <v>9.44</v>
    <v>8.98</v>
    <v>9.7100000000000009</v>
    <v>12.25</v>
    <v>12.39</v>
    <v>12.81</v>
    <v>14.97</v>
    <v>14.45</v>
    <v>12.67</v>
    <v>11.865</v>
    <v>12.37</v>
    <v>12.16</v>
    <v>12.27</v>
    <v>12.15</v>
    <v>11.76</v>
    <v>12.31</v>
    <v>12.06</v>
    <v>11.17</v>
    <v>12.37</v>
    <v>12.65</v>
    <v>12.1</v>
    <v>12.14</v>
    <v>12.95</v>
    <v>12.32</v>
    <v>12.95</v>
    <v>11.21</v>
    <v>11.1</v>
    <v>11.77</v>
    <v>12.33</v>
    <v>12.99</v>
    <v>14.03</v>
    <v>13.97</v>
    <v>11.95</v>
    <v>11.19</v>
    <v>11.55</v>
    <v>10.8</v>
    <v>11.67</v>
    <v>11.55</v>
    <v>10.99</v>
    <v>10.5</v>
    <v>10.210000000000001</v>
    <v>10.46</v>
    <v>12.34</v>
    <v>12.89</v>
    <v>12.41</v>
    <v>12.02</v>
    <v>12</v>
    <v>11.77</v>
    <v>12.24</v>
    <v>13.46</v>
    <v>13.29</v>
    <v>13.39</v>
    <v>12.74</v>
    <v>13.14</v>
    <v>12.99</v>
    <v>13.54</v>
    <v>11.45</v>
    <v>10.95</v>
    <v>11.22</v>
    <v>11.9</v>
    <v>11.88</v>
    <v>11.99</v>
    <v>12.29</v>
    <v>11.74</v>
    <v>11.61</v>
    <v>11.64</v>
    <v>11.63</v>
    <v>11.14</v>
    <v>11.16</v>
    <v>12.23</v>
    <v>12.27</v>
    <v>11.56</v>
    <v>11.56</v>
    <v>11.6</v>
    <v>10.46</v>
    <v>9.99</v>
    <v>9.32</v>
    <v>8.94</v>
    <v>8.66</v>
    <v>9.2799999999999994</v>
    <v>8.86</v>
    <v>8.41</v>
    <v>8.8800000000000008</v>
    <v>8.1150000000000002</v>
    <v>8.3699999999999992</v>
    <v>7.56</v>
    <v>7.72</v>
    <v>7.85</v>
    <v>7.31</v>
    <v>7.82</v>
    <v>7.76</v>
    <v>7.4</v>
    <v>7.78</v>
    <v>7.76</v>
    <v>7.95</v>
    <v>8.7200000000000006</v>
    <v>8.51</v>
    <v>7.9</v>
    <v>7.77</v>
    <v>7.41</v>
    <v>7.12</v>
    <v>7.54</v>
    <v>8.02</v>
    <v>7.3</v>
    <v>7.14</v>
    <v>7.11</v>
    <v>6.54</v>
    <v>7.375</v>
    <v>6.79</v>
    <v>7.06</v>
    <v>7.01</v>
    <v>6.55</v>
    <v>6.36</v>
    <v>6.46</v>
    <v>6.29</v>
    <v>7.12</v>
    <v>7.5</v>
    <v>7.79</v>
    <v>7.77</v>
    <v>7.63</v>
    <v>7.42</v>
    <v>7.24</v>
    <v>7.77</v>
    <v>8.39</v>
    <v>7.9</v>
    <v>7.86</v>
    <v>7.84</v>
    <v>8.44</v>
    <v>8.48</v>
    <v>8.6999999999999993</v>
    <v>9.06</v>
    <v>8.91</v>
    <v>8.6999999999999993</v>
    <v>9.15</v>
    <v>8.9700000000000006</v>
    <v>8.93</v>
    <v>8.84</v>
    <v>8.94</v>
    <v>8.5500000000000007</v>
    <v>9.14</v>
    <v>8.3800000000000008</v>
    <v>8.18</v>
    <v>8.07</v>
    <v>8.48</v>
    <v>9.0299999999999994</v>
    <v>9.5</v>
    <v>8.99</v>
    <v>9.85</v>
    <v>10.119999999999999</v>
    <v>10.45</v>
    <v>10.55</v>
    <v>10.210000000000001</v>
    <v>9.7200000000000006</v>
    <v>10.17</v>
    <v>9.66</v>
    <v>9.94</v>
    <v>9.56</v>
    <v>9.27</v>
    <v>10.02</v>
    <v>10</v>
    <v>10.51</v>
    <v>10.55</v>
    <v>11.3</v>
    <v>11.27</v>
    <v>12.2</v>
    <v>12.17</v>
    <v>11.55</v>
    <v>11.57</v>
    <v>12.24</v>
    <v>12.59</v>
    <v>12.42</v>
    <v>12.51</v>
    <v>12.1</v>
    <v>12.57</v>
    <v>13.33</v>
    <v>13.86</v>
    <v>14.02</v>
    <v>14.27</v>
    <v>14.34</v>
    <v>14.69</v>
    <v>14.54</v>
    <v>14.51</v>
    <v>13.6</v>
    <v>13.52</v>
    <v>13.41</v>
    <v>11.03</v>
    <v>11.42</v>
    <v>11.13</v>
    <v>11.66</v>
    <v>11.58</v>
    <v>11.08</v>
    <v>11.11</v>
    <v>11.44</v>
    <v>11.59</v>
    <v>12.25</v>
    <v>11.33</v>
    <v>12.32</v>
    <v>11.96</v>
    <v>12.52</v>
    <v>12.27</v>
    <v>13.22</v>
    <v>13.28</v>
    <v>13.69</v>
    <v>13.55</v>
    <v>13.8</v>
    <v>13.76</v>
    <v>14.09</v>
    <v>13.45</v>
    <v>13.16</v>
    <v>13.29</v>
    <v>13.44</v>
    <v>15.21</v>
    <v>16.399999999999999</v>
    <v>15.65</v>
    <v>15.89</v>
    <v>16.68</v>
    <v>17.52</v>
    <v>17.62</v>
    <v>17.510000000000002</v>
    <v>17.46</v>
    <v>17.5</v>
    <v>17.07</v>
    <v>17.989999999999998</v>
    <v>16.739999999999998</v>
    <v>17.690000000000001</v>
    <v>19.78</v>
    <v>19.03</v>
    <v>18.93</v>
    <v>19.25</v>
    <v>19.440000000000001</v>
    <v>21.56</v>
    <v>21.47</v>
    <v>21.99</v>
    <v>22.28</v>
    <v>21.01</v>
    <v>21.7</v>
    <v>22.19</v>
    <v>22.13</v>
    <v>19.55</v>
    <v>20.03</v>
    <v>22.01</v>
    <v>20.67</v>
    <v>18.989999999999998</v>
    <v>20.49</v>
    <v>21.42</v>
    <v>23</v>
    <v>21.555</v>
    <v>22.17</v>
    <v>21.09</v>
    <v>19.78</v>
    <v>20.72</v>
    <v>19.274999999999999</v>
    <v>18.97</v>
    <v>17.34</v>
    <v>17.010000000000002</v>
    <v>17.32</v>
    <v>16.14</v>
    <v>15.46</v>
    <v>13.88</v>
    <v>13.95</v>
    <v>13.88</v>
    <v>13.94</v>
    <v>13.35</v>
    <v>12.78</v>
    <v>12.71</v>
    <v>13.88</v>
    <v>14.39</v>
    <v>14.96</v>
    <v>16.13</v>
    <v>15.48</v>
    <v>15.22</v>
    <v>15.64</v>
    <v>15.59</v>
    <v>14.94</v>
    <v>14.96</v>
    <v>15.51</v>
    <v>15.57</v>
    <v>15.75</v>
    <v>15.3</v>
    <v>13.71</v>
    <v>13.47</v>
    <v>12.96</v>
    <v>13.38</v>
    <v>14.5</v>
    <v>14.4</v>
    <v>13.67</v>
    <v>13.92</v>
    <v>13.44</v>
    <v>13.21</v>
    <v>12.7</v>
    <v>12.67</v>
    <v>14.16</v>
    <v>14.79</v>
    <v>14.98</v>
    <v>15.27</v>
    <v>15.13</v>
    <v>15.32</v>
    <v>16.45</v>
    <v>16.75</v>
    <v>17.309999999999999</v>
    <v>16.57</v>
    <v>19.239999999999998</v>
    <v>18.100000000000001</v>
    <v>17.25</v>
    <v>17.079999999999998</v>
    <v>17.28</v>
    <v>16.23</v>
    <v>17.55</v>
    <v>17.55</v>
    <v>16.97</v>
    <v>15.47</v>
    <v>15.32</v>
    <v>15.34</v>
    <v>14.14</v>
    <v>12.06</v>
    <v>14.45</v>
    <v>14.97</v>
    <v>14.83</v>
    <v>14.8</v>
    <v>14.2</v>
    <v>15.22</v>
    <v>14.65</v>
    <v>15.49</v>
    <v>16.22</v>
    <v>15.68</v>
    <v>15.65</v>
    <v>16.5</v>
    <v>17.079999999999998</v>
    <v>17.09</v>
    <v>16.29</v>
    <v>16.43</v>
    <v>15.29</v>
    <v>16.53</v>
    <v>15.6</v>
    <v>14.164999999999999</v>
    <v>14.7</v>
    <v>14.64</v>
    <v>14.81</v>
    <v>14.5</v>
    <v>14.04</v>
    <v>14.4</v>
    <v>14.68</v>
    <v>14.1</v>
    <v>14.14</v>
    <v>13.38</v>
    <v>14.37</v>
    <v>14.33</v>
    <v>15.16</v>
    <v>14.005000000000001</v>
    <v>12.8</v>
    <v>11.83</v>
    <v>12.36</v>
    <v>12.55</v>
    <v>12.86</v>
    <v>13.52</v>
    <v>14.19</v>
    <v>16.11</v>
    <v>16.690000000000001</v>
    <v>16.600000000000001</v>
    <v>17.37</v>
    <v>18.12</v>
    <v>17.420000000000002</v>
    <v>16.920000000000002</v>
    <v>18.11</v>
    <v>18.11</v>
    <v>17.41</v>
    <v>18.48</v>
    <v>18.21</v>
    <v>18.61</v>
    <v>18.28</v>
    <v>16.57</v>
    <v>15.98</v>
    <v>17.239999999999998</v>
    <v>18.5</v>
    <v>18.68</v>
    <v>20.350000000000001</v>
    <v>23.7</v>
    <v>24.11</v>
    <v>24.08</v>
    <v>25.34</v>
    <v>24.51</v>
    <v>24.92</v>
    <v>24.62</v>
    <v>23.49</v>
    <v>23.18</v>
    <v>22.645</v>
    <v>23.67</v>
    <v>24.47</v>
    <v>24.49</v>
    <v>26.08</v>
    <v>26.94</v>
    <v>27.74</v>
    <v>27.11</v>
    <v>28.25</v>
    <v>27.32</v>
    <v>27.65</v>
    <v>27.47</v>
    <v>24.66</v>
    <v>25.69</v>
    <v>25.295000000000002</v>
    <v>24.08</v>
    <v>26.14</v>
    <v>26.61</v>
    <v>27.38</v>
    <v>27.42</v>
    <v>27.43</v>
    <v>28.1</v>
    <v>28.63</v>
    <v>28.69</v>
    <v>27.42</v>
    <v>27.76</v>
    <v>28.57</v>
    <v>27.75</v>
    <v>27.38</v>
    <v>23.96</v>
    <v>22.11</v>
    <v>22.87</v>
    <v>21.17</v>
    <v>21.09</v>
    <v>21.51</v>
    <v>20.965</v>
    <v>20.190000000000001</v>
    <v>20.190000000000001</v>
    <v>20.100000000000001</v>
    <v>18.82</v>
    <v>18.260000000000002</v>
    <v>19.899999999999999</v>
    <v>21.49</v>
    <v>23.38</v>
    <v>23.86</v>
    <v>22.53</v>
    <v>21.97</v>
    <v>21.24</v>
    <v>18.239999999999998</v>
    <v>22.12</v>
    <v>20.170000000000002</v>
    <v>21.42</v>
    <v>21.56</v>
    <v>21.5</v>
    <v>21.21</v>
    <v>20.52</v>
    <v>19.399999999999999</v>
    <v>20.239999999999998</v>
    <v>20.32</v>
    <v>19.21</v>
    <v>19.015000000000001</v>
    <v>20.04</v>
    <v>18.91</v>
    <v>19.38</v>
    <v>20.98</v>
    <v>19.829999999999998</v>
    <v>20</v>
    <v>21.3</v>
    <v>20.61</v>
    <v>20.88</v>
    <v>18.989999999999998</v>
    <v>18.995000000000001</v>
    <v>17.79</v>
    <v>18.635000000000002</v>
    <v>21.14</v>
    <v>21.8</v>
    <v>22.26</v>
    <v>22.07</v>
    <v>20.95</v>
    <v>21.47</v>
    <v>20.95</v>
    <v>19.7</v>
    <v>20.350000000000001</v>
    <v>21.88</v>
    <v>23.75</v>
    <v>24.18</v>
    <v>24.93</v>
    <v>24.69</v>
    <v>23.48</v>
    <v>23</v>
    <v>21.62</v>
    <v>21.39</v>
    <v>20.149999999999999</v>
    <v>19.61</v>
    <v>19.73</v>
    <v>19.32</v>
    <v>18.93</v>
    <v>18.54</v>
    <v>16.84</v>
    <v>16.885000000000002</v>
    <v>16.47</v>
    <v>16.670000000000002</v>
    <v>15.1</v>
    <v>15.5</v>
    <v>13.72</v>
    <v>13.97</v>
    <v>13.77</v>
    <v>14.02</v>
    <v>12.89</v>
    <v>12.53</v>
  </a>
  <a r="1" c="252">
    <v>20.49</v>
    <v>21.42</v>
    <v>23</v>
    <v>21.555</v>
    <v>22.17</v>
    <v>21.09</v>
    <v>19.78</v>
    <v>20.72</v>
    <v>19.274999999999999</v>
    <v>18.97</v>
    <v>17.34</v>
    <v>17.010000000000002</v>
    <v>17.32</v>
    <v>16.14</v>
    <v>15.46</v>
    <v>13.88</v>
    <v>13.95</v>
    <v>13.88</v>
    <v>13.94</v>
    <v>13.35</v>
    <v>12.78</v>
    <v>12.71</v>
    <v>13.88</v>
    <v>14.39</v>
    <v>14.96</v>
    <v>16.13</v>
    <v>15.48</v>
    <v>15.22</v>
    <v>15.64</v>
    <v>15.59</v>
    <v>14.94</v>
    <v>14.96</v>
    <v>15.51</v>
    <v>15.57</v>
    <v>15.75</v>
    <v>15.3</v>
    <v>13.71</v>
    <v>13.47</v>
    <v>12.96</v>
    <v>13.38</v>
    <v>14.5</v>
    <v>14.4</v>
    <v>13.67</v>
    <v>13.92</v>
    <v>13.44</v>
    <v>13.21</v>
    <v>12.7</v>
    <v>12.67</v>
    <v>14.16</v>
    <v>14.79</v>
    <v>14.98</v>
    <v>15.27</v>
    <v>15.13</v>
    <v>15.32</v>
    <v>16.45</v>
    <v>16.75</v>
    <v>17.309999999999999</v>
    <v>16.57</v>
    <v>19.239999999999998</v>
    <v>18.100000000000001</v>
    <v>17.25</v>
    <v>17.079999999999998</v>
    <v>17.28</v>
    <v>16.23</v>
    <v>17.55</v>
    <v>17.55</v>
    <v>16.97</v>
    <v>15.47</v>
    <v>15.32</v>
    <v>15.34</v>
    <v>14.14</v>
    <v>12.06</v>
    <v>14.45</v>
    <v>14.97</v>
    <v>14.83</v>
    <v>14.8</v>
    <v>14.2</v>
    <v>15.22</v>
    <v>14.65</v>
    <v>15.49</v>
    <v>16.22</v>
    <v>15.68</v>
    <v>15.65</v>
    <v>16.5</v>
    <v>17.079999999999998</v>
    <v>17.09</v>
    <v>16.29</v>
    <v>16.43</v>
    <v>15.29</v>
    <v>16.53</v>
    <v>15.6</v>
    <v>14.164999999999999</v>
    <v>14.7</v>
    <v>14.64</v>
    <v>14.81</v>
    <v>14.5</v>
    <v>14.04</v>
    <v>14.4</v>
    <v>14.68</v>
    <v>14.1</v>
    <v>14.14</v>
    <v>13.38</v>
    <v>14.37</v>
    <v>14.33</v>
    <v>15.16</v>
    <v>14.005000000000001</v>
    <v>12.8</v>
    <v>11.83</v>
    <v>12.36</v>
    <v>12.55</v>
    <v>12.86</v>
    <v>13.52</v>
    <v>14.19</v>
    <v>16.11</v>
    <v>16.690000000000001</v>
    <v>16.600000000000001</v>
    <v>17.37</v>
    <v>18.12</v>
    <v>17.420000000000002</v>
    <v>16.920000000000002</v>
    <v>18.11</v>
    <v>18.11</v>
    <v>17.41</v>
    <v>18.48</v>
    <v>18.21</v>
    <v>18.61</v>
    <v>18.28</v>
    <v>16.57</v>
    <v>15.98</v>
    <v>17.239999999999998</v>
    <v>18.5</v>
    <v>18.68</v>
    <v>20.350000000000001</v>
    <v>23.7</v>
    <v>24.11</v>
    <v>24.08</v>
    <v>25.34</v>
    <v>24.51</v>
    <v>24.92</v>
    <v>24.62</v>
    <v>23.49</v>
    <v>23.18</v>
    <v>22.645</v>
    <v>23.67</v>
    <v>24.47</v>
    <v>24.49</v>
    <v>26.08</v>
    <v>26.94</v>
    <v>27.74</v>
    <v>27.11</v>
    <v>28.25</v>
    <v>27.32</v>
    <v>27.65</v>
    <v>27.47</v>
    <v>24.66</v>
    <v>25.69</v>
    <v>25.295000000000002</v>
    <v>24.08</v>
    <v>26.14</v>
    <v>26.61</v>
    <v>27.38</v>
    <v>27.42</v>
    <v>27.43</v>
    <v>28.1</v>
    <v>28.63</v>
    <v>28.69</v>
    <v>27.42</v>
    <v>27.76</v>
    <v>28.57</v>
    <v>27.75</v>
    <v>27.38</v>
    <v>23.96</v>
    <v>22.11</v>
    <v>22.87</v>
    <v>21.17</v>
    <v>21.09</v>
    <v>21.51</v>
    <v>20.965</v>
    <v>20.190000000000001</v>
    <v>20.190000000000001</v>
    <v>20.100000000000001</v>
    <v>18.82</v>
    <v>18.260000000000002</v>
    <v>19.899999999999999</v>
    <v>21.49</v>
    <v>23.38</v>
    <v>23.86</v>
    <v>22.53</v>
    <v>21.97</v>
    <v>21.24</v>
    <v>18.239999999999998</v>
    <v>22.12</v>
    <v>20.170000000000002</v>
    <v>21.42</v>
    <v>21.56</v>
    <v>21.5</v>
    <v>21.21</v>
    <v>20.52</v>
    <v>19.399999999999999</v>
    <v>20.239999999999998</v>
    <v>20.32</v>
    <v>19.21</v>
    <v>19.015000000000001</v>
    <v>20.04</v>
    <v>18.91</v>
    <v>19.38</v>
    <v>20.98</v>
    <v>19.829999999999998</v>
    <v>20</v>
    <v>21.3</v>
    <v>20.61</v>
    <v>20.88</v>
    <v>18.989999999999998</v>
    <v>18.995000000000001</v>
    <v>17.79</v>
    <v>18.635000000000002</v>
    <v>21.14</v>
    <v>21.8</v>
    <v>22.26</v>
    <v>22.07</v>
    <v>20.95</v>
    <v>21.47</v>
    <v>20.95</v>
    <v>19.7</v>
    <v>20.350000000000001</v>
    <v>21.88</v>
    <v>23.75</v>
    <v>24.18</v>
    <v>24.93</v>
    <v>24.69</v>
    <v>23.48</v>
    <v>23</v>
    <v>21.62</v>
    <v>21.39</v>
    <v>20.149999999999999</v>
    <v>19.61</v>
    <v>19.73</v>
    <v>19.32</v>
    <v>18.93</v>
    <v>18.54</v>
    <v>16.84</v>
    <v>16.885000000000002</v>
    <v>16.47</v>
    <v>16.670000000000002</v>
    <v>15.1</v>
    <v>15.5</v>
    <v>13.72</v>
    <v>13.97</v>
    <v>13.77</v>
    <v>14.02</v>
    <v>12.89</v>
    <v>12.53</v>
  </a>
  <a r="1" c="208">
    <v>69.52</v>
    <v>69.52</v>
    <v>69.430000000000007</v>
    <v>69.47</v>
    <v>69.27</v>
    <v>69.400000000000006</v>
    <v>69.42</v>
    <v>69.3</v>
    <v>69.39</v>
    <v>69.2</v>
    <v>69.09</v>
    <v>68.87</v>
    <v>68.61</v>
    <v>69.02</v>
    <v>69.17</v>
    <v>69.33</v>
    <v>69.459999999999994</v>
    <v>69.39</v>
    <v>69.260000000000005</v>
    <v>69.22</v>
    <v>69.36</v>
    <v>69.27</v>
    <v>69.23</v>
    <v>69.23</v>
    <v>69.400000000000006</v>
    <v>69.510000000000005</v>
    <v>69.67</v>
    <v>69.849999999999994</v>
    <v>69.84</v>
    <v>69.89</v>
    <v>70.180000000000007</v>
    <v>70.3</v>
    <v>70.3</v>
    <v>70.290000000000006</v>
    <v>69.84</v>
    <v>69.89</v>
    <v>69.989999999999995</v>
    <v>69.84</v>
    <v>70</v>
    <v>70</v>
    <v>69.959999999999994</v>
    <v>69.540000000000006</v>
    <v>69.010000000000005</v>
    <v>69.59</v>
    <v>69.34</v>
    <v>69.099999999999994</v>
    <v>68.67</v>
    <v>69.239999999999995</v>
    <v>68.75</v>
    <v>68.34</v>
    <v>68.010000000000005</v>
    <v>68</v>
    <v>68.2</v>
    <v>68.010000000000005</v>
    <v>67.3</v>
    <v>66.94</v>
    <v>67.02</v>
    <v>67.12</v>
    <v>67.540000000000006</v>
    <v>67.209999999999994</v>
    <v>66.55</v>
    <v>66.44</v>
    <v>66.75</v>
    <v>67.319999999999993</v>
    <v>67.38</v>
    <v>66.89</v>
    <v>68.349999999999994</v>
    <v>68.099999999999994</v>
    <v>68.45</v>
    <v>68.48</v>
    <v>69</v>
    <v>68.959999999999994</v>
    <v>68.42</v>
    <v>68.98</v>
    <v>68.83</v>
    <v>68.67</v>
    <v>68.83</v>
    <v>68.77</v>
    <v>68.540000000000006</v>
    <v>68.52</v>
    <v>68.27</v>
    <v>68.19</v>
    <v>68.260000000000005</v>
    <v>68.12</v>
    <v>68.45</v>
    <v>68.75</v>
    <v>69</v>
    <v>68.98</v>
    <v>68.77</v>
    <v>68.290000000000006</v>
    <v>68.11</v>
    <v>68.41</v>
    <v>67.8</v>
    <v>67.650000000000006</v>
    <v>67.260000000000005</v>
    <v>67.83</v>
    <v>67.25</v>
    <v>67.680000000000007</v>
    <v>67.97</v>
    <v>67.849999999999994</v>
    <v>68.14</v>
    <v>68.3</v>
    <v>68.489999999999995</v>
    <v>68.39</v>
    <v>68.63</v>
    <v>68.28</v>
    <v>68.63</v>
    <v>68.2</v>
    <v>68.16</v>
    <v>67.97</v>
    <v>68.16</v>
    <v>68.23</v>
    <v>68.63</v>
    <v>69</v>
    <v>69.010000000000005</v>
    <v>68.89</v>
    <v>68.66</v>
    <v>68.62</v>
    <v>68.45</v>
    <v>68.37</v>
    <v>68.53</v>
    <v>68.73</v>
    <v>68.56</v>
    <v>68.67</v>
    <v>68.569999999999993</v>
    <v>68.41</v>
    <v>68.489999999999995</v>
    <v>68.510000000000005</v>
    <v>68.58</v>
    <v>68.36</v>
    <v>67.989999999999995</v>
    <v>68.22</v>
    <v>68.319999999999993</v>
    <v>68.23</v>
    <v>68.209999999999994</v>
    <v>68.349999999999994</v>
    <v>67.84</v>
    <v>67.86</v>
    <v>67.64</v>
    <v>67.650000000000006</v>
    <v>67.540000000000006</v>
    <v>67.13</v>
    <v>67.180000000000007</v>
    <v>67.22</v>
    <v>67.459999999999994</v>
    <v>67.27</v>
    <v>67.12</v>
    <v>67.010000000000005</v>
    <v>67.569999999999993</v>
    <v>67.78</v>
    <v>67.819999999999993</v>
    <v>67.61</v>
    <v>67.73</v>
    <v>67.62</v>
    <v>67.53</v>
    <v>67.56</v>
    <v>67.709999999999994</v>
    <v>67.569999999999993</v>
    <v>67.510000000000005</v>
    <v>67.260000000000005</v>
    <v>67.540000000000006</v>
    <v>67.069999999999993</v>
    <v>67</v>
    <v>67.150000000000006</v>
    <v>67.36</v>
    <v>67.290000000000006</v>
    <v>67.3</v>
    <v>67.22</v>
    <v>66.989999999999995</v>
    <v>67</v>
    <v>66.900000000000006</v>
    <v>67.19</v>
    <v>67.099999999999994</v>
    <v>66.98</v>
    <v>67.03</v>
    <v>66.75</v>
    <v>66.45</v>
    <v>66.459999999999994</v>
    <v>66.099999999999994</v>
    <v>66.06</v>
    <v>66.3</v>
    <v>66.12</v>
    <v>65.959999999999994</v>
    <v>66.209999999999994</v>
    <v>66.28</v>
    <v>65.52</v>
    <v>65.25</v>
    <v>64.88</v>
    <v>64.52</v>
    <v>64.31</v>
    <v>64.14</v>
    <v>63.67</v>
    <v>64.06</v>
    <v>63.88</v>
    <v>64.38</v>
    <v>63.98</v>
    <v>64.2</v>
    <v>64.52</v>
    <v>64.55</v>
    <v>64.650000000000006</v>
    <v>64.41</v>
    <v>64.61</v>
    <v>64.81</v>
    <v>64.260000000000005</v>
    <v>64.319999999999993</v>
    <v>64.5</v>
    <v>64.5</v>
    <v>64.56</v>
  </a>
  <a r="1" c="254">
    <v>69.45</v>
    <v>69.52</v>
    <v>69.8</v>
    <v>69.98</v>
    <v>70.05</v>
    <v>69.84</v>
    <v>69.75</v>
    <v>69.62</v>
    <v>69.56</v>
    <v>69.39</v>
    <v>69.56</v>
    <v>69.48</v>
    <v>69.63</v>
    <v>69.78</v>
    <v>69.88</v>
    <v>69.36</v>
    <v>69.3</v>
    <v>69.33</v>
    <v>69.180000000000007</v>
    <v>69.23</v>
    <v>69.33</v>
    <v>69.209999999999994</v>
    <v>69.47</v>
    <v>69.48</v>
    <v>69.62</v>
    <v>69.64</v>
    <v>69.59</v>
    <v>69.569999999999993</v>
    <v>69.510000000000005</v>
    <v>69.75</v>
    <v>69.569999999999993</v>
    <v>69.67</v>
    <v>69.3</v>
    <v>69.260000000000005</v>
    <v>69.34</v>
    <v>69.28</v>
    <v>69.180000000000007</v>
    <v>69.47</v>
    <v>69.48</v>
    <v>69.260000000000005</v>
    <v>69.52</v>
    <v>69.47</v>
    <v>69.5</v>
    <v>69.510000000000005</v>
    <v>69.75</v>
    <v>69.66</v>
    <v>69.52</v>
    <v>69.52</v>
    <v>69.430000000000007</v>
    <v>69.47</v>
    <v>69.27</v>
    <v>69.400000000000006</v>
    <v>69.42</v>
    <v>69.3</v>
    <v>69.39</v>
    <v>69.2</v>
    <v>69.09</v>
    <v>68.87</v>
    <v>68.61</v>
    <v>69.02</v>
    <v>69.17</v>
    <v>69.33</v>
    <v>69.459999999999994</v>
    <v>69.39</v>
    <v>69.260000000000005</v>
    <v>69.22</v>
    <v>69.36</v>
    <v>69.27</v>
    <v>69.23</v>
    <v>69.23</v>
    <v>69.400000000000006</v>
    <v>69.510000000000005</v>
    <v>69.67</v>
    <v>69.849999999999994</v>
    <v>69.84</v>
    <v>69.89</v>
    <v>70.180000000000007</v>
    <v>70.3</v>
    <v>70.3</v>
    <v>70.290000000000006</v>
    <v>69.84</v>
    <v>69.89</v>
    <v>69.989999999999995</v>
    <v>69.84</v>
    <v>70</v>
    <v>70</v>
    <v>69.959999999999994</v>
    <v>69.540000000000006</v>
    <v>69.010000000000005</v>
    <v>69.59</v>
    <v>69.34</v>
    <v>69.099999999999994</v>
    <v>68.67</v>
    <v>69.239999999999995</v>
    <v>68.75</v>
    <v>68.34</v>
    <v>68.010000000000005</v>
    <v>68</v>
    <v>68.2</v>
    <v>68.010000000000005</v>
    <v>67.3</v>
    <v>66.94</v>
    <v>67.02</v>
    <v>67.12</v>
    <v>67.540000000000006</v>
    <v>67.209999999999994</v>
    <v>66.55</v>
    <v>66.44</v>
    <v>66.75</v>
    <v>67.319999999999993</v>
    <v>67.38</v>
    <v>66.89</v>
    <v>68.349999999999994</v>
    <v>68.099999999999994</v>
    <v>68.45</v>
    <v>68.48</v>
    <v>69</v>
    <v>68.959999999999994</v>
    <v>68.42</v>
    <v>68.98</v>
    <v>68.83</v>
    <v>68.67</v>
    <v>68.83</v>
    <v>68.77</v>
    <v>68.540000000000006</v>
    <v>68.52</v>
    <v>68.27</v>
    <v>68.19</v>
    <v>68.260000000000005</v>
    <v>68.12</v>
    <v>68.45</v>
    <v>68.75</v>
    <v>69</v>
    <v>68.98</v>
    <v>68.77</v>
    <v>68.290000000000006</v>
    <v>68.11</v>
    <v>68.41</v>
    <v>67.8</v>
    <v>67.650000000000006</v>
    <v>67.260000000000005</v>
    <v>67.83</v>
    <v>67.25</v>
    <v>67.680000000000007</v>
    <v>67.97</v>
    <v>67.849999999999994</v>
    <v>68.14</v>
    <v>68.3</v>
    <v>68.489999999999995</v>
    <v>68.39</v>
    <v>68.63</v>
    <v>68.28</v>
    <v>68.63</v>
    <v>68.2</v>
    <v>68.16</v>
    <v>67.97</v>
    <v>68.16</v>
    <v>68.23</v>
    <v>68.63</v>
    <v>69</v>
    <v>69.010000000000005</v>
    <v>68.89</v>
    <v>68.66</v>
    <v>68.62</v>
    <v>68.45</v>
    <v>68.37</v>
    <v>68.53</v>
    <v>68.73</v>
    <v>68.56</v>
    <v>68.67</v>
    <v>68.569999999999993</v>
    <v>68.41</v>
    <v>68.489999999999995</v>
    <v>68.510000000000005</v>
    <v>68.58</v>
    <v>68.36</v>
    <v>67.989999999999995</v>
    <v>68.22</v>
    <v>68.319999999999993</v>
    <v>68.23</v>
    <v>68.209999999999994</v>
    <v>68.349999999999994</v>
    <v>67.84</v>
    <v>67.86</v>
    <v>67.64</v>
    <v>67.650000000000006</v>
    <v>67.540000000000006</v>
    <v>67.13</v>
    <v>67.180000000000007</v>
    <v>67.22</v>
    <v>67.459999999999994</v>
    <v>67.27</v>
    <v>67.12</v>
    <v>67.010000000000005</v>
    <v>67.569999999999993</v>
    <v>67.78</v>
    <v>67.819999999999993</v>
    <v>67.61</v>
    <v>67.73</v>
    <v>67.62</v>
    <v>67.53</v>
    <v>67.56</v>
    <v>67.709999999999994</v>
    <v>67.569999999999993</v>
    <v>67.510000000000005</v>
    <v>67.260000000000005</v>
    <v>67.540000000000006</v>
    <v>67.069999999999993</v>
    <v>67</v>
    <v>67.150000000000006</v>
    <v>67.36</v>
    <v>67.290000000000006</v>
    <v>67.3</v>
    <v>67.22</v>
    <v>66.989999999999995</v>
    <v>67</v>
    <v>66.900000000000006</v>
    <v>67.19</v>
    <v>67.099999999999994</v>
    <v>66.98</v>
    <v>67.03</v>
    <v>66.75</v>
    <v>66.45</v>
    <v>66.459999999999994</v>
    <v>66.099999999999994</v>
    <v>66.06</v>
    <v>66.3</v>
    <v>66.12</v>
    <v>65.959999999999994</v>
    <v>66.209999999999994</v>
    <v>66.28</v>
    <v>65.52</v>
    <v>65.25</v>
    <v>64.88</v>
    <v>64.52</v>
    <v>64.31</v>
    <v>64.14</v>
    <v>63.67</v>
    <v>64.06</v>
    <v>63.88</v>
    <v>64.38</v>
    <v>63.98</v>
    <v>64.2</v>
    <v>64.52</v>
    <v>64.55</v>
    <v>64.650000000000006</v>
    <v>64.41</v>
    <v>64.61</v>
    <v>64.81</v>
    <v>64.260000000000005</v>
    <v>64.319999999999993</v>
    <v>64.5</v>
    <v>64.5</v>
    <v>64.56</v>
  </a>
  <a r="1" c="761">
    <v>61.17</v>
    <v>61.26</v>
    <v>61.19</v>
    <v>61.17</v>
    <v>61.34</v>
    <v>61.35</v>
    <v>61.54</v>
    <v>61.99</v>
    <v>62.78</v>
    <v>63.66</v>
    <v>63.02</v>
    <v>63.14</v>
    <v>63.24</v>
    <v>62.99</v>
    <v>62.68</v>
    <v>62.64</v>
    <v>63.62</v>
    <v>63.31</v>
    <v>63.28</v>
    <v>63.44</v>
    <v>63.62</v>
    <v>63.99</v>
    <v>63.88</v>
    <v>64.180000000000007</v>
    <v>64.099999999999994</v>
    <v>64.19</v>
    <v>64.38</v>
    <v>65</v>
    <v>64.78</v>
    <v>65.33</v>
    <v>65.17</v>
    <v>65.66</v>
    <v>65.94</v>
    <v>66.040000000000006</v>
    <v>65.64</v>
    <v>65.540000000000006</v>
    <v>65.52</v>
    <v>65.84</v>
    <v>67.17</v>
    <v>67.239999999999995</v>
    <v>67.010000000000005</v>
    <v>67.349999999999994</v>
    <v>67.31</v>
    <v>67.31</v>
    <v>67.23</v>
    <v>67.680000000000007</v>
    <v>67.58</v>
    <v>67.489999999999995</v>
    <v>66.83</v>
    <v>66.03</v>
    <v>66.06</v>
    <v>66.2</v>
    <v>65.98</v>
    <v>65.66</v>
    <v>66.040000000000006</v>
    <v>65.91</v>
    <v>66.52</v>
    <v>66.44</v>
    <v>66.13</v>
    <v>65.62</v>
    <v>65.680000000000007</v>
    <v>65.52</v>
    <v>65.69</v>
    <v>65.209999999999994</v>
    <v>65.34</v>
    <v>65.56</v>
    <v>65.67</v>
    <v>65.73</v>
    <v>65.97</v>
    <v>66.23</v>
    <v>66.62</v>
    <v>66.010000000000005</v>
    <v>65.44</v>
    <v>65.94</v>
    <v>66.03</v>
    <v>65.92</v>
    <v>65.819999999999993</v>
    <v>65.97</v>
    <v>65.319999999999993</v>
    <v>65.540000000000006</v>
    <v>65.59</v>
    <v>65.459999999999994</v>
    <v>65.319999999999993</v>
    <v>65.45</v>
    <v>65.42</v>
    <v>65.56</v>
    <v>66</v>
    <v>66.02</v>
    <v>65.87</v>
    <v>65.900000000000006</v>
    <v>66.260000000000005</v>
    <v>66.38</v>
    <v>66.52</v>
    <v>66.599999999999994</v>
    <v>66.900000000000006</v>
    <v>67.03</v>
    <v>67.23</v>
    <v>67.02</v>
    <v>66.87</v>
    <v>67.010000000000005</v>
    <v>66.33</v>
    <v>66.209999999999994</v>
    <v>66.12</v>
    <v>66.36</v>
    <v>66.5</v>
    <v>67.02</v>
    <v>67.209999999999994</v>
    <v>67.099999999999994</v>
    <v>67.02</v>
    <v>67.209999999999994</v>
    <v>67.239999999999995</v>
    <v>66.7</v>
    <v>66.739999999999995</v>
    <v>67.11</v>
    <v>66.930000000000007</v>
    <v>66.94</v>
    <v>67.349999999999994</v>
    <v>66.760000000000005</v>
    <v>66.069999999999993</v>
    <v>66.09</v>
    <v>65.47</v>
    <v>65</v>
    <v>65.489999999999995</v>
    <v>65.25</v>
    <v>65.33</v>
    <v>65.430000000000007</v>
    <v>65.73</v>
    <v>65.22</v>
    <v>64.94</v>
    <v>65.290000000000006</v>
    <v>65.680000000000007</v>
    <v>65.23</v>
    <v>65.58</v>
    <v>66.22</v>
    <v>66.37</v>
    <v>66.7</v>
    <v>66.33</v>
    <v>66.41</v>
    <v>66.319999999999993</v>
    <v>66.48</v>
    <v>66.48</v>
    <v>67.09</v>
    <v>66.86</v>
    <v>66.56</v>
    <v>66.569999999999993</v>
    <v>66.62</v>
    <v>66.45</v>
    <v>66.02</v>
    <v>66.13</v>
    <v>66.39</v>
    <v>66.099999999999994</v>
    <v>65.52</v>
    <v>66.03</v>
    <v>66.209999999999994</v>
    <v>66.53</v>
    <v>66.510000000000005</v>
    <v>66.64</v>
    <v>66.680000000000007</v>
    <v>66.239999999999995</v>
    <v>66.12</v>
    <v>66.19</v>
    <v>66.88</v>
    <v>66.44</v>
    <v>66.37</v>
    <v>66.13</v>
    <v>66.41</v>
    <v>66.58</v>
    <v>66.31</v>
    <v>66.31</v>
    <v>66.44</v>
    <v>66.38</v>
    <v>66.150000000000006</v>
    <v>66.319999999999993</v>
    <v>66.08</v>
    <v>65.61</v>
    <v>65.66</v>
    <v>66.27</v>
    <v>66.17</v>
    <v>66.69</v>
    <v>66.739999999999995</v>
    <v>66.430000000000007</v>
    <v>66.66</v>
    <v>67.209999999999994</v>
    <v>67.290000000000006</v>
    <v>67.040000000000006</v>
    <v>67.16</v>
    <v>67</v>
    <v>66.52</v>
    <v>66.22</v>
    <v>66.510000000000005</v>
    <v>66.63</v>
    <v>66.430000000000007</v>
    <v>66.39</v>
    <v>66.56</v>
    <v>66.599999999999994</v>
    <v>66.58</v>
    <v>66.989999999999995</v>
    <v>67.11</v>
    <v>67.28</v>
    <v>66.83</v>
    <v>66.75</v>
    <v>66.95</v>
    <v>66.95</v>
    <v>67.290000000000006</v>
    <v>67.3</v>
    <v>67.61</v>
    <v>67.790000000000006</v>
    <v>67.7</v>
    <v>67.930000000000007</v>
    <v>68.03</v>
    <v>68.28</v>
    <v>67.98</v>
    <v>68.400000000000006</v>
    <v>68.28</v>
    <v>68.25</v>
    <v>68.14</v>
    <v>68.13</v>
    <v>68.19</v>
    <v>68.150000000000006</v>
    <v>67.97</v>
    <v>68.13</v>
    <v>68.28</v>
    <v>68.489999999999995</v>
    <v>68.45</v>
    <v>68.41</v>
    <v>68.52</v>
    <v>68.349999999999994</v>
    <v>68.8</v>
    <v>69.13</v>
    <v>69.260000000000005</v>
    <v>68.959999999999994</v>
    <v>69.2</v>
    <v>69.03</v>
    <v>68.87</v>
    <v>69</v>
    <v>68.930000000000007</v>
    <v>68.92</v>
    <v>69.08</v>
    <v>69.14</v>
    <v>69.38</v>
    <v>69.2</v>
    <v>69.010000000000005</v>
    <v>68.569999999999993</v>
    <v>68.45</v>
    <v>68.45</v>
    <v>68.42</v>
    <v>68.260000000000005</v>
    <v>68.3</v>
    <v>68.25</v>
    <v>68.540000000000006</v>
    <v>68.67</v>
    <v>68.209999999999994</v>
    <v>68.19</v>
    <v>67.569999999999993</v>
    <v>67.37</v>
    <v>67.14</v>
    <v>67.28</v>
    <v>67.430000000000007</v>
    <v>67.34</v>
    <v>67.27</v>
    <v>67.540000000000006</v>
    <v>67.25</v>
    <v>67.03</v>
    <v>67.14</v>
    <v>66.83</v>
    <v>66.739999999999995</v>
    <v>67.64</v>
    <v>67.81</v>
    <v>67.77</v>
    <v>67.39</v>
    <v>67.23</v>
    <v>67.06</v>
    <v>66.489999999999995</v>
    <v>66.55</v>
    <v>66.86</v>
    <v>66.83</v>
    <v>67.040000000000006</v>
    <v>66.97</v>
    <v>67.45</v>
    <v>67.400000000000006</v>
    <v>67.62</v>
    <v>67.75</v>
    <v>67.8</v>
    <v>67.88</v>
    <v>67.819999999999993</v>
    <v>67.900000000000006</v>
    <v>68.09</v>
    <v>68.25</v>
    <v>68.27</v>
    <v>68.17</v>
    <v>68.069999999999993</v>
    <v>67.64</v>
    <v>67.239999999999995</v>
    <v>66.900000000000006</v>
    <v>66.930000000000007</v>
    <v>66.97</v>
    <v>65.97</v>
    <v>66.290000000000006</v>
    <v>66.150000000000006</v>
    <v>66.069999999999993</v>
    <v>66.23</v>
    <v>66.16</v>
    <v>66.349999999999994</v>
    <v>66.38</v>
    <v>66.06</v>
    <v>65.959999999999994</v>
    <v>66.27</v>
    <v>65.63</v>
    <v>65.48</v>
    <v>65.61</v>
    <v>66.260000000000005</v>
    <v>66.09</v>
    <v>66.16</v>
    <v>66.319999999999993</v>
    <v>66.45</v>
    <v>66.459999999999994</v>
    <v>66.209999999999994</v>
    <v>66.400000000000006</v>
    <v>66.64</v>
    <v>66.510000000000005</v>
    <v>66.66</v>
    <v>66.819999999999993</v>
    <v>66.790000000000006</v>
    <v>66.94</v>
    <v>66.900000000000006</v>
    <v>67.31</v>
    <v>67.400000000000006</v>
    <v>67</v>
    <v>67.09</v>
    <v>66.78</v>
    <v>66.44</v>
    <v>66.58</v>
    <v>66.98</v>
    <v>66.92</v>
    <v>66.709999999999994</v>
    <v>66.39</v>
    <v>66.64</v>
    <v>66.83</v>
    <v>66.88</v>
    <v>67.12</v>
    <v>67.349999999999994</v>
    <v>67.349999999999994</v>
    <v>67.430000000000007</v>
    <v>67.62</v>
    <v>67.38</v>
    <v>67.349999999999994</v>
    <v>67.06</v>
    <v>67.099999999999994</v>
    <v>67.13</v>
    <v>66.88</v>
    <v>66.959999999999994</v>
    <v>66.37</v>
    <v>66.5</v>
    <v>66.73</v>
    <v>66.709999999999994</v>
    <v>66.819999999999993</v>
    <v>66.959999999999994</v>
    <v>66.739999999999995</v>
    <v>66.84</v>
    <v>66.77</v>
    <v>66.39</v>
    <v>66.33</v>
    <v>66.27</v>
    <v>66.38</v>
    <v>66.680000000000007</v>
    <v>66.64</v>
    <v>66.290000000000006</v>
    <v>65.73</v>
    <v>64.790000000000006</v>
    <v>64.97</v>
    <v>63.24</v>
    <v>64.33</v>
    <v>63.68</v>
    <v>65.209999999999994</v>
    <v>65.41</v>
    <v>65.349999999999994</v>
    <v>65.19</v>
    <v>65.13</v>
    <v>65.400000000000006</v>
    <v>65.69</v>
    <v>66.02</v>
    <v>66.05</v>
    <v>66.040000000000006</v>
    <v>65.98</v>
    <v>65.83</v>
    <v>65.73</v>
    <v>65.7</v>
    <v>66.06</v>
    <v>65.989999999999995</v>
    <v>65.959999999999994</v>
    <v>66.3</v>
    <v>66.48</v>
    <v>66.19</v>
    <v>66.069999999999993</v>
    <v>66.040000000000006</v>
    <v>66.010000000000005</v>
    <v>66.16</v>
    <v>65.92</v>
    <v>65.599999999999994</v>
    <v>65.78</v>
    <v>65.95</v>
    <v>66.11</v>
    <v>65.930000000000007</v>
    <v>66.23</v>
    <v>66.2</v>
    <v>66.06</v>
    <v>66.39</v>
    <v>66.680000000000007</v>
    <v>66.58</v>
    <v>66.430000000000007</v>
    <v>66.55</v>
    <v>66.61</v>
    <v>66.92</v>
    <v>66.709999999999994</v>
    <v>66.42</v>
    <v>66.63</v>
    <v>66.430000000000007</v>
    <v>66.52</v>
    <v>66.319999999999993</v>
    <v>66.45</v>
    <v>66.66</v>
    <v>66.97</v>
    <v>66.88</v>
    <v>67.09</v>
    <v>67.11</v>
    <v>67.38</v>
    <v>67.599999999999994</v>
    <v>67.45</v>
    <v>67.61</v>
    <v>67.569999999999993</v>
    <v>67.36</v>
    <v>67.09</v>
    <v>67.290000000000006</v>
    <v>67.44</v>
    <v>67.2</v>
    <v>67.08</v>
    <v>66.900000000000006</v>
    <v>66.680000000000007</v>
    <v>66.739999999999995</v>
    <v>66.89</v>
    <v>67.22</v>
    <v>67.27</v>
    <v>67.290000000000006</v>
    <v>67.28</v>
    <v>67.3</v>
    <v>67.3</v>
    <v>67.569999999999993</v>
    <v>67.45</v>
    <v>67.62</v>
    <v>67.81</v>
    <v>67.95</v>
    <v>68</v>
    <v>68.02</v>
    <v>68.17</v>
    <v>68.13</v>
    <v>68.25</v>
    <v>68.38</v>
    <v>68.67</v>
    <v>68.2</v>
    <v>68.180000000000007</v>
    <v>68.180000000000007</v>
    <v>68.069999999999993</v>
    <v>67.88</v>
    <v>68.42</v>
    <v>68.099999999999994</v>
    <v>67.900000000000006</v>
    <v>67.849999999999994</v>
    <v>68.28</v>
    <v>68.22</v>
    <v>68.180000000000007</v>
    <v>67.78</v>
    <v>68.16</v>
    <v>68.349999999999994</v>
    <v>68.78</v>
    <v>68.84</v>
    <v>68.819999999999993</v>
    <v>69.06</v>
    <v>69.14</v>
    <v>69.03</v>
    <v>69.2</v>
    <v>69.150000000000006</v>
    <v>69.3</v>
    <v>68.92</v>
    <v>68.58</v>
    <v>68.849999999999994</v>
    <v>69.040000000000006</v>
    <v>69.13</v>
    <v>68.91</v>
    <v>69.09</v>
    <v>69.05</v>
    <v>68.930000000000007</v>
    <v>68.95</v>
    <v>69.03</v>
    <v>69.180000000000007</v>
    <v>69.03</v>
    <v>68.97</v>
    <v>69.150000000000006</v>
    <v>69.069999999999993</v>
    <v>68.709999999999994</v>
    <v>68.98</v>
    <v>69.069999999999993</v>
    <v>69.42</v>
    <v>69.180000000000007</v>
    <v>69.150000000000006</v>
    <v>69.36</v>
    <v>69.739999999999995</v>
    <v>69.39</v>
    <v>69.45</v>
    <v>69.52</v>
    <v>69.8</v>
    <v>69.98</v>
    <v>70.05</v>
    <v>69.84</v>
    <v>69.75</v>
    <v>69.62</v>
    <v>69.56</v>
    <v>69.39</v>
    <v>69.56</v>
    <v>69.48</v>
    <v>69.63</v>
    <v>69.78</v>
    <v>69.88</v>
    <v>69.36</v>
    <v>69.3</v>
    <v>69.33</v>
    <v>69.180000000000007</v>
    <v>69.23</v>
    <v>69.33</v>
    <v>69.209999999999994</v>
    <v>69.47</v>
    <v>69.48</v>
    <v>69.62</v>
    <v>69.64</v>
    <v>69.59</v>
    <v>69.569999999999993</v>
    <v>69.510000000000005</v>
    <v>69.75</v>
    <v>69.569999999999993</v>
    <v>69.67</v>
    <v>69.3</v>
    <v>69.260000000000005</v>
    <v>69.34</v>
    <v>69.28</v>
    <v>69.180000000000007</v>
    <v>69.47</v>
    <v>69.48</v>
    <v>69.260000000000005</v>
    <v>69.52</v>
    <v>69.47</v>
    <v>69.5</v>
    <v>69.510000000000005</v>
    <v>69.75</v>
    <v>69.66</v>
    <v>69.52</v>
    <v>69.52</v>
    <v>69.430000000000007</v>
    <v>69.47</v>
    <v>69.27</v>
    <v>69.400000000000006</v>
    <v>69.42</v>
    <v>69.3</v>
    <v>69.39</v>
    <v>69.2</v>
    <v>69.09</v>
    <v>68.87</v>
    <v>68.61</v>
    <v>69.02</v>
    <v>69.17</v>
    <v>69.33</v>
    <v>69.459999999999994</v>
    <v>69.39</v>
    <v>69.260000000000005</v>
    <v>69.22</v>
    <v>69.36</v>
    <v>69.27</v>
    <v>69.23</v>
    <v>69.23</v>
    <v>69.400000000000006</v>
    <v>69.510000000000005</v>
    <v>69.67</v>
    <v>69.849999999999994</v>
    <v>69.84</v>
    <v>69.89</v>
    <v>70.180000000000007</v>
    <v>70.3</v>
    <v>70.3</v>
    <v>70.290000000000006</v>
    <v>69.84</v>
    <v>69.89</v>
    <v>69.989999999999995</v>
    <v>69.84</v>
    <v>70</v>
    <v>70</v>
    <v>69.959999999999994</v>
    <v>69.540000000000006</v>
    <v>69.010000000000005</v>
    <v>69.59</v>
    <v>69.34</v>
    <v>69.099999999999994</v>
    <v>68.67</v>
    <v>69.239999999999995</v>
    <v>68.75</v>
    <v>68.34</v>
    <v>68.010000000000005</v>
    <v>68</v>
    <v>68.2</v>
    <v>68.010000000000005</v>
    <v>67.3</v>
    <v>66.94</v>
    <v>67.02</v>
    <v>67.12</v>
    <v>67.540000000000006</v>
    <v>67.209999999999994</v>
    <v>66.55</v>
    <v>66.44</v>
    <v>66.75</v>
    <v>67.319999999999993</v>
    <v>67.38</v>
    <v>66.89</v>
    <v>68.349999999999994</v>
    <v>68.099999999999994</v>
    <v>68.45</v>
    <v>68.48</v>
    <v>69</v>
    <v>68.959999999999994</v>
    <v>68.42</v>
    <v>68.98</v>
    <v>68.83</v>
    <v>68.67</v>
    <v>68.83</v>
    <v>68.77</v>
    <v>68.540000000000006</v>
    <v>68.52</v>
    <v>68.27</v>
    <v>68.19</v>
    <v>68.260000000000005</v>
    <v>68.12</v>
    <v>68.45</v>
    <v>68.75</v>
    <v>69</v>
    <v>68.98</v>
    <v>68.77</v>
    <v>68.290000000000006</v>
    <v>68.11</v>
    <v>68.41</v>
    <v>67.8</v>
    <v>67.650000000000006</v>
    <v>67.260000000000005</v>
    <v>67.83</v>
    <v>67.25</v>
    <v>67.680000000000007</v>
    <v>67.97</v>
    <v>67.849999999999994</v>
    <v>68.14</v>
    <v>68.3</v>
    <v>68.489999999999995</v>
    <v>68.39</v>
    <v>68.63</v>
    <v>68.28</v>
    <v>68.63</v>
    <v>68.2</v>
    <v>68.16</v>
    <v>67.97</v>
    <v>68.16</v>
    <v>68.23</v>
    <v>68.63</v>
    <v>69</v>
    <v>69.010000000000005</v>
    <v>68.89</v>
    <v>68.66</v>
    <v>68.62</v>
    <v>68.45</v>
    <v>68.37</v>
    <v>68.53</v>
    <v>68.73</v>
    <v>68.56</v>
    <v>68.67</v>
    <v>68.569999999999993</v>
    <v>68.41</v>
    <v>68.489999999999995</v>
    <v>68.510000000000005</v>
    <v>68.58</v>
    <v>68.36</v>
    <v>67.989999999999995</v>
    <v>68.22</v>
    <v>68.319999999999993</v>
    <v>68.23</v>
    <v>68.209999999999994</v>
    <v>68.349999999999994</v>
    <v>67.84</v>
    <v>67.86</v>
    <v>67.64</v>
    <v>67.650000000000006</v>
    <v>67.540000000000006</v>
    <v>67.13</v>
    <v>67.180000000000007</v>
    <v>67.22</v>
    <v>67.459999999999994</v>
    <v>67.27</v>
    <v>67.12</v>
    <v>67.010000000000005</v>
    <v>67.569999999999993</v>
    <v>67.78</v>
    <v>67.819999999999993</v>
    <v>67.61</v>
    <v>67.73</v>
    <v>67.62</v>
    <v>67.53</v>
    <v>67.56</v>
    <v>67.709999999999994</v>
    <v>67.569999999999993</v>
    <v>67.510000000000005</v>
    <v>67.260000000000005</v>
    <v>67.540000000000006</v>
    <v>67.069999999999993</v>
    <v>67</v>
    <v>67.150000000000006</v>
    <v>67.36</v>
    <v>67.290000000000006</v>
    <v>67.3</v>
    <v>67.22</v>
    <v>66.989999999999995</v>
    <v>67</v>
    <v>66.900000000000006</v>
    <v>67.19</v>
    <v>67.099999999999994</v>
    <v>66.98</v>
    <v>67.03</v>
    <v>66.75</v>
    <v>66.45</v>
    <v>66.459999999999994</v>
    <v>66.099999999999994</v>
    <v>66.06</v>
    <v>66.3</v>
    <v>66.12</v>
    <v>65.959999999999994</v>
    <v>66.209999999999994</v>
    <v>66.28</v>
    <v>65.52</v>
    <v>65.25</v>
    <v>64.88</v>
    <v>64.52</v>
    <v>64.31</v>
    <v>64.14</v>
    <v>63.67</v>
    <v>64.06</v>
    <v>63.88</v>
    <v>64.38</v>
    <v>63.98</v>
    <v>64.2</v>
    <v>64.52</v>
    <v>64.55</v>
    <v>64.650000000000006</v>
    <v>64.41</v>
    <v>64.61</v>
    <v>64.81</v>
    <v>64.260000000000005</v>
    <v>64.319999999999993</v>
    <v>64.5</v>
    <v>64.5</v>
    <v>64.56</v>
  </a>
  <a r="1" c="208">
    <v>61.93</v>
    <v>60.44</v>
    <v>61.45</v>
    <v>60.36</v>
    <v>59.96</v>
    <v>60.37</v>
    <v>59.78</v>
    <v>59.86</v>
    <v>60.7</v>
    <v>59.34</v>
    <v>58.82</v>
    <v>57.54</v>
    <v>56.85</v>
    <v>57.76</v>
    <v>58.81</v>
    <v>58.3</v>
    <v>57.92</v>
    <v>56.93</v>
    <v>57.41</v>
    <v>57.3</v>
    <v>57.79</v>
    <v>58.42</v>
    <v>58.53</v>
    <v>60.95</v>
    <v>58.99</v>
    <v>58.78</v>
    <v>58.31</v>
    <v>58.36</v>
    <v>57.95</v>
    <v>57.11</v>
    <v>57.62</v>
    <v>57.65</v>
    <v>58.86</v>
    <v>59.4</v>
    <v>58.75</v>
    <v>59.24</v>
    <v>58.3</v>
    <v>58.93</v>
    <v>58.99</v>
    <v>59</v>
    <v>59</v>
    <v>56.63</v>
    <v>55.74</v>
    <v>56.52</v>
    <v>55.65</v>
    <v>54.78</v>
    <v>54.25</v>
    <v>55.05</v>
    <v>54.89</v>
    <v>55.25</v>
    <v>54.85</v>
    <v>53.75</v>
    <v>53.71</v>
    <v>53.47</v>
    <v>51.64</v>
    <v>50.86</v>
    <v>51.93</v>
    <v>51.66</v>
    <v>52.28</v>
    <v>51.98</v>
    <v>51.63</v>
    <v>51.64</v>
    <v>52.39</v>
    <v>52.88</v>
    <v>52.71</v>
    <v>51.98</v>
    <v>54.39</v>
    <v>53.25</v>
    <v>53.88</v>
    <v>54.2</v>
    <v>54.83</v>
    <v>54.46</v>
    <v>53.35</v>
    <v>52.66</v>
    <v>52.01</v>
    <v>51.15</v>
    <v>50.5</v>
    <v>50.58</v>
    <v>49.774999999999999</v>
    <v>49.524999999999999</v>
    <v>49.03</v>
    <v>48.755000000000003</v>
    <v>49.585000000000001</v>
    <v>47.924999999999997</v>
    <v>48.19</v>
    <v>50.18</v>
    <v>50.32</v>
    <v>50.13</v>
    <v>50.26</v>
    <v>50.22</v>
    <v>50.76</v>
    <v>51.02</v>
    <v>50.35</v>
    <v>49.97</v>
    <v>49.54</v>
    <v>50.01</v>
    <v>49.76</v>
    <v>50.12</v>
    <v>50.76</v>
    <v>50.92</v>
    <v>52.51</v>
    <v>52.71</v>
    <v>52.19</v>
    <v>51.44</v>
    <v>51.67</v>
    <v>49.954999999999998</v>
    <v>49.075000000000003</v>
    <v>47.994999999999997</v>
    <v>48.354999999999997</v>
    <v>47.704999999999998</v>
    <v>47.11</v>
    <v>47.435000000000002</v>
    <v>48.015000000000001</v>
    <v>49.375</v>
    <v>48.88</v>
    <v>46.75</v>
    <v>44.6</v>
    <v>45.274999999999999</v>
    <v>45.53</v>
    <v>45.24</v>
    <v>44.405000000000001</v>
    <v>44.634999999999998</v>
    <v>43.335000000000001</v>
    <v>43.08</v>
    <v>43.92</v>
    <v>43.79</v>
    <v>44.825000000000003</v>
    <v>45.24</v>
    <v>45.405000000000001</v>
    <v>45.97</v>
    <v>44.125</v>
    <v>43.9</v>
    <v>43.99</v>
    <v>44.29</v>
    <v>45.11</v>
    <v>46.284999999999997</v>
    <v>45.86</v>
    <v>45.51</v>
    <v>45.134999999999998</v>
    <v>44.905000000000001</v>
    <v>44.85</v>
    <v>44.32</v>
    <v>44.774999999999999</v>
    <v>45.314999999999998</v>
    <v>46.62</v>
    <v>46.854999999999997</v>
    <v>47.1</v>
    <v>46.73</v>
    <v>47.95</v>
    <v>48.21</v>
    <v>47.26</v>
    <v>46.765000000000001</v>
    <v>47.085000000000001</v>
    <v>47.085000000000001</v>
    <v>46.78</v>
    <v>46.185000000000002</v>
    <v>45.44</v>
    <v>46.024999999999999</v>
    <v>45.52</v>
    <v>45.064999999999998</v>
    <v>45.024999999999999</v>
    <v>44.795000000000002</v>
    <v>45.215000000000003</v>
    <v>45.05</v>
    <v>44.92</v>
    <v>44.64</v>
    <v>45.594999999999999</v>
    <v>46.945</v>
    <v>47.22</v>
    <v>46.97</v>
    <v>46.38</v>
    <v>47.134999999999998</v>
    <v>47.685000000000002</v>
    <v>48.1</v>
    <v>47.77</v>
    <v>46.695</v>
    <v>46.854999999999997</v>
    <v>46.68</v>
    <v>46.655000000000001</v>
    <v>46.56</v>
    <v>45.365000000000002</v>
    <v>46.195</v>
    <v>43.994999999999997</v>
    <v>43.664999999999999</v>
    <v>43.47</v>
    <v>42.104999999999997</v>
    <v>41.244999999999997</v>
    <v>41.284999999999997</v>
    <v>41.43</v>
    <v>40.664999999999999</v>
    <v>40.594999999999999</v>
    <v>40.06</v>
    <v>39.725000000000001</v>
    <v>40.200000000000003</v>
    <v>40.700000000000003</v>
    <v>39.83</v>
    <v>39.024999999999999</v>
    <v>39.590000000000003</v>
    <v>39.265000000000001</v>
    <v>39.69</v>
    <v>39.585000000000001</v>
    <v>39.94</v>
    <v>41.085000000000001</v>
    <v>40.744999999999997</v>
    <v>41.36</v>
    <v>41.04</v>
    <v>41.52</v>
    <v>40.74</v>
  </a>
  <a r="1" c="763">
    <v>61.7</v>
    <v>61.53</v>
    <v>61.38</v>
    <v>57.84</v>
    <v>56.21</v>
    <v>55.58</v>
    <v>55.43</v>
    <v>55.97</v>
    <v>57.52</v>
    <v>57.9</v>
    <v>57.53</v>
    <v>56.87</v>
    <v>57.45</v>
    <v>57.29</v>
    <v>56.49</v>
    <v>56.6</v>
    <v>57.99</v>
    <v>58.69</v>
    <v>57.95</v>
    <v>58.6</v>
    <v>58.93</v>
    <v>58.16</v>
    <v>58.28</v>
    <v>58.24</v>
    <v>58.56</v>
    <v>58.36</v>
    <v>57.96</v>
    <v>59.29</v>
    <v>59.58</v>
    <v>60.14</v>
    <v>60.52</v>
    <v>61.45</v>
    <v>62.37</v>
    <v>62.34</v>
    <v>62.87</v>
    <v>63.05</v>
    <v>62.72</v>
    <v>61.74</v>
    <v>63.5</v>
    <v>64.37</v>
    <v>63.54</v>
    <v>63.21</v>
    <v>63.14</v>
    <v>62.71</v>
    <v>62.85</v>
    <v>62.67</v>
    <v>62.26</v>
    <v>62.55</v>
    <v>63.33</v>
    <v>62.2</v>
    <v>62.32</v>
    <v>62.55</v>
    <v>63.56</v>
    <v>63.8</v>
    <v>62.96</v>
    <v>62.22</v>
    <v>61.36</v>
    <v>61.42</v>
    <v>61.28</v>
    <v>59.32</v>
    <v>59.84</v>
    <v>59.11</v>
    <v>59.29</v>
    <v>60.22</v>
    <v>60.73</v>
    <v>59.75</v>
    <v>61.26</v>
    <v>61.88</v>
    <v>62.26</v>
    <v>62.85</v>
    <v>63.08</v>
    <v>64.34</v>
    <v>63.18</v>
    <v>63.96</v>
    <v>63.98</v>
    <v>65.040000000000006</v>
    <v>64.92</v>
    <v>65.650000000000006</v>
    <v>65.44</v>
    <v>65.53</v>
    <v>66.849999999999994</v>
    <v>67.38</v>
    <v>67.63</v>
    <v>66.78</v>
    <v>68.069999999999993</v>
    <v>71.27</v>
    <v>71.680000000000007</v>
    <v>71.36</v>
    <v>72.16</v>
    <v>73.400000000000006</v>
    <v>73.64</v>
    <v>74.09</v>
    <v>73.739999999999995</v>
    <v>73.760000000000005</v>
    <v>72.849999999999994</v>
    <v>72.400000000000006</v>
    <v>72.55</v>
    <v>72.400000000000006</v>
    <v>73.319999999999993</v>
    <v>72.489999999999995</v>
    <v>72.540000000000006</v>
    <v>73.099999999999994</v>
    <v>73.36</v>
    <v>74.150000000000006</v>
    <v>73.8</v>
    <v>73.34</v>
    <v>73.5</v>
    <v>73.72</v>
    <v>73.45</v>
    <v>73.52</v>
    <v>73.81</v>
    <v>73.47</v>
    <v>73.91</v>
    <v>75.27</v>
    <v>74.709999999999994</v>
    <v>76.61</v>
    <v>76.180000000000007</v>
    <v>76</v>
    <v>75.739999999999995</v>
    <v>75.37</v>
    <v>76.239999999999995</v>
    <v>74.61</v>
    <v>74.400000000000006</v>
    <v>74.81</v>
    <v>74.14</v>
    <v>74.19</v>
    <v>74.05</v>
    <v>74.02</v>
    <v>73.22</v>
    <v>74.36</v>
    <v>74.790000000000006</v>
    <v>70.94</v>
    <v>70.91</v>
    <v>71.58</v>
    <v>72.53</v>
    <v>73.3</v>
    <v>72.569999999999993</v>
    <v>68.349999999999994</v>
    <v>68.19</v>
    <v>68.36</v>
    <v>69.33</v>
    <v>69</v>
    <v>68.319999999999993</v>
    <v>68.06</v>
    <v>67.13</v>
    <v>66.81</v>
    <v>65.760000000000005</v>
    <v>65.709999999999994</v>
    <v>66.03</v>
    <v>66.290000000000006</v>
    <v>66.38</v>
    <v>65.47</v>
    <v>65.930000000000007</v>
    <v>66.400000000000006</v>
    <v>66.33</v>
    <v>65.53</v>
    <v>65.58</v>
    <v>65.78</v>
    <v>65.11</v>
    <v>65.52</v>
    <v>65.41</v>
    <v>64.819999999999993</v>
    <v>63.65</v>
    <v>63.2</v>
    <v>63.59</v>
    <v>63.52</v>
    <v>63.83</v>
    <v>64.34</v>
    <v>63.66</v>
    <v>64.540000000000006</v>
    <v>64.81</v>
    <v>64.25</v>
    <v>63.43</v>
    <v>64.569999999999993</v>
    <v>64.8</v>
    <v>64.73</v>
    <v>65.3</v>
    <v>65.94</v>
    <v>65.47</v>
    <v>65.39</v>
    <v>63.15</v>
    <v>63.95</v>
    <v>64</v>
    <v>64.78</v>
    <v>64.459999999999994</v>
    <v>63.55</v>
    <v>63.35</v>
    <v>64.400000000000006</v>
    <v>63.53</v>
    <v>64.25</v>
    <v>63.97</v>
    <v>63.46</v>
    <v>62.96</v>
    <v>63.02</v>
    <v>61.9</v>
    <v>61.63</v>
    <v>61.16</v>
    <v>59.43</v>
    <v>58.3</v>
    <v>56.92</v>
    <v>56.58</v>
    <v>57.84</v>
    <v>58.04</v>
    <v>57.81</v>
    <v>57.48</v>
    <v>57.44</v>
    <v>58.27</v>
    <v>59.59</v>
    <v>60.09</v>
    <v>60.7</v>
    <v>60.96</v>
    <v>61.86</v>
    <v>61.61</v>
    <v>62.09</v>
    <v>62.31</v>
    <v>62.56</v>
    <v>62.14</v>
    <v>62.38</v>
    <v>62.34</v>
    <v>61.96</v>
    <v>60.9</v>
    <v>59.89</v>
    <v>60.04</v>
    <v>58.45</v>
    <v>58.24</v>
    <v>55.4</v>
    <v>55.68</v>
    <v>55.67</v>
    <v>56.74</v>
    <v>56.54</v>
    <v>57.17</v>
    <v>57.61</v>
    <v>59.01</v>
    <v>54.99</v>
    <v>56.09</v>
    <v>56.83</v>
    <v>55.88</v>
    <v>57.71</v>
    <v>59.49</v>
    <v>58.04</v>
    <v>57.5</v>
    <v>57.35</v>
    <v>56.72</v>
    <v>57.32</v>
    <v>57.67</v>
    <v>56.44</v>
    <v>57</v>
    <v>57.2</v>
    <v>57.82</v>
    <v>57.76</v>
    <v>57.27</v>
    <v>56.77</v>
    <v>56.9</v>
    <v>57.3</v>
    <v>57</v>
    <v>57.38</v>
    <v>57.53</v>
    <v>58.36</v>
    <v>57.79</v>
    <v>57.43</v>
    <v>56.95</v>
    <v>56.4</v>
    <v>55.7</v>
    <v>55.95</v>
    <v>56.18</v>
    <v>55.9</v>
    <v>52.3</v>
    <v>53.77</v>
    <v>52.36</v>
    <v>52.85</v>
    <v>52.06</v>
    <v>51.44</v>
    <v>52.47</v>
    <v>52.95</v>
    <v>53.51</v>
    <v>52.87</v>
    <v>51.89</v>
    <v>51.85</v>
    <v>52.27</v>
    <v>52.83</v>
    <v>52.28</v>
    <v>52.33</v>
    <v>52.66</v>
    <v>52.96</v>
    <v>53.35</v>
    <v>52</v>
    <v>53.04</v>
    <v>53.38</v>
    <v>53.78</v>
    <v>55.52</v>
    <v>56.07</v>
    <v>55.69</v>
    <v>56.26</v>
    <v>56.53</v>
    <v>54.35</v>
    <v>54.05</v>
    <v>53.94</v>
    <v>53.47</v>
    <v>53.45</v>
    <v>52.72</v>
    <v>53.55</v>
    <v>53.8</v>
    <v>52.88</v>
    <v>52.45</v>
    <v>54.34</v>
    <v>54.32</v>
    <v>53.31</v>
    <v>53.06</v>
    <v>55.04</v>
    <v>55.45</v>
    <v>55.55</v>
    <v>56.3</v>
    <v>55.16</v>
    <v>55.09</v>
    <v>56.37</v>
    <v>56.05</v>
    <v>56.25</v>
    <v>55.82</v>
    <v>56.79</v>
    <v>57.62</v>
    <v>58.44</v>
    <v>58.74</v>
    <v>59.33</v>
    <v>58.92</v>
    <v>57.21</v>
    <v>57.34</v>
    <v>56.65</v>
    <v>57.52</v>
    <v>56.88</v>
    <v>57.55</v>
    <v>57.18</v>
    <v>58</v>
    <v>61.13</v>
    <v>61.32</v>
    <v>61.5</v>
    <v>62.21</v>
    <v>61.18</v>
    <v>59.63</v>
    <v>58.8</v>
    <v>59.65</v>
    <v>60.7</v>
    <v>61.43</v>
    <v>59.98</v>
    <v>59.77</v>
    <v>60.73</v>
    <v>57.81</v>
    <v>59.59</v>
    <v>62.3</v>
    <v>60.7</v>
    <v>61.96</v>
    <v>60.76</v>
    <v>60.5</v>
    <v>59.72</v>
    <v>59.97</v>
    <v>59.88</v>
    <v>61.28</v>
    <v>59.95</v>
    <v>58.49</v>
    <v>58.36</v>
    <v>58.65</v>
    <v>59.25</v>
    <v>58.03</v>
    <v>56.47</v>
    <v>55.75</v>
    <v>54.19</v>
    <v>54.23</v>
    <v>53.97</v>
    <v>51.76</v>
    <v>49.064999999999998</v>
    <v>49.045000000000002</v>
    <v>48.314999999999998</v>
    <v>46.62</v>
    <v>47.594999999999999</v>
    <v>48.195</v>
    <v>49.26</v>
    <v>50.14</v>
    <v>50.39</v>
    <v>50.23</v>
    <v>51.42</v>
    <v>53.01</v>
    <v>53.81</v>
    <v>54.59</v>
    <v>54.97</v>
    <v>53.94</v>
    <v>52.47</v>
    <v>53.3</v>
    <v>53.93</v>
    <v>54.12</v>
    <v>53.99</v>
    <v>50.87</v>
    <v>51.07</v>
    <v>52.86</v>
    <v>53.94</v>
    <v>53.69</v>
    <v>53.23</v>
    <v>52.5</v>
    <v>52.73</v>
    <v>53.25</v>
    <v>53.23</v>
    <v>52.64</v>
    <v>50.54</v>
    <v>51.59</v>
    <v>51.6</v>
    <v>53</v>
    <v>52.78</v>
    <v>52.59</v>
    <v>51.18</v>
    <v>51.79</v>
    <v>51.54</v>
    <v>51.56</v>
    <v>51.35</v>
    <v>51.58</v>
    <v>52.12</v>
    <v>52.03</v>
    <v>51.66</v>
    <v>50.82</v>
    <v>50.42</v>
    <v>49.524999999999999</v>
    <v>48.945</v>
    <v>48.46</v>
    <v>48.63</v>
    <v>48.46</v>
    <v>49.365000000000002</v>
    <v>48.86</v>
    <v>48.155000000000001</v>
    <v>50.49</v>
    <v>49.69</v>
    <v>49.354999999999997</v>
    <v>50.72</v>
    <v>50.59</v>
    <v>50.08</v>
    <v>49.9</v>
    <v>50.89</v>
    <v>52.26</v>
    <v>53.11</v>
    <v>53.11</v>
    <v>51.82</v>
    <v>52.59</v>
    <v>51.59</v>
    <v>51.91</v>
    <v>51.33</v>
    <v>51.54</v>
    <v>51</v>
    <v>53.94</v>
    <v>54.08</v>
    <v>55.49</v>
    <v>53.71</v>
    <v>53.21</v>
    <v>51.39</v>
    <v>50.1</v>
    <v>49.1</v>
    <v>48.77</v>
    <v>49.41</v>
    <v>49.92</v>
    <v>51.04</v>
    <v>52.12</v>
    <v>51.72</v>
    <v>52.24</v>
    <v>52.72</v>
    <v>53.12</v>
    <v>53.51</v>
    <v>52.8</v>
    <v>54.18</v>
    <v>54.07</v>
    <v>54.19</v>
    <v>55.14</v>
    <v>54.6</v>
    <v>54.02</v>
    <v>53.27</v>
    <v>53.72</v>
    <v>53.35</v>
    <v>53.74</v>
    <v>53.02</v>
    <v>53.15</v>
    <v>53.11</v>
    <v>52.92</v>
    <v>52.5</v>
    <v>51.75</v>
    <v>51.89</v>
    <v>52.06</v>
    <v>51.69</v>
    <v>51.33</v>
    <v>51.3</v>
    <v>51.01</v>
    <v>51.56</v>
    <v>51.48</v>
    <v>50.79</v>
    <v>51.97</v>
    <v>52.55</v>
    <v>52.18</v>
    <v>53.32</v>
    <v>53.89</v>
    <v>53.47</v>
    <v>54.15</v>
    <v>55.01</v>
    <v>55.41</v>
    <v>55.4</v>
    <v>55.17</v>
    <v>53.56</v>
    <v>53.17</v>
    <v>53.2</v>
    <v>53.44</v>
    <v>52.29</v>
    <v>52.36</v>
    <v>52.73</v>
    <v>53.37</v>
    <v>53.83</v>
    <v>54.17</v>
    <v>52.96</v>
    <v>53.2</v>
    <v>53.75</v>
    <v>53.99</v>
    <v>54.65</v>
    <v>57.04</v>
    <v>56.43</v>
    <v>56.21</v>
    <v>57.31</v>
    <v>56.24</v>
    <v>58.23</v>
    <v>58.19</v>
    <v>58.36</v>
    <v>58.45</v>
    <v>58.77</v>
    <v>59.44</v>
    <v>59.79</v>
    <v>59.56</v>
    <v>58.52</v>
    <v>56.53</v>
    <v>56.96</v>
    <v>56.61</v>
    <v>57.02</v>
    <v>57.49</v>
    <v>58.22</v>
    <v>57.5</v>
    <v>58.13</v>
    <v>58.16</v>
    <v>59.07</v>
    <v>59.23</v>
    <v>57.65</v>
    <v>60.42</v>
    <v>61.6</v>
    <v>61.5</v>
    <v>61.08</v>
    <v>60.74</v>
    <v>61.15</v>
    <v>61.69</v>
    <v>60.95</v>
    <v>60.53</v>
    <v>60.08</v>
    <v>59.68</v>
    <v>59.84</v>
    <v>59.44</v>
    <v>59.3</v>
    <v>59.78</v>
    <v>60.07</v>
    <v>61.93</v>
    <v>60.44</v>
    <v>61.45</v>
    <v>60.36</v>
    <v>59.96</v>
    <v>60.37</v>
    <v>59.78</v>
    <v>59.86</v>
    <v>60.7</v>
    <v>59.34</v>
    <v>58.82</v>
    <v>57.54</v>
    <v>56.85</v>
    <v>57.76</v>
    <v>58.81</v>
    <v>58.3</v>
    <v>57.92</v>
    <v>56.93</v>
    <v>57.41</v>
    <v>57.3</v>
    <v>57.79</v>
    <v>58.42</v>
    <v>58.53</v>
    <v>60.95</v>
    <v>58.99</v>
    <v>58.78</v>
    <v>58.31</v>
    <v>58.36</v>
    <v>57.95</v>
    <v>57.11</v>
    <v>57.62</v>
    <v>57.65</v>
    <v>58.86</v>
    <v>59.4</v>
    <v>58.75</v>
    <v>59.24</v>
    <v>58.3</v>
    <v>58.93</v>
    <v>58.99</v>
    <v>59</v>
    <v>59</v>
    <v>56.63</v>
    <v>55.74</v>
    <v>56.52</v>
    <v>55.65</v>
    <v>54.78</v>
    <v>54.25</v>
    <v>55.05</v>
    <v>54.89</v>
    <v>55.25</v>
    <v>54.85</v>
    <v>53.75</v>
    <v>53.71</v>
    <v>53.47</v>
    <v>51.64</v>
    <v>50.86</v>
    <v>51.93</v>
    <v>51.66</v>
    <v>52.28</v>
    <v>51.98</v>
    <v>51.63</v>
    <v>51.64</v>
    <v>52.39</v>
    <v>52.88</v>
    <v>52.71</v>
    <v>51.98</v>
    <v>54.39</v>
    <v>53.25</v>
    <v>53.88</v>
    <v>54.2</v>
    <v>54.83</v>
    <v>54.46</v>
    <v>53.35</v>
    <v>52.66</v>
    <v>52.01</v>
    <v>51.15</v>
    <v>50.5</v>
    <v>50.58</v>
    <v>49.774999999999999</v>
    <v>49.524999999999999</v>
    <v>49.03</v>
    <v>48.755000000000003</v>
    <v>49.585000000000001</v>
    <v>47.924999999999997</v>
    <v>48.19</v>
    <v>50.18</v>
    <v>50.32</v>
    <v>50.13</v>
    <v>50.26</v>
    <v>50.22</v>
    <v>50.76</v>
    <v>51.02</v>
    <v>50.35</v>
    <v>49.97</v>
    <v>49.54</v>
    <v>50.01</v>
    <v>49.76</v>
    <v>50.12</v>
    <v>50.76</v>
    <v>50.92</v>
    <v>52.51</v>
    <v>52.71</v>
    <v>52.19</v>
    <v>51.44</v>
    <v>51.67</v>
    <v>49.954999999999998</v>
    <v>49.075000000000003</v>
    <v>47.994999999999997</v>
    <v>48.354999999999997</v>
    <v>47.704999999999998</v>
    <v>47.11</v>
    <v>47.435000000000002</v>
    <v>48.015000000000001</v>
    <v>49.375</v>
    <v>48.88</v>
    <v>46.75</v>
    <v>44.6</v>
    <v>45.274999999999999</v>
    <v>45.53</v>
    <v>45.24</v>
    <v>44.405000000000001</v>
    <v>44.634999999999998</v>
    <v>43.335000000000001</v>
    <v>43.08</v>
    <v>43.92</v>
    <v>43.79</v>
    <v>44.825000000000003</v>
    <v>45.24</v>
    <v>45.405000000000001</v>
    <v>45.97</v>
    <v>44.125</v>
    <v>43.9</v>
    <v>43.99</v>
    <v>44.29</v>
    <v>45.11</v>
    <v>46.284999999999997</v>
    <v>45.86</v>
    <v>45.51</v>
    <v>45.134999999999998</v>
    <v>44.905000000000001</v>
    <v>44.85</v>
    <v>44.32</v>
    <v>44.774999999999999</v>
    <v>45.314999999999998</v>
    <v>46.62</v>
    <v>46.854999999999997</v>
    <v>47.1</v>
    <v>46.73</v>
    <v>47.95</v>
    <v>48.21</v>
    <v>47.26</v>
    <v>46.765000000000001</v>
    <v>47.085000000000001</v>
    <v>47.085000000000001</v>
    <v>46.78</v>
    <v>46.185000000000002</v>
    <v>45.44</v>
    <v>46.024999999999999</v>
    <v>45.52</v>
    <v>45.064999999999998</v>
    <v>45.024999999999999</v>
    <v>44.795000000000002</v>
    <v>45.215000000000003</v>
    <v>45.05</v>
    <v>44.92</v>
    <v>44.64</v>
    <v>45.594999999999999</v>
    <v>46.945</v>
    <v>47.22</v>
    <v>46.97</v>
    <v>46.38</v>
    <v>47.134999999999998</v>
    <v>47.685000000000002</v>
    <v>48.1</v>
    <v>47.77</v>
    <v>46.695</v>
    <v>46.854999999999997</v>
    <v>46.68</v>
    <v>46.655000000000001</v>
    <v>46.56</v>
    <v>45.365000000000002</v>
    <v>46.195</v>
    <v>43.994999999999997</v>
    <v>43.664999999999999</v>
    <v>43.47</v>
    <v>42.104999999999997</v>
    <v>41.244999999999997</v>
    <v>41.284999999999997</v>
    <v>41.43</v>
    <v>40.664999999999999</v>
    <v>40.594999999999999</v>
    <v>40.06</v>
    <v>39.725000000000001</v>
    <v>40.200000000000003</v>
    <v>40.700000000000003</v>
    <v>39.83</v>
    <v>39.024999999999999</v>
    <v>39.590000000000003</v>
    <v>39.265000000000001</v>
    <v>39.69</v>
    <v>39.585000000000001</v>
    <v>39.94</v>
    <v>41.085000000000001</v>
    <v>40.744999999999997</v>
    <v>41.36</v>
    <v>41.04</v>
    <v>41.52</v>
    <v>40.74</v>
  </a>
  <a r="1" c="254">
    <v>53.2</v>
    <v>53.75</v>
    <v>53.99</v>
    <v>54.65</v>
    <v>57.04</v>
    <v>56.43</v>
    <v>56.21</v>
    <v>57.31</v>
    <v>56.24</v>
    <v>58.23</v>
    <v>58.19</v>
    <v>58.36</v>
    <v>58.45</v>
    <v>58.77</v>
    <v>59.44</v>
    <v>59.79</v>
    <v>59.56</v>
    <v>58.52</v>
    <v>56.53</v>
    <v>56.96</v>
    <v>56.61</v>
    <v>57.02</v>
    <v>57.49</v>
    <v>58.22</v>
    <v>57.5</v>
    <v>58.13</v>
    <v>58.16</v>
    <v>59.07</v>
    <v>59.23</v>
    <v>57.65</v>
    <v>60.42</v>
    <v>61.6</v>
    <v>61.5</v>
    <v>61.08</v>
    <v>60.74</v>
    <v>61.15</v>
    <v>61.69</v>
    <v>60.95</v>
    <v>60.53</v>
    <v>60.08</v>
    <v>59.68</v>
    <v>59.84</v>
    <v>59.44</v>
    <v>59.3</v>
    <v>59.78</v>
    <v>60.07</v>
    <v>61.93</v>
    <v>60.44</v>
    <v>61.45</v>
    <v>60.36</v>
    <v>59.96</v>
    <v>60.37</v>
    <v>59.78</v>
    <v>59.86</v>
    <v>60.7</v>
    <v>59.34</v>
    <v>58.82</v>
    <v>57.54</v>
    <v>56.85</v>
    <v>57.76</v>
    <v>58.81</v>
    <v>58.3</v>
    <v>57.92</v>
    <v>56.93</v>
    <v>57.41</v>
    <v>57.3</v>
    <v>57.79</v>
    <v>58.42</v>
    <v>58.53</v>
    <v>60.95</v>
    <v>58.99</v>
    <v>58.78</v>
    <v>58.31</v>
    <v>58.36</v>
    <v>57.95</v>
    <v>57.11</v>
    <v>57.62</v>
    <v>57.65</v>
    <v>58.86</v>
    <v>59.4</v>
    <v>58.75</v>
    <v>59.24</v>
    <v>58.3</v>
    <v>58.93</v>
    <v>58.99</v>
    <v>59</v>
    <v>59</v>
    <v>56.63</v>
    <v>55.74</v>
    <v>56.52</v>
    <v>55.65</v>
    <v>54.78</v>
    <v>54.25</v>
    <v>55.05</v>
    <v>54.89</v>
    <v>55.25</v>
    <v>54.85</v>
    <v>53.75</v>
    <v>53.71</v>
    <v>53.47</v>
    <v>51.64</v>
    <v>50.86</v>
    <v>51.93</v>
    <v>51.66</v>
    <v>52.28</v>
    <v>51.98</v>
    <v>51.63</v>
    <v>51.64</v>
    <v>52.39</v>
    <v>52.88</v>
    <v>52.71</v>
    <v>51.98</v>
    <v>54.39</v>
    <v>53.25</v>
    <v>53.88</v>
    <v>54.2</v>
    <v>54.83</v>
    <v>54.46</v>
    <v>53.35</v>
    <v>52.66</v>
    <v>52.01</v>
    <v>51.15</v>
    <v>50.5</v>
    <v>50.58</v>
    <v>49.774999999999999</v>
    <v>49.524999999999999</v>
    <v>49.03</v>
    <v>48.755000000000003</v>
    <v>49.585000000000001</v>
    <v>47.924999999999997</v>
    <v>48.19</v>
    <v>50.18</v>
    <v>50.32</v>
    <v>50.13</v>
    <v>50.26</v>
    <v>50.22</v>
    <v>50.76</v>
    <v>51.02</v>
    <v>50.35</v>
    <v>49.97</v>
    <v>49.54</v>
    <v>50.01</v>
    <v>49.76</v>
    <v>50.12</v>
    <v>50.76</v>
    <v>50.92</v>
    <v>52.51</v>
    <v>52.71</v>
    <v>52.19</v>
    <v>51.44</v>
    <v>51.67</v>
    <v>49.954999999999998</v>
    <v>49.075000000000003</v>
    <v>47.994999999999997</v>
    <v>48.354999999999997</v>
    <v>47.704999999999998</v>
    <v>47.11</v>
    <v>47.435000000000002</v>
    <v>48.015000000000001</v>
    <v>49.375</v>
    <v>48.88</v>
    <v>46.75</v>
    <v>44.6</v>
    <v>45.274999999999999</v>
    <v>45.53</v>
    <v>45.24</v>
    <v>44.405000000000001</v>
    <v>44.634999999999998</v>
    <v>43.335000000000001</v>
    <v>43.08</v>
    <v>43.92</v>
    <v>43.79</v>
    <v>44.825000000000003</v>
    <v>45.24</v>
    <v>45.405000000000001</v>
    <v>45.97</v>
    <v>44.125</v>
    <v>43.9</v>
    <v>43.99</v>
    <v>44.29</v>
    <v>45.11</v>
    <v>46.284999999999997</v>
    <v>45.86</v>
    <v>45.51</v>
    <v>45.134999999999998</v>
    <v>44.905000000000001</v>
    <v>44.85</v>
    <v>44.32</v>
    <v>44.774999999999999</v>
    <v>45.314999999999998</v>
    <v>46.62</v>
    <v>46.854999999999997</v>
    <v>47.1</v>
    <v>46.73</v>
    <v>47.95</v>
    <v>48.21</v>
    <v>47.26</v>
    <v>46.765000000000001</v>
    <v>47.085000000000001</v>
    <v>47.085000000000001</v>
    <v>46.78</v>
    <v>46.185000000000002</v>
    <v>45.44</v>
    <v>46.024999999999999</v>
    <v>45.52</v>
    <v>45.064999999999998</v>
    <v>45.024999999999999</v>
    <v>44.795000000000002</v>
    <v>45.215000000000003</v>
    <v>45.05</v>
    <v>44.92</v>
    <v>44.64</v>
    <v>45.594999999999999</v>
    <v>46.945</v>
    <v>47.22</v>
    <v>46.97</v>
    <v>46.38</v>
    <v>47.134999999999998</v>
    <v>47.685000000000002</v>
    <v>48.1</v>
    <v>47.77</v>
    <v>46.695</v>
    <v>46.854999999999997</v>
    <v>46.68</v>
    <v>46.655000000000001</v>
    <v>46.56</v>
    <v>45.365000000000002</v>
    <v>46.195</v>
    <v>43.994999999999997</v>
    <v>43.664999999999999</v>
    <v>43.47</v>
    <v>42.104999999999997</v>
    <v>41.244999999999997</v>
    <v>41.284999999999997</v>
    <v>41.43</v>
    <v>40.664999999999999</v>
    <v>40.594999999999999</v>
    <v>40.06</v>
    <v>39.725000000000001</v>
    <v>40.200000000000003</v>
    <v>40.700000000000003</v>
    <v>39.83</v>
    <v>39.024999999999999</v>
    <v>39.590000000000003</v>
    <v>39.265000000000001</v>
    <v>39.69</v>
    <v>39.585000000000001</v>
    <v>39.94</v>
    <v>41.085000000000001</v>
    <v>40.744999999999997</v>
    <v>41.36</v>
    <v>41.04</v>
    <v>41.52</v>
    <v>40.74</v>
  </a>
  <a r="1" c="205">
    <v>32.47</v>
    <v>33.409999999999997</v>
    <v>34.71</v>
    <v>35.46</v>
    <v>35.46</v>
    <v>33.869999999999997</v>
    <v>31.69</v>
    <v>32.340000000000003</v>
    <v>32.200000000000003</v>
    <v>31.32</v>
    <v>31.23</v>
    <v>31.38</v>
    <v>30.47</v>
    <v>28.89</v>
    <v>30.52</v>
    <v>29.62</v>
    <v>30.28</v>
    <v>29.68</v>
    <v>28.67</v>
    <v>29.87</v>
    <v>27.09</v>
    <v>26.44</v>
    <v>25.54</v>
    <v>24.4</v>
    <v>23.48</v>
    <v>23.02</v>
    <v>19.329999999999998</v>
    <v>17.239999999999998</v>
    <v>16.690000000000001</v>
    <v>15.8</v>
    <v>16.3</v>
    <v>16.27</v>
    <v>15.84</v>
    <v>15.82</v>
    <v>15.63</v>
    <v>15.51</v>
    <v>15.46</v>
    <v>15.82</v>
    <v>15.6</v>
    <v>14.52</v>
    <v>16.48</v>
    <v>15.82</v>
    <v>16.45</v>
    <v>15.88</v>
    <v>15.74</v>
    <v>22.16</v>
    <v>23.47</v>
    <v>25.88</v>
    <v>23.84</v>
    <v>24.77</v>
    <v>24.88</v>
    <v>24.98</v>
    <v>23.15</v>
    <v>24.16</v>
    <v>22.02</v>
    <v>22.46</v>
    <v>21.34</v>
    <v>20.84</v>
    <v>20.86</v>
    <v>19.38</v>
    <v>18.78</v>
    <v>20.76</v>
    <v>19.84</v>
    <v>19.14</v>
    <v>20.329999999999998</v>
    <v>19.5</v>
    <v>19.39</v>
    <v>19.75</v>
    <v>19.43</v>
    <v>21.15</v>
    <v>21.36</v>
    <v>24.29</v>
    <v>26.99</v>
    <v>28.82</v>
    <v>31.01</v>
    <v>29.76</v>
    <v>29.01</v>
    <v>28.15</v>
    <v>30.56</v>
    <v>29.39</v>
    <v>27.91</v>
    <v>26.33</v>
    <v>27.17</v>
    <v>27.41</v>
    <v>27.27</v>
    <v>26.33</v>
    <v>26.88</v>
    <v>25.65</v>
    <v>28.27</v>
    <v>29.14</v>
    <v>25.03</v>
    <v>24.14</v>
    <v>24.24</v>
    <v>25.05</v>
    <v>22.29</v>
    <v>22.44</v>
    <v>23.04</v>
    <v>24.01</v>
    <v>23.75</v>
    <v>23.85</v>
    <v>25.2</v>
    <v>25.38</v>
    <v>26.15</v>
    <v>27.76</v>
    <v>27.51</v>
    <v>27.51</v>
    <v>28.01</v>
    <v>26.19</v>
    <v>27.17</v>
    <v>28.98</v>
    <v>27.78</v>
    <v>28.87</v>
    <v>26.82</v>
    <v>30.17</v>
    <v>31.47</v>
    <v>31.89</v>
    <v>35.47</v>
    <v>33.54</v>
    <v>32.96</v>
    <v>32.700000000000003</v>
    <v>32.71</v>
    <v>33.94</v>
    <v>33.39</v>
    <v>34.67</v>
    <v>37.57</v>
    <v>36.799999999999997</v>
    <v>38.28</v>
    <v>36.17</v>
    <v>36.07</v>
    <v>35.450000000000003</v>
    <v>34.380000000000003</v>
    <v>34.380000000000003</v>
    <v>35.15</v>
    <v>37.17</v>
    <v>33.68</v>
    <v>32.840000000000003</v>
    <v>32.700000000000003</v>
    <v>32.729999999999997</v>
    <v>31.68</v>
    <v>32.74</v>
    <v>28.09</v>
    <v>30.24</v>
    <v>29.32</v>
    <v>25</v>
    <v>27.04</v>
    <v>27.77</v>
    <v>30.82</v>
    <v>32.159999999999997</v>
    <v>31.65</v>
    <v>29.66</v>
    <v>31.59</v>
    <v>31.77</v>
    <v>30.51</v>
    <v>29.97</v>
    <v>28.77</v>
    <v>28.15</v>
    <v>28.61</v>
    <v>27.39</v>
    <v>31.09</v>
    <v>31.86</v>
    <v>33.78</v>
    <v>31.08</v>
    <v>31.75</v>
    <v>29.83</v>
    <v>31.66</v>
    <v>28.84</v>
    <v>29.58</v>
    <v>28.44</v>
    <v>28.68</v>
    <v>27.82</v>
    <v>27.71</v>
    <v>28.17</v>
    <v>27.9</v>
    <v>27.44</v>
    <v>27.51</v>
    <v>28.81</v>
    <v>27.85</v>
    <v>28</v>
    <v>27.89</v>
    <v>27.99</v>
    <v>29.35</v>
    <v>30.43</v>
    <v>28.39</v>
    <v>29.28</v>
    <v>29.42</v>
    <v>28.78</v>
    <v>28.7</v>
    <v>29.79</v>
    <v>29.3</v>
    <v>29</v>
    <v>29.67</v>
    <v>29.47</v>
    <v>29.54</v>
    <v>28.06</v>
    <v>30.92</v>
    <v>30.64</v>
    <v>29.71</v>
    <v>27.72</v>
    <v>29.38</v>
    <v>28.07</v>
    <v>28.15</v>
    <v>29.21</v>
    <v>29.21</v>
    <v>29.13</v>
    <v>27.71</v>
  </a>
  <a r="1" c="252">
    <v>48.49</v>
    <v>48.78</v>
    <v>48.23</v>
    <v>47.12</v>
    <v>46.63</v>
    <v>44.06</v>
    <v>45.46</v>
    <v>44.39</v>
    <v>42.79</v>
    <v>43.73</v>
    <v>41.52</v>
    <v>41.03</v>
    <v>41.05</v>
    <v>39.75</v>
    <v>39.020000000000003</v>
    <v>36.049999999999997</v>
    <v>36.979999999999997</v>
    <v>35.58</v>
    <v>36.26</v>
    <v>35.83</v>
    <v>33.619999999999997</v>
    <v>34.71</v>
    <v>37.78</v>
    <v>37.090000000000003</v>
    <v>38.4</v>
    <v>39.76</v>
    <v>37.51</v>
    <v>36.31</v>
    <v>37.07</v>
    <v>40.020000000000003</v>
    <v>39.200000000000003</v>
    <v>39.119999999999997</v>
    <v>39.82</v>
    <v>37.880000000000003</v>
    <v>37.770000000000003</v>
    <v>37.21</v>
    <v>36.25</v>
    <v>36.86</v>
    <v>34.97</v>
    <v>34.770000000000003</v>
    <v>35.56</v>
    <v>35.049999999999997</v>
    <v>34.799999999999997</v>
    <v>34.67</v>
    <v>34.31</v>
    <v>34.1</v>
    <v>33.04</v>
    <v>32.47</v>
    <v>33.409999999999997</v>
    <v>34.71</v>
    <v>35.46</v>
    <v>35.46</v>
    <v>33.869999999999997</v>
    <v>31.69</v>
    <v>32.340000000000003</v>
    <v>32.200000000000003</v>
    <v>31.32</v>
    <v>31.23</v>
    <v>31.38</v>
    <v>30.47</v>
    <v>28.89</v>
    <v>30.52</v>
    <v>29.62</v>
    <v>30.28</v>
    <v>29.68</v>
    <v>28.67</v>
    <v>29.87</v>
    <v>27.09</v>
    <v>26.44</v>
    <v>25.54</v>
    <v>24.4</v>
    <v>23.48</v>
    <v>23.02</v>
    <v>19.329999999999998</v>
    <v>17.239999999999998</v>
    <v>16.690000000000001</v>
    <v>15.8</v>
    <v>16.3</v>
    <v>16.27</v>
    <v>15.84</v>
    <v>15.82</v>
    <v>15.63</v>
    <v>15.51</v>
    <v>15.46</v>
    <v>15.82</v>
    <v>15.6</v>
    <v>14.52</v>
    <v>16.48</v>
    <v>15.82</v>
    <v>16.45</v>
    <v>15.88</v>
    <v>15.74</v>
    <v>22.16</v>
    <v>23.47</v>
    <v>25.88</v>
    <v>23.84</v>
    <v>24.77</v>
    <v>24.88</v>
    <v>24.98</v>
    <v>23.15</v>
    <v>24.16</v>
    <v>22.02</v>
    <v>22.46</v>
    <v>21.34</v>
    <v>20.84</v>
    <v>20.86</v>
    <v>19.38</v>
    <v>18.78</v>
    <v>20.76</v>
    <v>19.84</v>
    <v>19.14</v>
    <v>20.329999999999998</v>
    <v>19.5</v>
    <v>19.39</v>
    <v>19.75</v>
    <v>19.43</v>
    <v>21.15</v>
    <v>21.36</v>
    <v>24.29</v>
    <v>26.99</v>
    <v>28.82</v>
    <v>31.01</v>
    <v>29.76</v>
    <v>29.01</v>
    <v>28.15</v>
    <v>30.56</v>
    <v>29.39</v>
    <v>27.91</v>
    <v>26.33</v>
    <v>27.17</v>
    <v>27.41</v>
    <v>27.27</v>
    <v>26.33</v>
    <v>26.88</v>
    <v>25.65</v>
    <v>28.27</v>
    <v>29.14</v>
    <v>25.03</v>
    <v>24.14</v>
    <v>24.24</v>
    <v>25.05</v>
    <v>22.29</v>
    <v>22.44</v>
    <v>23.04</v>
    <v>24.01</v>
    <v>23.75</v>
    <v>23.85</v>
    <v>25.2</v>
    <v>25.38</v>
    <v>26.15</v>
    <v>27.76</v>
    <v>27.51</v>
    <v>27.51</v>
    <v>28.01</v>
    <v>26.19</v>
    <v>27.17</v>
    <v>28.98</v>
    <v>27.78</v>
    <v>28.87</v>
    <v>26.82</v>
    <v>30.17</v>
    <v>31.47</v>
    <v>31.89</v>
    <v>35.47</v>
    <v>33.54</v>
    <v>32.96</v>
    <v>32.700000000000003</v>
    <v>32.71</v>
    <v>33.94</v>
    <v>33.39</v>
    <v>34.67</v>
    <v>37.57</v>
    <v>36.799999999999997</v>
    <v>38.28</v>
    <v>36.17</v>
    <v>36.07</v>
    <v>35.450000000000003</v>
    <v>34.380000000000003</v>
    <v>34.380000000000003</v>
    <v>35.15</v>
    <v>37.17</v>
    <v>33.68</v>
    <v>32.840000000000003</v>
    <v>32.700000000000003</v>
    <v>32.729999999999997</v>
    <v>31.68</v>
    <v>32.74</v>
    <v>28.09</v>
    <v>30.24</v>
    <v>29.32</v>
    <v>25</v>
    <v>27.04</v>
    <v>27.77</v>
    <v>30.82</v>
    <v>32.159999999999997</v>
    <v>31.65</v>
    <v>29.66</v>
    <v>31.59</v>
    <v>31.77</v>
    <v>30.51</v>
    <v>29.97</v>
    <v>28.77</v>
    <v>28.15</v>
    <v>28.61</v>
    <v>27.39</v>
    <v>31.09</v>
    <v>31.86</v>
    <v>33.78</v>
    <v>31.08</v>
    <v>31.75</v>
    <v>29.83</v>
    <v>31.66</v>
    <v>28.84</v>
    <v>29.58</v>
    <v>28.44</v>
    <v>28.68</v>
    <v>27.82</v>
    <v>27.71</v>
    <v>28.17</v>
    <v>27.9</v>
    <v>27.44</v>
    <v>27.51</v>
    <v>28.81</v>
    <v>27.85</v>
    <v>28</v>
    <v>27.89</v>
    <v>27.99</v>
    <v>29.35</v>
    <v>30.43</v>
    <v>28.39</v>
    <v>29.28</v>
    <v>29.42</v>
    <v>28.78</v>
    <v>28.7</v>
    <v>29.79</v>
    <v>29.3</v>
    <v>29</v>
    <v>29.67</v>
    <v>29.47</v>
    <v>29.54</v>
    <v>28.06</v>
    <v>30.92</v>
    <v>30.64</v>
    <v>29.71</v>
    <v>27.72</v>
    <v>29.38</v>
    <v>28.07</v>
    <v>28.15</v>
    <v>29.21</v>
    <v>29.21</v>
    <v>29.13</v>
    <v>27.71</v>
  </a>
  <a r="1" c="754">
    <v>6.19</v>
    <v>6.26</v>
    <v>6.16</v>
    <v>6.08</v>
    <v>5.78</v>
    <v>5.78</v>
    <v>5.98</v>
    <v>5.89</v>
    <v>6.08</v>
    <v>6.48</v>
    <v>6.28</v>
    <v>6.97</v>
    <v>7.02</v>
    <v>6.63</v>
    <v>6.81</v>
    <v>7</v>
    <v>7.36</v>
    <v>7.71</v>
    <v>7.71</v>
    <v>7.47</v>
    <v>7.74</v>
    <v>7.58</v>
    <v>8.09</v>
    <v>8.2200000000000006</v>
    <v>8.27</v>
    <v>8.4</v>
    <v>8.7100000000000009</v>
    <v>8.89</v>
    <v>8.83</v>
    <v>8.89</v>
    <v>8.84</v>
    <v>8.9</v>
    <v>8.7200000000000006</v>
    <v>8.64</v>
    <v>8.8000000000000007</v>
    <v>8.44</v>
    <v>8.68</v>
    <v>8.7100000000000009</v>
    <v>8.4499999999999993</v>
    <v>8.64</v>
    <v>8.75</v>
    <v>8.34</v>
    <v>8.6</v>
    <v>8.59</v>
    <v>8.69</v>
    <v>8.92</v>
    <v>9.0299999999999994</v>
    <v>8.9</v>
    <v>9.64</v>
    <v>9.0500000000000007</v>
    <v>8.4700000000000006</v>
    <v>8.35</v>
    <v>8.81</v>
    <v>8.5399999999999991</v>
    <v>8.6300000000000008</v>
    <v>8.76</v>
    <v>8.57</v>
    <v>8.4600000000000009</v>
    <v>8.41</v>
    <v>8.42</v>
    <v>8.32</v>
    <v>8.69</v>
    <v>8.75</v>
    <v>8.94</v>
    <v>9.09</v>
    <v>8.82</v>
    <v>9.02</v>
    <v>8.86</v>
    <v>8.58</v>
    <v>8.91</v>
    <v>8.8699999999999992</v>
    <v>8.56</v>
    <v>9.42</v>
    <v>9.44</v>
    <v>9.85</v>
    <v>9.8699999999999992</v>
    <v>9.9499999999999993</v>
    <v>9.48</v>
    <v>9.99</v>
    <v>10.050000000000001</v>
    <v>10.029999999999999</v>
    <v>9.61</v>
    <v>9.41</v>
    <v>9.4499999999999993</v>
    <v>9.52</v>
    <v>10.25</v>
    <v>13.43</v>
    <v>13.33</v>
    <v>13.04</v>
    <v>13.12</v>
    <v>14.7</v>
    <v>14.24</v>
    <v>14</v>
    <v>14.35</v>
    <v>14.26</v>
    <v>14.47</v>
    <v>14.62</v>
    <v>15.12</v>
    <v>14.4</v>
    <v>14.63</v>
    <v>15.68</v>
    <v>15.64</v>
    <v>16.48</v>
    <v>16.73</v>
    <v>16.329999999999998</v>
    <v>16.309999999999999</v>
    <v>15.82</v>
    <v>15.74</v>
    <v>15.47</v>
    <v>15.66</v>
    <v>14.99</v>
    <v>15.51</v>
    <v>14.68</v>
    <v>14.51</v>
    <v>14.88</v>
    <v>14.55</v>
    <v>14.55</v>
    <v>14.6</v>
    <v>13.96</v>
    <v>13.22</v>
    <v>12.69</v>
    <v>12.41</v>
    <v>12.34</v>
    <v>11.9</v>
    <v>11.88</v>
    <v>12.33</v>
    <v>12.34</v>
    <v>12.27</v>
    <v>12.5</v>
    <v>12.55</v>
    <v>12.53</v>
    <v>12.51</v>
    <v>12.24</v>
    <v>11.26</v>
    <v>11.65</v>
    <v>12.35</v>
    <v>12.15</v>
    <v>12.92</v>
    <v>12.29</v>
    <v>12.89</v>
    <v>13.74</v>
    <v>13.84</v>
    <v>14.04</v>
    <v>14.57</v>
    <v>18.600000000000001</v>
    <v>17.559999999999999</v>
    <v>16.170000000000002</v>
    <v>15.83</v>
    <v>16.88</v>
    <v>19.100000000000001</v>
    <v>19.579999999999998</v>
    <v>20.37</v>
    <v>19.420000000000002</v>
    <v>20.49</v>
    <v>20.83</v>
    <v>21.75</v>
    <v>21.57</v>
    <v>20.79</v>
    <v>21.62</v>
    <v>22.04</v>
    <v>23.68</v>
    <v>24.37</v>
    <v>23.75</v>
    <v>24.15</v>
    <v>24.79</v>
    <v>22.39</v>
    <v>22.15</v>
    <v>22.15</v>
    <v>23.16</v>
    <v>21.56</v>
    <v>20.02</v>
    <v>20.190000000000001</v>
    <v>21.42</v>
    <v>21.21</v>
    <v>20.49</v>
    <v>20.78</v>
    <v>20.51</v>
    <v>20.69</v>
    <v>20.21</v>
    <v>21.05</v>
    <v>21.72</v>
    <v>22.84</v>
    <v>23.11</v>
    <v>21.99</v>
    <v>20.37</v>
    <v>19.420000000000002</v>
    <v>20.34</v>
    <v>22.77</v>
    <v>22.51</v>
    <v>23.25</v>
    <v>21.77</v>
    <v>21.71</v>
    <v>21.2</v>
    <v>21.24</v>
    <v>18.510000000000002</v>
    <v>17.579999999999998</v>
    <v>17.84</v>
    <v>16.88</v>
    <v>16.04</v>
    <v>15.85</v>
    <v>15.96</v>
    <v>15.97</v>
    <v>15.98</v>
    <v>15.43</v>
    <v>15.71</v>
    <v>15.58</v>
    <v>16.559999999999999</v>
    <v>16.53</v>
    <v>16.57</v>
    <v>16.46</v>
    <v>16.73</v>
    <v>16.05</v>
    <v>14.84</v>
    <v>14.64</v>
    <v>14.73</v>
    <v>14.73</v>
    <v>14.5</v>
    <v>14.61</v>
    <v>14.43</v>
    <v>13.65</v>
    <v>13.97</v>
    <v>14.53</v>
    <v>15.27</v>
    <v>15.82</v>
    <v>16.57</v>
    <v>16.28</v>
    <v>16.100000000000001</v>
    <v>16.309999999999999</v>
    <v>16.920000000000002</v>
    <v>16.3</v>
    <v>16.440000000000001</v>
    <v>17.27</v>
    <v>17.260000000000002</v>
    <v>17.71</v>
    <v>17.77</v>
    <v>18.420000000000002</v>
    <v>19.309999999999999</v>
    <v>18.95</v>
    <v>17.13</v>
    <v>17.66</v>
    <v>19.440000000000001</v>
    <v>18.75</v>
    <v>18.73</v>
    <v>17.850000000000001</v>
    <v>18.690000000000001</v>
    <v>20.5</v>
    <v>22.8</v>
    <v>22.36</v>
    <v>21.56</v>
    <v>22.15</v>
    <v>23.05</v>
    <v>23.59</v>
    <v>21.38</v>
    <v>21.52</v>
    <v>21.73</v>
    <v>23.08</v>
    <v>22.24</v>
    <v>19.04</v>
    <v>18.829999999999998</v>
    <v>20.36</v>
    <v>20.76</v>
    <v>20.64</v>
    <v>23.42</v>
    <v>23.62</v>
    <v>23.41</v>
    <v>27.88</v>
    <v>26.69</v>
    <v>27.6</v>
    <v>20.85</v>
    <v>19.32</v>
    <v>20.99</v>
    <v>23.53</v>
    <v>21.79</v>
    <v>24.15</v>
    <v>25.33</v>
    <v>31.35</v>
    <v>30.68</v>
    <v>30.34</v>
    <v>32.22</v>
    <v>30.85</v>
    <v>32.21</v>
    <v>33.92</v>
    <v>31.6</v>
    <v>34.229999999999997</v>
    <v>32.630000000000003</v>
    <v>30.87</v>
    <v>30.19</v>
    <v>30.09</v>
    <v>30.02</v>
    <v>31.25</v>
    <v>31.12</v>
    <v>28.55</v>
    <v>26.36</v>
    <v>26.2</v>
    <v>27.6</v>
    <v>28.15</v>
    <v>28.49</v>
    <v>26.56</v>
    <v>25.17</v>
    <v>24.18</v>
    <v>25.2</v>
    <v>26.63</v>
    <v>26.9</v>
    <v>27.67</v>
    <v>25.73</v>
    <v>25.41</v>
    <v>25.9</v>
    <v>26.21</v>
    <v>27.86</v>
    <v>27.94</v>
    <v>27.85</v>
    <v>29.81</v>
    <v>29.72</v>
    <v>30.89</v>
    <v>30.87</v>
    <v>30.51</v>
    <v>31.54</v>
    <v>31.86</v>
    <v>33.96</v>
    <v>37.28</v>
    <v>38.93</v>
    <v>41.85</v>
    <v>42.2</v>
    <v>40.47</v>
    <v>42.55</v>
    <v>44.77</v>
    <v>43.58</v>
    <v>46.34</v>
    <v>59.18</v>
    <v>60.47</v>
    <v>58.5</v>
    <v>68.739999999999995</v>
    <v>66.41</v>
    <v>49.28</v>
    <v>51.31</v>
    <v>39.86</v>
    <v>41.89</v>
    <v>41.34</v>
    <v>45.09</v>
    <v>40.68</v>
    <v>40.49</v>
    <v>40.89</v>
    <v>34.39</v>
    <v>35.950000000000003</v>
    <v>34.47</v>
    <v>34.71</v>
    <v>33.93</v>
    <v>31.54</v>
    <v>33.14</v>
    <v>34.69</v>
    <v>31.49</v>
    <v>33.880000000000003</v>
    <v>32.869999999999997</v>
    <v>34.75</v>
    <v>37.409999999999997</v>
    <v>37.04</v>
    <v>33.36</v>
    <v>31.92</v>
    <v>29.14</v>
    <v>29.55</v>
    <v>31.05</v>
    <v>31.22</v>
    <v>27.99</v>
    <v>25.99</v>
    <v>27.77</v>
    <v>26.1</v>
    <v>29.49</v>
    <v>26.81</v>
    <v>27.23</v>
    <v>28.31</v>
    <v>29.46</v>
    <v>26.95</v>
    <v>27.23</v>
    <v>25.84</v>
    <v>25.35</v>
    <v>26.71</v>
    <v>28.14</v>
    <v>28.09</v>
    <v>28.48</v>
    <v>35.04</v>
    <v>33.1</v>
    <v>36.159999999999997</v>
    <v>40.82</v>
    <v>41.88</v>
    <v>49.47</v>
    <v>52.35</v>
    <v>51.4</v>
    <v>51.96</v>
    <v>55.21</v>
    <v>64</v>
    <v>61.12</v>
    <v>58.58</v>
    <v>64.650000000000006</v>
    <v>62.34</v>
    <v>61.21</v>
    <v>58</v>
    <v>53.52</v>
    <v>54.83</v>
    <v>53.36</v>
    <v>53.34</v>
    <v>52.4</v>
    <v>56.56</v>
    <v>56.77</v>
    <v>54.73</v>
    <v>53.61</v>
    <v>52.77</v>
    <v>56.33</v>
    <v>56.86</v>
    <v>55.25</v>
    <v>57.56</v>
    <v>57.15</v>
    <v>55.48</v>
    <v>59.78</v>
    <v>59.24</v>
    <v>61.07</v>
    <v>64.22</v>
    <v>41.98</v>
    <v>42.95</v>
    <v>41.41</v>
    <v>46.28</v>
    <v>49.41</v>
    <v>49.85</v>
    <v>47.96</v>
    <v>47.46</v>
    <v>47.98</v>
    <v>48.42</v>
    <v>48.96</v>
    <v>51.24</v>
    <v>50.27</v>
    <v>47.89</v>
    <v>52.03</v>
    <v>50.46</v>
    <v>51.85</v>
    <v>49.99</v>
    <v>50.38</v>
    <v>47.6</v>
    <v>50.01</v>
    <v>58.02</v>
    <v>57.32</v>
    <v>57.65</v>
    <v>58.68</v>
    <v>60.27</v>
    <v>65.53</v>
    <v>66.180000000000007</v>
    <v>62.55</v>
    <v>63.35</v>
    <v>55.52</v>
    <v>51.13</v>
    <v>51.05</v>
    <v>51.94</v>
    <v>49.98</v>
    <v>47.96</v>
    <v>48.33</v>
    <v>47.13</v>
    <v>46.02</v>
    <v>45.1</v>
    <v>42.18</v>
    <v>43.38</v>
    <v>43.96</v>
    <v>44.57</v>
    <v>42.99</v>
    <v>45.35</v>
    <v>44.01</v>
    <v>44.12</v>
    <v>42.35</v>
    <v>41.53</v>
    <v>44.46</v>
    <v>48.11</v>
    <v>48.41</v>
    <v>49.64</v>
    <v>47.79</v>
    <v>47.78</v>
    <v>51.76</v>
    <v>55.5</v>
    <v>53.96</v>
    <v>50.89</v>
    <v>50.35</v>
    <v>56.2</v>
    <v>57.82</v>
    <v>57.7</v>
    <v>56</v>
    <v>53.25</v>
    <v>54.87</v>
    <v>58.4</v>
    <v>59.12</v>
    <v>56.72</v>
    <v>56.31</v>
    <v>57.87</v>
    <v>52.54</v>
    <v>54.76</v>
    <v>57.97</v>
    <v>58.17</v>
    <v>58.25</v>
    <v>53.95</v>
    <v>54.73</v>
    <v>54.02</v>
    <v>62.76</v>
    <v>59.15</v>
    <v>49.78</v>
    <v>51.36</v>
    <v>49.36</v>
    <v>47.46</v>
    <v>48.49</v>
    <v>48.78</v>
    <v>48.23</v>
    <v>47.12</v>
    <v>46.63</v>
    <v>44.06</v>
    <v>45.46</v>
    <v>44.39</v>
    <v>42.79</v>
    <v>43.73</v>
    <v>41.52</v>
    <v>41.03</v>
    <v>41.05</v>
    <v>39.75</v>
    <v>39.020000000000003</v>
    <v>36.049999999999997</v>
    <v>36.979999999999997</v>
    <v>35.58</v>
    <v>36.26</v>
    <v>35.83</v>
    <v>33.619999999999997</v>
    <v>34.71</v>
    <v>37.78</v>
    <v>37.090000000000003</v>
    <v>38.4</v>
    <v>39.76</v>
    <v>37.51</v>
    <v>36.31</v>
    <v>37.07</v>
    <v>40.020000000000003</v>
    <v>39.200000000000003</v>
    <v>39.119999999999997</v>
    <v>39.82</v>
    <v>37.880000000000003</v>
    <v>37.770000000000003</v>
    <v>37.21</v>
    <v>36.25</v>
    <v>36.86</v>
    <v>34.97</v>
    <v>34.770000000000003</v>
    <v>35.56</v>
    <v>35.049999999999997</v>
    <v>34.799999999999997</v>
    <v>34.67</v>
    <v>34.31</v>
    <v>34.1</v>
    <v>33.04</v>
    <v>32.47</v>
    <v>33.409999999999997</v>
    <v>34.71</v>
    <v>35.46</v>
    <v>35.46</v>
    <v>33.869999999999997</v>
    <v>31.69</v>
    <v>32.340000000000003</v>
    <v>32.200000000000003</v>
    <v>31.32</v>
    <v>31.23</v>
    <v>31.38</v>
    <v>30.47</v>
    <v>28.89</v>
    <v>30.52</v>
    <v>29.62</v>
    <v>30.28</v>
    <v>29.68</v>
    <v>28.67</v>
    <v>29.87</v>
    <v>27.09</v>
    <v>26.44</v>
    <v>25.54</v>
    <v>24.4</v>
    <v>23.48</v>
    <v>23.02</v>
    <v>19.329999999999998</v>
    <v>17.239999999999998</v>
    <v>16.690000000000001</v>
    <v>15.8</v>
    <v>16.3</v>
    <v>16.27</v>
    <v>15.84</v>
    <v>15.82</v>
    <v>15.63</v>
    <v>15.51</v>
    <v>15.46</v>
    <v>15.82</v>
    <v>15.6</v>
    <v>14.52</v>
    <v>16.48</v>
    <v>15.82</v>
    <v>16.45</v>
    <v>15.88</v>
    <v>15.74</v>
    <v>22.16</v>
    <v>23.47</v>
    <v>25.88</v>
    <v>23.84</v>
    <v>24.77</v>
    <v>24.88</v>
    <v>24.98</v>
    <v>23.15</v>
    <v>24.16</v>
    <v>22.02</v>
    <v>22.46</v>
    <v>21.34</v>
    <v>20.84</v>
    <v>20.86</v>
    <v>19.38</v>
    <v>18.78</v>
    <v>20.76</v>
    <v>19.84</v>
    <v>19.14</v>
    <v>20.329999999999998</v>
    <v>19.5</v>
    <v>19.39</v>
    <v>19.75</v>
    <v>19.43</v>
    <v>21.15</v>
    <v>21.36</v>
    <v>24.29</v>
    <v>26.99</v>
    <v>28.82</v>
    <v>31.01</v>
    <v>29.76</v>
    <v>29.01</v>
    <v>28.15</v>
    <v>30.56</v>
    <v>29.39</v>
    <v>27.91</v>
    <v>26.33</v>
    <v>27.17</v>
    <v>27.41</v>
    <v>27.27</v>
    <v>26.33</v>
    <v>26.88</v>
    <v>25.65</v>
    <v>28.27</v>
    <v>29.14</v>
    <v>25.03</v>
    <v>24.14</v>
    <v>24.24</v>
    <v>25.05</v>
    <v>22.29</v>
    <v>22.44</v>
    <v>23.04</v>
    <v>24.01</v>
    <v>23.75</v>
    <v>23.85</v>
    <v>25.2</v>
    <v>25.38</v>
    <v>26.15</v>
    <v>27.76</v>
    <v>27.51</v>
    <v>27.51</v>
    <v>28.01</v>
    <v>26.19</v>
    <v>27.17</v>
    <v>28.98</v>
    <v>27.78</v>
    <v>28.87</v>
    <v>26.82</v>
    <v>30.17</v>
    <v>31.47</v>
    <v>31.89</v>
    <v>35.47</v>
    <v>33.54</v>
    <v>32.96</v>
    <v>32.700000000000003</v>
    <v>32.71</v>
    <v>33.94</v>
    <v>33.39</v>
    <v>34.67</v>
    <v>37.57</v>
    <v>36.799999999999997</v>
    <v>38.28</v>
    <v>36.17</v>
    <v>36.07</v>
    <v>35.450000000000003</v>
    <v>34.380000000000003</v>
    <v>34.380000000000003</v>
    <v>35.15</v>
    <v>37.17</v>
    <v>33.68</v>
    <v>32.840000000000003</v>
    <v>32.700000000000003</v>
    <v>32.729999999999997</v>
    <v>31.68</v>
    <v>32.74</v>
    <v>28.09</v>
    <v>30.24</v>
    <v>29.32</v>
    <v>25</v>
    <v>27.04</v>
    <v>27.77</v>
    <v>30.82</v>
    <v>32.159999999999997</v>
    <v>31.65</v>
    <v>29.66</v>
    <v>31.59</v>
    <v>31.77</v>
    <v>30.51</v>
    <v>29.97</v>
    <v>28.77</v>
    <v>28.15</v>
    <v>28.61</v>
    <v>27.39</v>
    <v>31.09</v>
    <v>31.86</v>
    <v>33.78</v>
    <v>31.08</v>
    <v>31.75</v>
    <v>29.83</v>
    <v>31.66</v>
    <v>28.84</v>
    <v>29.58</v>
    <v>28.44</v>
    <v>28.68</v>
    <v>27.82</v>
    <v>27.71</v>
    <v>28.17</v>
    <v>27.9</v>
    <v>27.44</v>
    <v>27.51</v>
    <v>28.81</v>
    <v>27.85</v>
    <v>28</v>
    <v>27.89</v>
    <v>27.99</v>
    <v>29.35</v>
    <v>30.43</v>
    <v>28.39</v>
    <v>29.28</v>
    <v>29.42</v>
    <v>28.78</v>
    <v>28.7</v>
    <v>29.79</v>
    <v>29.3</v>
    <v>29</v>
    <v>29.67</v>
    <v>29.47</v>
    <v>29.54</v>
    <v>28.06</v>
    <v>30.92</v>
    <v>30.64</v>
    <v>29.71</v>
    <v>27.72</v>
    <v>29.38</v>
    <v>28.07</v>
    <v>28.15</v>
    <v>29.21</v>
    <v>29.21</v>
    <v>29.13</v>
    <v>27.71</v>
  </a>
  <a r="1" c="209">
    <v>269.89999999999998</v>
    <v>265.5</v>
    <v>263.39999999999998</v>
    <v>277.2</v>
    <v>272.5</v>
    <v>272.7</v>
    <v>277.89999999999998</v>
    <v>276</v>
    <v>278</v>
    <v>279.39999999999998</v>
    <v>282</v>
    <v>271</v>
    <v>266.2</v>
    <v>267.2</v>
    <v>267.8</v>
    <v>268</v>
    <v>265.10000000000002</v>
    <v>257.3</v>
    <v>257</v>
    <v>253.3</v>
    <v>254.6</v>
    <v>257.89999999999998</v>
    <v>256.7</v>
    <v>255.9</v>
    <v>260.60000000000002</v>
    <v>258.60000000000002</v>
    <v>255.1</v>
    <v>254.8</v>
    <v>250.5</v>
    <v>250.8</v>
    <v>261.3</v>
    <v>258.3</v>
    <v>245.7</v>
    <v>243.1</v>
    <v>236.1</v>
    <v>233</v>
    <v>238.2</v>
    <v>236</v>
    <v>234.5</v>
    <v>237.1</v>
    <v>239.3</v>
    <v>225.2</v>
    <v>219.3</v>
    <v>214.4</v>
    <v>219.3</v>
    <v>215.9</v>
    <v>212.8</v>
    <v>208.3</v>
    <v>213</v>
    <v>210</v>
    <v>210.8</v>
    <v>204.7</v>
    <v>203.9</v>
    <v>203</v>
    <v>203.1</v>
    <v>198.7</v>
    <v>194.75</v>
    <v>193.05</v>
    <v>192.75</v>
    <v>194.65</v>
    <v>194.3</v>
    <v>194.8</v>
    <v>197.7</v>
    <v>198.4</v>
    <v>193.95</v>
    <v>191.25</v>
    <v>190.2</v>
    <v>200.7</v>
    <v>197.3</v>
    <v>199.25</v>
    <v>197.05</v>
    <v>204.7</v>
    <v>204.6</v>
    <v>206.9</v>
    <v>215.7</v>
    <v>206.5</v>
    <v>206.7</v>
    <v>201.5</v>
    <v>191.8</v>
    <v>185.7</v>
    <v>186.45</v>
    <v>182.7</v>
    <v>180.6</v>
    <v>181.25</v>
    <v>173.25</v>
    <v>171.5</v>
    <v>176.7</v>
    <v>176.3</v>
    <v>171.4</v>
    <v>167</v>
    <v>165.9</v>
    <v>170.45</v>
    <v>173.2</v>
    <v>173.25</v>
    <v>174.2</v>
    <v>176</v>
    <v>176.7</v>
    <v>175.4</v>
    <v>173.25</v>
    <v>175.1</v>
    <v>172.1</v>
    <v>174.65</v>
    <v>174.8</v>
    <v>175.15</v>
    <v>172.8</v>
    <v>171.1</v>
    <v>169.75</v>
    <v>176.25</v>
    <v>174.05</v>
    <v>173.15</v>
    <v>179.7</v>
    <v>178.6</v>
    <v>178.75</v>
    <v>182.7</v>
    <v>184.05</v>
    <v>183.55</v>
    <v>174.75</v>
    <v>177.6</v>
    <v>173.55</v>
    <v>168.5</v>
    <v>168.15</v>
    <v>168.6</v>
    <v>166.1</v>
    <v>168.65</v>
    <v>163.5</v>
    <v>164.05</v>
    <v>173</v>
    <v>175.35</v>
    <v>172.2</v>
    <v>172.6</v>
    <v>175.9</v>
    <v>169.35</v>
    <v>171.65</v>
    <v>171.4</v>
    <v>169.4</v>
    <v>165.15</v>
    <v>168.2</v>
    <v>169.5</v>
    <v>166.7</v>
    <v>168.25</v>
    <v>165.95</v>
    <v>164.4</v>
    <v>161.9</v>
    <v>163.5</v>
    <v>165.4</v>
    <v>168.65</v>
    <v>165.1</v>
    <v>163.6</v>
    <v>164.05</v>
    <v>169.6</v>
    <v>170.5</v>
    <v>171.45</v>
    <v>171.3</v>
    <v>172.3</v>
    <v>171.25</v>
    <v>171.75</v>
    <v>164.4</v>
    <v>163.75</v>
    <v>162.55000000000001</v>
    <v>159.80000000000001</v>
    <v>163.9</v>
    <v>163.44999999999999</v>
    <v>161.19999999999999</v>
    <v>163.19999999999999</v>
    <v>161.69999999999999</v>
    <v>159.15</v>
    <v>159.19999999999999</v>
    <v>157.5</v>
    <v>161.35</v>
    <v>160.35</v>
    <v>159.55000000000001</v>
    <v>158.69999999999999</v>
    <v>152.94999999999999</v>
    <v>149.80000000000001</v>
    <v>148.55000000000001</v>
    <v>149.6</v>
    <v>149</v>
    <v>145.85</v>
    <v>146.4</v>
    <v>147.69999999999999</v>
    <v>144.4</v>
    <v>145.1</v>
    <v>141.44999999999999</v>
    <v>139</v>
    <v>141.25</v>
    <v>144.5</v>
    <v>149.94999999999999</v>
    <v>144.69999999999999</v>
    <v>143.9</v>
    <v>146.1</v>
    <v>144.6</v>
    <v>145.6</v>
    <v>144.6</v>
    <v>142.80000000000001</v>
    <v>144.5</v>
    <v>146.69999999999999</v>
    <v>146.65</v>
    <v>143</v>
    <v>146.35</v>
    <v>146.75</v>
    <v>146.30000000000001</v>
    <v>148.1</v>
    <v>148.69999999999999</v>
    <v>154.4</v>
    <v>152.05000000000001</v>
    <v>150.5</v>
    <v>173.8</v>
    <v>177.15</v>
    <v>181.2</v>
  </a>
  <a r="1" c="256">
    <v>312.10000000000002</v>
    <v>313.39999999999998</v>
    <v>316.5</v>
    <v>317.5</v>
    <v>318.3</v>
    <v>319.5</v>
    <v>317.3</v>
    <v>317</v>
    <v>316.39999999999998</v>
    <v>316.3</v>
    <v>312.7</v>
    <v>308.39999999999998</v>
    <v>311.8</v>
    <v>315.39999999999998</v>
    <v>320.7</v>
    <v>319.89999999999998</v>
    <v>318.89999999999998</v>
    <v>315.60000000000002</v>
    <v>311.39999999999998</v>
    <v>308.7</v>
    <v>311.2</v>
    <v>306</v>
    <v>303.7</v>
    <v>308.7</v>
    <v>313.10000000000002</v>
    <v>313.10000000000002</v>
    <v>308.7</v>
    <v>307</v>
    <v>307.39999999999998</v>
    <v>308.8</v>
    <v>303.2</v>
    <v>302.60000000000002</v>
    <v>303.2</v>
    <v>286.3</v>
    <v>285</v>
    <v>284.89999999999998</v>
    <v>282.10000000000002</v>
    <v>282.5</v>
    <v>278.2</v>
    <v>273.7</v>
    <v>276.3</v>
    <v>274.8</v>
    <v>272.60000000000002</v>
    <v>270.10000000000002</v>
    <v>270.10000000000002</v>
    <v>271.2</v>
    <v>270.8</v>
    <v>269.89999999999998</v>
    <v>265.5</v>
    <v>263.39999999999998</v>
    <v>277.2</v>
    <v>272.5</v>
    <v>272.7</v>
    <v>277.89999999999998</v>
    <v>276</v>
    <v>278</v>
    <v>279.39999999999998</v>
    <v>282</v>
    <v>271</v>
    <v>266.2</v>
    <v>267.2</v>
    <v>267.8</v>
    <v>268</v>
    <v>265.10000000000002</v>
    <v>257.3</v>
    <v>257</v>
    <v>253.3</v>
    <v>254.6</v>
    <v>257.89999999999998</v>
    <v>256.7</v>
    <v>255.9</v>
    <v>260.60000000000002</v>
    <v>258.60000000000002</v>
    <v>255.1</v>
    <v>254.8</v>
    <v>250.5</v>
    <v>250.8</v>
    <v>261.3</v>
    <v>258.3</v>
    <v>245.7</v>
    <v>243.1</v>
    <v>236.1</v>
    <v>233</v>
    <v>238.2</v>
    <v>236</v>
    <v>234.5</v>
    <v>237.1</v>
    <v>239.3</v>
    <v>225.2</v>
    <v>219.3</v>
    <v>214.4</v>
    <v>219.3</v>
    <v>215.9</v>
    <v>212.8</v>
    <v>208.3</v>
    <v>213</v>
    <v>210</v>
    <v>210.8</v>
    <v>204.7</v>
    <v>203.9</v>
    <v>203</v>
    <v>203.1</v>
    <v>198.7</v>
    <v>194.75</v>
    <v>193.05</v>
    <v>192.75</v>
    <v>194.65</v>
    <v>194.3</v>
    <v>194.8</v>
    <v>197.7</v>
    <v>198.4</v>
    <v>193.95</v>
    <v>191.25</v>
    <v>190.2</v>
    <v>200.7</v>
    <v>197.3</v>
    <v>199.25</v>
    <v>197.05</v>
    <v>204.7</v>
    <v>204.6</v>
    <v>206.9</v>
    <v>215.7</v>
    <v>206.5</v>
    <v>206.7</v>
    <v>201.5</v>
    <v>191.8</v>
    <v>185.7</v>
    <v>186.45</v>
    <v>182.7</v>
    <v>180.6</v>
    <v>181.25</v>
    <v>173.25</v>
    <v>171.5</v>
    <v>176.7</v>
    <v>176.3</v>
    <v>171.4</v>
    <v>167</v>
    <v>165.9</v>
    <v>170.45</v>
    <v>173.2</v>
    <v>173.25</v>
    <v>174.2</v>
    <v>176</v>
    <v>176.7</v>
    <v>175.4</v>
    <v>173.25</v>
    <v>175.1</v>
    <v>172.1</v>
    <v>174.65</v>
    <v>174.8</v>
    <v>175.15</v>
    <v>172.8</v>
    <v>171.1</v>
    <v>169.75</v>
    <v>176.25</v>
    <v>174.05</v>
    <v>173.15</v>
    <v>179.7</v>
    <v>178.6</v>
    <v>178.75</v>
    <v>182.7</v>
    <v>184.05</v>
    <v>183.55</v>
    <v>174.75</v>
    <v>177.6</v>
    <v>173.55</v>
    <v>168.5</v>
    <v>168.15</v>
    <v>168.6</v>
    <v>166.1</v>
    <v>168.65</v>
    <v>163.5</v>
    <v>164.05</v>
    <v>173</v>
    <v>175.35</v>
    <v>172.2</v>
    <v>172.6</v>
    <v>175.9</v>
    <v>169.35</v>
    <v>171.65</v>
    <v>171.4</v>
    <v>169.4</v>
    <v>165.15</v>
    <v>168.2</v>
    <v>169.5</v>
    <v>166.7</v>
    <v>168.25</v>
    <v>165.95</v>
    <v>164.4</v>
    <v>161.9</v>
    <v>163.5</v>
    <v>165.4</v>
    <v>168.65</v>
    <v>165.1</v>
    <v>163.6</v>
    <v>164.05</v>
    <v>169.6</v>
    <v>170.5</v>
    <v>171.45</v>
    <v>171.3</v>
    <v>172.3</v>
    <v>171.25</v>
    <v>171.75</v>
    <v>164.4</v>
    <v>163.75</v>
    <v>162.55000000000001</v>
    <v>159.80000000000001</v>
    <v>163.9</v>
    <v>163.44999999999999</v>
    <v>161.19999999999999</v>
    <v>163.19999999999999</v>
    <v>161.69999999999999</v>
    <v>159.15</v>
    <v>159.19999999999999</v>
    <v>157.5</v>
    <v>161.35</v>
    <v>160.35</v>
    <v>159.55000000000001</v>
    <v>158.69999999999999</v>
    <v>152.94999999999999</v>
    <v>149.80000000000001</v>
    <v>148.55000000000001</v>
    <v>149.6</v>
    <v>149</v>
    <v>145.85</v>
    <v>146.4</v>
    <v>147.69999999999999</v>
    <v>144.4</v>
    <v>145.1</v>
    <v>141.44999999999999</v>
    <v>139</v>
    <v>141.25</v>
    <v>144.5</v>
    <v>149.94999999999999</v>
    <v>144.69999999999999</v>
    <v>143.9</v>
    <v>146.1</v>
    <v>144.6</v>
    <v>145.6</v>
    <v>144.6</v>
    <v>142.80000000000001</v>
    <v>144.5</v>
    <v>146.69999999999999</v>
    <v>146.65</v>
    <v>143</v>
    <v>146.35</v>
    <v>146.75</v>
    <v>146.30000000000001</v>
    <v>148.1</v>
    <v>148.69999999999999</v>
    <v>154.4</v>
    <v>152.05000000000001</v>
    <v>150.5</v>
    <v>173.8</v>
    <v>177.15</v>
    <v>181.2</v>
  </a>
  <a r="1" c="767">
    <v>165.5</v>
    <v>167.44</v>
    <v>168.58</v>
    <v>165.7</v>
    <v>168.02</v>
    <v>168.28</v>
    <v>170.64</v>
    <v>171.42</v>
    <v>175.58</v>
    <v>174.24</v>
    <v>172.66</v>
    <v>172.9</v>
    <v>174</v>
    <v>175.44</v>
    <v>174.9</v>
    <v>176.76</v>
    <v>179.98</v>
    <v>178.18</v>
    <v>177.88</v>
    <v>179.38</v>
    <v>176.58</v>
    <v>176.98</v>
    <v>178.92</v>
    <v>177.74</v>
    <v>178.04</v>
    <v>177</v>
    <v>176.58</v>
    <v>177.24</v>
    <v>175.12</v>
    <v>178.12</v>
    <v>178.06</v>
    <v>179.66</v>
    <v>180.46</v>
    <v>181.06</v>
    <v>182.7</v>
    <v>183.22</v>
    <v>183.56</v>
    <v>185.42</v>
    <v>185.08</v>
    <v>185.24</v>
    <v>183.76</v>
    <v>183.18</v>
    <v>181.74</v>
    <v>181.26</v>
    <v>181.74</v>
    <v>181.2</v>
    <v>180.96</v>
    <v>181.6</v>
    <v>181.52</v>
    <v>179.26</v>
    <v>178.78</v>
    <v>181.24</v>
    <v>184.58</v>
    <v>183.86</v>
    <v>184.4</v>
    <v>182.88</v>
    <v>184.7</v>
    <v>177.24</v>
    <v>176.58</v>
    <v>175.44</v>
    <v>178.6</v>
    <v>177.68</v>
    <v>178.12</v>
    <v>177.18</v>
    <v>177.56</v>
    <v>178.34</v>
    <v>179.84</v>
    <v>182.2</v>
    <v>183</v>
    <v>182.3</v>
    <v>182.68</v>
    <v>180.72</v>
    <v>181.34</v>
    <v>183.84</v>
    <v>185.38</v>
    <v>186.68</v>
    <v>188.3</v>
    <v>191</v>
    <v>188.42</v>
    <v>190.72</v>
    <v>188.12</v>
    <v>187.42</v>
    <v>188.84</v>
    <v>188.52</v>
    <v>189.44</v>
    <v>192.12</v>
    <v>194.32</v>
    <v>194.64</v>
    <v>195.74</v>
    <v>197.2</v>
    <v>196.16</v>
    <v>197.58</v>
    <v>199.52</v>
    <v>201.45</v>
    <v>201.65</v>
    <v>203.45</v>
    <v>205.35</v>
    <v>204.75</v>
    <v>205.4</v>
    <v>206.2</v>
    <v>208.2</v>
    <v>209.3</v>
    <v>207.1</v>
    <v>209.8</v>
    <v>210.1</v>
    <v>210.65</v>
    <v>208.7</v>
    <v>209.65</v>
    <v>209.75</v>
    <v>210.85</v>
    <v>209.7</v>
    <v>208.5</v>
    <v>210.4</v>
    <v>205.6</v>
    <v>203.3</v>
    <v>206.9</v>
    <v>203.7</v>
    <v>201.4</v>
    <v>203.2</v>
    <v>202.8</v>
    <v>203.8</v>
    <v>203.3</v>
    <v>201.2</v>
    <v>204.7</v>
    <v>203.3</v>
    <v>203</v>
    <v>204.8</v>
    <v>204.7</v>
    <v>201.6</v>
    <v>203.3</v>
    <v>201.6</v>
    <v>200.8</v>
    <v>201.1</v>
    <v>202</v>
    <v>198.4</v>
    <v>204.8</v>
    <v>204</v>
    <v>205.6</v>
    <v>205.9</v>
    <v>205.7</v>
    <v>205.5</v>
    <v>208.1</v>
    <v>206.4</v>
    <v>208.6</v>
    <v>209.6</v>
    <v>209.3</v>
    <v>208.4</v>
    <v>209.5</v>
    <v>208.2</v>
    <v>210</v>
    <v>206.6</v>
    <v>203.2</v>
    <v>204.5</v>
    <v>205.3</v>
    <v>205.2</v>
    <v>205.3</v>
    <v>208.2</v>
    <v>207.8</v>
    <v>208.8</v>
    <v>207.8</v>
    <v>206</v>
    <v>208.7</v>
    <v>206.3</v>
    <v>201</v>
    <v>206.2</v>
    <v>206.8</v>
    <v>204.1</v>
    <v>208.8</v>
    <v>208.9</v>
    <v>208.9</v>
    <v>207.4</v>
    <v>206.4</v>
    <v>203</v>
    <v>201.2</v>
    <v>201.8</v>
    <v>200</v>
    <v>201.4</v>
    <v>203.8</v>
    <v>202.3</v>
    <v>200.4</v>
    <v>197.2</v>
    <v>196.65</v>
    <v>200</v>
    <v>203.4</v>
    <v>199.6</v>
    <v>198.7</v>
    <v>189.85</v>
    <v>192.7</v>
    <v>192.85</v>
    <v>196.8</v>
    <v>197.05</v>
    <v>195.6</v>
    <v>192.85</v>
    <v>207.1</v>
    <v>207.6</v>
    <v>212.2</v>
    <v>211.7</v>
    <v>211</v>
    <v>208.4</v>
    <v>207.5</v>
    <v>207</v>
    <v>209.6</v>
    <v>208.4</v>
    <v>208.5</v>
    <v>207.3</v>
    <v>208.6</v>
    <v>210.1</v>
    <v>212.4</v>
    <v>212.2</v>
    <v>211.6</v>
    <v>210.8</v>
    <v>212.8</v>
    <v>214</v>
    <v>214.9</v>
    <v>214.4</v>
    <v>213.4</v>
    <v>214.8</v>
    <v>215.4</v>
    <v>214.2</v>
    <v>215.2</v>
    <v>215.5</v>
    <v>213.7</v>
    <v>208.2</v>
    <v>208.8</v>
    <v>211.5</v>
    <v>210.3</v>
    <v>209.3</v>
    <v>208.8</v>
    <v>208.8</v>
    <v>208.1</v>
    <v>205.5</v>
    <v>204.8</v>
    <v>208.3</v>
    <v>203.4</v>
    <v>203.4</v>
    <v>205.9</v>
    <v>206</v>
    <v>208.6</v>
    <v>213.4</v>
    <v>212.6</v>
    <v>211.4</v>
    <v>212.1</v>
    <v>207.9</v>
    <v>210</v>
    <v>212.4</v>
    <v>213.1</v>
    <v>213.6</v>
    <v>210.9</v>
    <v>213.9</v>
    <v>215.6</v>
    <v>216.2</v>
    <v>215.5</v>
    <v>215.9</v>
    <v>216.9</v>
    <v>217.6</v>
    <v>221.9</v>
    <v>220.4</v>
    <v>219.6</v>
    <v>219.5</v>
    <v>218.1</v>
    <v>215.8</v>
    <v>213.9</v>
    <v>215.4</v>
    <v>217</v>
    <v>223.6</v>
    <v>223.6</v>
    <v>226</v>
    <v>228</v>
    <v>227.7</v>
    <v>231</v>
    <v>226.3</v>
    <v>225.8</v>
    <v>229.2</v>
    <v>229</v>
    <v>229.6</v>
    <v>234.3</v>
    <v>233.8</v>
    <v>232.4</v>
    <v>235.3</v>
    <v>234.4</v>
    <v>231.4</v>
    <v>230.3</v>
    <v>228.5</v>
    <v>229.8</v>
    <v>230.8</v>
    <v>228.5</v>
    <v>229.5</v>
    <v>229.8</v>
    <v>230.6</v>
    <v>229.9</v>
    <v>226.6</v>
    <v>231.3</v>
    <v>231.2</v>
    <v>231.2</v>
    <v>234.1</v>
    <v>233.3</v>
    <v>234.5</v>
    <v>231.9</v>
    <v>231.2</v>
    <v>232.1</v>
    <v>231.9</v>
    <v>234.5</v>
    <v>232.3</v>
    <v>235.6</v>
    <v>234.2</v>
    <v>230.2</v>
    <v>233</v>
    <v>234.8</v>
    <v>233.8</v>
    <v>235.6</v>
    <v>235.1</v>
    <v>233.4</v>
    <v>233.5</v>
    <v>236.7</v>
    <v>240.2</v>
    <v>244.1</v>
    <v>245.1</v>
    <v>250</v>
    <v>253.5</v>
    <v>254.5</v>
    <v>256.10000000000002</v>
    <v>257.60000000000002</v>
    <v>259.5</v>
    <v>263.3</v>
    <v>265.10000000000002</v>
    <v>265.7</v>
    <v>264</v>
    <v>268.7</v>
    <v>271.10000000000002</v>
    <v>270.7</v>
    <v>269.89999999999998</v>
    <v>272.3</v>
    <v>277</v>
    <v>276</v>
    <v>295.8</v>
    <v>294.5</v>
    <v>294.10000000000002</v>
    <v>294.60000000000002</v>
    <v>293.89999999999998</v>
    <v>292.5</v>
    <v>290.89999999999998</v>
    <v>287.39999999999998</v>
    <v>279.39999999999998</v>
    <v>282.39999999999998</v>
    <v>288.39999999999998</v>
    <v>286.89999999999998</v>
    <v>287.2</v>
    <v>285.39999999999998</v>
    <v>280.2</v>
    <v>271.5</v>
    <v>272</v>
    <v>273.3</v>
    <v>265.5</v>
    <v>270</v>
    <v>262.60000000000002</v>
    <v>261.39999999999998</v>
    <v>263.60000000000002</v>
    <v>263.5</v>
    <v>265.2</v>
    <v>266.10000000000002</v>
    <v>267.39999999999998</v>
    <v>270.5</v>
    <v>277.2</v>
    <v>273.2</v>
    <v>269.3</v>
    <v>266.60000000000002</v>
    <v>265.39999999999998</v>
    <v>267.39999999999998</v>
    <v>267.60000000000002</v>
    <v>248.3</v>
    <v>243.4</v>
    <v>232.9</v>
    <v>241.8</v>
    <v>233.9</v>
    <v>242</v>
    <v>241.2</v>
    <v>247.1</v>
    <v>251.2</v>
    <v>249.8</v>
    <v>247.3</v>
    <v>253.2</v>
    <v>257.3</v>
    <v>252</v>
    <v>253.3</v>
    <v>250.1</v>
    <v>250.4</v>
    <v>252.7</v>
    <v>257.5</v>
    <v>256.89999999999998</v>
    <v>250.7</v>
    <v>243.7</v>
    <v>244.1</v>
    <v>242.3</v>
    <v>249.1</v>
    <v>254.7</v>
    <v>249.9</v>
    <v>253.2</v>
    <v>260.7</v>
    <v>260.5</v>
    <v>261.39999999999998</v>
    <v>260.39999999999998</v>
    <v>262.60000000000002</v>
    <v>250</v>
    <v>255.2</v>
    <v>253.2</v>
    <v>247.6</v>
    <v>247.7</v>
    <v>244.7</v>
    <v>245.1</v>
    <v>244.7</v>
    <v>243.9</v>
    <v>245.5</v>
    <v>248.3</v>
    <v>249.3</v>
    <v>251.4</v>
    <v>250</v>
    <v>246.7</v>
    <v>242</v>
    <v>242.8</v>
    <v>240.5</v>
    <v>241.4</v>
    <v>240.3</v>
    <v>240.8</v>
    <v>240.7</v>
    <v>242.4</v>
    <v>238.1</v>
    <v>231.1</v>
    <v>234.3</v>
    <v>232.9</v>
    <v>234.9</v>
    <v>236.7</v>
    <v>235.6</v>
    <v>233.4</v>
    <v>236.9</v>
    <v>239.4</v>
    <v>252.9</v>
    <v>250</v>
    <v>242.4</v>
    <v>243.8</v>
    <v>242.2</v>
    <v>242.9</v>
    <v>244.2</v>
    <v>243.8</v>
    <v>243.5</v>
    <v>242.3</v>
    <v>246.2</v>
    <v>247.2</v>
    <v>249.7</v>
    <v>246.2</v>
    <v>263.2</v>
    <v>258.3</v>
    <v>260.60000000000002</v>
    <v>255.3</v>
    <v>256.2</v>
    <v>252.9</v>
    <v>249.3</v>
    <v>252.2</v>
    <v>252.9</v>
    <v>251.7</v>
    <v>253.8</v>
    <v>261.89999999999998</v>
    <v>263.10000000000002</v>
    <v>267.5</v>
    <v>267.8</v>
    <v>271.8</v>
    <v>275.5</v>
    <v>272</v>
    <v>272</v>
    <v>269.2</v>
    <v>265.89999999999998</v>
    <v>266.5</v>
    <v>263.39999999999998</v>
    <v>260.2</v>
    <v>258.7</v>
    <v>257.10000000000002</v>
    <v>258</v>
    <v>260.2</v>
    <v>259.60000000000002</v>
    <v>262</v>
    <v>260</v>
    <v>265.10000000000002</v>
    <v>266.60000000000002</v>
    <v>264.7</v>
    <v>266.5</v>
    <v>270.60000000000002</v>
    <v>270.2</v>
    <v>274.5</v>
    <v>273.7</v>
    <v>274.89999999999998</v>
    <v>274.39999999999998</v>
    <v>269.5</v>
    <v>266</v>
    <v>271.7</v>
    <v>274.89999999999998</v>
    <v>276</v>
    <v>276.89999999999998</v>
    <v>280.2</v>
    <v>282.8</v>
    <v>276.10000000000002</v>
    <v>276.39999999999998</v>
    <v>278.7</v>
    <v>278</v>
    <v>273.39999999999998</v>
    <v>274.60000000000002</v>
    <v>272.2</v>
    <v>270.2</v>
    <v>276.60000000000002</v>
    <v>312.5</v>
    <v>313.89999999999998</v>
    <v>316.60000000000002</v>
    <v>311.39999999999998</v>
    <v>312.10000000000002</v>
    <v>313.39999999999998</v>
    <v>316.5</v>
    <v>317.5</v>
    <v>318.3</v>
    <v>319.5</v>
    <v>317.3</v>
    <v>317</v>
    <v>316.39999999999998</v>
    <v>316.3</v>
    <v>312.7</v>
    <v>308.39999999999998</v>
    <v>311.8</v>
    <v>315.39999999999998</v>
    <v>320.7</v>
    <v>319.89999999999998</v>
    <v>318.89999999999998</v>
    <v>315.60000000000002</v>
    <v>311.39999999999998</v>
    <v>308.7</v>
    <v>311.2</v>
    <v>306</v>
    <v>303.7</v>
    <v>308.7</v>
    <v>313.10000000000002</v>
    <v>313.10000000000002</v>
    <v>308.7</v>
    <v>307</v>
    <v>307.39999999999998</v>
    <v>308.8</v>
    <v>303.2</v>
    <v>302.60000000000002</v>
    <v>303.2</v>
    <v>286.3</v>
    <v>285</v>
    <v>284.89999999999998</v>
    <v>282.10000000000002</v>
    <v>282.5</v>
    <v>278.2</v>
    <v>273.7</v>
    <v>276.3</v>
    <v>274.8</v>
    <v>272.60000000000002</v>
    <v>270.10000000000002</v>
    <v>270.10000000000002</v>
    <v>271.2</v>
    <v>270.8</v>
    <v>269.89999999999998</v>
    <v>265.5</v>
    <v>263.39999999999998</v>
    <v>277.2</v>
    <v>272.5</v>
    <v>272.7</v>
    <v>277.89999999999998</v>
    <v>276</v>
    <v>278</v>
    <v>279.39999999999998</v>
    <v>282</v>
    <v>271</v>
    <v>266.2</v>
    <v>267.2</v>
    <v>267.8</v>
    <v>268</v>
    <v>265.10000000000002</v>
    <v>257.3</v>
    <v>257</v>
    <v>253.3</v>
    <v>254.6</v>
    <v>257.89999999999998</v>
    <v>256.7</v>
    <v>255.9</v>
    <v>260.60000000000002</v>
    <v>258.60000000000002</v>
    <v>255.1</v>
    <v>254.8</v>
    <v>250.5</v>
    <v>250.8</v>
    <v>261.3</v>
    <v>258.3</v>
    <v>245.7</v>
    <v>243.1</v>
    <v>236.1</v>
    <v>233</v>
    <v>238.2</v>
    <v>236</v>
    <v>234.5</v>
    <v>237.1</v>
    <v>239.3</v>
    <v>225.2</v>
    <v>219.3</v>
    <v>214.4</v>
    <v>219.3</v>
    <v>215.9</v>
    <v>212.8</v>
    <v>208.3</v>
    <v>213</v>
    <v>210</v>
    <v>210.8</v>
    <v>204.7</v>
    <v>203.9</v>
    <v>203</v>
    <v>203.1</v>
    <v>198.7</v>
    <v>194.75</v>
    <v>193.05</v>
    <v>192.75</v>
    <v>194.65</v>
    <v>194.3</v>
    <v>194.8</v>
    <v>197.7</v>
    <v>198.4</v>
    <v>193.95</v>
    <v>191.25</v>
    <v>190.2</v>
    <v>200.7</v>
    <v>197.3</v>
    <v>199.25</v>
    <v>197.05</v>
    <v>204.7</v>
    <v>204.6</v>
    <v>206.9</v>
    <v>215.7</v>
    <v>206.5</v>
    <v>206.7</v>
    <v>201.5</v>
    <v>191.8</v>
    <v>185.7</v>
    <v>186.45</v>
    <v>182.7</v>
    <v>180.6</v>
    <v>181.25</v>
    <v>173.25</v>
    <v>171.5</v>
    <v>176.7</v>
    <v>176.3</v>
    <v>171.4</v>
    <v>167</v>
    <v>165.9</v>
    <v>170.45</v>
    <v>173.2</v>
    <v>173.25</v>
    <v>174.2</v>
    <v>176</v>
    <v>176.7</v>
    <v>175.4</v>
    <v>173.25</v>
    <v>175.1</v>
    <v>172.1</v>
    <v>174.65</v>
    <v>174.8</v>
    <v>175.15</v>
    <v>172.8</v>
    <v>171.1</v>
    <v>169.75</v>
    <v>176.25</v>
    <v>174.05</v>
    <v>173.15</v>
    <v>179.7</v>
    <v>178.6</v>
    <v>178.75</v>
    <v>182.7</v>
    <v>184.05</v>
    <v>183.55</v>
    <v>174.75</v>
    <v>177.6</v>
    <v>173.55</v>
    <v>168.5</v>
    <v>168.15</v>
    <v>168.6</v>
    <v>166.1</v>
    <v>168.65</v>
    <v>163.5</v>
    <v>164.05</v>
    <v>173</v>
    <v>175.35</v>
    <v>172.2</v>
    <v>172.6</v>
    <v>175.9</v>
    <v>169.35</v>
    <v>171.65</v>
    <v>171.4</v>
    <v>169.4</v>
    <v>165.15</v>
    <v>168.2</v>
    <v>169.5</v>
    <v>166.7</v>
    <v>168.25</v>
    <v>165.95</v>
    <v>164.4</v>
    <v>161.9</v>
    <v>163.5</v>
    <v>165.4</v>
    <v>168.65</v>
    <v>165.1</v>
    <v>163.6</v>
    <v>164.05</v>
    <v>169.6</v>
    <v>170.5</v>
    <v>171.45</v>
    <v>171.3</v>
    <v>172.3</v>
    <v>171.25</v>
    <v>171.75</v>
    <v>164.4</v>
    <v>163.75</v>
    <v>162.55000000000001</v>
    <v>159.80000000000001</v>
    <v>163.9</v>
    <v>163.44999999999999</v>
    <v>161.19999999999999</v>
    <v>163.19999999999999</v>
    <v>161.69999999999999</v>
    <v>159.15</v>
    <v>159.19999999999999</v>
    <v>157.5</v>
    <v>161.35</v>
    <v>160.35</v>
    <v>159.55000000000001</v>
    <v>158.69999999999999</v>
    <v>152.94999999999999</v>
    <v>149.80000000000001</v>
    <v>148.55000000000001</v>
    <v>149.6</v>
    <v>149</v>
    <v>145.85</v>
    <v>146.4</v>
    <v>147.69999999999999</v>
    <v>144.4</v>
    <v>145.1</v>
    <v>141.44999999999999</v>
    <v>139</v>
    <v>141.25</v>
    <v>144.5</v>
    <v>149.94999999999999</v>
    <v>144.69999999999999</v>
    <v>143.9</v>
    <v>146.1</v>
    <v>144.6</v>
    <v>145.6</v>
    <v>144.6</v>
    <v>142.80000000000001</v>
    <v>144.5</v>
    <v>146.69999999999999</v>
    <v>146.65</v>
    <v>143</v>
    <v>146.35</v>
    <v>146.75</v>
    <v>146.30000000000001</v>
    <v>148.1</v>
    <v>148.69999999999999</v>
    <v>154.4</v>
    <v>152.05000000000001</v>
    <v>150.5</v>
    <v>173.8</v>
    <v>177.15</v>
    <v>181.2</v>
  </a>
  <a r="1" c="209">
    <v>135.41999999999999</v>
    <v>136.78</v>
    <v>137.97999999999999</v>
    <v>138.9</v>
    <v>138.44</v>
    <v>138.19999999999999</v>
    <v>140.13999999999999</v>
    <v>140.46</v>
    <v>140.9</v>
    <v>141.02000000000001</v>
    <v>141.36000000000001</v>
    <v>141.32</v>
    <v>139.56</v>
    <v>138.56</v>
    <v>138.16</v>
    <v>139.32</v>
    <v>139.28</v>
    <v>139.69999999999999</v>
    <v>140.80000000000001</v>
    <v>139.24</v>
    <v>139.06</v>
    <v>140.22</v>
    <v>141.80000000000001</v>
    <v>141.47999999999999</v>
    <v>140.84</v>
    <v>139.91999999999999</v>
    <v>141.36000000000001</v>
    <v>142.38</v>
    <v>142.04</v>
    <v>142.18</v>
    <v>142.06</v>
    <v>142.02000000000001</v>
    <v>142.22</v>
    <v>142.91999999999999</v>
    <v>144.68</v>
    <v>143.84</v>
    <v>145.04</v>
    <v>144.80000000000001</v>
    <v>145.24</v>
    <v>146.36000000000001</v>
    <v>146.06</v>
    <v>146.28</v>
    <v>143.76</v>
    <v>139.16</v>
    <v>140.80000000000001</v>
    <v>139.13999999999999</v>
    <v>137.91999999999999</v>
    <v>137.47999999999999</v>
    <v>140.02000000000001</v>
    <v>139.32</v>
    <v>138.41999999999999</v>
    <v>137.88</v>
    <v>138.44</v>
    <v>139.16</v>
    <v>137.76</v>
    <v>134.9</v>
    <v>132.5</v>
    <v>133.30000000000001</v>
    <v>134.18</v>
    <v>136.02000000000001</v>
    <v>134.30000000000001</v>
    <v>133.34</v>
    <v>134.16</v>
    <v>134.6</v>
    <v>138.08000000000001</v>
    <v>137.76</v>
    <v>136.13999999999999</v>
    <v>141.22</v>
    <v>141.6</v>
    <v>141.97999999999999</v>
    <v>141.56</v>
    <v>142.66</v>
    <v>141.84</v>
    <v>141.52000000000001</v>
    <v>143.72</v>
    <v>142.80000000000001</v>
    <v>141.52000000000001</v>
    <v>141.08000000000001</v>
    <v>141.32</v>
    <v>140.88</v>
    <v>140.38</v>
    <v>140.08000000000001</v>
    <v>139.08000000000001</v>
    <v>141.44</v>
    <v>139.36000000000001</v>
    <v>140.94</v>
    <v>144.41999999999999</v>
    <v>142.78</v>
    <v>141.62</v>
    <v>142.02000000000001</v>
    <v>140.84</v>
    <v>142.30000000000001</v>
    <v>143.52000000000001</v>
    <v>141.02000000000001</v>
    <v>141.68</v>
    <v>142.58000000000001</v>
    <v>144.86000000000001</v>
    <v>144.69999999999999</v>
    <v>145.58000000000001</v>
    <v>147.84</v>
    <v>146.32</v>
    <v>146.28</v>
    <v>145.32</v>
    <v>145.5</v>
    <v>144.78</v>
    <v>145.47999999999999</v>
    <v>144.56</v>
    <v>145.46</v>
    <v>145.56</v>
    <v>145.32</v>
    <v>144.66</v>
    <v>144.54</v>
    <v>145.84</v>
    <v>148.06</v>
    <v>148.44</v>
    <v>149.36000000000001</v>
    <v>150.34</v>
    <v>149.84</v>
    <v>149.47999999999999</v>
    <v>150.4</v>
    <v>149.56</v>
    <v>149.6</v>
    <v>150.72</v>
    <v>149.96</v>
    <v>150.41999999999999</v>
    <v>152.04</v>
    <v>150.96</v>
    <v>152.74</v>
    <v>153.74</v>
    <v>153.28</v>
    <v>152.36000000000001</v>
    <v>149.82</v>
    <v>151.24</v>
    <v>150.88</v>
    <v>150.86000000000001</v>
    <v>150.91999999999999</v>
    <v>151.13999999999999</v>
    <v>151.52000000000001</v>
    <v>151.1</v>
    <v>150.94</v>
    <v>151.72</v>
    <v>152.72</v>
    <v>150.72</v>
    <v>152.44</v>
    <v>152.22</v>
    <v>152.82</v>
    <v>151.9</v>
    <v>153.28</v>
    <v>153.1</v>
    <v>153.52000000000001</v>
    <v>154.74</v>
    <v>154.5</v>
    <v>154.9</v>
    <v>155.41999999999999</v>
    <v>155.58000000000001</v>
    <v>155.9</v>
    <v>155.24</v>
    <v>155.34</v>
    <v>154.91999999999999</v>
    <v>154.88</v>
    <v>153.86000000000001</v>
    <v>154</v>
    <v>153.82</v>
    <v>154.30000000000001</v>
    <v>154.26</v>
    <v>154.66</v>
    <v>154.54</v>
    <v>153.12</v>
    <v>154.06</v>
    <v>152.6</v>
    <v>152.13999999999999</v>
    <v>152.1</v>
    <v>152.66</v>
    <v>152.78</v>
    <v>152.82</v>
    <v>152.41999999999999</v>
    <v>150.22</v>
    <v>149.18</v>
    <v>150.04</v>
    <v>149.66</v>
    <v>148.91999999999999</v>
    <v>149.62</v>
    <v>150.97999999999999</v>
    <v>149.34</v>
    <v>151.02000000000001</v>
    <v>150.9</v>
    <v>150.86000000000001</v>
    <v>150.44</v>
    <v>150.84</v>
    <v>150.74</v>
    <v>150.84</v>
    <v>149.91999999999999</v>
    <v>148.5</v>
    <v>149.28</v>
    <v>149.88</v>
    <v>150.32</v>
    <v>148.96</v>
    <v>148.22</v>
    <v>149.52000000000001</v>
    <v>150.26</v>
    <v>149.76</v>
    <v>150.94</v>
    <v>151.44</v>
    <v>152.18</v>
    <v>151.02000000000001</v>
    <v>150.78</v>
    <v>152.46</v>
    <v>150.74</v>
    <v>149.76</v>
  </a>
  <a r="1" c="767">
    <v>99.08</v>
    <v>99.73</v>
    <v>100.22</v>
    <v>99.48</v>
    <v>98.25</v>
    <v>98.66</v>
    <v>98.9</v>
    <v>99.67</v>
    <v>101.28</v>
    <v>100.56</v>
    <v>100.74</v>
    <v>100.54</v>
    <v>100.9</v>
    <v>101.56</v>
    <v>100.44</v>
    <v>101.2</v>
    <v>101.86</v>
    <v>101.94</v>
    <v>101.58</v>
    <v>102.56</v>
    <v>102.54</v>
    <v>102.68</v>
    <v>102.9</v>
    <v>103.3</v>
    <v>103.62</v>
    <v>103.12</v>
    <v>102.58</v>
    <v>102.76</v>
    <v>103.54</v>
    <v>104.54</v>
    <v>104.54</v>
    <v>104.96</v>
    <v>105.28</v>
    <v>104.82</v>
    <v>105.78</v>
    <v>106.08</v>
    <v>105.94</v>
    <v>106.08</v>
    <v>106.04</v>
    <v>105.98</v>
    <v>105.84</v>
    <v>106.14</v>
    <v>106.4</v>
    <v>106.16</v>
    <v>106.22</v>
    <v>106.36</v>
    <v>106.26</v>
    <v>106.4</v>
    <v>106.6</v>
    <v>106.16</v>
    <v>107.04</v>
    <v>106.78</v>
    <v>106.76</v>
    <v>106.74</v>
    <v>106.68</v>
    <v>105.74</v>
    <v>106.56</v>
    <v>106.1</v>
    <v>105.98</v>
    <v>105.04</v>
    <v>105.7</v>
    <v>105.52</v>
    <v>106.12</v>
    <v>105.74</v>
    <v>107.36</v>
    <v>107.68</v>
    <v>109.22</v>
    <v>109.72</v>
    <v>109.84</v>
    <v>109.84</v>
    <v>109.54</v>
    <v>109.58</v>
    <v>109.8</v>
    <v>110.58</v>
    <v>110.38</v>
    <v>110.02</v>
    <v>109.96</v>
    <v>110.26</v>
    <v>109.5</v>
    <v>109.94</v>
    <v>110.58</v>
    <v>111.3</v>
    <v>111.66</v>
    <v>111.4</v>
    <v>110.94</v>
    <v>112.1</v>
    <v>112.56</v>
    <v>112.04</v>
    <v>112.32</v>
    <v>111.9</v>
    <v>111.88</v>
    <v>112.36</v>
    <v>112.74</v>
    <v>112.38</v>
    <v>112.8</v>
    <v>114.64</v>
    <v>114.2</v>
    <v>113.84</v>
    <v>114.9</v>
    <v>115.2</v>
    <v>115.3</v>
    <v>114.6</v>
    <v>114.74</v>
    <v>114.76</v>
    <v>114.58</v>
    <v>115.52</v>
    <v>115.38</v>
    <v>115.62</v>
    <v>115.68</v>
    <v>115.88</v>
    <v>116.42</v>
    <v>115.48</v>
    <v>115.72</v>
    <v>115.76</v>
    <v>114.6</v>
    <v>115.18</v>
    <v>114.42</v>
    <v>114.94</v>
    <v>114.62</v>
    <v>115.12</v>
    <v>115.16</v>
    <v>113.52</v>
    <v>113.64</v>
    <v>113.98</v>
    <v>113.82</v>
    <v>114.78</v>
    <v>116.16</v>
    <v>115.66</v>
    <v>115.24</v>
    <v>116.54</v>
    <v>116.34</v>
    <v>115.86</v>
    <v>115.44</v>
    <v>115.54</v>
    <v>116.2</v>
    <v>117.7</v>
    <v>118.28</v>
    <v>118.92</v>
    <v>119.82</v>
    <v>119.92</v>
    <v>119.84</v>
    <v>120.14</v>
    <v>119.84</v>
    <v>119.86</v>
    <v>120.36</v>
    <v>120.28</v>
    <v>119.54</v>
    <v>119.76</v>
    <v>119.46</v>
    <v>119.62</v>
    <v>118.96</v>
    <v>117.98</v>
    <v>118.6</v>
    <v>119.14</v>
    <v>119.56</v>
    <v>119.06</v>
    <v>120.68</v>
    <v>121.54</v>
    <v>121.54</v>
    <v>121.12</v>
    <v>120</v>
    <v>121.04</v>
    <v>119.78</v>
    <v>118.88</v>
    <v>119.16</v>
    <v>119.8</v>
    <v>119.68</v>
    <v>120.8</v>
    <v>119.86</v>
    <v>120.68</v>
    <v>120.74</v>
    <v>120.08</v>
    <v>119.62</v>
    <v>119.44</v>
    <v>119.98</v>
    <v>119.3</v>
    <v>119.76</v>
    <v>120.5</v>
    <v>120.14</v>
    <v>120.18</v>
    <v>118.98</v>
    <v>120.08</v>
    <v>120.36</v>
    <v>121.8</v>
    <v>120.42</v>
    <v>119.88</v>
    <v>118.9</v>
    <v>118.02</v>
    <v>117.4</v>
    <v>118.66</v>
    <v>118.96</v>
    <v>118.04</v>
    <v>117.36</v>
    <v>118.34</v>
    <v>117.82</v>
    <v>118.2</v>
    <v>119.38</v>
    <v>117.7</v>
    <v>114.94</v>
    <v>112.58</v>
    <v>113.04</v>
    <v>114.52</v>
    <v>115.04</v>
    <v>115.78</v>
    <v>115.64</v>
    <v>116.42</v>
    <v>116.76</v>
    <v>118.6</v>
    <v>118.72</v>
    <v>119.32</v>
    <v>118.82</v>
    <v>119.14</v>
    <v>119.42</v>
    <v>119.74</v>
    <v>119.84</v>
    <v>119.94</v>
    <v>120.3</v>
    <v>121.48</v>
    <v>121.3</v>
    <v>121.5</v>
    <v>120.3</v>
    <v>118.78</v>
    <v>117.6</v>
    <v>116.08</v>
    <v>117.12</v>
    <v>116.46</v>
    <v>116.52</v>
    <v>117.44</v>
    <v>118</v>
    <v>117.7</v>
    <v>118</v>
    <v>117.32</v>
    <v>119.08</v>
    <v>117.08</v>
    <v>117.4</v>
    <v>118.46</v>
    <v>118.26</v>
    <v>119.74</v>
    <v>120.12</v>
    <v>118.96</v>
    <v>118.72</v>
    <v>118.9</v>
    <v>117.96</v>
    <v>118.34</v>
    <v>118.86</v>
    <v>118.12</v>
    <v>118.92</v>
    <v>119.1</v>
    <v>119.8</v>
    <v>120.44</v>
    <v>118.88</v>
    <v>118.36</v>
    <v>119.5</v>
    <v>119.74</v>
    <v>118.98</v>
    <v>118.84</v>
    <v>118.3</v>
    <v>118.46</v>
    <v>118.44</v>
    <v>118.82</v>
    <v>118.18</v>
    <v>116.62</v>
    <v>115.18</v>
    <v>116.42</v>
    <v>115.92</v>
    <v>115.7</v>
    <v>114.96</v>
    <v>115.44</v>
    <v>114.5</v>
    <v>115.82</v>
    <v>113.5</v>
    <v>113.68</v>
    <v>115.2</v>
    <v>114.04</v>
    <v>113.98</v>
    <v>113.58</v>
    <v>113.56</v>
    <v>114.18</v>
    <v>115.46</v>
    <v>115.26</v>
    <v>114.84</v>
    <v>114.3</v>
    <v>114.84</v>
    <v>115.72</v>
    <v>116.56</v>
    <v>117.44</v>
    <v>117.5</v>
    <v>117.8</v>
    <v>118.14</v>
    <v>118.6</v>
    <v>117.84</v>
    <v>118.36</v>
    <v>118.18</v>
    <v>117.46</v>
    <v>117.46</v>
    <v>117.44</v>
    <v>117.48</v>
    <v>115.64</v>
    <v>113.92</v>
    <v>114.08</v>
    <v>114.98</v>
    <v>115.26</v>
    <v>114.86</v>
    <v>115.3</v>
    <v>116.3</v>
    <v>115.58</v>
    <v>116.98</v>
    <v>117.38</v>
    <v>117.38</v>
    <v>118.22</v>
    <v>117.3</v>
    <v>116.66</v>
    <v>116.28</v>
    <v>117.62</v>
    <v>119.16</v>
    <v>119.82</v>
    <v>119.68</v>
    <v>120.06</v>
    <v>120.74</v>
    <v>121.2</v>
    <v>121.2</v>
    <v>121.3</v>
    <v>121.52</v>
    <v>122.12</v>
    <v>123.22</v>
    <v>123.42</v>
    <v>122.52</v>
    <v>122.74</v>
    <v>123.28</v>
    <v>125.02</v>
    <v>124.28</v>
    <v>125.26</v>
    <v>125.42</v>
    <v>125.46</v>
    <v>126.62</v>
    <v>126.12</v>
    <v>126.52</v>
    <v>127.18</v>
    <v>126.24</v>
    <v>126.16</v>
    <v>127.06</v>
    <v>126.88</v>
    <v>127.06</v>
    <v>128.18</v>
    <v>127.96</v>
    <v>127.58</v>
    <v>129.12</v>
    <v>126.58</v>
    <v>127.12</v>
    <v>126.96</v>
    <v>126.3</v>
    <v>124.86</v>
    <v>122.26</v>
    <v>123.38</v>
    <v>123.36</v>
    <v>124.72</v>
    <v>126</v>
    <v>126.76</v>
    <v>127.08</v>
    <v>126.64</v>
    <v>126</v>
    <v>125.84</v>
    <v>126.44</v>
    <v>125.56</v>
    <v>124.94</v>
    <v>124.24</v>
    <v>122.62</v>
    <v>123.96</v>
    <v>123.08</v>
    <v>119.58</v>
    <v>114.24</v>
    <v>108.56</v>
    <v>111.12</v>
    <v>107</v>
    <v>110.94</v>
    <v>110.64</v>
    <v>113.5</v>
    <v>114.86</v>
    <v>114.74</v>
    <v>114.02</v>
    <v>114.76</v>
    <v>117.16</v>
    <v>117.6</v>
    <v>117.9</v>
    <v>118.7</v>
    <v>119</v>
    <v>119.32</v>
    <v>121.44</v>
    <v>121.86</v>
    <v>121.24</v>
    <v>120.4</v>
    <v>120.88</v>
    <v>121.34</v>
    <v>123.16</v>
    <v>123.02</v>
    <v>122.38</v>
    <v>123.42</v>
    <v>124.06</v>
    <v>124.46</v>
    <v>125.2</v>
    <v>125.12</v>
    <v>124.34</v>
    <v>123</v>
    <v>124.5</v>
    <v>124.7</v>
    <v>123.78</v>
    <v>123.46</v>
    <v>124.06</v>
    <v>123.9</v>
    <v>124.22</v>
    <v>124.86</v>
    <v>124.74</v>
    <v>125.52</v>
    <v>125.22</v>
    <v>125.54</v>
    <v>125</v>
    <v>124.66</v>
    <v>123.58</v>
    <v>123.68</v>
    <v>122.76</v>
    <v>122.2</v>
    <v>121.32</v>
    <v>121.24</v>
    <v>121.04</v>
    <v>122.32</v>
    <v>121.1</v>
    <v>121.06</v>
    <v>122.32</v>
    <v>121.72</v>
    <v>121.82</v>
    <v>122.36</v>
    <v>122.66</v>
    <v>122.02</v>
    <v>122.48</v>
    <v>123.04</v>
    <v>124.38</v>
    <v>125.06</v>
    <v>123.46</v>
    <v>123.54</v>
    <v>123.14</v>
    <v>122.48</v>
    <v>123.5</v>
    <v>123</v>
    <v>122.7</v>
    <v>122.18</v>
    <v>123.66</v>
    <v>123.76</v>
    <v>123.3</v>
    <v>123.38</v>
    <v>123.46</v>
    <v>123.58</v>
    <v>122.28</v>
    <v>119.1</v>
    <v>120.86</v>
    <v>121.12</v>
    <v>120.92</v>
    <v>122.26</v>
    <v>122.62</v>
    <v>122.62</v>
    <v>122.7</v>
    <v>123.78</v>
    <v>124.66</v>
    <v>124.98</v>
    <v>124.94</v>
    <v>125.92</v>
    <v>126.56</v>
    <v>126.58</v>
    <v>126.76</v>
    <v>126.18</v>
    <v>125.12</v>
    <v>125.74</v>
    <v>125.64</v>
    <v>124.9</v>
    <v>125.12</v>
    <v>123.7</v>
    <v>124.76</v>
    <v>125.42</v>
    <v>124.72</v>
    <v>125.16</v>
    <v>125.14</v>
    <v>124.86</v>
    <v>125.52</v>
    <v>125.18</v>
    <v>125.78</v>
    <v>124.42</v>
    <v>124.42</v>
    <v>126.02</v>
    <v>126.22</v>
    <v>126.12</v>
    <v>126.12</v>
    <v>125.94</v>
    <v>125.14</v>
    <v>126.36</v>
    <v>126.7</v>
    <v>127.2</v>
    <v>129.24</v>
    <v>129.97999999999999</v>
    <v>130.63999999999999</v>
    <v>130.58000000000001</v>
    <v>130.34</v>
    <v>131.52000000000001</v>
    <v>130.86000000000001</v>
    <v>128.94</v>
    <v>129.46</v>
    <v>129.18</v>
    <v>130.02000000000001</v>
    <v>131.12</v>
    <v>130.18</v>
    <v>131.54</v>
    <v>131.63999999999999</v>
    <v>131.06</v>
    <v>131.5</v>
    <v>131.28</v>
    <v>131.76</v>
    <v>131.44</v>
    <v>131.36000000000001</v>
    <v>131.6</v>
    <v>130.62</v>
    <v>130.80000000000001</v>
    <v>130.82</v>
    <v>131.19999999999999</v>
    <v>130.13999999999999</v>
    <v>129.36000000000001</v>
    <v>131.46</v>
    <v>133.22</v>
    <v>134.22</v>
    <v>133.46</v>
    <v>132.32</v>
    <v>131.72</v>
    <v>129.72</v>
    <v>129.76</v>
    <v>130.19999999999999</v>
    <v>129.6</v>
    <v>129.47999999999999</v>
    <v>130.5</v>
    <v>132.12</v>
    <v>131.84</v>
    <v>132.22</v>
    <v>132.08000000000001</v>
    <v>132.22</v>
    <v>132.38</v>
    <v>132.78</v>
    <v>132.54</v>
    <v>132.6</v>
    <v>132.38</v>
    <v>132.56</v>
    <v>133.44</v>
    <v>132.62</v>
    <v>133.47999999999999</v>
    <v>132.84</v>
    <v>132.69999999999999</v>
    <v>133.74</v>
    <v>134.47999999999999</v>
    <v>134.1</v>
    <v>134.58000000000001</v>
    <v>134.84</v>
    <v>134.76</v>
    <v>135.80000000000001</v>
    <v>135.41999999999999</v>
    <v>136.78</v>
    <v>137.97999999999999</v>
    <v>138.9</v>
    <v>138.44</v>
    <v>138.19999999999999</v>
    <v>140.13999999999999</v>
    <v>140.46</v>
    <v>140.9</v>
    <v>141.02000000000001</v>
    <v>141.36000000000001</v>
    <v>141.32</v>
    <v>139.56</v>
    <v>138.56</v>
    <v>138.16</v>
    <v>139.32</v>
    <v>139.28</v>
    <v>139.69999999999999</v>
    <v>140.80000000000001</v>
    <v>139.24</v>
    <v>139.06</v>
    <v>140.22</v>
    <v>141.80000000000001</v>
    <v>141.47999999999999</v>
    <v>140.84</v>
    <v>139.91999999999999</v>
    <v>141.36000000000001</v>
    <v>142.38</v>
    <v>142.04</v>
    <v>142.18</v>
    <v>142.06</v>
    <v>142.02000000000001</v>
    <v>142.22</v>
    <v>142.91999999999999</v>
    <v>144.68</v>
    <v>143.84</v>
    <v>145.04</v>
    <v>144.80000000000001</v>
    <v>145.24</v>
    <v>146.36000000000001</v>
    <v>146.06</v>
    <v>146.28</v>
    <v>143.76</v>
    <v>139.16</v>
    <v>140.80000000000001</v>
    <v>139.13999999999999</v>
    <v>137.91999999999999</v>
    <v>137.47999999999999</v>
    <v>140.02000000000001</v>
    <v>139.32</v>
    <v>138.41999999999999</v>
    <v>137.88</v>
    <v>138.44</v>
    <v>139.16</v>
    <v>137.76</v>
    <v>134.9</v>
    <v>132.5</v>
    <v>133.30000000000001</v>
    <v>134.18</v>
    <v>136.02000000000001</v>
    <v>134.30000000000001</v>
    <v>133.34</v>
    <v>134.16</v>
    <v>134.6</v>
    <v>138.08000000000001</v>
    <v>137.76</v>
    <v>136.13999999999999</v>
    <v>141.22</v>
    <v>141.6</v>
    <v>141.97999999999999</v>
    <v>141.56</v>
    <v>142.66</v>
    <v>141.84</v>
    <v>141.52000000000001</v>
    <v>143.72</v>
    <v>142.80000000000001</v>
    <v>141.52000000000001</v>
    <v>141.08000000000001</v>
    <v>141.32</v>
    <v>140.88</v>
    <v>140.38</v>
    <v>140.08000000000001</v>
    <v>139.08000000000001</v>
    <v>141.44</v>
    <v>139.36000000000001</v>
    <v>140.94</v>
    <v>144.41999999999999</v>
    <v>142.78</v>
    <v>141.62</v>
    <v>142.02000000000001</v>
    <v>140.84</v>
    <v>142.30000000000001</v>
    <v>143.52000000000001</v>
    <v>141.02000000000001</v>
    <v>141.68</v>
    <v>142.58000000000001</v>
    <v>144.86000000000001</v>
    <v>144.69999999999999</v>
    <v>145.58000000000001</v>
    <v>147.84</v>
    <v>146.32</v>
    <v>146.28</v>
    <v>145.32</v>
    <v>145.5</v>
    <v>144.78</v>
    <v>145.47999999999999</v>
    <v>144.56</v>
    <v>145.46</v>
    <v>145.56</v>
    <v>145.32</v>
    <v>144.66</v>
    <v>144.54</v>
    <v>145.84</v>
    <v>148.06</v>
    <v>148.44</v>
    <v>149.36000000000001</v>
    <v>150.34</v>
    <v>149.84</v>
    <v>149.47999999999999</v>
    <v>150.4</v>
    <v>149.56</v>
    <v>149.6</v>
    <v>150.72</v>
    <v>149.96</v>
    <v>150.41999999999999</v>
    <v>152.04</v>
    <v>150.96</v>
    <v>152.74</v>
    <v>153.74</v>
    <v>153.28</v>
    <v>152.36000000000001</v>
    <v>149.82</v>
    <v>151.24</v>
    <v>150.88</v>
    <v>150.86000000000001</v>
    <v>150.91999999999999</v>
    <v>151.13999999999999</v>
    <v>151.52000000000001</v>
    <v>151.1</v>
    <v>150.94</v>
    <v>151.72</v>
    <v>152.72</v>
    <v>150.72</v>
    <v>152.44</v>
    <v>152.22</v>
    <v>152.82</v>
    <v>151.9</v>
    <v>153.28</v>
    <v>153.1</v>
    <v>153.52000000000001</v>
    <v>154.74</v>
    <v>154.5</v>
    <v>154.9</v>
    <v>155.41999999999999</v>
    <v>155.58000000000001</v>
    <v>155.9</v>
    <v>155.24</v>
    <v>155.34</v>
    <v>154.91999999999999</v>
    <v>154.88</v>
    <v>153.86000000000001</v>
    <v>154</v>
    <v>153.82</v>
    <v>154.30000000000001</v>
    <v>154.26</v>
    <v>154.66</v>
    <v>154.54</v>
    <v>153.12</v>
    <v>154.06</v>
    <v>152.6</v>
    <v>152.13999999999999</v>
    <v>152.1</v>
    <v>152.66</v>
    <v>152.78</v>
    <v>152.82</v>
    <v>152.41999999999999</v>
    <v>150.22</v>
    <v>149.18</v>
    <v>150.04</v>
    <v>149.66</v>
    <v>148.91999999999999</v>
    <v>149.62</v>
    <v>150.97999999999999</v>
    <v>149.34</v>
    <v>151.02000000000001</v>
    <v>150.9</v>
    <v>150.86000000000001</v>
    <v>150.44</v>
    <v>150.84</v>
    <v>150.74</v>
    <v>150.84</v>
    <v>149.91999999999999</v>
    <v>148.5</v>
    <v>149.28</v>
    <v>149.88</v>
    <v>150.32</v>
    <v>148.96</v>
    <v>148.22</v>
    <v>149.52000000000001</v>
    <v>150.26</v>
    <v>149.76</v>
    <v>150.94</v>
    <v>151.44</v>
    <v>152.18</v>
    <v>151.02000000000001</v>
    <v>150.78</v>
    <v>152.46</v>
    <v>150.74</v>
    <v>149.76</v>
  </a>
  <a r="1" c="256">
    <v>131.5</v>
    <v>131.28</v>
    <v>131.76</v>
    <v>131.44</v>
    <v>131.36000000000001</v>
    <v>131.6</v>
    <v>130.62</v>
    <v>130.80000000000001</v>
    <v>130.82</v>
    <v>131.19999999999999</v>
    <v>130.13999999999999</v>
    <v>129.36000000000001</v>
    <v>131.46</v>
    <v>133.22</v>
    <v>134.22</v>
    <v>133.46</v>
    <v>132.32</v>
    <v>131.72</v>
    <v>129.72</v>
    <v>129.76</v>
    <v>130.19999999999999</v>
    <v>129.6</v>
    <v>129.47999999999999</v>
    <v>130.5</v>
    <v>132.12</v>
    <v>131.84</v>
    <v>132.22</v>
    <v>132.08000000000001</v>
    <v>132.22</v>
    <v>132.38</v>
    <v>132.78</v>
    <v>132.54</v>
    <v>132.6</v>
    <v>132.38</v>
    <v>132.56</v>
    <v>133.44</v>
    <v>132.62</v>
    <v>133.47999999999999</v>
    <v>132.84</v>
    <v>132.69999999999999</v>
    <v>133.74</v>
    <v>134.47999999999999</v>
    <v>134.1</v>
    <v>134.58000000000001</v>
    <v>134.84</v>
    <v>134.76</v>
    <v>135.80000000000001</v>
    <v>135.41999999999999</v>
    <v>136.78</v>
    <v>137.97999999999999</v>
    <v>138.9</v>
    <v>138.44</v>
    <v>138.19999999999999</v>
    <v>140.13999999999999</v>
    <v>140.46</v>
    <v>140.9</v>
    <v>141.02000000000001</v>
    <v>141.36000000000001</v>
    <v>141.32</v>
    <v>139.56</v>
    <v>138.56</v>
    <v>138.16</v>
    <v>139.32</v>
    <v>139.28</v>
    <v>139.69999999999999</v>
    <v>140.80000000000001</v>
    <v>139.24</v>
    <v>139.06</v>
    <v>140.22</v>
    <v>141.80000000000001</v>
    <v>141.47999999999999</v>
    <v>140.84</v>
    <v>139.91999999999999</v>
    <v>141.36000000000001</v>
    <v>142.38</v>
    <v>142.04</v>
    <v>142.18</v>
    <v>142.06</v>
    <v>142.02000000000001</v>
    <v>142.22</v>
    <v>142.91999999999999</v>
    <v>144.68</v>
    <v>143.84</v>
    <v>145.04</v>
    <v>144.80000000000001</v>
    <v>145.24</v>
    <v>146.36000000000001</v>
    <v>146.06</v>
    <v>146.28</v>
    <v>143.76</v>
    <v>139.16</v>
    <v>140.80000000000001</v>
    <v>139.13999999999999</v>
    <v>137.91999999999999</v>
    <v>137.47999999999999</v>
    <v>140.02000000000001</v>
    <v>139.32</v>
    <v>138.41999999999999</v>
    <v>137.88</v>
    <v>138.44</v>
    <v>139.16</v>
    <v>137.76</v>
    <v>134.9</v>
    <v>132.5</v>
    <v>133.30000000000001</v>
    <v>134.18</v>
    <v>136.02000000000001</v>
    <v>134.30000000000001</v>
    <v>133.34</v>
    <v>134.16</v>
    <v>134.6</v>
    <v>138.08000000000001</v>
    <v>137.76</v>
    <v>136.13999999999999</v>
    <v>141.22</v>
    <v>141.6</v>
    <v>141.97999999999999</v>
    <v>141.56</v>
    <v>142.66</v>
    <v>141.84</v>
    <v>141.52000000000001</v>
    <v>143.72</v>
    <v>142.80000000000001</v>
    <v>141.52000000000001</v>
    <v>141.08000000000001</v>
    <v>141.32</v>
    <v>140.88</v>
    <v>140.38</v>
    <v>140.08000000000001</v>
    <v>139.08000000000001</v>
    <v>141.44</v>
    <v>139.36000000000001</v>
    <v>140.94</v>
    <v>144.41999999999999</v>
    <v>142.78</v>
    <v>141.62</v>
    <v>142.02000000000001</v>
    <v>140.84</v>
    <v>142.30000000000001</v>
    <v>143.52000000000001</v>
    <v>141.02000000000001</v>
    <v>141.68</v>
    <v>142.58000000000001</v>
    <v>144.86000000000001</v>
    <v>144.69999999999999</v>
    <v>145.58000000000001</v>
    <v>147.84</v>
    <v>146.32</v>
    <v>146.28</v>
    <v>145.32</v>
    <v>145.5</v>
    <v>144.78</v>
    <v>145.47999999999999</v>
    <v>144.56</v>
    <v>145.46</v>
    <v>145.56</v>
    <v>145.32</v>
    <v>144.66</v>
    <v>144.54</v>
    <v>145.84</v>
    <v>148.06</v>
    <v>148.44</v>
    <v>149.36000000000001</v>
    <v>150.34</v>
    <v>149.84</v>
    <v>149.47999999999999</v>
    <v>150.4</v>
    <v>149.56</v>
    <v>149.6</v>
    <v>150.72</v>
    <v>149.96</v>
    <v>150.41999999999999</v>
    <v>152.04</v>
    <v>150.96</v>
    <v>152.74</v>
    <v>153.74</v>
    <v>153.28</v>
    <v>152.36000000000001</v>
    <v>149.82</v>
    <v>151.24</v>
    <v>150.88</v>
    <v>150.86000000000001</v>
    <v>150.91999999999999</v>
    <v>151.13999999999999</v>
    <v>151.52000000000001</v>
    <v>151.1</v>
    <v>150.94</v>
    <v>151.72</v>
    <v>152.72</v>
    <v>150.72</v>
    <v>152.44</v>
    <v>152.22</v>
    <v>152.82</v>
    <v>151.9</v>
    <v>153.28</v>
    <v>153.1</v>
    <v>153.52000000000001</v>
    <v>154.74</v>
    <v>154.5</v>
    <v>154.9</v>
    <v>155.41999999999999</v>
    <v>155.58000000000001</v>
    <v>155.9</v>
    <v>155.24</v>
    <v>155.34</v>
    <v>154.91999999999999</v>
    <v>154.88</v>
    <v>153.86000000000001</v>
    <v>154</v>
    <v>153.82</v>
    <v>154.30000000000001</v>
    <v>154.26</v>
    <v>154.66</v>
    <v>154.54</v>
    <v>153.12</v>
    <v>154.06</v>
    <v>152.6</v>
    <v>152.13999999999999</v>
    <v>152.1</v>
    <v>152.66</v>
    <v>152.78</v>
    <v>152.82</v>
    <v>152.41999999999999</v>
    <v>150.22</v>
    <v>149.18</v>
    <v>150.04</v>
    <v>149.66</v>
    <v>148.91999999999999</v>
    <v>149.62</v>
    <v>150.97999999999999</v>
    <v>149.34</v>
    <v>151.02000000000001</v>
    <v>150.9</v>
    <v>150.86000000000001</v>
    <v>150.44</v>
    <v>150.84</v>
    <v>150.74</v>
    <v>150.84</v>
    <v>149.91999999999999</v>
    <v>148.5</v>
    <v>149.28</v>
    <v>149.88</v>
    <v>150.32</v>
    <v>148.96</v>
    <v>148.22</v>
    <v>149.52000000000001</v>
    <v>150.26</v>
    <v>149.76</v>
    <v>150.94</v>
    <v>151.44</v>
    <v>152.18</v>
    <v>151.02000000000001</v>
    <v>150.78</v>
    <v>152.46</v>
    <v>150.74</v>
    <v>149.76</v>
  </a>
  <a r="1" c="254">
    <v>147.51519999999999</v>
    <v>147.53550000000001</v>
    <v>147.5326</v>
    <v>147.56049999999999</v>
    <v>147.56030000000001</v>
    <v>147.57060000000001</v>
    <v>147.59800000000001</v>
    <v>147.60650000000001</v>
    <v>147.60900000000001</v>
    <v>147.61000000000001</v>
    <v>147.6198</v>
    <v>147.63509999999999</v>
    <v>147.654</v>
    <v>147.66050000000001</v>
    <v>147.67699999999999</v>
    <v>147.6917</v>
    <v>147.708</v>
    <v>147.7199</v>
    <v>147.71129999999999</v>
    <v>147.72110000000001</v>
    <v>147.7165</v>
    <v>147.7159</v>
    <v>147.75200000000001</v>
    <v>147.74019999999999</v>
    <v>147.78020000000001</v>
    <v>147.77600000000001</v>
    <v>147.7953</v>
    <v>147.80760000000001</v>
    <v>147.80510000000001</v>
    <v>147.83199999999999</v>
    <v>147.83699999999999</v>
    <v>147.852</v>
    <v>147.85820000000001</v>
    <v>147.8621</v>
    <v>147.85380000000001</v>
    <v>147.905</v>
    <v>147.90199999999999</v>
    <v>147.91640000000001</v>
    <v>147.91640000000001</v>
    <v>147.92570000000001</v>
    <v>147.9485</v>
    <v>147.97229999999999</v>
    <v>147.96799999999999</v>
    <v>147.98679999999999</v>
    <v>148.01560000000001</v>
    <v>148.0856</v>
    <v>148.11600000000001</v>
    <v>148.08600000000001</v>
    <v>148.10290000000001</v>
    <v>148.1</v>
    <v>148.11699999999999</v>
    <v>148.12</v>
    <v>148.13900000000001</v>
    <v>148.14920000000001</v>
    <v>148.1602</v>
    <v>148.1722</v>
    <v>148.18860000000001</v>
    <v>148.1942</v>
    <v>148.20400000000001</v>
    <v>148.2046</v>
    <v>148.2209</v>
    <v>148.2371</v>
    <v>148.25</v>
    <v>148.25989999999999</v>
    <v>148.28309999999999</v>
    <v>148.29419999999999</v>
    <v>148.31890000000001</v>
    <v>148.3202</v>
    <v>148.32730000000001</v>
    <v>148.33949999999999</v>
    <v>148.33799999999999</v>
    <v>148.3612</v>
    <v>148.3699</v>
    <v>148.387</v>
    <v>148.38399999999999</v>
    <v>148.4</v>
    <v>148.40899999999999</v>
    <v>148.42859999999999</v>
    <v>148.428</v>
    <v>148.44730000000001</v>
    <v>148.46440000000001</v>
    <v>148.47989999999999</v>
    <v>148.48490000000001</v>
    <v>148.48920000000001</v>
    <v>148.5</v>
    <v>148.51499999999999</v>
    <v>148.53890000000001</v>
    <v>148.5258</v>
    <v>148.5189</v>
    <v>148.5231</v>
    <v>148.56469999999999</v>
    <v>148.57599999999999</v>
    <v>148.60679999999999</v>
    <v>148.60890000000001</v>
    <v>148.6</v>
    <v>148.62</v>
    <v>148.6464</v>
    <v>148.6455</v>
    <v>148.6523</v>
    <v>148.65369999999999</v>
    <v>148.661</v>
    <v>148.685</v>
    <v>148.7115</v>
    <v>148.72049999999999</v>
    <v>148.72499999999999</v>
    <v>148.7192</v>
    <v>148.75579999999999</v>
    <v>148.77619999999999</v>
    <v>148.77549999999999</v>
    <v>148.78710000000001</v>
    <v>148.80070000000001</v>
    <v>148.82409999999999</v>
    <v>148.84180000000001</v>
    <v>148.84520000000001</v>
    <v>148.86959999999999</v>
    <v>148.89189999999999</v>
    <v>148.893</v>
    <v>148.89859999999999</v>
    <v>148.90940000000001</v>
    <v>148.91640000000001</v>
    <v>148.91</v>
    <v>148.92259999999999</v>
    <v>148.93620000000001</v>
    <v>148.9622</v>
    <v>148.9674</v>
    <v>148.98509999999999</v>
    <v>149</v>
    <v>148.99340000000001</v>
    <v>149.03149999999999</v>
    <v>149.03890000000001</v>
    <v>149.04429999999999</v>
    <v>149.04409999999999</v>
    <v>149.05889999999999</v>
    <v>149.0813</v>
    <v>149.1</v>
    <v>149.113</v>
    <v>149.11709999999999</v>
    <v>149.13740000000001</v>
    <v>149.13300000000001</v>
    <v>149.1635</v>
    <v>149.16079999999999</v>
    <v>149.1754</v>
    <v>149.173</v>
    <v>149.19640000000001</v>
    <v>149.21700000000001</v>
    <v>149.22139999999999</v>
    <v>149.22280000000001</v>
    <v>149.23490000000001</v>
    <v>149.249</v>
    <v>149.27189999999999</v>
    <v>149.27000000000001</v>
    <v>149.27029999999999</v>
    <v>149.2824</v>
    <v>149.31139999999999</v>
    <v>149.31559999999999</v>
    <v>149.33760000000001</v>
    <v>149.33250000000001</v>
    <v>149.3329</v>
    <v>149.36500000000001</v>
    <v>149.37</v>
    <v>149.3809</v>
    <v>149.3723</v>
    <v>149.40270000000001</v>
    <v>149.43389999999999</v>
    <v>149.42169999999999</v>
    <v>149.4161</v>
    <v>149.43270000000001</v>
    <v>149.44380000000001</v>
    <v>149.47190000000001</v>
    <v>149.49180000000001</v>
    <v>149.50640000000001</v>
    <v>149.51599999999999</v>
    <v>149.53550000000001</v>
    <v>149.5538</v>
    <v>149.56790000000001</v>
    <v>149.5763</v>
    <v>149.58000000000001</v>
    <v>149.59200000000001</v>
    <v>149.61789999999999</v>
    <v>149.62219999999999</v>
    <v>149.64869999999999</v>
    <v>149.65190000000001</v>
    <v>149.65819999999999</v>
    <v>149.66999999999999</v>
    <v>149.685</v>
    <v>149.69</v>
    <v>149.7011</v>
    <v>149.71510000000001</v>
    <v>149.72980000000001</v>
    <v>149.7457</v>
    <v>149.7645</v>
    <v>149.7801</v>
    <v>149.7783</v>
    <v>149.7936</v>
    <v>149.83080000000001</v>
    <v>149.83500000000001</v>
    <v>149.8314</v>
    <v>149.84540000000001</v>
    <v>149.8443</v>
    <v>149.85</v>
    <v>149.85769999999999</v>
    <v>149.8707</v>
    <v>149.90309999999999</v>
    <v>149.92019999999999</v>
    <v>149.935</v>
    <v>149.93199999999999</v>
    <v>149.93629999999999</v>
    <v>149.97239999999999</v>
    <v>149.9881</v>
    <v>149.98169999999999</v>
    <v>149.99440000000001</v>
    <v>149.99</v>
    <v>150.02250000000001</v>
    <v>150.03980000000001</v>
    <v>150.04140000000001</v>
    <v>150.05250000000001</v>
    <v>150.08500000000001</v>
    <v>150.0908</v>
    <v>150.1079</v>
    <v>150.126</v>
    <v>150.1446</v>
    <v>150.1481</v>
    <v>150.15430000000001</v>
    <v>150.178</v>
    <v>150.17570000000001</v>
    <v>150.19300000000001</v>
    <v>150.19309999999999</v>
    <v>150.21799999999999</v>
    <v>150.23869999999999</v>
    <v>150.23859999999999</v>
    <v>150.24889999999999</v>
    <v>150.27269999999999</v>
    <v>150.2809</v>
    <v>150.3142</v>
    <v>150.3271</v>
    <v>150.34100000000001</v>
    <v>150.36269999999999</v>
    <v>150.3631</v>
    <v>150.38919999999999</v>
    <v>150.40020000000001</v>
    <v>150.4152</v>
    <v>150.4417</v>
    <v>150.43799999999999</v>
    <v>150.45419999999999</v>
    <v>150.47309999999999</v>
    <v>150.49209999999999</v>
    <v>150.49520000000001</v>
    <v>150.51599999999999</v>
    <v>150.52719999999999</v>
    <v>150.51750000000001</v>
    <v>150.53579999999999</v>
    <v>150.54349999999999</v>
    <v>150.5772</v>
    <v>150.5934</v>
  </a>
  <a r="1" c="761">
    <v>138.5444</v>
    <v>138.5643</v>
    <v>138.58320000000001</v>
    <v>138.59630000000001</v>
    <v>138.63749999999999</v>
    <v>138.65020000000001</v>
    <v>138.6687</v>
    <v>138.6721</v>
    <v>138.67179999999999</v>
    <v>138.7165</v>
    <v>138.74440000000001</v>
    <v>138.76259999999999</v>
    <v>138.78720000000001</v>
    <v>138.79</v>
    <v>138.79910000000001</v>
    <v>138.8228</v>
    <v>138.86000000000001</v>
    <v>138.85339999999999</v>
    <v>138.90710000000001</v>
    <v>138.9699</v>
    <v>138.94030000000001</v>
    <v>138.9753</v>
    <v>138.9863</v>
    <v>139.01220000000001</v>
    <v>139.0163</v>
    <v>139.04060000000001</v>
    <v>139.08080000000001</v>
    <v>139.089</v>
    <v>139.1104</v>
    <v>139.12100000000001</v>
    <v>139.13659999999999</v>
    <v>139.16130000000001</v>
    <v>139.185</v>
    <v>139.2398</v>
    <v>139.22499999999999</v>
    <v>139.2841</v>
    <v>139.29429999999999</v>
    <v>139.28229999999999</v>
    <v>139.33150000000001</v>
    <v>139.33340000000001</v>
    <v>139.3972</v>
    <v>139.36009999999999</v>
    <v>139.38069999999999</v>
    <v>139.43680000000001</v>
    <v>139.5</v>
    <v>139.50129999999999</v>
    <v>139.5214</v>
    <v>139.64160000000001</v>
    <v>139.65309999999999</v>
    <v>139.64580000000001</v>
    <v>139.63210000000001</v>
    <v>139.6756</v>
    <v>139.68799999999999</v>
    <v>139.70259999999999</v>
    <v>139.75</v>
    <v>139.73410000000001</v>
    <v>139.779</v>
    <v>139.79400000000001</v>
    <v>139.8306</v>
    <v>139.82</v>
    <v>139.85</v>
    <v>139.85480000000001</v>
    <v>139.898</v>
    <v>139.9042</v>
    <v>139.93</v>
    <v>139.9528</v>
    <v>139.9907</v>
    <v>139.98439999999999</v>
    <v>140.00970000000001</v>
    <v>140.0087</v>
    <v>140.05799999999999</v>
    <v>140.0943</v>
    <v>140.1</v>
    <v>140.11340000000001</v>
    <v>140.15819999999999</v>
    <v>140.19489999999999</v>
    <v>140.202</v>
    <v>140.19800000000001</v>
    <v>140.21199999999999</v>
    <v>140.245</v>
    <v>140.28530000000001</v>
    <v>140.27250000000001</v>
    <v>140.30260000000001</v>
    <v>140.33000000000001</v>
    <v>140.37</v>
    <v>140.4076</v>
    <v>140.39779999999999</v>
    <v>140.42599999999999</v>
    <v>140.43</v>
    <v>140.45099999999999</v>
    <v>140.51410000000001</v>
    <v>140.4941</v>
    <v>140.51570000000001</v>
    <v>140.56540000000001</v>
    <v>140.55510000000001</v>
    <v>140.5907</v>
    <v>140.6362</v>
    <v>140.6223</v>
    <v>140.66</v>
    <v>140.6465</v>
    <v>140.71129999999999</v>
    <v>140.72999999999999</v>
    <v>140.73429999999999</v>
    <v>140.7876</v>
    <v>140.79689999999999</v>
    <v>140.8338</v>
    <v>140.86420000000001</v>
    <v>140.846</v>
    <v>140.9008</v>
    <v>140.9238</v>
    <v>140.917</v>
    <v>140.95660000000001</v>
    <v>140.97</v>
    <v>141.02000000000001</v>
    <v>141.05799999999999</v>
    <v>141.06</v>
    <v>141.10820000000001</v>
    <v>141.09950000000001</v>
    <v>141.1448</v>
    <v>141.17080000000001</v>
    <v>141.17840000000001</v>
    <v>141.20320000000001</v>
    <v>141.2312</v>
    <v>141.23060000000001</v>
    <v>141.261</v>
    <v>141.3066</v>
    <v>141.32310000000001</v>
    <v>141.3253</v>
    <v>141.35220000000001</v>
    <v>141.38489999999999</v>
    <v>141.40479999999999</v>
    <v>141.42500000000001</v>
    <v>141.46549999999999</v>
    <v>141.47</v>
    <v>141.52500000000001</v>
    <v>141.49979999999999</v>
    <v>141.5205</v>
    <v>141.58000000000001</v>
    <v>141.59</v>
    <v>141.6095</v>
    <v>141.6026</v>
    <v>141.66419999999999</v>
    <v>141.68029999999999</v>
    <v>141.68029999999999</v>
    <v>141.69210000000001</v>
    <v>141.71899999999999</v>
    <v>141.73699999999999</v>
    <v>141.78659999999999</v>
    <v>141.79040000000001</v>
    <v>141.84020000000001</v>
    <v>141.85499999999999</v>
    <v>141.87430000000001</v>
    <v>141.8777</v>
    <v>141.93559999999999</v>
    <v>141.94130000000001</v>
    <v>141.96010000000001</v>
    <v>142.00980000000001</v>
    <v>141.99619999999999</v>
    <v>142.02000000000001</v>
    <v>142.01130000000001</v>
    <v>142.04589999999999</v>
    <v>142.04</v>
    <v>142.10319999999999</v>
    <v>142.1319</v>
    <v>142.15360000000001</v>
    <v>142.1636</v>
    <v>142.18199999999999</v>
    <v>142.2183</v>
    <v>142.19999999999999</v>
    <v>142.24</v>
    <v>142.26130000000001</v>
    <v>142.286</v>
    <v>142.3056</v>
    <v>142.31659999999999</v>
    <v>142.36259999999999</v>
    <v>142.3707</v>
    <v>142.38069999999999</v>
    <v>142.4015</v>
    <v>142.4143</v>
    <v>142.4374</v>
    <v>142.45160000000001</v>
    <v>142.49430000000001</v>
    <v>142.5215</v>
    <v>142.52090000000001</v>
    <v>142.5342</v>
    <v>142.54560000000001</v>
    <v>142.5865</v>
    <v>142.59979999999999</v>
    <v>142.61699999999999</v>
    <v>142.63399999999999</v>
    <v>142.6437</v>
    <v>142.6523</v>
    <v>142.70179999999999</v>
    <v>142.71979999999999</v>
    <v>142.74529999999999</v>
    <v>142.78190000000001</v>
    <v>142.77099999999999</v>
    <v>142.8115</v>
    <v>142.84039999999999</v>
    <v>142.82159999999999</v>
    <v>142.86080000000001</v>
    <v>142.874</v>
    <v>142.92760000000001</v>
    <v>142.9238</v>
    <v>142.94890000000001</v>
    <v>142.97059999999999</v>
    <v>142.96680000000001</v>
    <v>143.01679999999999</v>
    <v>143.042</v>
    <v>143.1</v>
    <v>143.0795</v>
    <v>143.1183</v>
    <v>143.1276</v>
    <v>143.15209999999999</v>
    <v>143.1634</v>
    <v>143.18899999999999</v>
    <v>143.19999999999999</v>
    <v>143.22800000000001</v>
    <v>143.24430000000001</v>
    <v>143.25980000000001</v>
    <v>143.27000000000001</v>
    <v>143.3391</v>
    <v>143.3304</v>
    <v>143.35069999999999</v>
    <v>143.36500000000001</v>
    <v>143.3776</v>
    <v>143.40780000000001</v>
    <v>143.41999999999999</v>
    <v>143.45240000000001</v>
    <v>143.47739999999999</v>
    <v>143.4675</v>
    <v>143.5044</v>
    <v>143.52250000000001</v>
    <v>143.5521</v>
    <v>143.55500000000001</v>
    <v>143.56549999999999</v>
    <v>143.61490000000001</v>
    <v>143.6105</v>
    <v>143.63</v>
    <v>143.70599999999999</v>
    <v>143.65010000000001</v>
    <v>143.70509999999999</v>
    <v>143.72499999999999</v>
    <v>143.71719999999999</v>
    <v>143.76849999999999</v>
    <v>143.77099999999999</v>
    <v>143.80609999999999</v>
    <v>143.86240000000001</v>
    <v>143.83269999999999</v>
    <v>143.8929</v>
    <v>143.85050000000001</v>
    <v>143.91720000000001</v>
    <v>143.94649999999999</v>
    <v>143.898</v>
    <v>143.94999999999999</v>
    <v>143.9804</v>
    <v>143.98599999999999</v>
    <v>144.006</v>
    <v>144.03909999999999</v>
    <v>144.02459999999999</v>
    <v>144.07159999999999</v>
    <v>144.066</v>
    <v>144.19569999999999</v>
    <v>144.09569999999999</v>
    <v>144.12100000000001</v>
    <v>144.13499999999999</v>
    <v>144.16159999999999</v>
    <v>144.22989999999999</v>
    <v>144.18860000000001</v>
    <v>144.2295</v>
    <v>144.249</v>
    <v>144.2525</v>
    <v>144.31299999999999</v>
    <v>144.2527</v>
    <v>144.32079999999999</v>
    <v>144.3158</v>
    <v>144.339</v>
    <v>144.3903</v>
    <v>144.36600000000001</v>
    <v>144.3879</v>
    <v>144.4188</v>
    <v>144.4391</v>
    <v>144.441</v>
    <v>144.46469999999999</v>
    <v>144.47219999999999</v>
    <v>144.49719999999999</v>
    <v>144.518</v>
    <v>144.52969999999999</v>
    <v>144.54050000000001</v>
    <v>144.56649999999999</v>
    <v>144.57749999999999</v>
    <v>144.6095</v>
    <v>144.61930000000001</v>
    <v>144.63800000000001</v>
    <v>144.66</v>
    <v>144.6738</v>
    <v>144.69390000000001</v>
    <v>144.72</v>
    <v>144.8074</v>
    <v>144.80000000000001</v>
    <v>144.84209999999999</v>
    <v>144.9143</v>
    <v>144.88659999999999</v>
    <v>144.9</v>
    <v>144.935</v>
    <v>144.95439999999999</v>
    <v>144.97130000000001</v>
    <v>144.9615</v>
    <v>144.95660000000001</v>
    <v>144.98249999999999</v>
    <v>145.00640000000001</v>
    <v>145.01910000000001</v>
    <v>145.04069999999999</v>
    <v>145.065</v>
    <v>145.0814</v>
    <v>145.08080000000001</v>
    <v>145.10380000000001</v>
    <v>145.119</v>
    <v>145.13329999999999</v>
    <v>145.16300000000001</v>
    <v>145.1771</v>
    <v>145.1841</v>
    <v>145.1995</v>
    <v>145.21379999999999</v>
    <v>145.23009999999999</v>
    <v>145.2501</v>
    <v>145.2722</v>
    <v>145.28620000000001</v>
    <v>145.29490000000001</v>
    <v>145.30000000000001</v>
    <v>145.31880000000001</v>
    <v>145.34700000000001</v>
    <v>145.35900000000001</v>
    <v>145.37520000000001</v>
    <v>145.3759</v>
    <v>145.40010000000001</v>
    <v>145.4179</v>
    <v>145.41419999999999</v>
    <v>145.44040000000001</v>
    <v>145.44749999999999</v>
    <v>145.44040000000001</v>
    <v>145.494</v>
    <v>145.5394</v>
    <v>145.53</v>
    <v>145.52000000000001</v>
    <v>145.5487</v>
    <v>145.5556</v>
    <v>145.57900000000001</v>
    <v>145.6003</v>
    <v>145.6208</v>
    <v>145.60640000000001</v>
    <v>145.64359999999999</v>
    <v>145.66220000000001</v>
    <v>145.66149999999999</v>
    <v>145.673</v>
    <v>145.70009999999999</v>
    <v>145.7123</v>
    <v>145.72800000000001</v>
    <v>145.73050000000001</v>
    <v>145.738</v>
    <v>145.7681</v>
    <v>145.78030000000001</v>
    <v>145.78899999999999</v>
    <v>145.79730000000001</v>
    <v>145.84979999999999</v>
    <v>145.85650000000001</v>
    <v>145.83090000000001</v>
    <v>145.8349</v>
    <v>145.78</v>
    <v>145.87799999999999</v>
    <v>145.845</v>
    <v>145.90729999999999</v>
    <v>145.91650000000001</v>
    <v>145.9443</v>
    <v>145.9675</v>
    <v>145.9846</v>
    <v>145.99</v>
    <v>146.00620000000001</v>
    <v>146.00890000000001</v>
    <v>146.07640000000001</v>
    <v>146.06489999999999</v>
    <v>146.08000000000001</v>
    <v>146.08000000000001</v>
    <v>146.0942</v>
    <v>146.13910000000001</v>
    <v>146.12799999999999</v>
    <v>146.1293</v>
    <v>146.13910000000001</v>
    <v>146.18960000000001</v>
    <v>146.20349999999999</v>
    <v>146.1925</v>
    <v>146.21700000000001</v>
    <v>146.20670000000001</v>
    <v>146.24600000000001</v>
    <v>146.24</v>
    <v>146.2893</v>
    <v>146.2749</v>
    <v>146.2824</v>
    <v>146.291</v>
    <v>146.3159</v>
    <v>146.32570000000001</v>
    <v>146.3159</v>
    <v>146.33799999999999</v>
    <v>146.3527</v>
    <v>146.36369999999999</v>
    <v>146.39789999999999</v>
    <v>146.38980000000001</v>
    <v>146.40600000000001</v>
    <v>146.40790000000001</v>
    <v>146.43790000000001</v>
    <v>146.44130000000001</v>
    <v>146.4402</v>
    <v>146.47</v>
    <v>146.47</v>
    <v>146.47040000000001</v>
    <v>146.5</v>
    <v>146.505</v>
    <v>146.52959999999999</v>
    <v>146.54429999999999</v>
    <v>146.55600000000001</v>
    <v>146.548</v>
    <v>146.54</v>
    <v>146.55850000000001</v>
    <v>146.58160000000001</v>
    <v>146.58529999999999</v>
    <v>146.60069999999999</v>
    <v>146.63200000000001</v>
    <v>146.62</v>
    <v>146.63130000000001</v>
    <v>146.63030000000001</v>
    <v>146.6431</v>
    <v>146.66239999999999</v>
    <v>146.65719999999999</v>
    <v>146.67840000000001</v>
    <v>146.71</v>
    <v>146.72219999999999</v>
    <v>146.75309999999999</v>
    <v>146.73089999999999</v>
    <v>146.75</v>
    <v>146.732</v>
    <v>146.76079999999999</v>
    <v>146.77520000000001</v>
    <v>146.80179999999999</v>
    <v>146.80000000000001</v>
    <v>146.8245</v>
    <v>146.82400000000001</v>
    <v>146.8194</v>
    <v>146.80510000000001</v>
    <v>146.86269999999999</v>
    <v>146.8809</v>
    <v>146.88310000000001</v>
    <v>146.9</v>
    <v>146.91</v>
    <v>146.91149999999999</v>
    <v>146.93219999999999</v>
    <v>146.93360000000001</v>
    <v>146.9357</v>
    <v>146.94999999999999</v>
    <v>146.9753</v>
    <v>146.99</v>
    <v>147.00020000000001</v>
    <v>147.01840000000001</v>
    <v>147.01900000000001</v>
    <v>147.066</v>
    <v>147.05959999999999</v>
    <v>147.06700000000001</v>
    <v>147.06120000000001</v>
    <v>147.07339999999999</v>
    <v>147.08770000000001</v>
    <v>147.10679999999999</v>
    <v>147.1285</v>
    <v>147.1001</v>
    <v>147.11490000000001</v>
    <v>147.14529999999999</v>
    <v>147.1497</v>
    <v>147.1593</v>
    <v>147.16839999999999</v>
    <v>147.19049999999999</v>
    <v>147.19139999999999</v>
    <v>147.21420000000001</v>
    <v>147.21549999999999</v>
    <v>147.20349999999999</v>
    <v>147.23500000000001</v>
    <v>147.25729999999999</v>
    <v>147.23990000000001</v>
    <v>147.25810000000001</v>
    <v>147.256</v>
    <v>147.28800000000001</v>
    <v>147.28899999999999</v>
    <v>147.304</v>
    <v>147.30879999999999</v>
    <v>147.3425</v>
    <v>147.35980000000001</v>
    <v>147.37100000000001</v>
    <v>147.36600000000001</v>
    <v>147.38</v>
    <v>147.39830000000001</v>
    <v>147.3929</v>
    <v>147.417</v>
    <v>147.4111</v>
    <v>147.41990000000001</v>
    <v>147.42699999999999</v>
    <v>147.46190000000001</v>
    <v>147.476</v>
    <v>147.47999999999999</v>
    <v>147.4821</v>
    <v>147.501</v>
    <v>147.51519999999999</v>
    <v>147.53550000000001</v>
    <v>147.5326</v>
    <v>147.56049999999999</v>
    <v>147.56030000000001</v>
    <v>147.57060000000001</v>
    <v>147.59800000000001</v>
    <v>147.60650000000001</v>
    <v>147.60900000000001</v>
    <v>147.61000000000001</v>
    <v>147.6198</v>
    <v>147.63509999999999</v>
    <v>147.654</v>
    <v>147.66050000000001</v>
    <v>147.67699999999999</v>
    <v>147.6917</v>
    <v>147.708</v>
    <v>147.7199</v>
    <v>147.71129999999999</v>
    <v>147.72110000000001</v>
    <v>147.7165</v>
    <v>147.7159</v>
    <v>147.75200000000001</v>
    <v>147.74019999999999</v>
    <v>147.78020000000001</v>
    <v>147.77600000000001</v>
    <v>147.7953</v>
    <v>147.80760000000001</v>
    <v>147.80510000000001</v>
    <v>147.83199999999999</v>
    <v>147.83699999999999</v>
    <v>147.852</v>
    <v>147.85820000000001</v>
    <v>147.8621</v>
    <v>147.85380000000001</v>
    <v>147.905</v>
    <v>147.90199999999999</v>
    <v>147.91640000000001</v>
    <v>147.91640000000001</v>
    <v>147.92570000000001</v>
    <v>147.9485</v>
    <v>147.97229999999999</v>
    <v>147.96799999999999</v>
    <v>147.98679999999999</v>
    <v>148.01560000000001</v>
    <v>148.0856</v>
    <v>148.11600000000001</v>
    <v>148.08600000000001</v>
    <v>148.10290000000001</v>
    <v>148.1</v>
    <v>148.11699999999999</v>
    <v>148.12</v>
    <v>148.13900000000001</v>
    <v>148.14920000000001</v>
    <v>148.1602</v>
    <v>148.1722</v>
    <v>148.18860000000001</v>
    <v>148.1942</v>
    <v>148.20400000000001</v>
    <v>148.2046</v>
    <v>148.2209</v>
    <v>148.2371</v>
    <v>148.25</v>
    <v>148.25989999999999</v>
    <v>148.28309999999999</v>
    <v>148.29419999999999</v>
    <v>148.31890000000001</v>
    <v>148.3202</v>
    <v>148.32730000000001</v>
    <v>148.33949999999999</v>
    <v>148.33799999999999</v>
    <v>148.3612</v>
    <v>148.3699</v>
    <v>148.387</v>
    <v>148.38399999999999</v>
    <v>148.4</v>
    <v>148.40899999999999</v>
    <v>148.42859999999999</v>
    <v>148.428</v>
    <v>148.44730000000001</v>
    <v>148.46440000000001</v>
    <v>148.47989999999999</v>
    <v>148.48490000000001</v>
    <v>148.48920000000001</v>
    <v>148.5</v>
    <v>148.51499999999999</v>
    <v>148.53890000000001</v>
    <v>148.5258</v>
    <v>148.5189</v>
    <v>148.5231</v>
    <v>148.56469999999999</v>
    <v>148.57599999999999</v>
    <v>148.60679999999999</v>
    <v>148.60890000000001</v>
    <v>148.6</v>
    <v>148.62</v>
    <v>148.6464</v>
    <v>148.6455</v>
    <v>148.6523</v>
    <v>148.65369999999999</v>
    <v>148.661</v>
    <v>148.685</v>
    <v>148.7115</v>
    <v>148.72049999999999</v>
    <v>148.72499999999999</v>
    <v>148.7192</v>
    <v>148.75579999999999</v>
    <v>148.77619999999999</v>
    <v>148.77549999999999</v>
    <v>148.78710000000001</v>
    <v>148.80070000000001</v>
    <v>148.82409999999999</v>
    <v>148.84180000000001</v>
    <v>148.84520000000001</v>
    <v>148.86959999999999</v>
    <v>148.89189999999999</v>
    <v>148.893</v>
    <v>148.89859999999999</v>
    <v>148.90940000000001</v>
    <v>148.91640000000001</v>
    <v>148.91</v>
    <v>148.92259999999999</v>
    <v>148.93620000000001</v>
    <v>148.9622</v>
    <v>148.9674</v>
    <v>148.98509999999999</v>
    <v>149</v>
    <v>148.99340000000001</v>
    <v>149.03149999999999</v>
    <v>149.03890000000001</v>
    <v>149.04429999999999</v>
    <v>149.04409999999999</v>
    <v>149.05889999999999</v>
    <v>149.0813</v>
    <v>149.1</v>
    <v>149.113</v>
    <v>149.11709999999999</v>
    <v>149.13740000000001</v>
    <v>149.13300000000001</v>
    <v>149.1635</v>
    <v>149.16079999999999</v>
    <v>149.1754</v>
    <v>149.173</v>
    <v>149.19640000000001</v>
    <v>149.21700000000001</v>
    <v>149.22139999999999</v>
    <v>149.22280000000001</v>
    <v>149.23490000000001</v>
    <v>149.249</v>
    <v>149.27189999999999</v>
    <v>149.27000000000001</v>
    <v>149.27029999999999</v>
    <v>149.2824</v>
    <v>149.31139999999999</v>
    <v>149.31559999999999</v>
    <v>149.33760000000001</v>
    <v>149.33250000000001</v>
    <v>149.3329</v>
    <v>149.36500000000001</v>
    <v>149.37</v>
    <v>149.3809</v>
    <v>149.3723</v>
    <v>149.40270000000001</v>
    <v>149.43389999999999</v>
    <v>149.42169999999999</v>
    <v>149.4161</v>
    <v>149.43270000000001</v>
    <v>149.44380000000001</v>
    <v>149.47190000000001</v>
    <v>149.49180000000001</v>
    <v>149.50640000000001</v>
    <v>149.51599999999999</v>
    <v>149.53550000000001</v>
    <v>149.5538</v>
    <v>149.56790000000001</v>
    <v>149.5763</v>
    <v>149.58000000000001</v>
    <v>149.59200000000001</v>
    <v>149.61789999999999</v>
    <v>149.62219999999999</v>
    <v>149.64869999999999</v>
    <v>149.65190000000001</v>
    <v>149.65819999999999</v>
    <v>149.66999999999999</v>
    <v>149.685</v>
    <v>149.69</v>
    <v>149.7011</v>
    <v>149.71510000000001</v>
    <v>149.72980000000001</v>
    <v>149.7457</v>
    <v>149.7645</v>
    <v>149.7801</v>
    <v>149.7783</v>
    <v>149.7936</v>
    <v>149.83080000000001</v>
    <v>149.83500000000001</v>
    <v>149.8314</v>
    <v>149.84540000000001</v>
    <v>149.8443</v>
    <v>149.85</v>
    <v>149.85769999999999</v>
    <v>149.8707</v>
    <v>149.90309999999999</v>
    <v>149.92019999999999</v>
    <v>149.935</v>
    <v>149.93199999999999</v>
    <v>149.93629999999999</v>
    <v>149.97239999999999</v>
    <v>149.9881</v>
    <v>149.98169999999999</v>
    <v>149.99440000000001</v>
    <v>149.99</v>
    <v>150.02250000000001</v>
    <v>150.03980000000001</v>
    <v>150.04140000000001</v>
    <v>150.05250000000001</v>
    <v>150.08500000000001</v>
    <v>150.0908</v>
    <v>150.1079</v>
    <v>150.126</v>
    <v>150.1446</v>
    <v>150.1481</v>
    <v>150.15430000000001</v>
    <v>150.178</v>
    <v>150.17570000000001</v>
    <v>150.19300000000001</v>
    <v>150.19309999999999</v>
    <v>150.21799999999999</v>
    <v>150.23869999999999</v>
    <v>150.23859999999999</v>
    <v>150.24889999999999</v>
    <v>150.27269999999999</v>
    <v>150.2809</v>
    <v>150.3142</v>
    <v>150.3271</v>
    <v>150.34100000000001</v>
    <v>150.36269999999999</v>
    <v>150.3631</v>
    <v>150.38919999999999</v>
    <v>150.40020000000001</v>
    <v>150.4152</v>
    <v>150.4417</v>
    <v>150.43799999999999</v>
    <v>150.45419999999999</v>
    <v>150.47309999999999</v>
    <v>150.49209999999999</v>
    <v>150.49520000000001</v>
    <v>150.51599999999999</v>
    <v>150.52719999999999</v>
    <v>150.51750000000001</v>
    <v>150.53579999999999</v>
    <v>150.54349999999999</v>
    <v>150.5772</v>
    <v>150.5934</v>
  </a>
  <a r="1" c="208">
    <v>148.11600000000001</v>
    <v>148.08600000000001</v>
    <v>148.10290000000001</v>
    <v>148.1</v>
    <v>148.11699999999999</v>
    <v>148.12</v>
    <v>148.13900000000001</v>
    <v>148.14920000000001</v>
    <v>148.1602</v>
    <v>148.1722</v>
    <v>148.18860000000001</v>
    <v>148.1942</v>
    <v>148.20400000000001</v>
    <v>148.2046</v>
    <v>148.2209</v>
    <v>148.2371</v>
    <v>148.25</v>
    <v>148.25989999999999</v>
    <v>148.28309999999999</v>
    <v>148.29419999999999</v>
    <v>148.31890000000001</v>
    <v>148.3202</v>
    <v>148.32730000000001</v>
    <v>148.33949999999999</v>
    <v>148.33799999999999</v>
    <v>148.3612</v>
    <v>148.3699</v>
    <v>148.387</v>
    <v>148.38399999999999</v>
    <v>148.4</v>
    <v>148.40899999999999</v>
    <v>148.42859999999999</v>
    <v>148.428</v>
    <v>148.44730000000001</v>
    <v>148.46440000000001</v>
    <v>148.47989999999999</v>
    <v>148.48490000000001</v>
    <v>148.48920000000001</v>
    <v>148.5</v>
    <v>148.51499999999999</v>
    <v>148.53890000000001</v>
    <v>148.5258</v>
    <v>148.5189</v>
    <v>148.5231</v>
    <v>148.56469999999999</v>
    <v>148.57599999999999</v>
    <v>148.60679999999999</v>
    <v>148.60890000000001</v>
    <v>148.6</v>
    <v>148.62</v>
    <v>148.6464</v>
    <v>148.6455</v>
    <v>148.6523</v>
    <v>148.65369999999999</v>
    <v>148.661</v>
    <v>148.685</v>
    <v>148.7115</v>
    <v>148.72049999999999</v>
    <v>148.72499999999999</v>
    <v>148.7192</v>
    <v>148.75579999999999</v>
    <v>148.77619999999999</v>
    <v>148.77549999999999</v>
    <v>148.78710000000001</v>
    <v>148.80070000000001</v>
    <v>148.82409999999999</v>
    <v>148.84180000000001</v>
    <v>148.84520000000001</v>
    <v>148.86959999999999</v>
    <v>148.89189999999999</v>
    <v>148.893</v>
    <v>148.89859999999999</v>
    <v>148.90940000000001</v>
    <v>148.91640000000001</v>
    <v>148.91</v>
    <v>148.92259999999999</v>
    <v>148.93620000000001</v>
    <v>148.9622</v>
    <v>148.9674</v>
    <v>148.98509999999999</v>
    <v>149</v>
    <v>148.99340000000001</v>
    <v>149.03149999999999</v>
    <v>149.03890000000001</v>
    <v>149.04429999999999</v>
    <v>149.04409999999999</v>
    <v>149.05889999999999</v>
    <v>149.0813</v>
    <v>149.1</v>
    <v>149.113</v>
    <v>149.11709999999999</v>
    <v>149.13740000000001</v>
    <v>149.13300000000001</v>
    <v>149.1635</v>
    <v>149.16079999999999</v>
    <v>149.1754</v>
    <v>149.173</v>
    <v>149.19640000000001</v>
    <v>149.21700000000001</v>
    <v>149.22139999999999</v>
    <v>149.22280000000001</v>
    <v>149.23490000000001</v>
    <v>149.249</v>
    <v>149.27189999999999</v>
    <v>149.27000000000001</v>
    <v>149.27029999999999</v>
    <v>149.2824</v>
    <v>149.31139999999999</v>
    <v>149.31559999999999</v>
    <v>149.33760000000001</v>
    <v>149.33250000000001</v>
    <v>149.3329</v>
    <v>149.36500000000001</v>
    <v>149.37</v>
    <v>149.3809</v>
    <v>149.3723</v>
    <v>149.40270000000001</v>
    <v>149.43389999999999</v>
    <v>149.42169999999999</v>
    <v>149.4161</v>
    <v>149.43270000000001</v>
    <v>149.44380000000001</v>
    <v>149.47190000000001</v>
    <v>149.49180000000001</v>
    <v>149.50640000000001</v>
    <v>149.51599999999999</v>
    <v>149.53550000000001</v>
    <v>149.5538</v>
    <v>149.56790000000001</v>
    <v>149.5763</v>
    <v>149.58000000000001</v>
    <v>149.59200000000001</v>
    <v>149.61789999999999</v>
    <v>149.62219999999999</v>
    <v>149.64869999999999</v>
    <v>149.65190000000001</v>
    <v>149.65819999999999</v>
    <v>149.66999999999999</v>
    <v>149.685</v>
    <v>149.69</v>
    <v>149.7011</v>
    <v>149.71510000000001</v>
    <v>149.72980000000001</v>
    <v>149.7457</v>
    <v>149.7645</v>
    <v>149.7801</v>
    <v>149.7783</v>
    <v>149.7936</v>
    <v>149.83080000000001</v>
    <v>149.83500000000001</v>
    <v>149.8314</v>
    <v>149.84540000000001</v>
    <v>149.8443</v>
    <v>149.85</v>
    <v>149.85769999999999</v>
    <v>149.8707</v>
    <v>149.90309999999999</v>
    <v>149.92019999999999</v>
    <v>149.935</v>
    <v>149.93199999999999</v>
    <v>149.93629999999999</v>
    <v>149.97239999999999</v>
    <v>149.9881</v>
    <v>149.98169999999999</v>
    <v>149.99440000000001</v>
    <v>149.99</v>
    <v>150.02250000000001</v>
    <v>150.03980000000001</v>
    <v>150.04140000000001</v>
    <v>150.05250000000001</v>
    <v>150.08500000000001</v>
    <v>150.0908</v>
    <v>150.1079</v>
    <v>150.126</v>
    <v>150.1446</v>
    <v>150.1481</v>
    <v>150.15430000000001</v>
    <v>150.178</v>
    <v>150.17570000000001</v>
    <v>150.19300000000001</v>
    <v>150.19309999999999</v>
    <v>150.21799999999999</v>
    <v>150.23869999999999</v>
    <v>150.23859999999999</v>
    <v>150.24889999999999</v>
    <v>150.27269999999999</v>
    <v>150.2809</v>
    <v>150.3142</v>
    <v>150.3271</v>
    <v>150.34100000000001</v>
    <v>150.36269999999999</v>
    <v>150.3631</v>
    <v>150.38919999999999</v>
    <v>150.40020000000001</v>
    <v>150.4152</v>
    <v>150.4417</v>
    <v>150.43799999999999</v>
    <v>150.45419999999999</v>
    <v>150.47309999999999</v>
    <v>150.49209999999999</v>
    <v>150.49520000000001</v>
    <v>150.51599999999999</v>
    <v>150.52719999999999</v>
    <v>150.51750000000001</v>
    <v>150.53579999999999</v>
    <v>150.54349999999999</v>
    <v>150.5772</v>
    <v>150.5934</v>
  </a>
  <a r="1" c="205">
    <v>11.49</v>
    <v>12.74</v>
    <v>13.62</v>
    <v>13.18</v>
    <v>12.49</v>
    <v>12.84</v>
    <v>13.1</v>
    <v>13.81</v>
    <v>14.14</v>
    <v>14.21</v>
    <v>13.83</v>
    <v>13.85</v>
    <v>13.33</v>
    <v>13.12</v>
    <v>12.89</v>
    <v>14.12</v>
    <v>13.79</v>
    <v>15.31</v>
    <v>15.11</v>
    <v>14.54</v>
    <v>13.37</v>
    <v>13.44</v>
    <v>14.8</v>
    <v>13.88</v>
    <v>11.92</v>
    <v>14.29</v>
    <v>16.649999999999999</v>
    <v>16.63</v>
    <v>16.03</v>
    <v>15.91</v>
    <v>16.260000000000002</v>
    <v>16.18</v>
    <v>15.38</v>
    <v>15.47</v>
    <v>15.01</v>
    <v>15.68</v>
    <v>17.559999999999999</v>
    <v>17.920000000000002</v>
    <v>17.88</v>
    <v>16.22</v>
    <v>16.02</v>
    <v>14.74</v>
    <v>15.37</v>
    <v>15.23</v>
    <v>13.75</v>
    <v>13.85</v>
    <v>14.35</v>
    <v>15.22</v>
    <v>14.67</v>
    <v>14.67</v>
    <v>16.41</v>
    <v>16.04</v>
    <v>15.3</v>
    <v>15.74</v>
    <v>15.1</v>
    <v>16.190000000000001</v>
    <v>16.22</v>
    <v>16.86</v>
    <v>15.35</v>
    <v>14.89</v>
    <v>13.7</v>
    <v>14.43</v>
    <v>14.48</v>
    <v>14.88</v>
    <v>15.55</v>
    <v>16.57</v>
    <v>18.05</v>
    <v>19.03</v>
    <v>18.87</v>
    <v>19.45</v>
    <v>20.95</v>
    <v>19.670000000000002</v>
    <v>19.309999999999999</v>
    <v>20.64</v>
    <v>20.5</v>
    <v>19.77</v>
    <v>20.55</v>
    <v>20.37</v>
    <v>20.010000000000002</v>
    <v>21.43</v>
    <v>20.8</v>
    <v>20.02</v>
    <v>21.73</v>
    <v>21.31</v>
    <v>22.29</v>
    <v>23.49</v>
    <v>25.74</v>
    <v>24.02</v>
    <v>23.39</v>
    <v>23.37</v>
    <v>22.8</v>
    <v>23.12</v>
    <v>24.17</v>
    <v>22.32</v>
    <v>21.14</v>
    <v>21.34</v>
    <v>21.63</v>
    <v>22.92</v>
    <v>22.82</v>
    <v>25.18</v>
    <v>26.74</v>
    <v>26.395</v>
    <v>25.56</v>
    <v>25.66</v>
    <v>26.49</v>
    <v>26.16</v>
    <v>26.19</v>
    <v>24</v>
    <v>25.86</v>
    <v>25.3</v>
    <v>23.19</v>
    <v>25.35</v>
    <v>26.06</v>
    <v>28.17</v>
    <v>28.01</v>
    <v>27.86</v>
    <v>28.98</v>
    <v>28.31</v>
    <v>28.78</v>
    <v>26.97</v>
    <v>26.06</v>
    <v>25.83</v>
    <v>25.58</v>
    <v>24.7</v>
    <v>23.58</v>
    <v>21.18</v>
    <v>22.21</v>
    <v>20.239999999999998</v>
    <v>22.83</v>
    <v>23.2</v>
    <v>21.97</v>
    <v>20.89</v>
    <v>19.41</v>
    <v>19.37</v>
    <v>17.98</v>
    <v>18.16</v>
    <v>18.86</v>
    <v>19.87</v>
    <v>19.489999999999998</v>
    <v>20.05</v>
    <v>18.46</v>
    <v>17.98</v>
    <v>17.09</v>
    <v>15.09</v>
    <v>17.82</v>
    <v>17.66</v>
    <v>18.829999999999998</v>
    <v>18.88</v>
    <v>18.07</v>
    <v>17.614999999999998</v>
    <v>17.079999999999998</v>
    <v>16.2</v>
    <v>16.75</v>
    <v>17.190000000000001</v>
    <v>16.309999999999999</v>
    <v>17.38</v>
    <v>17.600000000000001</v>
    <v>15.62</v>
    <v>15.5</v>
    <v>16.45</v>
    <v>15.64</v>
    <v>15.48</v>
    <v>16.32</v>
    <v>15.97</v>
    <v>16.489999999999998</v>
    <v>15.35</v>
    <v>15.13</v>
    <v>14.65</v>
    <v>14.82</v>
    <v>16.23</v>
    <v>16.510000000000002</v>
    <v>17.86</v>
    <v>17.13</v>
    <v>16.14</v>
    <v>16.739999999999998</v>
    <v>15.47</v>
    <v>14.49</v>
    <v>15.39</v>
    <v>16.47</v>
    <v>17.010000000000002</v>
    <v>17.45</v>
    <v>17.329999999999998</v>
    <v>16.350000000000001</v>
    <v>16.29</v>
    <v>15.74</v>
    <v>15.12</v>
    <v>15.09</v>
    <v>14.8</v>
    <v>14.91</v>
    <v>15.49</v>
    <v>14.79</v>
    <v>14.97</v>
    <v>14.4</v>
    <v>13.65</v>
    <v>13.77</v>
    <v>13.37</v>
    <v>13.21</v>
    <v>11.54</v>
    <v>12.62</v>
    <v>11.68</v>
    <v>12.06</v>
    <v>12.01</v>
    <v>12.76</v>
    <v>11.32</v>
    <v>11.32</v>
  </a>
  <a r="1" c="754">
    <v>1.2</v>
    <v>1.25</v>
    <v>1.22</v>
    <v>1.1499999999999999</v>
    <v>1.1200000000000001</v>
    <v>1.1200000000000001</v>
    <v>1.1100000000000001</v>
    <v>1.1000000000000001</v>
    <v>1.1299999999999999</v>
    <v>1.1499999999999999</v>
    <v>1.06</v>
    <v>1.05</v>
    <v>0.97460000000000002</v>
    <v>0.93769999999999998</v>
    <v>0.98080000000000001</v>
    <v>1.01</v>
    <v>0.96250000000000002</v>
    <v>1.0900000000000001</v>
    <v>1.03</v>
    <v>1.06</v>
    <v>1.1399999999999999</v>
    <v>1.08</v>
    <v>1.1000000000000001</v>
    <v>1.26</v>
    <v>1.2</v>
    <v>1.25</v>
    <v>1.23</v>
    <v>1.1599999999999999</v>
    <v>1.37</v>
    <v>1.54</v>
    <v>1.55</v>
    <v>1.59</v>
    <v>1.61</v>
    <v>1.83</v>
    <v>1.42</v>
    <v>1.4450000000000001</v>
    <v>1.63</v>
    <v>1.78</v>
    <v>1.78</v>
    <v>1.81</v>
    <v>1.98</v>
    <v>1.95</v>
    <v>2.08</v>
    <v>2.15</v>
    <v>2.2200000000000002</v>
    <v>2.88</v>
    <v>3.02</v>
    <v>2.4</v>
    <v>2.2999999999999998</v>
    <v>2.15</v>
    <v>2.19</v>
    <v>1.93</v>
    <v>2.06</v>
    <v>2.0299999999999998</v>
    <v>2.12</v>
    <v>1.92</v>
    <v>1.7</v>
    <v>1.5049999999999999</v>
    <v>1.425</v>
    <v>1.31</v>
    <v>1.38</v>
    <v>1.45</v>
    <v>1.43</v>
    <v>1.44</v>
    <v>1.52</v>
    <v>1.69</v>
    <v>1.88</v>
    <v>1.88</v>
    <v>1.67</v>
    <v>1.83</v>
    <v>1.78</v>
    <v>1.56</v>
    <v>1.6950000000000001</v>
    <v>1.72</v>
    <v>2.0299999999999998</v>
    <v>2.2000000000000002</v>
    <v>2.3849999999999998</v>
    <v>2.19</v>
    <v>2.46</v>
    <v>2.46</v>
    <v>2.4900000000000002</v>
    <v>2.37</v>
    <v>2.1800000000000002</v>
    <v>2.14</v>
    <v>2.0299999999999998</v>
    <v>2.34</v>
    <v>2.2999999999999998</v>
    <v>2.1</v>
    <v>1.875</v>
    <v>2.0499999999999998</v>
    <v>1.91</v>
    <v>1.7250000000000001</v>
    <v>1.87</v>
    <v>1.84</v>
    <v>2.0099999999999998</v>
    <v>1.82</v>
    <v>1.76</v>
    <v>1.74</v>
    <v>1.67</v>
    <v>1.78</v>
    <v>1.73</v>
    <v>1.72</v>
    <v>2.33</v>
    <v>2.38</v>
    <v>2.46</v>
    <v>2.57</v>
    <v>2.46</v>
    <v>2.7</v>
    <v>2.63</v>
    <v>2.4300000000000002</v>
    <v>2.33</v>
    <v>2.33</v>
    <v>2.37</v>
    <v>2.35</v>
    <v>2.23</v>
    <v>2.2200000000000002</v>
    <v>2.1800000000000002</v>
    <v>2.14</v>
    <v>2.04</v>
    <v>1.94</v>
    <v>1.875</v>
    <v>1.96</v>
    <v>2.13</v>
    <v>2.29</v>
    <v>2.58</v>
    <v>2.71</v>
    <v>2.52</v>
    <v>2.4900000000000002</v>
    <v>2.4700000000000002</v>
    <v>2.33</v>
    <v>2.17</v>
    <v>2.12</v>
    <v>2.17</v>
    <v>2.1850000000000001</v>
    <v>2.42</v>
    <v>2.33</v>
    <v>2.33</v>
    <v>2.36</v>
    <v>2.23</v>
    <v>2.2400000000000002</v>
    <v>2.0350000000000001</v>
    <v>2.12</v>
    <v>2.02</v>
    <v>1.95</v>
    <v>2.1349999999999998</v>
    <v>2.04</v>
    <v>2.16</v>
    <v>1.99</v>
    <v>2.0699999999999998</v>
    <v>2.0699999999999998</v>
    <v>2.2400000000000002</v>
    <v>2.2799999999999998</v>
    <v>2.1800000000000002</v>
    <v>2.0499999999999998</v>
    <v>2.5099999999999998</v>
    <v>2.79</v>
    <v>3.21</v>
    <v>3.09</v>
    <v>3.09</v>
    <v>3.4750000000000001</v>
    <v>3.84</v>
    <v>4.07</v>
    <v>3.92</v>
    <v>4.3899999999999997</v>
    <v>4.51</v>
    <v>4.63</v>
    <v>4.1550000000000002</v>
    <v>4.22</v>
    <v>4.8</v>
    <v>4.59</v>
    <v>4.41</v>
    <v>4.45</v>
    <v>5.21</v>
    <v>5.05</v>
    <v>5.21</v>
    <v>5.58</v>
    <v>5.47</v>
    <v>5.03</v>
    <v>4.88</v>
    <v>4.75</v>
    <v>5.31</v>
    <v>6</v>
    <v>6.38</v>
    <v>5.9</v>
    <v>5.35</v>
    <v>5.59</v>
    <v>5.72</v>
    <v>5.52</v>
    <v>5.09</v>
    <v>4.53</v>
    <v>4.42</v>
    <v>4.1399999999999997</v>
    <v>3.85</v>
    <v>4.16</v>
    <v>4.1100000000000003</v>
    <v>3.67</v>
    <v>3.58</v>
    <v>3.62</v>
    <v>3.34</v>
    <v>3.88</v>
    <v>3.79</v>
    <v>3.57</v>
    <v>3.31</v>
    <v>3.35</v>
    <v>3.6</v>
    <v>4.03</v>
    <v>4.3499999999999996</v>
    <v>4.74</v>
    <v>4.8</v>
    <v>4.8099999999999996</v>
    <v>4.93</v>
    <v>4.78</v>
    <v>4.51</v>
    <v>4.18</v>
    <v>4.2</v>
    <v>4.3600000000000003</v>
    <v>3.82</v>
    <v>3.91</v>
    <v>4.21</v>
    <v>3.7250000000000001</v>
    <v>3.99</v>
    <v>4.24</v>
    <v>4.42</v>
    <v>4.3099999999999996</v>
    <v>4.24</v>
    <v>3.94</v>
    <v>4.0650000000000004</v>
    <v>4.0599999999999996</v>
    <v>4.46</v>
    <v>4.5</v>
    <v>4.8899999999999997</v>
    <v>5.37</v>
    <v>5.14</v>
    <v>5.07</v>
    <v>4.9400000000000004</v>
    <v>4.68</v>
    <v>4.33</v>
    <v>4.3600000000000003</v>
    <v>4.71</v>
    <v>4.4000000000000004</v>
    <v>4.03</v>
    <v>3.91</v>
    <v>3.82</v>
    <v>3.93</v>
    <v>4.21</v>
    <v>4.49</v>
    <v>4.6100000000000003</v>
    <v>5.2</v>
    <v>5.07</v>
    <v>5.24</v>
    <v>6.21</v>
    <v>6.53</v>
    <v>6.4</v>
    <v>6.21</v>
    <v>6.38</v>
    <v>6.85</v>
    <v>6.69</v>
    <v>6.89</v>
    <v>6.52</v>
    <v>6.2</v>
    <v>5.98</v>
    <v>6.21</v>
    <v>7.67</v>
    <v>8.2100000000000009</v>
    <v>8.25</v>
    <v>8.82</v>
    <v>8.5299999999999994</v>
    <v>7.3449999999999998</v>
    <v>6.9450000000000003</v>
    <v>7.18</v>
    <v>7.04</v>
    <v>7.38</v>
    <v>7.2</v>
    <v>6.99</v>
    <v>7.45</v>
    <v>6.99</v>
    <v>6.57</v>
    <v>7.29</v>
    <v>7.89</v>
    <v>7.32</v>
    <v>7.27</v>
    <v>8.1199999999999992</v>
    <v>7.71</v>
    <v>8.1199999999999992</v>
    <v>7.29</v>
    <v>6.72</v>
    <v>7.21</v>
    <v>7.53</v>
    <v>7.04</v>
    <v>8.24</v>
    <v>8.1999999999999993</v>
    <v>6.9749999999999996</v>
    <v>6.49</v>
    <v>6.61</v>
    <v>5.81</v>
    <v>6.23</v>
    <v>6.08</v>
    <v>5.53</v>
    <v>5.32</v>
    <v>5.66</v>
    <v>5.46</v>
    <v>6.22</v>
    <v>6.5</v>
    <v>6.13</v>
    <v>5.51</v>
    <v>5.4</v>
    <v>5.2</v>
    <v>5.57</v>
    <v>6.18</v>
    <v>5.85</v>
    <v>6.4</v>
    <v>5.96</v>
    <v>6.23</v>
    <v>6.18</v>
    <v>6.3150000000000004</v>
    <v>4.43</v>
    <v>4.6399999999999997</v>
    <v>4.7300000000000004</v>
    <v>5.01</v>
    <v>4.7699999999999996</v>
    <v>5.01</v>
    <v>5.18</v>
    <v>5.07</v>
    <v>5.15</v>
    <v>5.03</v>
    <v>5.13</v>
    <v>4.76</v>
    <v>4.8499999999999996</v>
    <v>4.8899999999999997</v>
    <v>4.87</v>
    <v>4.71</v>
    <v>4.72</v>
    <v>4.5</v>
    <v>4.08</v>
    <v>3.95</v>
    <v>3.68</v>
    <v>3.72</v>
    <v>3.61</v>
    <v>4.1900000000000004</v>
    <v>3.67</v>
    <v>3.48</v>
    <v>3.71</v>
    <v>3.36</v>
    <v>3.6</v>
    <v>3.07</v>
    <v>3.165</v>
    <v>3.23</v>
    <v>2.99</v>
    <v>3.26</v>
    <v>3.26</v>
    <v>2.96</v>
    <v>3.3</v>
    <v>3.21</v>
    <v>3.2</v>
    <v>3.47</v>
    <v>3.28</v>
    <v>2.91</v>
    <v>2.93</v>
    <v>2.72</v>
    <v>2.73</v>
    <v>2.88</v>
    <v>2.98</v>
    <v>2.65</v>
    <v>2.6</v>
    <v>2.67</v>
    <v>2.2599999999999998</v>
    <v>2.58</v>
    <v>2.2400000000000002</v>
    <v>2.38</v>
    <v>2.4700000000000002</v>
    <v>2.29</v>
    <v>2.2999999999999998</v>
    <v>2.35</v>
    <v>2.25</v>
    <v>2.65</v>
    <v>2.79</v>
    <v>3.04</v>
    <v>3</v>
    <v>3.02</v>
    <v>2.92</v>
    <v>2.78</v>
    <v>3.24</v>
    <v>3.21</v>
    <v>2.99</v>
    <v>3.12</v>
    <v>3.05</v>
    <v>3.3</v>
    <v>3.01</v>
    <v>3.48</v>
    <v>3.83</v>
    <v>3.66</v>
    <v>3.52</v>
    <v>3.89</v>
    <v>4</v>
    <v>3.92</v>
    <v>3.91</v>
    <v>4.09</v>
    <v>3.93</v>
    <v>3.94</v>
    <v>3.79</v>
    <v>3.64</v>
    <v>3.53</v>
    <v>3.61</v>
    <v>3.78</v>
    <v>4.24</v>
    <v>3.83</v>
    <v>4.3499999999999996</v>
    <v>4.53</v>
    <v>4.5199999999999996</v>
    <v>4.41</v>
    <v>4.26</v>
    <v>4.0199999999999996</v>
    <v>4.33</v>
    <v>3.95</v>
    <v>3.84</v>
    <v>3.74</v>
    <v>3.57</v>
    <v>3.84</v>
    <v>3.8</v>
    <v>4.3899999999999997</v>
    <v>4.22</v>
    <v>4.38</v>
    <v>4.4400000000000004</v>
    <v>5.04</v>
    <v>5.26</v>
    <v>4.8</v>
    <v>4.82</v>
    <v>4.93</v>
    <v>5.13</v>
    <v>4.8899999999999997</v>
    <v>5.1100000000000003</v>
    <v>4.87</v>
    <v>5.25</v>
    <v>5.36</v>
    <v>5.13</v>
    <v>4.99</v>
    <v>5.26</v>
    <v>5.2</v>
    <v>5.32</v>
    <v>5.17</v>
    <v>5.0999999999999996</v>
    <v>5.22</v>
    <v>5.01</v>
    <v>5.16</v>
    <v>4.76</v>
    <v>4.8899999999999997</v>
    <v>5.0599999999999996</v>
    <v>5.15</v>
    <v>4.9400000000000004</v>
    <v>5.03</v>
    <v>5.4</v>
    <v>5.24</v>
    <v>5.46</v>
    <v>8.7100000000000009</v>
    <v>8.9700000000000006</v>
    <v>9.3800000000000008</v>
    <v>8.7799999999999994</v>
    <v>9.2799999999999994</v>
    <v>9.19</v>
    <v>9.16</v>
    <v>8.93</v>
    <v>9.24</v>
    <v>9.1300000000000008</v>
    <v>9.44</v>
    <v>9.4499999999999993</v>
    <v>9.6300000000000008</v>
    <v>8.98</v>
    <v>8.8699999999999992</v>
    <v>9.1300000000000008</v>
    <v>9.1999999999999993</v>
    <v>10.3</v>
    <v>10.55</v>
    <v>10.64</v>
    <v>10.76</v>
    <v>10.49</v>
    <v>10.94</v>
    <v>11.35</v>
    <v>11.17</v>
    <v>10.98</v>
    <v>11.49</v>
    <v>11.24</v>
    <v>11.4</v>
    <v>10.97</v>
    <v>10.83</v>
    <v>11.6</v>
    <v>11.42</v>
    <v>11.47</v>
    <v>11.58</v>
    <v>11.92</v>
    <v>11.97</v>
    <v>12.1</v>
    <v>12.3</v>
    <v>13.59</v>
    <v>13.51</v>
    <v>14</v>
    <v>15.46</v>
    <v>15.47</v>
    <v>13.86</v>
    <v>13.93</v>
    <v>13.85</v>
    <v>13.14</v>
    <v>12.615</v>
    <v>12.88</v>
    <v>13.71</v>
    <v>13.64</v>
    <v>15.94</v>
    <v>14.5</v>
    <v>14.82</v>
    <v>15.5</v>
    <v>16.100000000000001</v>
    <v>15.01</v>
    <v>15.36</v>
    <v>14.28</v>
    <v>13.94</v>
    <v>14.3</v>
    <v>12.37</v>
    <v>12.64</v>
    <v>11.68</v>
    <v>10.99</v>
    <v>11.05</v>
    <v>12</v>
    <v>12.23</v>
    <v>11.56</v>
    <v>11.29</v>
    <v>12.63</v>
    <v>13.94</v>
    <v>14.84</v>
    <v>15.51</v>
    <v>15.3</v>
    <v>14.22</v>
    <v>14.43</v>
    <v>15.1</v>
    <v>14.5</v>
    <v>14.96</v>
    <v>15.59</v>
    <v>15.76</v>
    <v>15.83</v>
    <v>14.33</v>
    <v>12.49</v>
    <v>12.99</v>
    <v>11.57</v>
    <v>11.79</v>
    <v>12.52</v>
    <v>12.47</v>
    <v>12.42</v>
    <v>12.31</v>
    <v>11.75</v>
    <v>11.42</v>
    <v>11.15</v>
    <v>11.49</v>
    <v>12.74</v>
    <v>13.62</v>
    <v>13.18</v>
    <v>12.49</v>
    <v>12.84</v>
    <v>13.1</v>
    <v>13.81</v>
    <v>14.14</v>
    <v>14.21</v>
    <v>13.83</v>
    <v>13.85</v>
    <v>13.33</v>
    <v>13.12</v>
    <v>12.89</v>
    <v>14.12</v>
    <v>13.79</v>
    <v>15.31</v>
    <v>15.11</v>
    <v>14.54</v>
    <v>13.37</v>
    <v>13.44</v>
    <v>14.8</v>
    <v>13.88</v>
    <v>11.92</v>
    <v>14.29</v>
    <v>16.649999999999999</v>
    <v>16.63</v>
    <v>16.03</v>
    <v>15.91</v>
    <v>16.260000000000002</v>
    <v>16.18</v>
    <v>15.38</v>
    <v>15.47</v>
    <v>15.01</v>
    <v>15.68</v>
    <v>17.559999999999999</v>
    <v>17.920000000000002</v>
    <v>17.88</v>
    <v>16.22</v>
    <v>16.02</v>
    <v>14.74</v>
    <v>15.37</v>
    <v>15.23</v>
    <v>13.75</v>
    <v>13.85</v>
    <v>14.35</v>
    <v>15.22</v>
    <v>14.67</v>
    <v>14.67</v>
    <v>16.41</v>
    <v>16.04</v>
    <v>15.3</v>
    <v>15.74</v>
    <v>15.1</v>
    <v>16.190000000000001</v>
    <v>16.22</v>
    <v>16.86</v>
    <v>15.35</v>
    <v>14.89</v>
    <v>13.7</v>
    <v>14.43</v>
    <v>14.48</v>
    <v>14.88</v>
    <v>15.55</v>
    <v>16.57</v>
    <v>18.05</v>
    <v>19.03</v>
    <v>18.87</v>
    <v>19.45</v>
    <v>20.95</v>
    <v>19.670000000000002</v>
    <v>19.309999999999999</v>
    <v>20.64</v>
    <v>20.5</v>
    <v>19.77</v>
    <v>20.55</v>
    <v>20.37</v>
    <v>20.010000000000002</v>
    <v>21.43</v>
    <v>20.8</v>
    <v>20.02</v>
    <v>21.73</v>
    <v>21.31</v>
    <v>22.29</v>
    <v>23.49</v>
    <v>25.74</v>
    <v>24.02</v>
    <v>23.39</v>
    <v>23.37</v>
    <v>22.8</v>
    <v>23.12</v>
    <v>24.17</v>
    <v>22.32</v>
    <v>21.14</v>
    <v>21.34</v>
    <v>21.63</v>
    <v>22.92</v>
    <v>22.82</v>
    <v>25.18</v>
    <v>26.74</v>
    <v>26.395</v>
    <v>25.56</v>
    <v>25.66</v>
    <v>26.49</v>
    <v>26.16</v>
    <v>26.19</v>
    <v>24</v>
    <v>25.86</v>
    <v>25.3</v>
    <v>23.19</v>
    <v>25.35</v>
    <v>26.06</v>
    <v>28.17</v>
    <v>28.01</v>
    <v>27.86</v>
    <v>28.98</v>
    <v>28.31</v>
    <v>28.78</v>
    <v>26.97</v>
    <v>26.06</v>
    <v>25.83</v>
    <v>25.58</v>
    <v>24.7</v>
    <v>23.58</v>
    <v>21.18</v>
    <v>22.21</v>
    <v>20.239999999999998</v>
    <v>22.83</v>
    <v>23.2</v>
    <v>21.97</v>
    <v>20.89</v>
    <v>19.41</v>
    <v>19.37</v>
    <v>17.98</v>
    <v>18.16</v>
    <v>18.86</v>
    <v>19.87</v>
    <v>19.489999999999998</v>
    <v>20.05</v>
    <v>18.46</v>
    <v>17.98</v>
    <v>17.09</v>
    <v>15.09</v>
    <v>17.82</v>
    <v>17.66</v>
    <v>18.829999999999998</v>
    <v>18.88</v>
    <v>18.07</v>
    <v>17.614999999999998</v>
    <v>17.079999999999998</v>
    <v>16.2</v>
    <v>16.75</v>
    <v>17.190000000000001</v>
    <v>16.309999999999999</v>
    <v>17.38</v>
    <v>17.600000000000001</v>
    <v>15.62</v>
    <v>15.5</v>
    <v>16.45</v>
    <v>15.64</v>
    <v>15.48</v>
    <v>16.32</v>
    <v>15.97</v>
    <v>16.489999999999998</v>
    <v>15.35</v>
    <v>15.13</v>
    <v>14.65</v>
    <v>14.82</v>
    <v>16.23</v>
    <v>16.510000000000002</v>
    <v>17.86</v>
    <v>17.13</v>
    <v>16.14</v>
    <v>16.739999999999998</v>
    <v>15.47</v>
    <v>14.49</v>
    <v>15.39</v>
    <v>16.47</v>
    <v>17.010000000000002</v>
    <v>17.45</v>
    <v>17.329999999999998</v>
    <v>16.350000000000001</v>
    <v>16.29</v>
    <v>15.74</v>
    <v>15.12</v>
    <v>15.09</v>
    <v>14.8</v>
    <v>14.91</v>
    <v>15.49</v>
    <v>14.79</v>
    <v>14.97</v>
    <v>14.4</v>
    <v>13.65</v>
    <v>13.77</v>
    <v>13.37</v>
    <v>13.21</v>
    <v>11.54</v>
    <v>12.62</v>
    <v>11.68</v>
    <v>12.06</v>
    <v>12.01</v>
    <v>12.76</v>
    <v>11.32</v>
    <v>11.32</v>
  </a>
  <a r="1" c="252">
    <v>12.88</v>
    <v>13.71</v>
    <v>13.64</v>
    <v>15.94</v>
    <v>14.5</v>
    <v>14.82</v>
    <v>15.5</v>
    <v>16.100000000000001</v>
    <v>15.01</v>
    <v>15.36</v>
    <v>14.28</v>
    <v>13.94</v>
    <v>14.3</v>
    <v>12.37</v>
    <v>12.64</v>
    <v>11.68</v>
    <v>10.99</v>
    <v>11.05</v>
    <v>12</v>
    <v>12.23</v>
    <v>11.56</v>
    <v>11.29</v>
    <v>12.63</v>
    <v>13.94</v>
    <v>14.84</v>
    <v>15.51</v>
    <v>15.3</v>
    <v>14.22</v>
    <v>14.43</v>
    <v>15.1</v>
    <v>14.5</v>
    <v>14.96</v>
    <v>15.59</v>
    <v>15.76</v>
    <v>15.83</v>
    <v>14.33</v>
    <v>12.49</v>
    <v>12.99</v>
    <v>11.57</v>
    <v>11.79</v>
    <v>12.52</v>
    <v>12.47</v>
    <v>12.42</v>
    <v>12.31</v>
    <v>11.75</v>
    <v>11.42</v>
    <v>11.15</v>
    <v>11.49</v>
    <v>12.74</v>
    <v>13.62</v>
    <v>13.18</v>
    <v>12.49</v>
    <v>12.84</v>
    <v>13.1</v>
    <v>13.81</v>
    <v>14.14</v>
    <v>14.21</v>
    <v>13.83</v>
    <v>13.85</v>
    <v>13.33</v>
    <v>13.12</v>
    <v>12.89</v>
    <v>14.12</v>
    <v>13.79</v>
    <v>15.31</v>
    <v>15.11</v>
    <v>14.54</v>
    <v>13.37</v>
    <v>13.44</v>
    <v>14.8</v>
    <v>13.88</v>
    <v>11.92</v>
    <v>14.29</v>
    <v>16.649999999999999</v>
    <v>16.63</v>
    <v>16.03</v>
    <v>15.91</v>
    <v>16.260000000000002</v>
    <v>16.18</v>
    <v>15.38</v>
    <v>15.47</v>
    <v>15.01</v>
    <v>15.68</v>
    <v>17.559999999999999</v>
    <v>17.920000000000002</v>
    <v>17.88</v>
    <v>16.22</v>
    <v>16.02</v>
    <v>14.74</v>
    <v>15.37</v>
    <v>15.23</v>
    <v>13.75</v>
    <v>13.85</v>
    <v>14.35</v>
    <v>15.22</v>
    <v>14.67</v>
    <v>14.67</v>
    <v>16.41</v>
    <v>16.04</v>
    <v>15.3</v>
    <v>15.74</v>
    <v>15.1</v>
    <v>16.190000000000001</v>
    <v>16.22</v>
    <v>16.86</v>
    <v>15.35</v>
    <v>14.89</v>
    <v>13.7</v>
    <v>14.43</v>
    <v>14.48</v>
    <v>14.88</v>
    <v>15.55</v>
    <v>16.57</v>
    <v>18.05</v>
    <v>19.03</v>
    <v>18.87</v>
    <v>19.45</v>
    <v>20.95</v>
    <v>19.670000000000002</v>
    <v>19.309999999999999</v>
    <v>20.64</v>
    <v>20.5</v>
    <v>19.77</v>
    <v>20.55</v>
    <v>20.37</v>
    <v>20.010000000000002</v>
    <v>21.43</v>
    <v>20.8</v>
    <v>20.02</v>
    <v>21.73</v>
    <v>21.31</v>
    <v>22.29</v>
    <v>23.49</v>
    <v>25.74</v>
    <v>24.02</v>
    <v>23.39</v>
    <v>23.37</v>
    <v>22.8</v>
    <v>23.12</v>
    <v>24.17</v>
    <v>22.32</v>
    <v>21.14</v>
    <v>21.34</v>
    <v>21.63</v>
    <v>22.92</v>
    <v>22.82</v>
    <v>25.18</v>
    <v>26.74</v>
    <v>26.395</v>
    <v>25.56</v>
    <v>25.66</v>
    <v>26.49</v>
    <v>26.16</v>
    <v>26.19</v>
    <v>24</v>
    <v>25.86</v>
    <v>25.3</v>
    <v>23.19</v>
    <v>25.35</v>
    <v>26.06</v>
    <v>28.17</v>
    <v>28.01</v>
    <v>27.86</v>
    <v>28.98</v>
    <v>28.31</v>
    <v>28.78</v>
    <v>26.97</v>
    <v>26.06</v>
    <v>25.83</v>
    <v>25.58</v>
    <v>24.7</v>
    <v>23.58</v>
    <v>21.18</v>
    <v>22.21</v>
    <v>20.239999999999998</v>
    <v>22.83</v>
    <v>23.2</v>
    <v>21.97</v>
    <v>20.89</v>
    <v>19.41</v>
    <v>19.37</v>
    <v>17.98</v>
    <v>18.16</v>
    <v>18.86</v>
    <v>19.87</v>
    <v>19.489999999999998</v>
    <v>20.05</v>
    <v>18.46</v>
    <v>17.98</v>
    <v>17.09</v>
    <v>15.09</v>
    <v>17.82</v>
    <v>17.66</v>
    <v>18.829999999999998</v>
    <v>18.88</v>
    <v>18.07</v>
    <v>17.614999999999998</v>
    <v>17.079999999999998</v>
    <v>16.2</v>
    <v>16.75</v>
    <v>17.190000000000001</v>
    <v>16.309999999999999</v>
    <v>17.38</v>
    <v>17.600000000000001</v>
    <v>15.62</v>
    <v>15.5</v>
    <v>16.45</v>
    <v>15.64</v>
    <v>15.48</v>
    <v>16.32</v>
    <v>15.97</v>
    <v>16.489999999999998</v>
    <v>15.35</v>
    <v>15.13</v>
    <v>14.65</v>
    <v>14.82</v>
    <v>16.23</v>
    <v>16.510000000000002</v>
    <v>17.86</v>
    <v>17.13</v>
    <v>16.14</v>
    <v>16.739999999999998</v>
    <v>15.47</v>
    <v>14.49</v>
    <v>15.39</v>
    <v>16.47</v>
    <v>17.010000000000002</v>
    <v>17.45</v>
    <v>17.329999999999998</v>
    <v>16.350000000000001</v>
    <v>16.29</v>
    <v>15.74</v>
    <v>15.12</v>
    <v>15.09</v>
    <v>14.8</v>
    <v>14.91</v>
    <v>15.49</v>
    <v>14.79</v>
    <v>14.97</v>
    <v>14.4</v>
    <v>13.65</v>
    <v>13.77</v>
    <v>13.37</v>
    <v>13.21</v>
    <v>11.54</v>
    <v>12.62</v>
    <v>11.68</v>
    <v>12.06</v>
    <v>12.01</v>
    <v>12.76</v>
    <v>11.32</v>
    <v>11.32</v>
  </a>
  <a r="1" c="208">
    <v>44.8</v>
    <v>44.875</v>
    <v>44.95</v>
    <v>45.055</v>
    <v>45.06</v>
    <v>45.09</v>
    <v>45.024999999999999</v>
    <v>44.984999999999999</v>
    <v>45.115000000000002</v>
    <v>45.244999999999997</v>
    <v>45.16</v>
    <v>44.96</v>
    <v>44.604999999999997</v>
    <v>44.77</v>
    <v>44.64</v>
    <v>44.67</v>
    <v>44.594999999999999</v>
    <v>44.405000000000001</v>
    <v>44.49</v>
    <v>44.49</v>
    <v>44.65</v>
    <v>44.725000000000001</v>
    <v>44.65</v>
    <v>44.62</v>
    <v>44.68</v>
    <v>44.715000000000003</v>
    <v>44.49</v>
    <v>44.74</v>
    <v>44.805</v>
    <v>44.945</v>
    <v>45.085000000000001</v>
    <v>45.134999999999998</v>
    <v>45.22</v>
    <v>45.17</v>
    <v>45.295000000000002</v>
    <v>45.295000000000002</v>
    <v>45.295000000000002</v>
    <v>45.33</v>
    <v>45.24</v>
    <v>45.34</v>
    <v>45.335000000000001</v>
    <v>45.445</v>
    <v>45.57</v>
    <v>45.55</v>
    <v>45.475000000000001</v>
    <v>45.45</v>
    <v>45.52</v>
    <v>45.36</v>
    <v>45.354999999999997</v>
    <v>45.274999999999999</v>
    <v>45.39</v>
    <v>45.405000000000001</v>
    <v>45.484999999999999</v>
    <v>45.36</v>
    <v>45.335000000000001</v>
    <v>44.85</v>
    <v>44.85</v>
    <v>44.844999999999999</v>
    <v>45.024999999999999</v>
    <v>44.84</v>
    <v>44.875</v>
    <v>45.204999999999998</v>
    <v>45.1</v>
    <v>45.015000000000001</v>
    <v>45.09</v>
    <v>44.77</v>
    <v>44.835000000000001</v>
    <v>44.774999999999999</v>
    <v>44.61</v>
    <v>44.58</v>
    <v>44.515000000000001</v>
    <v>44.534999999999997</v>
    <v>44.585000000000001</v>
    <v>44.674999999999997</v>
    <v>44.65</v>
    <v>44.625</v>
    <v>44.79</v>
    <v>44.85</v>
    <v>44.76</v>
    <v>44.63</v>
    <v>44.6</v>
    <v>44.594999999999999</v>
    <v>44.63</v>
    <v>44.615000000000002</v>
    <v>44.59</v>
    <v>44.74</v>
    <v>44.715000000000003</v>
    <v>44.685000000000002</v>
    <v>44.585000000000001</v>
    <v>44.46</v>
    <v>44.494999999999997</v>
    <v>44.68</v>
    <v>44.454999999999998</v>
    <v>44.375</v>
    <v>44.384999999999998</v>
    <v>44.594999999999999</v>
    <v>44.585000000000001</v>
    <v>44.715000000000003</v>
    <v>44.88</v>
    <v>44.81</v>
    <v>44.85</v>
    <v>44.82</v>
    <v>44.805</v>
    <v>44.77</v>
    <v>44.945</v>
    <v>44.87</v>
    <v>44.844999999999999</v>
    <v>44.905000000000001</v>
    <v>44.945</v>
    <v>44.9</v>
    <v>44.875</v>
    <v>45.094999999999999</v>
    <v>44.99</v>
    <v>45.07</v>
    <v>45.055</v>
    <v>45.164999999999999</v>
    <v>45.454999999999998</v>
    <v>45.31</v>
    <v>45.35</v>
    <v>45.6</v>
    <v>45.795000000000002</v>
    <v>45.814999999999998</v>
    <v>45.72</v>
    <v>45.62</v>
    <v>45.515000000000001</v>
    <v>45.59</v>
    <v>45.405000000000001</v>
    <v>45.435000000000002</v>
    <v>45.36</v>
    <v>45.32</v>
    <v>45.155000000000001</v>
    <v>45.21</v>
    <v>45.284999999999997</v>
    <v>45.255000000000003</v>
    <v>45.26</v>
    <v>45.255000000000003</v>
    <v>45.18</v>
    <v>45.234999999999999</v>
    <v>45.2</v>
    <v>45.09</v>
    <v>45.09</v>
    <v>45.04</v>
    <v>45.104999999999997</v>
    <v>45.26</v>
    <v>45.29</v>
    <v>45.21</v>
    <v>44.954999999999998</v>
    <v>44.86</v>
    <v>45.05</v>
    <v>45.125</v>
    <v>45.12</v>
    <v>45.064999999999998</v>
    <v>45.045000000000002</v>
    <v>44.914999999999999</v>
    <v>44.914999999999999</v>
    <v>44.994999999999997</v>
    <v>45.075000000000003</v>
    <v>44.83</v>
    <v>44.765000000000001</v>
    <v>44.69</v>
    <v>44.634999999999998</v>
    <v>44.53</v>
    <v>44.46</v>
    <v>44.585000000000001</v>
    <v>44.655000000000001</v>
    <v>44.67</v>
    <v>44.65</v>
    <v>44.64</v>
    <v>44.484999999999999</v>
    <v>44.515000000000001</v>
    <v>44.52</v>
    <v>44.71</v>
    <v>44.68</v>
    <v>44.704999999999998</v>
    <v>44.72</v>
    <v>44.63</v>
    <v>44.41</v>
    <v>44.46</v>
    <v>44.564999999999998</v>
    <v>44.475000000000001</v>
    <v>44.564999999999998</v>
    <v>44.744999999999997</v>
    <v>44.63</v>
    <v>44.71</v>
    <v>44.744999999999997</v>
    <v>44.71</v>
    <v>44.505000000000003</v>
    <v>44.475000000000001</v>
    <v>44.43</v>
    <v>44.56</v>
    <v>44.55</v>
    <v>44.85</v>
    <v>44.765000000000001</v>
    <v>44.854999999999997</v>
    <v>44.835000000000001</v>
    <v>44.905000000000001</v>
    <v>44.9</v>
    <v>45.034999999999997</v>
    <v>45.07</v>
    <v>45.164999999999999</v>
    <v>45.22</v>
    <v>45.34</v>
    <v>45.31</v>
    <v>45.195</v>
    <v>45.335000000000001</v>
    <v>45.325000000000003</v>
    <v>45.65</v>
    <v>45.66</v>
  </a>
  <a r="1" c="254">
    <v>45.655000000000001</v>
    <v>45.524999999999999</v>
    <v>45.524999999999999</v>
    <v>45.56</v>
    <v>45.494999999999997</v>
    <v>45.585000000000001</v>
    <v>45.645000000000003</v>
    <v>45.725000000000001</v>
    <v>45.79</v>
    <v>45.695</v>
    <v>45.63</v>
    <v>45.56</v>
    <v>45.55</v>
    <v>45.48</v>
    <v>45.54</v>
    <v>45.26</v>
    <v>45.274999999999999</v>
    <v>45.3</v>
    <v>45.32</v>
    <v>45.32</v>
    <v>45.335000000000001</v>
    <v>45.555</v>
    <v>45.524999999999999</v>
    <v>45.534999999999997</v>
    <v>45.465000000000003</v>
    <v>45.48</v>
    <v>45.414999999999999</v>
    <v>45.2</v>
    <v>45.26</v>
    <v>45.185000000000002</v>
    <v>45.104999999999997</v>
    <v>45.134999999999998</v>
    <v>45.05</v>
    <v>44.965000000000003</v>
    <v>45.04</v>
    <v>44.865000000000002</v>
    <v>44.79</v>
    <v>44.795000000000002</v>
    <v>44.755000000000003</v>
    <v>44.784999999999997</v>
    <v>44.93</v>
    <v>44.734999999999999</v>
    <v>44.63</v>
    <v>44.704999999999998</v>
    <v>44.924999999999997</v>
    <v>44.854999999999997</v>
    <v>44.8</v>
    <v>44.875</v>
    <v>44.95</v>
    <v>45.055</v>
    <v>45.06</v>
    <v>45.09</v>
    <v>45.024999999999999</v>
    <v>44.984999999999999</v>
    <v>45.115000000000002</v>
    <v>45.244999999999997</v>
    <v>45.16</v>
    <v>44.96</v>
    <v>44.604999999999997</v>
    <v>44.77</v>
    <v>44.64</v>
    <v>44.67</v>
    <v>44.594999999999999</v>
    <v>44.405000000000001</v>
    <v>44.49</v>
    <v>44.49</v>
    <v>44.65</v>
    <v>44.725000000000001</v>
    <v>44.65</v>
    <v>44.62</v>
    <v>44.68</v>
    <v>44.715000000000003</v>
    <v>44.49</v>
    <v>44.74</v>
    <v>44.805</v>
    <v>44.945</v>
    <v>45.085000000000001</v>
    <v>45.134999999999998</v>
    <v>45.22</v>
    <v>45.17</v>
    <v>45.295000000000002</v>
    <v>45.295000000000002</v>
    <v>45.295000000000002</v>
    <v>45.33</v>
    <v>45.24</v>
    <v>45.34</v>
    <v>45.335000000000001</v>
    <v>45.445</v>
    <v>45.57</v>
    <v>45.55</v>
    <v>45.475000000000001</v>
    <v>45.45</v>
    <v>45.52</v>
    <v>45.36</v>
    <v>45.354999999999997</v>
    <v>45.274999999999999</v>
    <v>45.39</v>
    <v>45.405000000000001</v>
    <v>45.484999999999999</v>
    <v>45.36</v>
    <v>45.335000000000001</v>
    <v>44.85</v>
    <v>44.85</v>
    <v>44.844999999999999</v>
    <v>45.024999999999999</v>
    <v>44.84</v>
    <v>44.875</v>
    <v>45.204999999999998</v>
    <v>45.1</v>
    <v>45.015000000000001</v>
    <v>45.09</v>
    <v>44.77</v>
    <v>44.835000000000001</v>
    <v>44.774999999999999</v>
    <v>44.61</v>
    <v>44.58</v>
    <v>44.515000000000001</v>
    <v>44.534999999999997</v>
    <v>44.585000000000001</v>
    <v>44.674999999999997</v>
    <v>44.65</v>
    <v>44.625</v>
    <v>44.79</v>
    <v>44.85</v>
    <v>44.76</v>
    <v>44.63</v>
    <v>44.6</v>
    <v>44.594999999999999</v>
    <v>44.63</v>
    <v>44.615000000000002</v>
    <v>44.59</v>
    <v>44.74</v>
    <v>44.715000000000003</v>
    <v>44.685000000000002</v>
    <v>44.585000000000001</v>
    <v>44.46</v>
    <v>44.494999999999997</v>
    <v>44.68</v>
    <v>44.454999999999998</v>
    <v>44.375</v>
    <v>44.384999999999998</v>
    <v>44.594999999999999</v>
    <v>44.585000000000001</v>
    <v>44.715000000000003</v>
    <v>44.88</v>
    <v>44.81</v>
    <v>44.85</v>
    <v>44.82</v>
    <v>44.805</v>
    <v>44.77</v>
    <v>44.945</v>
    <v>44.87</v>
    <v>44.844999999999999</v>
    <v>44.905000000000001</v>
    <v>44.945</v>
    <v>44.9</v>
    <v>44.875</v>
    <v>45.094999999999999</v>
    <v>44.99</v>
    <v>45.07</v>
    <v>45.055</v>
    <v>45.164999999999999</v>
    <v>45.454999999999998</v>
    <v>45.31</v>
    <v>45.35</v>
    <v>45.6</v>
    <v>45.795000000000002</v>
    <v>45.814999999999998</v>
    <v>45.72</v>
    <v>45.62</v>
    <v>45.515000000000001</v>
    <v>45.59</v>
    <v>45.405000000000001</v>
    <v>45.435000000000002</v>
    <v>45.36</v>
    <v>45.32</v>
    <v>45.155000000000001</v>
    <v>45.21</v>
    <v>45.284999999999997</v>
    <v>45.255000000000003</v>
    <v>45.26</v>
    <v>45.255000000000003</v>
    <v>45.18</v>
    <v>45.234999999999999</v>
    <v>45.2</v>
    <v>45.09</v>
    <v>45.09</v>
    <v>45.04</v>
    <v>45.104999999999997</v>
    <v>45.26</v>
    <v>45.29</v>
    <v>45.21</v>
    <v>44.954999999999998</v>
    <v>44.86</v>
    <v>45.05</v>
    <v>45.125</v>
    <v>45.12</v>
    <v>45.064999999999998</v>
    <v>45.045000000000002</v>
    <v>44.914999999999999</v>
    <v>44.914999999999999</v>
    <v>44.994999999999997</v>
    <v>45.075000000000003</v>
    <v>44.83</v>
    <v>44.765000000000001</v>
    <v>44.69</v>
    <v>44.634999999999998</v>
    <v>44.53</v>
    <v>44.46</v>
    <v>44.585000000000001</v>
    <v>44.655000000000001</v>
    <v>44.67</v>
    <v>44.65</v>
    <v>44.64</v>
    <v>44.484999999999999</v>
    <v>44.515000000000001</v>
    <v>44.52</v>
    <v>44.71</v>
    <v>44.68</v>
    <v>44.704999999999998</v>
    <v>44.72</v>
    <v>44.63</v>
    <v>44.41</v>
    <v>44.46</v>
    <v>44.564999999999998</v>
    <v>44.475000000000001</v>
    <v>44.564999999999998</v>
    <v>44.744999999999997</v>
    <v>44.63</v>
    <v>44.71</v>
    <v>44.744999999999997</v>
    <v>44.71</v>
    <v>44.505000000000003</v>
    <v>44.475000000000001</v>
    <v>44.43</v>
    <v>44.56</v>
    <v>44.55</v>
    <v>44.85</v>
    <v>44.765000000000001</v>
    <v>44.854999999999997</v>
    <v>44.835000000000001</v>
    <v>44.905000000000001</v>
    <v>44.9</v>
    <v>45.034999999999997</v>
    <v>45.07</v>
    <v>45.164999999999999</v>
    <v>45.22</v>
    <v>45.34</v>
    <v>45.31</v>
    <v>45.195</v>
    <v>45.335000000000001</v>
    <v>45.325000000000003</v>
    <v>45.65</v>
    <v>45.66</v>
  </a>
  <a r="1" c="761">
    <v>44.524999999999999</v>
    <v>44.655000000000001</v>
    <v>44.594999999999999</v>
    <v>44.77</v>
    <v>44.68</v>
    <v>44.6</v>
    <v>44.674999999999997</v>
    <v>44.905000000000001</v>
    <v>44.984999999999999</v>
    <v>44.94</v>
    <v>44.715000000000003</v>
    <v>44.98</v>
    <v>45.075000000000003</v>
    <v>44.98</v>
    <v>44.935000000000002</v>
    <v>44.805</v>
    <v>44.81</v>
    <v>44.685000000000002</v>
    <v>44.844999999999999</v>
    <v>44.865000000000002</v>
    <v>44.76</v>
    <v>44.97</v>
    <v>45</v>
    <v>44.825000000000003</v>
    <v>44.69</v>
    <v>44.83</v>
    <v>44.905000000000001</v>
    <v>45.195</v>
    <v>45.265000000000001</v>
    <v>45.64</v>
    <v>45.74</v>
    <v>46.1</v>
    <v>46.284999999999997</v>
    <v>46.405000000000001</v>
    <v>46.195</v>
    <v>46.1</v>
    <v>46.155000000000001</v>
    <v>46.365000000000002</v>
    <v>46.435000000000002</v>
    <v>46.78</v>
    <v>46.594999999999999</v>
    <v>46.594999999999999</v>
    <v>46.704999999999998</v>
    <v>46.805</v>
    <v>46.69</v>
    <v>46.615000000000002</v>
    <v>46.645000000000003</v>
    <v>46.575000000000003</v>
    <v>46.655000000000001</v>
    <v>46.704999999999998</v>
    <v>46.35</v>
    <v>46.344999999999999</v>
    <v>46.384999999999998</v>
    <v>46.384999999999998</v>
    <v>46.26</v>
    <v>46.195</v>
    <v>46.47</v>
    <v>46.41</v>
    <v>46.33</v>
    <v>46.23</v>
    <v>46.1</v>
    <v>46.02</v>
    <v>46.15</v>
    <v>46.1</v>
    <v>45.99</v>
    <v>46.215000000000003</v>
    <v>46.15</v>
    <v>46.42</v>
    <v>46.305</v>
    <v>46.65</v>
    <v>46.844999999999999</v>
    <v>46.564999999999998</v>
    <v>46.43</v>
    <v>46.484999999999999</v>
    <v>46.47</v>
    <v>46.3</v>
    <v>46.18</v>
    <v>46.24</v>
    <v>46.145000000000003</v>
    <v>46.18</v>
    <v>46.195</v>
    <v>46.04</v>
    <v>46.094999999999999</v>
    <v>46.07</v>
    <v>45.895000000000003</v>
    <v>45.895000000000003</v>
    <v>46.07</v>
    <v>45.87</v>
    <v>45.84</v>
    <v>45.835000000000001</v>
    <v>46.125</v>
    <v>46.09</v>
    <v>45.99</v>
    <v>46.19</v>
    <v>46.18</v>
    <v>46.185000000000002</v>
    <v>46.305</v>
    <v>46.274999999999999</v>
    <v>46.204999999999998</v>
    <v>46.024999999999999</v>
    <v>45.99</v>
    <v>45.914999999999999</v>
    <v>45.9</v>
    <v>45.884999999999998</v>
    <v>45.93</v>
    <v>46</v>
    <v>46.255000000000003</v>
    <v>46.07</v>
    <v>46.115000000000002</v>
    <v>46.29</v>
    <v>46.35</v>
    <v>46.04</v>
    <v>45.854999999999997</v>
    <v>45.88</v>
    <v>45.924999999999997</v>
    <v>45.73</v>
    <v>45.884999999999998</v>
    <v>45.884999999999998</v>
    <v>45.78</v>
    <v>46.18</v>
    <v>45.9</v>
    <v>45.82</v>
    <v>45.825000000000003</v>
    <v>45.79</v>
    <v>45.82</v>
    <v>45.835000000000001</v>
    <v>45.69</v>
    <v>45.53</v>
    <v>45.344999999999999</v>
    <v>45.515000000000001</v>
    <v>45.555</v>
    <v>45.48</v>
    <v>45.78</v>
    <v>45.765000000000001</v>
    <v>45.76</v>
    <v>45.875</v>
    <v>45.81</v>
    <v>45.67</v>
    <v>45.575000000000003</v>
    <v>45.564999999999998</v>
    <v>45.445</v>
    <v>45.67</v>
    <v>45.645000000000003</v>
    <v>45.53</v>
    <v>45.445</v>
    <v>45.524999999999999</v>
    <v>45.475000000000001</v>
    <v>45.365000000000002</v>
    <v>45.325000000000003</v>
    <v>45.38</v>
    <v>45.24</v>
    <v>45.125</v>
    <v>45.2</v>
    <v>45.244999999999997</v>
    <v>45.414999999999999</v>
    <v>45.62</v>
    <v>45.744999999999997</v>
    <v>45.715000000000003</v>
    <v>45.685000000000002</v>
    <v>45.664999999999999</v>
    <v>45.734999999999999</v>
    <v>45.835000000000001</v>
    <v>46.075000000000003</v>
    <v>46.4</v>
    <v>46.164999999999999</v>
    <v>46.19</v>
    <v>46.204999999999998</v>
    <v>46.16</v>
    <v>46.244999999999997</v>
    <v>46.055</v>
    <v>46.174999999999997</v>
    <v>46.03</v>
    <v>45.99</v>
    <v>45.875</v>
    <v>45.545000000000002</v>
    <v>45.564999999999998</v>
    <v>45.64</v>
    <v>45.545000000000002</v>
    <v>45.65</v>
    <v>45.625</v>
    <v>45.56</v>
    <v>45.674999999999997</v>
    <v>45.935000000000002</v>
    <v>45.825000000000003</v>
    <v>45.825000000000003</v>
    <v>45.95</v>
    <v>45.924999999999997</v>
    <v>46.05</v>
    <v>45.88</v>
    <v>45.88</v>
    <v>46.06</v>
    <v>46.16</v>
    <v>46.174999999999997</v>
    <v>46.24</v>
    <v>46.414999999999999</v>
    <v>46.515000000000001</v>
    <v>46.76</v>
    <v>47.1</v>
    <v>47.3</v>
    <v>47.414999999999999</v>
    <v>47.234999999999999</v>
    <v>46.895000000000003</v>
    <v>46.94</v>
    <v>47.01</v>
    <v>47.024999999999999</v>
    <v>47.145000000000003</v>
    <v>47.04</v>
    <v>46.8</v>
    <v>46.765000000000001</v>
    <v>46.76</v>
    <v>46.795000000000002</v>
    <v>46.725000000000001</v>
    <v>46.7</v>
    <v>46.744999999999997</v>
    <v>46.695</v>
    <v>46.84</v>
    <v>46.844999999999999</v>
    <v>46.85</v>
    <v>46.715000000000003</v>
    <v>47.005000000000003</v>
    <v>47.145000000000003</v>
    <v>47.255000000000003</v>
    <v>47.424999999999997</v>
    <v>47.494999999999997</v>
    <v>47.655000000000001</v>
    <v>47.86</v>
    <v>47.674999999999997</v>
    <v>47.66</v>
    <v>47.68</v>
    <v>47.564999999999998</v>
    <v>47.45</v>
    <v>47.255000000000003</v>
    <v>47.145000000000003</v>
    <v>47.16</v>
    <v>47.27</v>
    <v>47.104999999999997</v>
    <v>47.015000000000001</v>
    <v>47.18</v>
    <v>47.244999999999997</v>
    <v>47.58</v>
    <v>47.4</v>
    <v>47.335000000000001</v>
    <v>47.075000000000003</v>
    <v>46.975000000000001</v>
    <v>46.98</v>
    <v>46.914999999999999</v>
    <v>47.01</v>
    <v>46.854999999999997</v>
    <v>46.914999999999999</v>
    <v>47.134999999999998</v>
    <v>47.38</v>
    <v>47.3</v>
    <v>47.354999999999997</v>
    <v>47.164999999999999</v>
    <v>47.05</v>
    <v>47.034999999999997</v>
    <v>47.134999999999998</v>
    <v>47.055</v>
    <v>46.83</v>
    <v>46.774999999999999</v>
    <v>46.715000000000003</v>
    <v>46.674999999999997</v>
    <v>46.63</v>
    <v>46.604999999999997</v>
    <v>46.43</v>
    <v>46.704999999999998</v>
    <v>46.75</v>
    <v>47.064999999999998</v>
    <v>47.274999999999999</v>
    <v>47.255000000000003</v>
    <v>47.295000000000002</v>
    <v>47.3</v>
    <v>47.335000000000001</v>
    <v>47.244999999999997</v>
    <v>47.38</v>
    <v>47.51</v>
    <v>47.615000000000002</v>
    <v>47.97</v>
    <v>47.92</v>
    <v>47.975000000000001</v>
    <v>47.99</v>
    <v>48.064999999999998</v>
    <v>48.22</v>
    <v>48.505000000000003</v>
    <v>48.39</v>
    <v>48.32</v>
    <v>48.204999999999998</v>
    <v>48.274999999999999</v>
    <v>48.16</v>
    <v>48.255000000000003</v>
    <v>48.274999999999999</v>
    <v>48.15</v>
    <v>47.78</v>
    <v>47.784999999999997</v>
    <v>47.835000000000001</v>
    <v>47.87</v>
    <v>47.7</v>
    <v>47.844999999999999</v>
    <v>47.68</v>
    <v>47.594999999999999</v>
    <v>47.78</v>
    <v>48.18</v>
    <v>47.95</v>
    <v>47.58</v>
    <v>47.424999999999997</v>
    <v>47.515000000000001</v>
    <v>47.685000000000002</v>
    <v>47.7</v>
    <v>47.67</v>
    <v>47.4</v>
    <v>47.784999999999997</v>
    <v>47.8</v>
    <v>47.895000000000003</v>
    <v>47.59</v>
    <v>47.66</v>
    <v>47.54</v>
    <v>47.52</v>
    <v>47.255000000000003</v>
    <v>47.51</v>
    <v>47.594999999999999</v>
    <v>47.69</v>
    <v>47.78</v>
    <v>47.8</v>
    <v>48.234999999999999</v>
    <v>48.02</v>
    <v>48.24</v>
    <v>48.354999999999997</v>
    <v>48.435000000000002</v>
    <v>48.454999999999998</v>
    <v>48.25</v>
    <v>47.88</v>
    <v>47.935000000000002</v>
    <v>47.875</v>
    <v>47.9</v>
    <v>47.854999999999997</v>
    <v>47.935000000000002</v>
    <v>47.92</v>
    <v>48.034999999999997</v>
    <v>48.11</v>
    <v>48.27</v>
    <v>48.234999999999999</v>
    <v>48.454999999999998</v>
    <v>48.604999999999997</v>
    <v>48.295000000000002</v>
    <v>48.37</v>
    <v>47.255000000000003</v>
    <v>46.825000000000003</v>
    <v>46.984999999999999</v>
    <v>46.99</v>
    <v>46.64</v>
    <v>46.484999999999999</v>
    <v>46.755000000000003</v>
    <v>46.674999999999997</v>
    <v>46.64</v>
    <v>46.564999999999998</v>
    <v>46.67</v>
    <v>46.975000000000001</v>
    <v>46.994999999999997</v>
    <v>46.9</v>
    <v>46.9</v>
    <v>46.89</v>
    <v>46.83</v>
    <v>46.94</v>
    <v>47.094999999999999</v>
    <v>47.29</v>
    <v>47.09</v>
    <v>47.05</v>
    <v>47.255000000000003</v>
    <v>47.04</v>
    <v>47.12</v>
    <v>46.56</v>
    <v>46.27</v>
    <v>45.545000000000002</v>
    <v>45.805</v>
    <v>45.95</v>
    <v>45.96</v>
    <v>45.935000000000002</v>
    <v>45.72</v>
    <v>46.005000000000003</v>
    <v>46.055</v>
    <v>46</v>
    <v>46.094999999999999</v>
    <v>46.16</v>
    <v>46.41</v>
    <v>46.064999999999998</v>
    <v>46.04</v>
    <v>46.064999999999998</v>
    <v>46.125</v>
    <v>46.08</v>
    <v>46.08</v>
    <v>46.104999999999997</v>
    <v>45.954999999999998</v>
    <v>45.79</v>
    <v>46.075000000000003</v>
    <v>46.255000000000003</v>
    <v>45.89</v>
    <v>45.88</v>
    <v>45.59</v>
    <v>45.7</v>
    <v>45.77</v>
    <v>45.625</v>
    <v>45.79</v>
    <v>45.85</v>
    <v>45.765000000000001</v>
    <v>45.86</v>
    <v>45.695</v>
    <v>45.77</v>
    <v>45.744999999999997</v>
    <v>45.63</v>
    <v>45.71</v>
    <v>45.65</v>
    <v>45.63</v>
    <v>45.53</v>
    <v>45.494999999999997</v>
    <v>45.35</v>
    <v>45.284999999999997</v>
    <v>45.375</v>
    <v>45.564999999999998</v>
    <v>45.564999999999998</v>
    <v>45.445</v>
    <v>45.44</v>
    <v>45.305</v>
    <v>45.284999999999997</v>
    <v>45.204999999999998</v>
    <v>45.1</v>
    <v>45.034999999999997</v>
    <v>45.085000000000001</v>
    <v>44.924999999999997</v>
    <v>44.94</v>
    <v>44.854999999999997</v>
    <v>44.765000000000001</v>
    <v>44.7</v>
    <v>44.795000000000002</v>
    <v>44.875</v>
    <v>44.69</v>
    <v>44.58</v>
    <v>44.695</v>
    <v>44.634999999999998</v>
    <v>44.91</v>
    <v>44.765000000000001</v>
    <v>44.784999999999997</v>
    <v>44.835000000000001</v>
    <v>44.805</v>
    <v>44.575000000000003</v>
    <v>44.55</v>
    <v>44.92</v>
    <v>45.22</v>
    <v>45.29</v>
    <v>45.405000000000001</v>
    <v>45.35</v>
    <v>45.414999999999999</v>
    <v>45.41</v>
    <v>45.215000000000003</v>
    <v>45.26</v>
    <v>45.08</v>
    <v>45.215000000000003</v>
    <v>44.95</v>
    <v>45.05</v>
    <v>45.13</v>
    <v>44.88</v>
    <v>44.92</v>
    <v>45.06</v>
    <v>44.984999999999999</v>
    <v>44.965000000000003</v>
    <v>44.9</v>
    <v>44.98</v>
    <v>45.15</v>
    <v>45.11</v>
    <v>44.994999999999997</v>
    <v>44.935000000000002</v>
    <v>44.854999999999997</v>
    <v>44.96</v>
    <v>45.13</v>
    <v>45.145000000000003</v>
    <v>45.2</v>
    <v>45.204999999999998</v>
    <v>45.27</v>
    <v>45.314999999999998</v>
    <v>45.134999999999998</v>
    <v>45.18</v>
    <v>45.02</v>
    <v>45.03</v>
    <v>44.975000000000001</v>
    <v>45.045000000000002</v>
    <v>44.93</v>
    <v>44.9</v>
    <v>44.98</v>
    <v>45.005000000000003</v>
    <v>45.055</v>
    <v>45.094999999999999</v>
    <v>45.15</v>
    <v>45.185000000000002</v>
    <v>45.26</v>
    <v>45.155000000000001</v>
    <v>45.01</v>
    <v>45.12</v>
    <v>45.27</v>
    <v>45.35</v>
    <v>45.365000000000002</v>
    <v>45.58</v>
    <v>45.585000000000001</v>
    <v>45.62</v>
    <v>45.505000000000003</v>
    <v>45.494999999999997</v>
    <v>45.575000000000003</v>
    <v>45.76</v>
    <v>45.72</v>
    <v>45.655000000000001</v>
    <v>45.524999999999999</v>
    <v>45.524999999999999</v>
    <v>45.56</v>
    <v>45.494999999999997</v>
    <v>45.585000000000001</v>
    <v>45.645000000000003</v>
    <v>45.725000000000001</v>
    <v>45.79</v>
    <v>45.695</v>
    <v>45.63</v>
    <v>45.56</v>
    <v>45.55</v>
    <v>45.48</v>
    <v>45.54</v>
    <v>45.26</v>
    <v>45.274999999999999</v>
    <v>45.3</v>
    <v>45.32</v>
    <v>45.32</v>
    <v>45.335000000000001</v>
    <v>45.555</v>
    <v>45.524999999999999</v>
    <v>45.534999999999997</v>
    <v>45.465000000000003</v>
    <v>45.48</v>
    <v>45.414999999999999</v>
    <v>45.2</v>
    <v>45.26</v>
    <v>45.185000000000002</v>
    <v>45.104999999999997</v>
    <v>45.134999999999998</v>
    <v>45.05</v>
    <v>44.965000000000003</v>
    <v>45.04</v>
    <v>44.865000000000002</v>
    <v>44.79</v>
    <v>44.795000000000002</v>
    <v>44.755000000000003</v>
    <v>44.784999999999997</v>
    <v>44.93</v>
    <v>44.734999999999999</v>
    <v>44.63</v>
    <v>44.704999999999998</v>
    <v>44.924999999999997</v>
    <v>44.854999999999997</v>
    <v>44.8</v>
    <v>44.875</v>
    <v>44.95</v>
    <v>45.055</v>
    <v>45.06</v>
    <v>45.09</v>
    <v>45.024999999999999</v>
    <v>44.984999999999999</v>
    <v>45.115000000000002</v>
    <v>45.244999999999997</v>
    <v>45.16</v>
    <v>44.96</v>
    <v>44.604999999999997</v>
    <v>44.77</v>
    <v>44.64</v>
    <v>44.67</v>
    <v>44.594999999999999</v>
    <v>44.405000000000001</v>
    <v>44.49</v>
    <v>44.49</v>
    <v>44.65</v>
    <v>44.725000000000001</v>
    <v>44.65</v>
    <v>44.62</v>
    <v>44.68</v>
    <v>44.715000000000003</v>
    <v>44.49</v>
    <v>44.74</v>
    <v>44.805</v>
    <v>44.945</v>
    <v>45.085000000000001</v>
    <v>45.134999999999998</v>
    <v>45.22</v>
    <v>45.17</v>
    <v>45.295000000000002</v>
    <v>45.295000000000002</v>
    <v>45.295000000000002</v>
    <v>45.33</v>
    <v>45.24</v>
    <v>45.34</v>
    <v>45.335000000000001</v>
    <v>45.445</v>
    <v>45.57</v>
    <v>45.55</v>
    <v>45.475000000000001</v>
    <v>45.45</v>
    <v>45.52</v>
    <v>45.36</v>
    <v>45.354999999999997</v>
    <v>45.274999999999999</v>
    <v>45.39</v>
    <v>45.405000000000001</v>
    <v>45.484999999999999</v>
    <v>45.36</v>
    <v>45.335000000000001</v>
    <v>44.85</v>
    <v>44.85</v>
    <v>44.844999999999999</v>
    <v>45.024999999999999</v>
    <v>44.84</v>
    <v>44.875</v>
    <v>45.204999999999998</v>
    <v>45.1</v>
    <v>45.015000000000001</v>
    <v>45.09</v>
    <v>44.77</v>
    <v>44.835000000000001</v>
    <v>44.774999999999999</v>
    <v>44.61</v>
    <v>44.58</v>
    <v>44.515000000000001</v>
    <v>44.534999999999997</v>
    <v>44.585000000000001</v>
    <v>44.674999999999997</v>
    <v>44.65</v>
    <v>44.625</v>
    <v>44.79</v>
    <v>44.85</v>
    <v>44.76</v>
    <v>44.63</v>
    <v>44.6</v>
    <v>44.594999999999999</v>
    <v>44.63</v>
    <v>44.615000000000002</v>
    <v>44.59</v>
    <v>44.74</v>
    <v>44.715000000000003</v>
    <v>44.685000000000002</v>
    <v>44.585000000000001</v>
    <v>44.46</v>
    <v>44.494999999999997</v>
    <v>44.68</v>
    <v>44.454999999999998</v>
    <v>44.375</v>
    <v>44.384999999999998</v>
    <v>44.594999999999999</v>
    <v>44.585000000000001</v>
    <v>44.715000000000003</v>
    <v>44.88</v>
    <v>44.81</v>
    <v>44.85</v>
    <v>44.82</v>
    <v>44.805</v>
    <v>44.77</v>
    <v>44.945</v>
    <v>44.87</v>
    <v>44.844999999999999</v>
    <v>44.905000000000001</v>
    <v>44.945</v>
    <v>44.9</v>
    <v>44.875</v>
    <v>45.094999999999999</v>
    <v>44.99</v>
    <v>45.07</v>
    <v>45.055</v>
    <v>45.164999999999999</v>
    <v>45.454999999999998</v>
    <v>45.31</v>
    <v>45.35</v>
    <v>45.6</v>
    <v>45.795000000000002</v>
    <v>45.814999999999998</v>
    <v>45.72</v>
    <v>45.62</v>
    <v>45.515000000000001</v>
    <v>45.59</v>
    <v>45.405000000000001</v>
    <v>45.435000000000002</v>
    <v>45.36</v>
    <v>45.32</v>
    <v>45.155000000000001</v>
    <v>45.21</v>
    <v>45.284999999999997</v>
    <v>45.255000000000003</v>
    <v>45.26</v>
    <v>45.255000000000003</v>
    <v>45.18</v>
    <v>45.234999999999999</v>
    <v>45.2</v>
    <v>45.09</v>
    <v>45.09</v>
    <v>45.04</v>
    <v>45.104999999999997</v>
    <v>45.26</v>
    <v>45.29</v>
    <v>45.21</v>
    <v>44.954999999999998</v>
    <v>44.86</v>
    <v>45.05</v>
    <v>45.125</v>
    <v>45.12</v>
    <v>45.064999999999998</v>
    <v>45.045000000000002</v>
    <v>44.914999999999999</v>
    <v>44.914999999999999</v>
    <v>44.994999999999997</v>
    <v>45.075000000000003</v>
    <v>44.83</v>
    <v>44.765000000000001</v>
    <v>44.69</v>
    <v>44.634999999999998</v>
    <v>44.53</v>
    <v>44.46</v>
    <v>44.585000000000001</v>
    <v>44.655000000000001</v>
    <v>44.67</v>
    <v>44.65</v>
    <v>44.64</v>
    <v>44.484999999999999</v>
    <v>44.515000000000001</v>
    <v>44.52</v>
    <v>44.71</v>
    <v>44.68</v>
    <v>44.704999999999998</v>
    <v>44.72</v>
    <v>44.63</v>
    <v>44.41</v>
    <v>44.46</v>
    <v>44.564999999999998</v>
    <v>44.475000000000001</v>
    <v>44.564999999999998</v>
    <v>44.744999999999997</v>
    <v>44.63</v>
    <v>44.71</v>
    <v>44.744999999999997</v>
    <v>44.71</v>
    <v>44.505000000000003</v>
    <v>44.475000000000001</v>
    <v>44.43</v>
    <v>44.56</v>
    <v>44.55</v>
    <v>44.85</v>
    <v>44.765000000000001</v>
    <v>44.854999999999997</v>
    <v>44.835000000000001</v>
    <v>44.905000000000001</v>
    <v>44.9</v>
    <v>45.034999999999997</v>
    <v>45.07</v>
    <v>45.164999999999999</v>
    <v>45.22</v>
    <v>45.34</v>
    <v>45.31</v>
    <v>45.195</v>
    <v>45.335000000000001</v>
    <v>45.325000000000003</v>
    <v>45.65</v>
    <v>45.66</v>
  </a>
  <a r="1" c="208">
    <v>20.07</v>
    <v>21.445</v>
    <v>21.41</v>
    <v>21.245000000000001</v>
    <v>21.395</v>
    <v>21.97</v>
    <v>21.66</v>
    <v>22.135000000000002</v>
    <v>22.645</v>
    <v>22.704999999999998</v>
    <v>22.61</v>
    <v>22.274999999999999</v>
    <v>22.32</v>
    <v>23.15</v>
    <v>23.335000000000001</v>
    <v>23.68</v>
    <v>23.3</v>
    <v>23.465</v>
    <v>23.195</v>
    <v>23.635000000000002</v>
    <v>23.565000000000001</v>
    <v>23.82</v>
    <v>24.074999999999999</v>
    <v>24.46</v>
    <v>23.93</v>
    <v>24.875</v>
    <v>25.295000000000002</v>
    <v>25.015000000000001</v>
    <v>25.795000000000002</v>
    <v>25.265000000000001</v>
    <v>25.95</v>
    <v>26.37</v>
    <v>25.635000000000002</v>
    <v>26.335000000000001</v>
    <v>26.85</v>
    <v>26.414999999999999</v>
    <v>26.945</v>
    <v>27.45</v>
    <v>27.17</v>
    <v>27.405000000000001</v>
    <v>27.27</v>
    <v>27.74</v>
    <v>27.335000000000001</v>
    <v>26.96</v>
    <v>26.64</v>
    <v>26.484999999999999</v>
    <v>26.41</v>
    <v>27.055</v>
    <v>27.06</v>
    <v>26.605</v>
    <v>26.59</v>
    <v>26.71</v>
    <v>27.515000000000001</v>
    <v>27.83</v>
    <v>28.34</v>
    <v>27.75</v>
    <v>28.155000000000001</v>
    <v>28.96</v>
    <v>29.01</v>
    <v>29.454999999999998</v>
    <v>29.725000000000001</v>
    <v>29.535</v>
    <v>29.13</v>
    <v>28.04</v>
    <v>28.574999999999999</v>
    <v>28.684999999999999</v>
    <v>28.5</v>
    <v>29.2</v>
    <v>28.734999999999999</v>
    <v>29.094999999999999</v>
    <v>28.38</v>
    <v>28.1</v>
    <v>28.36</v>
    <v>27.5</v>
    <v>27.99</v>
    <v>28.405000000000001</v>
    <v>29.2</v>
    <v>29.88</v>
    <v>30.02</v>
    <v>30.504999999999999</v>
    <v>30.855</v>
    <v>31.055</v>
    <v>31.265000000000001</v>
    <v>30.934999999999999</v>
    <v>30.84</v>
    <v>30.245000000000001</v>
    <v>28.92</v>
    <v>29.37</v>
    <v>29.594999999999999</v>
    <v>29.9</v>
    <v>30.274999999999999</v>
    <v>30.664999999999999</v>
    <v>30.82</v>
    <v>31.875</v>
    <v>31.57</v>
    <v>31.7</v>
    <v>31.504999999999999</v>
    <v>30.984999999999999</v>
    <v>30.74</v>
    <v>31.085000000000001</v>
    <v>29.864999999999998</v>
    <v>29.49</v>
    <v>28.99</v>
    <v>29.465</v>
    <v>30.184999999999999</v>
    <v>30.385000000000002</v>
    <v>30.69</v>
    <v>30.035</v>
    <v>30.27</v>
    <v>29.3</v>
    <v>29.954999999999998</v>
    <v>30.254999999999999</v>
    <v>30.23</v>
    <v>29.335000000000001</v>
    <v>28.84</v>
    <v>28.46</v>
    <v>27.12</v>
    <v>27.484999999999999</v>
    <v>27.5</v>
    <v>27.774999999999999</v>
    <v>26.68</v>
    <v>27.33</v>
    <v>26.99</v>
    <v>26.864999999999998</v>
    <v>26.8</v>
    <v>26.4</v>
    <v>25.984999999999999</v>
    <v>25.87</v>
    <v>26.274999999999999</v>
    <v>26.035</v>
    <v>27.074999999999999</v>
    <v>26.885000000000002</v>
    <v>27.065000000000001</v>
    <v>27.774999999999999</v>
    <v>27.445</v>
    <v>27.02</v>
    <v>27.17</v>
    <v>27.004999999999999</v>
    <v>27.5</v>
    <v>27.47</v>
    <v>28.145</v>
    <v>28.105</v>
    <v>28.155000000000001</v>
    <v>27.734999999999999</v>
    <v>26.774999999999999</v>
    <v>26.535</v>
    <v>26.305</v>
    <v>27.1</v>
    <v>27.094999999999999</v>
    <v>27.58</v>
    <v>27.135000000000002</v>
    <v>27.79</v>
    <v>27.695</v>
    <v>28.47</v>
    <v>29.05</v>
    <v>29.09</v>
    <v>29.055</v>
    <v>29.49</v>
    <v>29.48</v>
    <v>29.58</v>
    <v>29.254999999999999</v>
    <v>29.164999999999999</v>
    <v>28.75</v>
    <v>27.945</v>
    <v>28.51</v>
    <v>28.045000000000002</v>
    <v>28.225000000000001</v>
    <v>28.885000000000002</v>
    <v>29.4</v>
    <v>29.984999999999999</v>
    <v>30.234999999999999</v>
    <v>30.41</v>
    <v>29.614999999999998</v>
    <v>29.84</v>
    <v>30.18</v>
    <v>30.02</v>
    <v>29.234999999999999</v>
    <v>29.274999999999999</v>
    <v>28.29</v>
    <v>28.795000000000002</v>
    <v>28.63</v>
    <v>28.42</v>
    <v>28.204999999999998</v>
    <v>27.88</v>
    <v>28.26</v>
    <v>28.46</v>
    <v>28.44</v>
    <v>28.1</v>
    <v>28.135000000000002</v>
    <v>27.324999999999999</v>
    <v>27.254999999999999</v>
    <v>27.445</v>
    <v>27.82</v>
    <v>28.9</v>
    <v>28.395</v>
    <v>27.7</v>
    <v>28.1</v>
    <v>28.504999999999999</v>
    <v>28.43</v>
    <v>28.28</v>
    <v>28.23</v>
    <v>27.105</v>
    <v>27.68</v>
    <v>27.98</v>
    <v>27.98</v>
    <v>28.425000000000001</v>
    <v>26.84</v>
    <v>28.895</v>
  </a>
  <a r="1" c="761">
    <v>23.344999999999999</v>
    <v>23.18</v>
    <v>22.594999999999999</v>
    <v>22.635000000000002</v>
    <v>22.445</v>
    <v>22.26</v>
    <v>22.37</v>
    <v>22.72</v>
    <v>23.09</v>
    <v>23</v>
    <v>22.8</v>
    <v>21.905000000000001</v>
    <v>21.475000000000001</v>
    <v>21.77</v>
    <v>21.895</v>
    <v>22.11</v>
    <v>21.99</v>
    <v>22.155000000000001</v>
    <v>20.87</v>
    <v>21.32</v>
    <v>21.49</v>
    <v>21.17</v>
    <v>20.98</v>
    <v>21.04</v>
    <v>21.364999999999998</v>
    <v>21.105</v>
    <v>21.1</v>
    <v>20.815000000000001</v>
    <v>20.805</v>
    <v>21.504999999999999</v>
    <v>21.155000000000001</v>
    <v>20.945</v>
    <v>20.395</v>
    <v>20.05</v>
    <v>20.399999999999999</v>
    <v>20.45</v>
    <v>20.02</v>
    <v>20.164999999999999</v>
    <v>20.84</v>
    <v>20.824999999999999</v>
    <v>21.27</v>
    <v>21.254999999999999</v>
    <v>21.555</v>
    <v>21.145</v>
    <v>21.23</v>
    <v>21.41</v>
    <v>21.09</v>
    <v>21.035</v>
    <v>21.24</v>
    <v>21.234999999999999</v>
    <v>20.9</v>
    <v>20.8</v>
    <v>20.074999999999999</v>
    <v>19.948</v>
    <v>19.648</v>
    <v>19.556000000000001</v>
    <v>19.713999999999999</v>
    <v>19.809999999999999</v>
    <v>19.742000000000001</v>
    <v>19.582000000000001</v>
    <v>19.513999999999999</v>
    <v>19.712</v>
    <v>19.986000000000001</v>
    <v>20.25</v>
    <v>20.475000000000001</v>
    <v>20.515000000000001</v>
    <v>20.835000000000001</v>
    <v>20.954999999999998</v>
    <v>20.375</v>
    <v>20.234999999999999</v>
    <v>20.02</v>
    <v>19.994</v>
    <v>19.521999999999998</v>
    <v>19.844000000000001</v>
    <v>19.824000000000002</v>
    <v>20.07</v>
    <v>19.891999999999999</v>
    <v>20.305</v>
    <v>20.155000000000001</v>
    <v>20.149999999999999</v>
    <v>20.364999999999998</v>
    <v>20.605</v>
    <v>20.53</v>
    <v>20.335000000000001</v>
    <v>20.725000000000001</v>
    <v>20.98</v>
    <v>20.83</v>
    <v>20.835000000000001</v>
    <v>20.875</v>
    <v>20.65</v>
    <v>20.954999999999998</v>
    <v>21.254999999999999</v>
    <v>20.93</v>
    <v>21.004999999999999</v>
    <v>21.215</v>
    <v>21.31</v>
    <v>21.32</v>
    <v>21.414999999999999</v>
    <v>21.58</v>
    <v>21.75</v>
    <v>22.324999999999999</v>
    <v>22.4</v>
    <v>22.484999999999999</v>
    <v>22.82</v>
    <v>22.83</v>
    <v>23.184999999999999</v>
    <v>23.195</v>
    <v>23.414999999999999</v>
    <v>23.16</v>
    <v>23.19</v>
    <v>23.62</v>
    <v>23.844999999999999</v>
    <v>24.35</v>
    <v>24.2</v>
    <v>24.274999999999999</v>
    <v>24.335000000000001</v>
    <v>23.95</v>
    <v>24.25</v>
    <v>24.01</v>
    <v>24.32</v>
    <v>23.76</v>
    <v>23.17</v>
    <v>23.13</v>
    <v>23.164999999999999</v>
    <v>22.895</v>
    <v>22.885000000000002</v>
    <v>23.05</v>
    <v>23.065000000000001</v>
    <v>22.98</v>
    <v>22.965</v>
    <v>23.004999999999999</v>
    <v>22.62</v>
    <v>22.135000000000002</v>
    <v>22.08</v>
    <v>22.56</v>
    <v>22.594999999999999</v>
    <v>22.684999999999999</v>
    <v>22.774999999999999</v>
    <v>22.835000000000001</v>
    <v>22.664999999999999</v>
    <v>22.77</v>
    <v>22.645</v>
    <v>22.745000000000001</v>
    <v>22.795000000000002</v>
    <v>23.155000000000001</v>
    <v>23.234999999999999</v>
    <v>22.405000000000001</v>
    <v>22.28</v>
    <v>22.09</v>
    <v>22.145</v>
    <v>22.454999999999998</v>
    <v>22.215</v>
    <v>22.204999999999998</v>
    <v>22.27</v>
    <v>21.475000000000001</v>
    <v>20.96</v>
    <v>21</v>
    <v>20.86</v>
    <v>21.204999999999998</v>
    <v>21.81</v>
    <v>21.89</v>
    <v>21.774999999999999</v>
    <v>21.45</v>
    <v>21.06</v>
    <v>21.085000000000001</v>
    <v>21.51</v>
    <v>21.324999999999999</v>
    <v>21.57</v>
    <v>21.51</v>
    <v>22.09</v>
    <v>22.16</v>
    <v>22.024999999999999</v>
    <v>22.11</v>
    <v>22.335000000000001</v>
    <v>22.11</v>
    <v>22.2</v>
    <v>22.105</v>
    <v>22.22</v>
    <v>21.725000000000001</v>
    <v>21.64</v>
    <v>21.51</v>
    <v>21.574999999999999</v>
    <v>21.79</v>
    <v>22.15</v>
    <v>22.86</v>
    <v>23.215</v>
    <v>23.23</v>
    <v>23.234999999999999</v>
    <v>22.914999999999999</v>
    <v>22.844999999999999</v>
    <v>22.675000000000001</v>
    <v>22.535</v>
    <v>22.86</v>
    <v>22.984999999999999</v>
    <v>22.975000000000001</v>
    <v>22.96</v>
    <v>23.54</v>
    <v>22.585000000000001</v>
    <v>21.2</v>
    <v>20.05</v>
    <v>20.225000000000001</v>
    <v>20.63</v>
    <v>20.545000000000002</v>
    <v>20.605</v>
    <v>20.704999999999998</v>
    <v>20.37</v>
    <v>20.27</v>
    <v>20.565000000000001</v>
    <v>20.78</v>
    <v>19.988</v>
    <v>19.984000000000002</v>
    <v>19.96</v>
    <v>20.234999999999999</v>
    <v>20.43</v>
    <v>20.285</v>
    <v>20</v>
    <v>20.434999999999999</v>
    <v>20.184999999999999</v>
    <v>20.375</v>
    <v>19.608000000000001</v>
    <v>19.574000000000002</v>
    <v>19.21</v>
    <v>18.712</v>
    <v>18.882000000000001</v>
    <v>18.448</v>
    <v>18.251999999999999</v>
    <v>18.809999999999999</v>
    <v>18.606000000000002</v>
    <v>18.692</v>
    <v>19.344000000000001</v>
    <v>19.356000000000002</v>
    <v>19.832000000000001</v>
    <v>19.678000000000001</v>
    <v>19.838000000000001</v>
    <v>20.05</v>
    <v>19.692</v>
    <v>18.68</v>
    <v>19.175999999999998</v>
    <v>19.358000000000001</v>
    <v>19.853999999999999</v>
    <v>19.98</v>
    <v>20.315000000000001</v>
    <v>20.805</v>
    <v>20.9</v>
    <v>20.260000000000002</v>
    <v>20.350000000000001</v>
    <v>20.45</v>
    <v>20.58</v>
    <v>20.405000000000001</v>
    <v>19.850000000000001</v>
    <v>19.916</v>
    <v>19.713999999999999</v>
    <v>19.481999999999999</v>
    <v>19.463999999999999</v>
    <v>19.571999999999999</v>
    <v>19.37</v>
    <v>18.891999999999999</v>
    <v>19.55</v>
    <v>19.27</v>
    <v>19.100000000000001</v>
    <v>19.178000000000001</v>
    <v>19.193999999999999</v>
    <v>19.173999999999999</v>
    <v>19.405999999999999</v>
    <v>19.472000000000001</v>
    <v>21.07</v>
    <v>21.234999999999999</v>
    <v>21.184999999999999</v>
    <v>21.645</v>
    <v>21.74</v>
    <v>21.545000000000002</v>
    <v>21.254999999999999</v>
    <v>21.324999999999999</v>
    <v>21.32</v>
    <v>21.09</v>
    <v>21.36</v>
    <v>22.06</v>
    <v>22.605</v>
    <v>22.2</v>
    <v>21.9</v>
    <v>21.93</v>
    <v>22</v>
    <v>21.96</v>
    <v>21.895</v>
    <v>21.95</v>
    <v>21.675000000000001</v>
    <v>21.63</v>
    <v>20.824999999999999</v>
    <v>20.92</v>
    <v>21.035</v>
    <v>21.05</v>
    <v>21.024999999999999</v>
    <v>20.844999999999999</v>
    <v>20.73</v>
    <v>20.105</v>
    <v>20.53</v>
    <v>19.762</v>
    <v>19.634</v>
    <v>19.564</v>
    <v>19.952000000000002</v>
    <v>20.03</v>
    <v>21.254999999999999</v>
    <v>21.045000000000002</v>
    <v>21.44</v>
    <v>21.42</v>
    <v>21.405000000000001</v>
    <v>21.45</v>
    <v>21.39</v>
    <v>21.83</v>
    <v>21.594999999999999</v>
    <v>22.155000000000001</v>
    <v>22.175000000000001</v>
    <v>22.774999999999999</v>
    <v>22.44</v>
    <v>22.434999999999999</v>
    <v>22.204999999999998</v>
    <v>21.734999999999999</v>
    <v>21.53</v>
    <v>21.225000000000001</v>
    <v>20.965</v>
    <v>20.934999999999999</v>
    <v>20.844999999999999</v>
    <v>21</v>
    <v>20.925000000000001</v>
    <v>21.015000000000001</v>
    <v>21.22</v>
    <v>20.945</v>
    <v>20.885000000000002</v>
    <v>21.355</v>
    <v>21.535</v>
    <v>21.08</v>
    <v>20.84</v>
    <v>20.75</v>
    <v>20.765000000000001</v>
    <v>20.99</v>
    <v>20.965</v>
    <v>20.7</v>
    <v>20.565000000000001</v>
    <v>20.135000000000002</v>
    <v>19.61</v>
    <v>19.62</v>
    <v>19.914000000000001</v>
    <v>19.652000000000001</v>
    <v>19.552</v>
    <v>17.91</v>
    <v>17.434000000000001</v>
    <v>17.707999999999998</v>
    <v>18.079999999999998</v>
    <v>17.931999999999999</v>
    <v>17.518000000000001</v>
    <v>17.760000000000002</v>
    <v>17.686</v>
    <v>17.98</v>
    <v>18.346</v>
    <v>18.196000000000002</v>
    <v>18.571999999999999</v>
    <v>18.692</v>
    <v>18.63</v>
    <v>18.925999999999998</v>
    <v>19.111999999999998</v>
    <v>19.356000000000002</v>
    <v>19.161999999999999</v>
    <v>18.603999999999999</v>
    <v>18.835999999999999</v>
    <v>19.106000000000002</v>
    <v>18.956</v>
    <v>16.972000000000001</v>
    <v>15.31</v>
    <v>14.311999999999999</v>
    <v>14.45</v>
    <v>13.804</v>
    <v>14.198</v>
    <v>13.896000000000001</v>
    <v>14.422000000000001</v>
    <v>14.632</v>
    <v>14.821999999999999</v>
    <v>14.976000000000001</v>
    <v>14.478</v>
    <v>14.384</v>
    <v>14.834</v>
    <v>14.894</v>
    <v>14.818</v>
    <v>14.97</v>
    <v>14.628</v>
    <v>15.11</v>
    <v>15.061999999999999</v>
    <v>15.082000000000001</v>
    <v>14.818</v>
    <v>15.433999999999999</v>
    <v>15.484</v>
    <v>16.238</v>
    <v>16.344000000000001</v>
    <v>16.288</v>
    <v>15.932</v>
    <v>15.922000000000001</v>
    <v>15.666</v>
    <v>15.65</v>
    <v>15.311999999999999</v>
    <v>14.834</v>
    <v>14.93</v>
    <v>15.026</v>
    <v>15.098000000000001</v>
    <v>15.314</v>
    <v>15.3</v>
    <v>15.182</v>
    <v>15.3</v>
    <v>15.856</v>
    <v>15.614000000000001</v>
    <v>15.606</v>
    <v>15.912000000000001</v>
    <v>16.126000000000001</v>
    <v>16.797999999999998</v>
    <v>16.641999999999999</v>
    <v>16.576000000000001</v>
    <v>16.809999999999999</v>
    <v>16.783999999999999</v>
    <v>17.084</v>
    <v>16.87</v>
    <v>16.963999999999999</v>
    <v>16.7</v>
    <v>16.352</v>
    <v>15.808</v>
    <v>15.68</v>
    <v>15.706</v>
    <v>15.818</v>
    <v>15.74</v>
    <v>15.88</v>
    <v>16.25</v>
    <v>16.315999999999999</v>
    <v>16.07</v>
    <v>16.123999999999999</v>
    <v>16.760000000000002</v>
    <v>16.783999999999999</v>
    <v>16.89</v>
    <v>17.111999999999998</v>
    <v>16.556000000000001</v>
    <v>16.366</v>
    <v>15.862</v>
    <v>16.065999999999999</v>
    <v>15.95</v>
    <v>15.882</v>
    <v>15.938000000000001</v>
    <v>16.79</v>
    <v>17.071999999999999</v>
    <v>16.994</v>
    <v>17.398</v>
    <v>17.338000000000001</v>
    <v>17.187999999999999</v>
    <v>16.873999999999999</v>
    <v>16.024000000000001</v>
    <v>16.135999999999999</v>
    <v>16.3</v>
    <v>16.611999999999998</v>
    <v>16.079999999999998</v>
    <v>16.033999999999999</v>
    <v>15.962</v>
    <v>16.138000000000002</v>
    <v>16.154</v>
    <v>16.148</v>
    <v>16.21</v>
    <v>16.25</v>
    <v>16.056000000000001</v>
    <v>16.2</v>
    <v>16.937999999999999</v>
    <v>17.018000000000001</v>
    <v>16.954000000000001</v>
    <v>17.047999999999998</v>
    <v>17.106000000000002</v>
    <v>17.262</v>
    <v>17.326000000000001</v>
    <v>17.032</v>
    <v>16.922000000000001</v>
    <v>17.356000000000002</v>
    <v>17.076000000000001</v>
    <v>17.09</v>
    <v>17.341999999999999</v>
    <v>17.21</v>
    <v>17.584</v>
    <v>17.488</v>
    <v>17.373999999999999</v>
    <v>17.155999999999999</v>
    <v>17.245999999999999</v>
    <v>17.128</v>
    <v>17.068000000000001</v>
    <v>16.978000000000002</v>
    <v>17.946000000000002</v>
    <v>17.952000000000002</v>
    <v>17.818000000000001</v>
    <v>18.181999999999999</v>
    <v>17.847999999999999</v>
    <v>17.353999999999999</v>
    <v>17.797999999999998</v>
    <v>17.806000000000001</v>
    <v>17.702000000000002</v>
    <v>18.021999999999998</v>
    <v>17.826000000000001</v>
    <v>17.992000000000001</v>
    <v>17.690000000000001</v>
    <v>16.832000000000001</v>
    <v>16.916</v>
    <v>16.891999999999999</v>
    <v>17.079999999999998</v>
    <v>16.981999999999999</v>
    <v>16.91</v>
    <v>17.239999999999998</v>
    <v>17.664000000000001</v>
    <v>18.02</v>
    <v>18.718</v>
    <v>19.12</v>
    <v>19.032</v>
    <v>18.885999999999999</v>
    <v>19.486000000000001</v>
    <v>19.876000000000001</v>
    <v>19.495999999999999</v>
    <v>20.015000000000001</v>
    <v>19.654</v>
    <v>19.756</v>
    <v>19.655999999999999</v>
    <v>19.324000000000002</v>
    <v>19.908000000000001</v>
    <v>20.315000000000001</v>
    <v>19.792000000000002</v>
    <v>19.738</v>
    <v>19.852</v>
    <v>19.776</v>
    <v>19.384</v>
    <v>19.638000000000002</v>
    <v>19.698</v>
    <v>19.148</v>
    <v>19.512</v>
    <v>19.452000000000002</v>
    <v>19.765999999999998</v>
    <v>19.718</v>
    <v>20.015000000000001</v>
    <v>20.245000000000001</v>
    <v>19.885999999999999</v>
    <v>20.54</v>
    <v>20.934999999999999</v>
    <v>21.195</v>
    <v>20.824999999999999</v>
    <v>20.984999999999999</v>
    <v>20.805</v>
    <v>20.895</v>
    <v>20.355</v>
    <v>20.135000000000002</v>
    <v>19.236000000000001</v>
    <v>19.239999999999998</v>
    <v>19.282</v>
    <v>19.411999999999999</v>
    <v>19.698</v>
    <v>19.466000000000001</v>
    <v>19.494</v>
    <v>19.762</v>
    <v>20.07</v>
    <v>21.445</v>
    <v>21.41</v>
    <v>21.245000000000001</v>
    <v>21.395</v>
    <v>21.97</v>
    <v>21.66</v>
    <v>22.135000000000002</v>
    <v>22.645</v>
    <v>22.704999999999998</v>
    <v>22.61</v>
    <v>22.274999999999999</v>
    <v>22.32</v>
    <v>23.15</v>
    <v>23.335000000000001</v>
    <v>23.68</v>
    <v>23.3</v>
    <v>23.465</v>
    <v>23.195</v>
    <v>23.635000000000002</v>
    <v>23.565000000000001</v>
    <v>23.82</v>
    <v>24.074999999999999</v>
    <v>24.46</v>
    <v>23.93</v>
    <v>24.875</v>
    <v>25.295000000000002</v>
    <v>25.015000000000001</v>
    <v>25.795000000000002</v>
    <v>25.265000000000001</v>
    <v>25.95</v>
    <v>26.37</v>
    <v>25.635000000000002</v>
    <v>26.335000000000001</v>
    <v>26.85</v>
    <v>26.414999999999999</v>
    <v>26.945</v>
    <v>27.45</v>
    <v>27.17</v>
    <v>27.405000000000001</v>
    <v>27.27</v>
    <v>27.74</v>
    <v>27.335000000000001</v>
    <v>26.96</v>
    <v>26.64</v>
    <v>26.484999999999999</v>
    <v>26.41</v>
    <v>27.055</v>
    <v>27.06</v>
    <v>26.605</v>
    <v>26.59</v>
    <v>26.71</v>
    <v>27.515000000000001</v>
    <v>27.83</v>
    <v>28.34</v>
    <v>27.75</v>
    <v>28.155000000000001</v>
    <v>28.96</v>
    <v>29.01</v>
    <v>29.454999999999998</v>
    <v>29.725000000000001</v>
    <v>29.535</v>
    <v>29.13</v>
    <v>28.04</v>
    <v>28.574999999999999</v>
    <v>28.684999999999999</v>
    <v>28.5</v>
    <v>29.2</v>
    <v>28.734999999999999</v>
    <v>29.094999999999999</v>
    <v>28.38</v>
    <v>28.1</v>
    <v>28.36</v>
    <v>27.5</v>
    <v>27.99</v>
    <v>28.405000000000001</v>
    <v>29.2</v>
    <v>29.88</v>
    <v>30.02</v>
    <v>30.504999999999999</v>
    <v>30.855</v>
    <v>31.055</v>
    <v>31.265000000000001</v>
    <v>30.934999999999999</v>
    <v>30.84</v>
    <v>30.245000000000001</v>
    <v>28.92</v>
    <v>29.37</v>
    <v>29.594999999999999</v>
    <v>29.9</v>
    <v>30.274999999999999</v>
    <v>30.664999999999999</v>
    <v>30.82</v>
    <v>31.875</v>
    <v>31.57</v>
    <v>31.7</v>
    <v>31.504999999999999</v>
    <v>30.984999999999999</v>
    <v>30.74</v>
    <v>31.085000000000001</v>
    <v>29.864999999999998</v>
    <v>29.49</v>
    <v>28.99</v>
    <v>29.465</v>
    <v>30.184999999999999</v>
    <v>30.385000000000002</v>
    <v>30.69</v>
    <v>30.035</v>
    <v>30.27</v>
    <v>29.3</v>
    <v>29.954999999999998</v>
    <v>30.254999999999999</v>
    <v>30.23</v>
    <v>29.335000000000001</v>
    <v>28.84</v>
    <v>28.46</v>
    <v>27.12</v>
    <v>27.484999999999999</v>
    <v>27.5</v>
    <v>27.774999999999999</v>
    <v>26.68</v>
    <v>27.33</v>
    <v>26.99</v>
    <v>26.864999999999998</v>
    <v>26.8</v>
    <v>26.4</v>
    <v>25.984999999999999</v>
    <v>25.87</v>
    <v>26.274999999999999</v>
    <v>26.035</v>
    <v>27.074999999999999</v>
    <v>26.885000000000002</v>
    <v>27.065000000000001</v>
    <v>27.774999999999999</v>
    <v>27.445</v>
    <v>27.02</v>
    <v>27.17</v>
    <v>27.004999999999999</v>
    <v>27.5</v>
    <v>27.47</v>
    <v>28.145</v>
    <v>28.105</v>
    <v>28.155000000000001</v>
    <v>27.734999999999999</v>
    <v>26.774999999999999</v>
    <v>26.535</v>
    <v>26.305</v>
    <v>27.1</v>
    <v>27.094999999999999</v>
    <v>27.58</v>
    <v>27.135000000000002</v>
    <v>27.79</v>
    <v>27.695</v>
    <v>28.47</v>
    <v>29.05</v>
    <v>29.09</v>
    <v>29.055</v>
    <v>29.49</v>
    <v>29.48</v>
    <v>29.58</v>
    <v>29.254999999999999</v>
    <v>29.164999999999999</v>
    <v>28.75</v>
    <v>27.945</v>
    <v>28.51</v>
    <v>28.045000000000002</v>
    <v>28.225000000000001</v>
    <v>28.885000000000002</v>
    <v>29.4</v>
    <v>29.984999999999999</v>
    <v>30.234999999999999</v>
    <v>30.41</v>
    <v>29.614999999999998</v>
    <v>29.84</v>
    <v>30.18</v>
    <v>30.02</v>
    <v>29.234999999999999</v>
    <v>29.274999999999999</v>
    <v>28.29</v>
    <v>28.795000000000002</v>
    <v>28.63</v>
    <v>28.42</v>
    <v>28.204999999999998</v>
    <v>27.88</v>
    <v>28.26</v>
    <v>28.46</v>
    <v>28.44</v>
    <v>28.1</v>
    <v>28.135000000000002</v>
    <v>27.324999999999999</v>
    <v>27.254999999999999</v>
    <v>27.445</v>
    <v>27.82</v>
    <v>28.9</v>
    <v>28.395</v>
    <v>27.7</v>
    <v>28.1</v>
    <v>28.504999999999999</v>
    <v>28.43</v>
    <v>28.28</v>
    <v>28.23</v>
    <v>27.105</v>
    <v>27.68</v>
    <v>27.98</v>
    <v>27.98</v>
    <v>28.425000000000001</v>
    <v>26.84</v>
    <v>28.895</v>
  </a>
  <a r="1" c="254">
    <v>18.718</v>
    <v>19.12</v>
    <v>19.032</v>
    <v>18.885999999999999</v>
    <v>19.486000000000001</v>
    <v>19.876000000000001</v>
    <v>19.495999999999999</v>
    <v>20.015000000000001</v>
    <v>19.654</v>
    <v>19.756</v>
    <v>19.655999999999999</v>
    <v>19.324000000000002</v>
    <v>19.908000000000001</v>
    <v>20.315000000000001</v>
    <v>19.792000000000002</v>
    <v>19.738</v>
    <v>19.852</v>
    <v>19.776</v>
    <v>19.384</v>
    <v>19.638000000000002</v>
    <v>19.698</v>
    <v>19.148</v>
    <v>19.512</v>
    <v>19.452000000000002</v>
    <v>19.765999999999998</v>
    <v>19.718</v>
    <v>20.015000000000001</v>
    <v>20.245000000000001</v>
    <v>19.885999999999999</v>
    <v>20.54</v>
    <v>20.934999999999999</v>
    <v>21.195</v>
    <v>20.824999999999999</v>
    <v>20.984999999999999</v>
    <v>20.805</v>
    <v>20.895</v>
    <v>20.355</v>
    <v>20.135000000000002</v>
    <v>19.236000000000001</v>
    <v>19.239999999999998</v>
    <v>19.282</v>
    <v>19.411999999999999</v>
    <v>19.698</v>
    <v>19.466000000000001</v>
    <v>19.494</v>
    <v>19.762</v>
    <v>20.07</v>
    <v>21.445</v>
    <v>21.41</v>
    <v>21.245000000000001</v>
    <v>21.395</v>
    <v>21.97</v>
    <v>21.66</v>
    <v>22.135000000000002</v>
    <v>22.645</v>
    <v>22.704999999999998</v>
    <v>22.61</v>
    <v>22.274999999999999</v>
    <v>22.32</v>
    <v>23.15</v>
    <v>23.335000000000001</v>
    <v>23.68</v>
    <v>23.3</v>
    <v>23.465</v>
    <v>23.195</v>
    <v>23.635000000000002</v>
    <v>23.565000000000001</v>
    <v>23.82</v>
    <v>24.074999999999999</v>
    <v>24.46</v>
    <v>23.93</v>
    <v>24.875</v>
    <v>25.295000000000002</v>
    <v>25.015000000000001</v>
    <v>25.795000000000002</v>
    <v>25.265000000000001</v>
    <v>25.95</v>
    <v>26.37</v>
    <v>25.635000000000002</v>
    <v>26.335000000000001</v>
    <v>26.85</v>
    <v>26.414999999999999</v>
    <v>26.945</v>
    <v>27.45</v>
    <v>27.17</v>
    <v>27.405000000000001</v>
    <v>27.27</v>
    <v>27.74</v>
    <v>27.335000000000001</v>
    <v>26.96</v>
    <v>26.64</v>
    <v>26.484999999999999</v>
    <v>26.41</v>
    <v>27.055</v>
    <v>27.06</v>
    <v>26.605</v>
    <v>26.59</v>
    <v>26.71</v>
    <v>27.515000000000001</v>
    <v>27.83</v>
    <v>28.34</v>
    <v>27.75</v>
    <v>28.155000000000001</v>
    <v>28.96</v>
    <v>29.01</v>
    <v>29.454999999999998</v>
    <v>29.725000000000001</v>
    <v>29.535</v>
    <v>29.13</v>
    <v>28.04</v>
    <v>28.574999999999999</v>
    <v>28.684999999999999</v>
    <v>28.5</v>
    <v>29.2</v>
    <v>28.734999999999999</v>
    <v>29.094999999999999</v>
    <v>28.38</v>
    <v>28.1</v>
    <v>28.36</v>
    <v>27.5</v>
    <v>27.99</v>
    <v>28.405000000000001</v>
    <v>29.2</v>
    <v>29.88</v>
    <v>30.02</v>
    <v>30.504999999999999</v>
    <v>30.855</v>
    <v>31.055</v>
    <v>31.265000000000001</v>
    <v>30.934999999999999</v>
    <v>30.84</v>
    <v>30.245000000000001</v>
    <v>28.92</v>
    <v>29.37</v>
    <v>29.594999999999999</v>
    <v>29.9</v>
    <v>30.274999999999999</v>
    <v>30.664999999999999</v>
    <v>30.82</v>
    <v>31.875</v>
    <v>31.57</v>
    <v>31.7</v>
    <v>31.504999999999999</v>
    <v>30.984999999999999</v>
    <v>30.74</v>
    <v>31.085000000000001</v>
    <v>29.864999999999998</v>
    <v>29.49</v>
    <v>28.99</v>
    <v>29.465</v>
    <v>30.184999999999999</v>
    <v>30.385000000000002</v>
    <v>30.69</v>
    <v>30.035</v>
    <v>30.27</v>
    <v>29.3</v>
    <v>29.954999999999998</v>
    <v>30.254999999999999</v>
    <v>30.23</v>
    <v>29.335000000000001</v>
    <v>28.84</v>
    <v>28.46</v>
    <v>27.12</v>
    <v>27.484999999999999</v>
    <v>27.5</v>
    <v>27.774999999999999</v>
    <v>26.68</v>
    <v>27.33</v>
    <v>26.99</v>
    <v>26.864999999999998</v>
    <v>26.8</v>
    <v>26.4</v>
    <v>25.984999999999999</v>
    <v>25.87</v>
    <v>26.274999999999999</v>
    <v>26.035</v>
    <v>27.074999999999999</v>
    <v>26.885000000000002</v>
    <v>27.065000000000001</v>
    <v>27.774999999999999</v>
    <v>27.445</v>
    <v>27.02</v>
    <v>27.17</v>
    <v>27.004999999999999</v>
    <v>27.5</v>
    <v>27.47</v>
    <v>28.145</v>
    <v>28.105</v>
    <v>28.155000000000001</v>
    <v>27.734999999999999</v>
    <v>26.774999999999999</v>
    <v>26.535</v>
    <v>26.305</v>
    <v>27.1</v>
    <v>27.094999999999999</v>
    <v>27.58</v>
    <v>27.135000000000002</v>
    <v>27.79</v>
    <v>27.695</v>
    <v>28.47</v>
    <v>29.05</v>
    <v>29.09</v>
    <v>29.055</v>
    <v>29.49</v>
    <v>29.48</v>
    <v>29.58</v>
    <v>29.254999999999999</v>
    <v>29.164999999999999</v>
    <v>28.75</v>
    <v>27.945</v>
    <v>28.51</v>
    <v>28.045000000000002</v>
    <v>28.225000000000001</v>
    <v>28.885000000000002</v>
    <v>29.4</v>
    <v>29.984999999999999</v>
    <v>30.234999999999999</v>
    <v>30.41</v>
    <v>29.614999999999998</v>
    <v>29.84</v>
    <v>30.18</v>
    <v>30.02</v>
    <v>29.234999999999999</v>
    <v>29.274999999999999</v>
    <v>28.29</v>
    <v>28.795000000000002</v>
    <v>28.63</v>
    <v>28.42</v>
    <v>28.204999999999998</v>
    <v>27.88</v>
    <v>28.26</v>
    <v>28.46</v>
    <v>28.44</v>
    <v>28.1</v>
    <v>28.135000000000002</v>
    <v>27.324999999999999</v>
    <v>27.254999999999999</v>
    <v>27.445</v>
    <v>27.82</v>
    <v>28.9</v>
    <v>28.395</v>
    <v>27.7</v>
    <v>28.1</v>
    <v>28.504999999999999</v>
    <v>28.43</v>
    <v>28.28</v>
    <v>28.23</v>
    <v>27.105</v>
    <v>27.68</v>
    <v>27.98</v>
    <v>27.98</v>
    <v>28.425000000000001</v>
    <v>26.84</v>
    <v>28.895</v>
  </a>
  <a r="1" c="208">
    <v>13.896000000000001</v>
    <v>14.27</v>
    <v>14.326000000000001</v>
    <v>14.468</v>
    <v>14.27</v>
    <v>14.544</v>
    <v>14.561999999999999</v>
    <v>14.676</v>
    <v>14.608000000000001</v>
    <v>14.88</v>
    <v>14.782</v>
    <v>14.488</v>
    <v>14.374000000000001</v>
    <v>14.55</v>
    <v>14.683999999999999</v>
    <v>14.51</v>
    <v>14.423999999999999</v>
    <v>14.42</v>
    <v>14.694000000000001</v>
    <v>14.167999999999999</v>
    <v>14.272</v>
    <v>14.321999999999999</v>
    <v>14.09</v>
    <v>13.912000000000001</v>
    <v>13.731999999999999</v>
    <v>14.087999999999999</v>
    <v>14.28</v>
    <v>14.417999999999999</v>
    <v>14.321999999999999</v>
    <v>13.97</v>
    <v>14.16</v>
    <v>14.084</v>
    <v>14.07</v>
    <v>14.308</v>
    <v>14.141999999999999</v>
    <v>14.234</v>
    <v>13.942</v>
    <v>14.262</v>
    <v>14.49</v>
    <v>14.436</v>
    <v>14.327999999999999</v>
    <v>14.318</v>
    <v>13.972</v>
    <v>14.186</v>
    <v>14.125999999999999</v>
    <v>13.91</v>
    <v>13.72</v>
    <v>14.164</v>
    <v>14.068</v>
    <v>13.858000000000001</v>
    <v>13.731999999999999</v>
    <v>13.87</v>
    <v>13.772</v>
    <v>13.786</v>
    <v>13.57</v>
    <v>13.423999999999999</v>
    <v>13.616</v>
    <v>13.465999999999999</v>
    <v>13.686</v>
    <v>13.398</v>
    <v>13.032</v>
    <v>12.988</v>
    <v>12.936</v>
    <v>13.568</v>
    <v>13.48</v>
    <v>13.44</v>
    <v>14.266</v>
    <v>14.19</v>
    <v>14.326000000000001</v>
    <v>14.4</v>
    <v>14.74</v>
    <v>14.784000000000001</v>
    <v>15.061999999999999</v>
    <v>15.41</v>
    <v>15.276</v>
    <v>15.43</v>
    <v>15.558</v>
    <v>15.638</v>
    <v>16.071999999999999</v>
    <v>16.117999999999999</v>
    <v>15.75</v>
    <v>15.8</v>
    <v>16.071999999999999</v>
    <v>16.207999999999998</v>
    <v>16.666</v>
    <v>17.07</v>
    <v>17.141999999999999</v>
    <v>17.303999999999998</v>
    <v>17.526</v>
    <v>16.995999999999999</v>
    <v>17.198</v>
    <v>17.353999999999999</v>
    <v>16.966000000000001</v>
    <v>16.686</v>
    <v>16.544</v>
    <v>17.094000000000001</v>
    <v>17.146000000000001</v>
    <v>17.672000000000001</v>
    <v>18.012</v>
    <v>17.923999999999999</v>
    <v>17.73</v>
    <v>17.93</v>
    <v>17.864000000000001</v>
    <v>18.026</v>
    <v>17.988</v>
    <v>18.170000000000002</v>
    <v>18.074000000000002</v>
    <v>17.507999999999999</v>
    <v>17.616</v>
    <v>17.234000000000002</v>
    <v>17.091999999999999</v>
    <v>17.271999999999998</v>
    <v>17.972000000000001</v>
    <v>18.54</v>
    <v>18.274000000000001</v>
    <v>18.422000000000001</v>
    <v>18.786000000000001</v>
    <v>18.916</v>
    <v>19.164000000000001</v>
    <v>18.45</v>
    <v>18.553999999999998</v>
    <v>18.591999999999999</v>
    <v>18.288</v>
    <v>18.443999999999999</v>
    <v>19.158000000000001</v>
    <v>19.102</v>
    <v>18.489999999999998</v>
    <v>18.66</v>
    <v>18.827999999999999</v>
    <v>17.904</v>
    <v>17.63</v>
    <v>18.344000000000001</v>
    <v>18.27</v>
    <v>18.13</v>
    <v>18.004000000000001</v>
    <v>17.728000000000002</v>
    <v>17.515999999999998</v>
    <v>17.015999999999998</v>
    <v>17.294</v>
    <v>17.597999999999999</v>
    <v>17.585999999999999</v>
    <v>17.318000000000001</v>
    <v>17.346</v>
    <v>17.111999999999998</v>
    <v>17.175999999999998</v>
    <v>17.077999999999999</v>
    <v>17.356000000000002</v>
    <v>17.562000000000001</v>
    <v>17.914000000000001</v>
    <v>18.521999999999998</v>
    <v>18.617999999999999</v>
    <v>18.53</v>
    <v>18.771999999999998</v>
    <v>18.706</v>
    <v>18.77</v>
    <v>19.012</v>
    <v>19.143999999999998</v>
    <v>19.018000000000001</v>
    <v>19.25</v>
    <v>18.466000000000001</v>
    <v>18.468</v>
    <v>18.329999999999998</v>
    <v>18.422000000000001</v>
    <v>18.164000000000001</v>
    <v>18.308</v>
    <v>18.32</v>
    <v>18.771999999999998</v>
    <v>18.809999999999999</v>
    <v>18.533999999999999</v>
    <v>18.193999999999999</v>
    <v>17.975999999999999</v>
    <v>18.286000000000001</v>
    <v>18.36</v>
    <v>18.38</v>
    <v>18.372</v>
    <v>18.135999999999999</v>
    <v>17.920000000000002</v>
    <v>18.116</v>
    <v>17.873999999999999</v>
    <v>17.751999999999999</v>
    <v>18.010000000000002</v>
    <v>18.238</v>
    <v>18.332000000000001</v>
    <v>18.917999999999999</v>
    <v>19.152000000000001</v>
    <v>19.231999999999999</v>
    <v>19.064</v>
    <v>19.326000000000001</v>
    <v>19.018000000000001</v>
    <v>19.244</v>
    <v>19.318000000000001</v>
    <v>19.559999999999999</v>
    <v>20.094999999999999</v>
    <v>20.23</v>
    <v>20.425000000000001</v>
    <v>20.09</v>
    <v>19.84</v>
    <v>20.015000000000001</v>
    <v>19.948</v>
    <v>19.66</v>
    <v>19.521999999999998</v>
    <v>19.079999999999998</v>
    <v>18.835999999999999</v>
    <v>19.053999999999998</v>
    <v>18.975999999999999</v>
    <v>19.260000000000002</v>
    <v>18.777999999999999</v>
    <v>18.925999999999998</v>
  </a>
  <a r="1" c="761">
    <v>9.8330000000000002</v>
    <v>9.8949999999999996</v>
    <v>9.8000000000000007</v>
    <v>9.6969999999999992</v>
    <v>9.6470000000000002</v>
    <v>9.6370000000000005</v>
    <v>9.7270000000000003</v>
    <v>9.7769999999999992</v>
    <v>9.9350000000000005</v>
    <v>10.11</v>
    <v>10.068</v>
    <v>10.218</v>
    <v>10.222</v>
    <v>10.336</v>
    <v>10.292</v>
    <v>10.362</v>
    <v>10.542</v>
    <v>10.67</v>
    <v>10.55</v>
    <v>10.628</v>
    <v>10.702</v>
    <v>10.673999999999999</v>
    <v>10.798</v>
    <v>10.757999999999999</v>
    <v>10.726000000000001</v>
    <v>10.72</v>
    <v>10.706</v>
    <v>10.86</v>
    <v>10.904</v>
    <v>11.103999999999999</v>
    <v>11.087999999999999</v>
    <v>11.116</v>
    <v>11.208</v>
    <v>11.162000000000001</v>
    <v>11.311999999999999</v>
    <v>11.407999999999999</v>
    <v>11.412000000000001</v>
    <v>11.404</v>
    <v>11.548</v>
    <v>11.718</v>
    <v>11.61</v>
    <v>11.686</v>
    <v>11.722</v>
    <v>11.662000000000001</v>
    <v>11.74</v>
    <v>11.802</v>
    <v>11.853999999999999</v>
    <v>11.79</v>
    <v>11.715999999999999</v>
    <v>11.46</v>
    <v>11.404</v>
    <v>11.375999999999999</v>
    <v>11.484</v>
    <v>11.582000000000001</v>
    <v>11.603999999999999</v>
    <v>11.584</v>
    <v>11.731999999999999</v>
    <v>11.724</v>
    <v>11.74</v>
    <v>11.592000000000001</v>
    <v>11.772</v>
    <v>11.78</v>
    <v>12.077999999999999</v>
    <v>12.06</v>
    <v>12.144</v>
    <v>12.183999999999999</v>
    <v>12.07</v>
    <v>12.084</v>
    <v>12.135999999999999</v>
    <v>11.965999999999999</v>
    <v>11.904</v>
    <v>12.077999999999999</v>
    <v>12.038</v>
    <v>12.05</v>
    <v>12.118</v>
    <v>12.278</v>
    <v>12.391999999999999</v>
    <v>12.523999999999999</v>
    <v>12.256</v>
    <v>12.314</v>
    <v>12.464</v>
    <v>12.478</v>
    <v>12.442</v>
    <v>12.24</v>
    <v>12.141999999999999</v>
    <v>12.48</v>
    <v>12.458</v>
    <v>12.496</v>
    <v>12.53</v>
    <v>12.49</v>
    <v>12.552</v>
    <v>12.694000000000001</v>
    <v>12.79</v>
    <v>12.52</v>
    <v>12.648</v>
    <v>12.722</v>
    <v>12.66</v>
    <v>12.534000000000001</v>
    <v>12.596</v>
    <v>12.538</v>
    <v>12.481999999999999</v>
    <v>12.398</v>
    <v>12.492000000000001</v>
    <v>12.37</v>
    <v>12.41</v>
    <v>12.757999999999999</v>
    <v>12.65</v>
    <v>12.651999999999999</v>
    <v>12.678000000000001</v>
    <v>12.634</v>
    <v>12.72</v>
    <v>12.494</v>
    <v>12.523999999999999</v>
    <v>12.545999999999999</v>
    <v>12.353999999999999</v>
    <v>12.34</v>
    <v>12.263999999999999</v>
    <v>12.302</v>
    <v>12.32</v>
    <v>12.284000000000001</v>
    <v>12.228</v>
    <v>12.016</v>
    <v>11.858000000000001</v>
    <v>11.866</v>
    <v>11.664</v>
    <v>11.654</v>
    <v>11.85</v>
    <v>11.842000000000001</v>
    <v>11.676</v>
    <v>11.922000000000001</v>
    <v>11.933999999999999</v>
    <v>11.805999999999999</v>
    <v>11.784000000000001</v>
    <v>11.917999999999999</v>
    <v>12.052</v>
    <v>12.116</v>
    <v>12.061999999999999</v>
    <v>12.054</v>
    <v>12.05</v>
    <v>12.07</v>
    <v>12.092000000000001</v>
    <v>12.242000000000001</v>
    <v>12.252000000000001</v>
    <v>12.218</v>
    <v>12.358000000000001</v>
    <v>12.294</v>
    <v>12.308</v>
    <v>12.3</v>
    <v>12.226000000000001</v>
    <v>12.295999999999999</v>
    <v>12.192</v>
    <v>12.064</v>
    <v>11.936</v>
    <v>11.74</v>
    <v>11.814</v>
    <v>11.762</v>
    <v>11.933999999999999</v>
    <v>11.976000000000001</v>
    <v>11.997999999999999</v>
    <v>12.06</v>
    <v>11.96</v>
    <v>12.202</v>
    <v>12.12</v>
    <v>12.07</v>
    <v>12.09</v>
    <v>12.18</v>
    <v>12.17</v>
    <v>12.224</v>
    <v>12.122</v>
    <v>12.135999999999999</v>
    <v>12.11</v>
    <v>12.166</v>
    <v>12.196</v>
    <v>12.346</v>
    <v>12.228</v>
    <v>12.218</v>
    <v>12.288</v>
    <v>12.278</v>
    <v>12.302</v>
    <v>12.332000000000001</v>
    <v>12.247999999999999</v>
    <v>12.305999999999999</v>
    <v>12.384</v>
    <v>12.51</v>
    <v>12.528</v>
    <v>12.582000000000001</v>
    <v>12.358000000000001</v>
    <v>12.135999999999999</v>
    <v>12.034000000000001</v>
    <v>12.146000000000001</v>
    <v>12.318</v>
    <v>12.03</v>
    <v>11.875999999999999</v>
    <v>11.96</v>
    <v>11.932</v>
    <v>11.88</v>
    <v>12.13</v>
    <v>11.85</v>
    <v>11.084</v>
    <v>10.846</v>
    <v>10.958</v>
    <v>11.212</v>
    <v>11.24</v>
    <v>11.246</v>
    <v>11.294</v>
    <v>11.476000000000001</v>
    <v>11.484</v>
    <v>11.738</v>
    <v>11.81</v>
    <v>11.795999999999999</v>
    <v>11.87</v>
    <v>11.885999999999999</v>
    <v>11.91</v>
    <v>11.884</v>
    <v>11.864000000000001</v>
    <v>11.8</v>
    <v>12.052</v>
    <v>11.988</v>
    <v>12.077999999999999</v>
    <v>11.782</v>
    <v>11.568</v>
    <v>11.401999999999999</v>
    <v>11.151999999999999</v>
    <v>11.352</v>
    <v>11.388</v>
    <v>11.391999999999999</v>
    <v>11.63</v>
    <v>11.731999999999999</v>
    <v>11.666</v>
    <v>11.762</v>
    <v>11.62</v>
    <v>11.933999999999999</v>
    <v>11.77</v>
    <v>11.86</v>
    <v>11.884</v>
    <v>11.946</v>
    <v>12.103999999999999</v>
    <v>12.2</v>
    <v>12.106</v>
    <v>12</v>
    <v>12.08</v>
    <v>12.032</v>
    <v>12.128</v>
    <v>12.138</v>
    <v>12.188000000000001</v>
    <v>12.332000000000001</v>
    <v>12.29</v>
    <v>12.398</v>
    <v>12.526</v>
    <v>12.394</v>
    <v>12.34</v>
    <v>12.39</v>
    <v>12.444000000000001</v>
    <v>12.382</v>
    <v>12.364000000000001</v>
    <v>12.278</v>
    <v>12.292</v>
    <v>12.374000000000001</v>
    <v>12.442</v>
    <v>12.538</v>
    <v>12.548</v>
    <v>12.268000000000001</v>
    <v>12.378</v>
    <v>12.304</v>
    <v>12.374000000000001</v>
    <v>12.856</v>
    <v>13.018000000000001</v>
    <v>13.036</v>
    <v>13.244</v>
    <v>13.21</v>
    <v>13.273999999999999</v>
    <v>13.176</v>
    <v>12.92</v>
    <v>13.004</v>
    <v>13.04</v>
    <v>13.208</v>
    <v>13.57</v>
    <v>13.7</v>
    <v>13.747999999999999</v>
    <v>13.598000000000001</v>
    <v>13.273999999999999</v>
    <v>13.407999999999999</v>
    <v>13.528</v>
    <v>13.66</v>
    <v>13.666</v>
    <v>13.914</v>
    <v>13.875999999999999</v>
    <v>13.87</v>
    <v>13.8</v>
    <v>13.74</v>
    <v>13.901999999999999</v>
    <v>13.874000000000001</v>
    <v>13.792</v>
    <v>13.884</v>
    <v>13.728</v>
    <v>13.75</v>
    <v>13.412000000000001</v>
    <v>13.472</v>
    <v>13.416</v>
    <v>13.417999999999999</v>
    <v>13.295999999999999</v>
    <v>13.48</v>
    <v>13.47</v>
    <v>13.718</v>
    <v>13.648</v>
    <v>13.587999999999999</v>
    <v>13.584</v>
    <v>13.472</v>
    <v>13.372</v>
    <v>13.428000000000001</v>
    <v>13.706</v>
    <v>13.852</v>
    <v>14.036</v>
    <v>14.092000000000001</v>
    <v>14.066000000000001</v>
    <v>14.247999999999999</v>
    <v>14.244</v>
    <v>14.173999999999999</v>
    <v>13.666</v>
    <v>13.8</v>
    <v>13.858000000000001</v>
    <v>13.888</v>
    <v>14.13</v>
    <v>13.923999999999999</v>
    <v>13.972</v>
    <v>13.952</v>
    <v>14.098000000000001</v>
    <v>14.02</v>
    <v>14.202</v>
    <v>14.166</v>
    <v>13.968</v>
    <v>14.12</v>
    <v>14.044</v>
    <v>14.19</v>
    <v>14.272</v>
    <v>14.326000000000001</v>
    <v>14.122</v>
    <v>14.076000000000001</v>
    <v>13.776</v>
    <v>13.417999999999999</v>
    <v>13.71</v>
    <v>13.64</v>
    <v>13.334</v>
    <v>13.364000000000001</v>
    <v>12.768000000000001</v>
    <v>12.808</v>
    <v>12.853999999999999</v>
    <v>12.44</v>
    <v>12.311999999999999</v>
    <v>12.044</v>
    <v>12.202</v>
    <v>12.084</v>
    <v>12.362</v>
    <v>12.422000000000001</v>
    <v>12.374000000000001</v>
    <v>12.497999999999999</v>
    <v>12.468</v>
    <v>12.42</v>
    <v>12.683999999999999</v>
    <v>12.718</v>
    <v>12.55</v>
    <v>12.396000000000001</v>
    <v>11.964</v>
    <v>11.778</v>
    <v>11.954000000000001</v>
    <v>12.006</v>
    <v>11.178000000000001</v>
    <v>10.603999999999999</v>
    <v>10.321999999999999</v>
    <v>10.69</v>
    <v>10.118</v>
    <v>10.654</v>
    <v>10.484</v>
    <v>10.846</v>
    <v>10.996</v>
    <v>10.864000000000001</v>
    <v>10.71</v>
    <v>10.638</v>
    <v>11.114000000000001</v>
    <v>11.305999999999999</v>
    <v>11.446</v>
    <v>11.384</v>
    <v>11.474</v>
    <v>11.484</v>
    <v>11.858000000000001</v>
    <v>11.906000000000001</v>
    <v>11.79</v>
    <v>11.8</v>
    <v>12.15</v>
    <v>12.134</v>
    <v>12.672000000000001</v>
    <v>12.802</v>
    <v>12.747999999999999</v>
    <v>12.75</v>
    <v>12.77</v>
    <v>12.618</v>
    <v>12.666</v>
    <v>12.61</v>
    <v>12.518000000000001</v>
    <v>12.288</v>
    <v>12.432</v>
    <v>12.566000000000001</v>
    <v>12.534000000000001</v>
    <v>12.456</v>
    <v>12.378</v>
    <v>12.282</v>
    <v>12.532</v>
    <v>12.571999999999999</v>
    <v>12.634</v>
    <v>12.686</v>
    <v>12.728</v>
    <v>12.747999999999999</v>
    <v>12.752000000000001</v>
    <v>12.602</v>
    <v>12.476000000000001</v>
    <v>12.616</v>
    <v>12.568</v>
    <v>12.574</v>
    <v>12.41</v>
    <v>12.47</v>
    <v>12.44</v>
    <v>12.656000000000001</v>
    <v>12.664</v>
    <v>12.757999999999999</v>
    <v>12.912000000000001</v>
    <v>12.842000000000001</v>
    <v>12.738</v>
    <v>12.798</v>
    <v>13.02</v>
    <v>12.874000000000001</v>
    <v>12.901999999999999</v>
    <v>12.974</v>
    <v>13</v>
    <v>13.112</v>
    <v>13.004</v>
    <v>12.984</v>
    <v>13.138</v>
    <v>12.928000000000001</v>
    <v>13.316000000000001</v>
    <v>13.212</v>
    <v>13.23</v>
    <v>13.093999999999999</v>
    <v>13.238</v>
    <v>13.206</v>
    <v>13.183999999999999</v>
    <v>13.332000000000001</v>
    <v>13.38</v>
    <v>13.422000000000001</v>
    <v>13.374000000000001</v>
    <v>12.896000000000001</v>
    <v>13.08</v>
    <v>13.044</v>
    <v>12.874000000000001</v>
    <v>13</v>
    <v>12.994</v>
    <v>13.002000000000001</v>
    <v>12.98</v>
    <v>13.028</v>
    <v>13.012</v>
    <v>13.032</v>
    <v>13.022</v>
    <v>12.827999999999999</v>
    <v>12.852</v>
    <v>13.052</v>
    <v>13.023999999999999</v>
    <v>12.994</v>
    <v>13.084</v>
    <v>13.182</v>
    <v>13.05</v>
    <v>13.058</v>
    <v>12.811999999999999</v>
    <v>12.868</v>
    <v>12.942</v>
    <v>12.938000000000001</v>
    <v>13.138</v>
    <v>13.102</v>
    <v>13.157999999999999</v>
    <v>13.242000000000001</v>
    <v>13.192</v>
    <v>13.173999999999999</v>
    <v>12.997999999999999</v>
    <v>13.07</v>
    <v>13.494</v>
    <v>13.444000000000001</v>
    <v>13.523999999999999</v>
    <v>13.568</v>
    <v>13.484</v>
    <v>13.358000000000001</v>
    <v>13.364000000000001</v>
    <v>13.45</v>
    <v>13.417999999999999</v>
    <v>13.544</v>
    <v>13.756</v>
    <v>13.912000000000001</v>
    <v>14.198</v>
    <v>13.978</v>
    <v>14.154</v>
    <v>14.273999999999999</v>
    <v>13.856</v>
    <v>13.996</v>
    <v>13.858000000000001</v>
    <v>14.023999999999999</v>
    <v>14.004</v>
    <v>13.83</v>
    <v>14.215999999999999</v>
    <v>14.294</v>
    <v>14.098000000000001</v>
    <v>14.183999999999999</v>
    <v>14.406000000000001</v>
    <v>14.534000000000001</v>
    <v>14.56</v>
    <v>14.704000000000001</v>
    <v>14.736000000000001</v>
    <v>14.782</v>
    <v>14.798</v>
    <v>14.53</v>
    <v>14.488</v>
    <v>14.1</v>
    <v>13.805999999999999</v>
    <v>14.236000000000001</v>
    <v>14.132</v>
    <v>14.27</v>
    <v>13.907999999999999</v>
    <v>13.898</v>
    <v>13.722</v>
    <v>13.391999999999999</v>
    <v>13.454000000000001</v>
    <v>13.558</v>
    <v>13.162000000000001</v>
    <v>13.534000000000001</v>
    <v>13.554</v>
    <v>13.622</v>
    <v>13.718</v>
    <v>13.875999999999999</v>
    <v>13.842000000000001</v>
    <v>13.942</v>
    <v>14.038</v>
    <v>14.194000000000001</v>
    <v>14.24</v>
    <v>14.18</v>
    <v>14.228</v>
    <v>14.114000000000001</v>
    <v>14.016</v>
    <v>13.868</v>
    <v>13.84</v>
    <v>13.672000000000001</v>
    <v>13.54</v>
    <v>13.676</v>
    <v>13.79</v>
    <v>13.896000000000001</v>
    <v>13.827999999999999</v>
    <v>13.866</v>
    <v>13.932</v>
    <v>13.896000000000001</v>
    <v>14.27</v>
    <v>14.326000000000001</v>
    <v>14.468</v>
    <v>14.27</v>
    <v>14.544</v>
    <v>14.561999999999999</v>
    <v>14.676</v>
    <v>14.608000000000001</v>
    <v>14.88</v>
    <v>14.782</v>
    <v>14.488</v>
    <v>14.374000000000001</v>
    <v>14.55</v>
    <v>14.683999999999999</v>
    <v>14.51</v>
    <v>14.423999999999999</v>
    <v>14.42</v>
    <v>14.694000000000001</v>
    <v>14.167999999999999</v>
    <v>14.272</v>
    <v>14.321999999999999</v>
    <v>14.09</v>
    <v>13.912000000000001</v>
    <v>13.731999999999999</v>
    <v>14.087999999999999</v>
    <v>14.28</v>
    <v>14.417999999999999</v>
    <v>14.321999999999999</v>
    <v>13.97</v>
    <v>14.16</v>
    <v>14.084</v>
    <v>14.07</v>
    <v>14.308</v>
    <v>14.141999999999999</v>
    <v>14.234</v>
    <v>13.942</v>
    <v>14.262</v>
    <v>14.49</v>
    <v>14.436</v>
    <v>14.327999999999999</v>
    <v>14.318</v>
    <v>13.972</v>
    <v>14.186</v>
    <v>14.125999999999999</v>
    <v>13.91</v>
    <v>13.72</v>
    <v>14.164</v>
    <v>14.068</v>
    <v>13.858000000000001</v>
    <v>13.731999999999999</v>
    <v>13.87</v>
    <v>13.772</v>
    <v>13.786</v>
    <v>13.57</v>
    <v>13.423999999999999</v>
    <v>13.616</v>
    <v>13.465999999999999</v>
    <v>13.686</v>
    <v>13.398</v>
    <v>13.032</v>
    <v>12.988</v>
    <v>12.936</v>
    <v>13.568</v>
    <v>13.48</v>
    <v>13.44</v>
    <v>14.266</v>
    <v>14.19</v>
    <v>14.326000000000001</v>
    <v>14.4</v>
    <v>14.74</v>
    <v>14.784000000000001</v>
    <v>15.061999999999999</v>
    <v>15.41</v>
    <v>15.276</v>
    <v>15.43</v>
    <v>15.558</v>
    <v>15.638</v>
    <v>16.071999999999999</v>
    <v>16.117999999999999</v>
    <v>15.75</v>
    <v>15.8</v>
    <v>16.071999999999999</v>
    <v>16.207999999999998</v>
    <v>16.666</v>
    <v>17.07</v>
    <v>17.141999999999999</v>
    <v>17.303999999999998</v>
    <v>17.526</v>
    <v>16.995999999999999</v>
    <v>17.198</v>
    <v>17.353999999999999</v>
    <v>16.966000000000001</v>
    <v>16.686</v>
    <v>16.544</v>
    <v>17.094000000000001</v>
    <v>17.146000000000001</v>
    <v>17.672000000000001</v>
    <v>18.012</v>
    <v>17.923999999999999</v>
    <v>17.73</v>
    <v>17.93</v>
    <v>17.864000000000001</v>
    <v>18.026</v>
    <v>17.988</v>
    <v>18.170000000000002</v>
    <v>18.074000000000002</v>
    <v>17.507999999999999</v>
    <v>17.616</v>
    <v>17.234000000000002</v>
    <v>17.091999999999999</v>
    <v>17.271999999999998</v>
    <v>17.972000000000001</v>
    <v>18.54</v>
    <v>18.274000000000001</v>
    <v>18.422000000000001</v>
    <v>18.786000000000001</v>
    <v>18.916</v>
    <v>19.164000000000001</v>
    <v>18.45</v>
    <v>18.553999999999998</v>
    <v>18.591999999999999</v>
    <v>18.288</v>
    <v>18.443999999999999</v>
    <v>19.158000000000001</v>
    <v>19.102</v>
    <v>18.489999999999998</v>
    <v>18.66</v>
    <v>18.827999999999999</v>
    <v>17.904</v>
    <v>17.63</v>
    <v>18.344000000000001</v>
    <v>18.27</v>
    <v>18.13</v>
    <v>18.004000000000001</v>
    <v>17.728000000000002</v>
    <v>17.515999999999998</v>
    <v>17.015999999999998</v>
    <v>17.294</v>
    <v>17.597999999999999</v>
    <v>17.585999999999999</v>
    <v>17.318000000000001</v>
    <v>17.346</v>
    <v>17.111999999999998</v>
    <v>17.175999999999998</v>
    <v>17.077999999999999</v>
    <v>17.356000000000002</v>
    <v>17.562000000000001</v>
    <v>17.914000000000001</v>
    <v>18.521999999999998</v>
    <v>18.617999999999999</v>
    <v>18.53</v>
    <v>18.771999999999998</v>
    <v>18.706</v>
    <v>18.77</v>
    <v>19.012</v>
    <v>19.143999999999998</v>
    <v>19.018000000000001</v>
    <v>19.25</v>
    <v>18.466000000000001</v>
    <v>18.468</v>
    <v>18.329999999999998</v>
    <v>18.422000000000001</v>
    <v>18.164000000000001</v>
    <v>18.308</v>
    <v>18.32</v>
    <v>18.771999999999998</v>
    <v>18.809999999999999</v>
    <v>18.533999999999999</v>
    <v>18.193999999999999</v>
    <v>17.975999999999999</v>
    <v>18.286000000000001</v>
    <v>18.36</v>
    <v>18.38</v>
    <v>18.372</v>
    <v>18.135999999999999</v>
    <v>17.920000000000002</v>
    <v>18.116</v>
    <v>17.873999999999999</v>
    <v>17.751999999999999</v>
    <v>18.010000000000002</v>
    <v>18.238</v>
    <v>18.332000000000001</v>
    <v>18.917999999999999</v>
    <v>19.152000000000001</v>
    <v>19.231999999999999</v>
    <v>19.064</v>
    <v>19.326000000000001</v>
    <v>19.018000000000001</v>
    <v>19.244</v>
    <v>19.318000000000001</v>
    <v>19.559999999999999</v>
    <v>20.094999999999999</v>
    <v>20.23</v>
    <v>20.425000000000001</v>
    <v>20.09</v>
    <v>19.84</v>
    <v>20.015000000000001</v>
    <v>19.948</v>
    <v>19.66</v>
    <v>19.521999999999998</v>
    <v>19.079999999999998</v>
    <v>18.835999999999999</v>
    <v>19.053999999999998</v>
    <v>18.975999999999999</v>
    <v>19.260000000000002</v>
    <v>18.777999999999999</v>
    <v>18.925999999999998</v>
  </a>
  <a r="1" c="254">
    <v>14.183999999999999</v>
    <v>14.406000000000001</v>
    <v>14.534000000000001</v>
    <v>14.56</v>
    <v>14.704000000000001</v>
    <v>14.736000000000001</v>
    <v>14.782</v>
    <v>14.798</v>
    <v>14.53</v>
    <v>14.488</v>
    <v>14.1</v>
    <v>13.805999999999999</v>
    <v>14.236000000000001</v>
    <v>14.132</v>
    <v>14.27</v>
    <v>13.907999999999999</v>
    <v>13.898</v>
    <v>13.722</v>
    <v>13.391999999999999</v>
    <v>13.454000000000001</v>
    <v>13.558</v>
    <v>13.162000000000001</v>
    <v>13.534000000000001</v>
    <v>13.554</v>
    <v>13.622</v>
    <v>13.718</v>
    <v>13.875999999999999</v>
    <v>13.842000000000001</v>
    <v>13.942</v>
    <v>14.038</v>
    <v>14.194000000000001</v>
    <v>14.24</v>
    <v>14.18</v>
    <v>14.228</v>
    <v>14.114000000000001</v>
    <v>14.016</v>
    <v>13.868</v>
    <v>13.84</v>
    <v>13.672000000000001</v>
    <v>13.54</v>
    <v>13.676</v>
    <v>13.79</v>
    <v>13.896000000000001</v>
    <v>13.827999999999999</v>
    <v>13.866</v>
    <v>13.932</v>
    <v>13.896000000000001</v>
    <v>14.27</v>
    <v>14.326000000000001</v>
    <v>14.468</v>
    <v>14.27</v>
    <v>14.544</v>
    <v>14.561999999999999</v>
    <v>14.676</v>
    <v>14.608000000000001</v>
    <v>14.88</v>
    <v>14.782</v>
    <v>14.488</v>
    <v>14.374000000000001</v>
    <v>14.55</v>
    <v>14.683999999999999</v>
    <v>14.51</v>
    <v>14.423999999999999</v>
    <v>14.42</v>
    <v>14.694000000000001</v>
    <v>14.167999999999999</v>
    <v>14.272</v>
    <v>14.321999999999999</v>
    <v>14.09</v>
    <v>13.912000000000001</v>
    <v>13.731999999999999</v>
    <v>14.087999999999999</v>
    <v>14.28</v>
    <v>14.417999999999999</v>
    <v>14.321999999999999</v>
    <v>13.97</v>
    <v>14.16</v>
    <v>14.084</v>
    <v>14.07</v>
    <v>14.308</v>
    <v>14.141999999999999</v>
    <v>14.234</v>
    <v>13.942</v>
    <v>14.262</v>
    <v>14.49</v>
    <v>14.436</v>
    <v>14.327999999999999</v>
    <v>14.318</v>
    <v>13.972</v>
    <v>14.186</v>
    <v>14.125999999999999</v>
    <v>13.91</v>
    <v>13.72</v>
    <v>14.164</v>
    <v>14.068</v>
    <v>13.858000000000001</v>
    <v>13.731999999999999</v>
    <v>13.87</v>
    <v>13.772</v>
    <v>13.786</v>
    <v>13.57</v>
    <v>13.423999999999999</v>
    <v>13.616</v>
    <v>13.465999999999999</v>
    <v>13.686</v>
    <v>13.398</v>
    <v>13.032</v>
    <v>12.988</v>
    <v>12.936</v>
    <v>13.568</v>
    <v>13.48</v>
    <v>13.44</v>
    <v>14.266</v>
    <v>14.19</v>
    <v>14.326000000000001</v>
    <v>14.4</v>
    <v>14.74</v>
    <v>14.784000000000001</v>
    <v>15.061999999999999</v>
    <v>15.41</v>
    <v>15.276</v>
    <v>15.43</v>
    <v>15.558</v>
    <v>15.638</v>
    <v>16.071999999999999</v>
    <v>16.117999999999999</v>
    <v>15.75</v>
    <v>15.8</v>
    <v>16.071999999999999</v>
    <v>16.207999999999998</v>
    <v>16.666</v>
    <v>17.07</v>
    <v>17.141999999999999</v>
    <v>17.303999999999998</v>
    <v>17.526</v>
    <v>16.995999999999999</v>
    <v>17.198</v>
    <v>17.353999999999999</v>
    <v>16.966000000000001</v>
    <v>16.686</v>
    <v>16.544</v>
    <v>17.094000000000001</v>
    <v>17.146000000000001</v>
    <v>17.672000000000001</v>
    <v>18.012</v>
    <v>17.923999999999999</v>
    <v>17.73</v>
    <v>17.93</v>
    <v>17.864000000000001</v>
    <v>18.026</v>
    <v>17.988</v>
    <v>18.170000000000002</v>
    <v>18.074000000000002</v>
    <v>17.507999999999999</v>
    <v>17.616</v>
    <v>17.234000000000002</v>
    <v>17.091999999999999</v>
    <v>17.271999999999998</v>
    <v>17.972000000000001</v>
    <v>18.54</v>
    <v>18.274000000000001</v>
    <v>18.422000000000001</v>
    <v>18.786000000000001</v>
    <v>18.916</v>
    <v>19.164000000000001</v>
    <v>18.45</v>
    <v>18.553999999999998</v>
    <v>18.591999999999999</v>
    <v>18.288</v>
    <v>18.443999999999999</v>
    <v>19.158000000000001</v>
    <v>19.102</v>
    <v>18.489999999999998</v>
    <v>18.66</v>
    <v>18.827999999999999</v>
    <v>17.904</v>
    <v>17.63</v>
    <v>18.344000000000001</v>
    <v>18.27</v>
    <v>18.13</v>
    <v>18.004000000000001</v>
    <v>17.728000000000002</v>
    <v>17.515999999999998</v>
    <v>17.015999999999998</v>
    <v>17.294</v>
    <v>17.597999999999999</v>
    <v>17.585999999999999</v>
    <v>17.318000000000001</v>
    <v>17.346</v>
    <v>17.111999999999998</v>
    <v>17.175999999999998</v>
    <v>17.077999999999999</v>
    <v>17.356000000000002</v>
    <v>17.562000000000001</v>
    <v>17.914000000000001</v>
    <v>18.521999999999998</v>
    <v>18.617999999999999</v>
    <v>18.53</v>
    <v>18.771999999999998</v>
    <v>18.706</v>
    <v>18.77</v>
    <v>19.012</v>
    <v>19.143999999999998</v>
    <v>19.018000000000001</v>
    <v>19.25</v>
    <v>18.466000000000001</v>
    <v>18.468</v>
    <v>18.329999999999998</v>
    <v>18.422000000000001</v>
    <v>18.164000000000001</v>
    <v>18.308</v>
    <v>18.32</v>
    <v>18.771999999999998</v>
    <v>18.809999999999999</v>
    <v>18.533999999999999</v>
    <v>18.193999999999999</v>
    <v>17.975999999999999</v>
    <v>18.286000000000001</v>
    <v>18.36</v>
    <v>18.38</v>
    <v>18.372</v>
    <v>18.135999999999999</v>
    <v>17.920000000000002</v>
    <v>18.116</v>
    <v>17.873999999999999</v>
    <v>17.751999999999999</v>
    <v>18.010000000000002</v>
    <v>18.238</v>
    <v>18.332000000000001</v>
    <v>18.917999999999999</v>
    <v>19.152000000000001</v>
    <v>19.231999999999999</v>
    <v>19.064</v>
    <v>19.326000000000001</v>
    <v>19.018000000000001</v>
    <v>19.244</v>
    <v>19.318000000000001</v>
    <v>19.559999999999999</v>
    <v>20.094999999999999</v>
    <v>20.23</v>
    <v>20.425000000000001</v>
    <v>20.09</v>
    <v>19.84</v>
    <v>20.015000000000001</v>
    <v>19.948</v>
    <v>19.66</v>
    <v>19.521999999999998</v>
    <v>19.079999999999998</v>
    <v>18.835999999999999</v>
    <v>19.053999999999998</v>
    <v>18.975999999999999</v>
    <v>19.260000000000002</v>
    <v>18.777999999999999</v>
    <v>18.925999999999998</v>
  </a>
  <a r="1" c="254">
    <v>64.760000000000005</v>
    <v>64.94</v>
    <v>65.180000000000007</v>
    <v>65</v>
    <v>64.790000000000006</v>
    <v>63.84</v>
    <v>64.319999999999993</v>
    <v>64.27</v>
    <v>64.33</v>
    <v>64.069999999999993</v>
    <v>63.43</v>
    <v>62.67</v>
    <v>63.57</v>
    <v>63.46</v>
    <v>63.55</v>
    <v>62.48</v>
    <v>62.5</v>
    <v>61.64</v>
    <v>60.98</v>
    <v>60.6</v>
    <v>60.55</v>
    <v>60.95</v>
    <v>61.82</v>
    <v>61.4</v>
    <v>61.92</v>
    <v>61.73</v>
    <v>62.3</v>
    <v>62.23</v>
    <v>61.73</v>
    <v>61.11</v>
    <v>61.04</v>
    <v>61.15</v>
    <v>61.37</v>
    <v>61.17</v>
    <v>60.8</v>
    <v>60.06</v>
    <v>59.05</v>
    <v>59.25</v>
    <v>58.6</v>
    <v>58.55</v>
    <v>58.99</v>
    <v>58.93</v>
    <v>58.46</v>
    <v>58.47</v>
    <v>58.52</v>
    <v>58.71</v>
    <v>59.1</v>
    <v>59.41</v>
    <v>59.33</v>
    <v>58.89</v>
    <v>58.87</v>
    <v>59.19</v>
    <v>59.81</v>
    <v>59.63</v>
    <v>59.65</v>
    <v>60.65</v>
    <v>60.38</v>
    <v>59.52</v>
    <v>58.62</v>
    <v>58.32</v>
    <v>58.36</v>
    <v>58.49</v>
    <v>58.9</v>
    <v>58.38</v>
    <v>58.92</v>
    <v>57.9</v>
    <v>56.18</v>
    <v>56.73</v>
    <v>54.53</v>
    <v>52.92</v>
    <v>52.92</v>
    <v>52.8</v>
    <v>53.55</v>
    <v>54.48</v>
    <v>53.51</v>
    <v>52.31</v>
    <v>51.64</v>
    <v>51.74</v>
    <v>52.05</v>
    <v>52.43</v>
    <v>52.27</v>
    <v>52.04</v>
    <v>51.77</v>
    <v>51.7</v>
    <v>52.2</v>
    <v>52.33</v>
    <v>52.45</v>
    <v>52.06</v>
    <v>51.28</v>
    <v>52.57</v>
    <v>51.28</v>
    <v>51.43</v>
    <v>52.03</v>
    <v>53.26</v>
    <v>52.75</v>
    <v>52.81</v>
    <v>53.19</v>
    <v>53.63</v>
    <v>53.02</v>
    <v>52.35</v>
    <v>51.37</v>
    <v>50.97</v>
    <v>51.18</v>
    <v>50.63</v>
    <v>50.95</v>
    <v>50.16</v>
    <v>50.2</v>
    <v>50.54</v>
    <v>50.9</v>
    <v>52</v>
    <v>51.45</v>
    <v>50.55</v>
    <v>51.53</v>
    <v>50.67</v>
    <v>50.4</v>
    <v>50.66</v>
    <v>51.47</v>
    <v>52.14</v>
    <v>53.24</v>
    <v>54.01</v>
    <v>53.63</v>
    <v>52.89</v>
    <v>53.27</v>
    <v>52.26</v>
    <v>51.53</v>
    <v>51.94</v>
    <v>51.67</v>
    <v>51.37</v>
    <v>51.58</v>
    <v>51.27</v>
    <v>51.09</v>
    <v>51.13</v>
    <v>50.8</v>
    <v>50.87</v>
    <v>50.79</v>
    <v>50.52</v>
    <v>51.18</v>
    <v>51.2</v>
    <v>50.76</v>
    <v>50.59</v>
    <v>51.15</v>
    <v>51.25</v>
    <v>50.43</v>
    <v>50.75</v>
    <v>50.58</v>
    <v>50.57</v>
    <v>50.53</v>
    <v>50.31</v>
    <v>50.44</v>
    <v>51.38</v>
    <v>52.19</v>
    <v>51.16</v>
    <v>50.98</v>
    <v>50.66</v>
    <v>50.48</v>
    <v>49.95</v>
    <v>50.13</v>
    <v>49.895000000000003</v>
    <v>50.26</v>
    <v>50.26</v>
    <v>50.2</v>
    <v>50.68</v>
    <v>50.86</v>
    <v>51.14</v>
    <v>50.6</v>
    <v>50.33</v>
    <v>50.46</v>
    <v>49.54</v>
    <v>49.865000000000002</v>
    <v>51.52</v>
    <v>52.13</v>
    <v>53.04</v>
    <v>52.95</v>
    <v>52.68</v>
    <v>53.5</v>
    <v>53.64</v>
    <v>53.52</v>
    <v>53.42</v>
    <v>53.52</v>
    <v>53.55</v>
    <v>52.8</v>
    <v>53.08</v>
    <v>53.3</v>
    <v>52.66</v>
    <v>53.22</v>
    <v>52.89</v>
    <v>51.85</v>
    <v>51.02</v>
    <v>51.85</v>
    <v>53.16</v>
    <v>54.56</v>
    <v>55.63</v>
    <v>55.13</v>
    <v>53.59</v>
    <v>54.42</v>
    <v>54.51</v>
    <v>53.81</v>
    <v>55.3</v>
    <v>56.5</v>
    <v>57.14</v>
    <v>56.89</v>
    <v>56.12</v>
    <v>55.8</v>
    <v>56.92</v>
    <v>56.32</v>
    <v>55.81</v>
    <v>56</v>
    <v>55.11</v>
    <v>55.62</v>
    <v>55.61</v>
    <v>55.53</v>
    <v>55.46</v>
    <v>54.6</v>
    <v>55.68</v>
    <v>55.37</v>
    <v>55.22</v>
    <v>54.85</v>
    <v>55.16</v>
    <v>55.59</v>
    <v>55.18</v>
    <v>55.37</v>
    <v>54.52</v>
    <v>54.13</v>
    <v>55.43</v>
    <v>56.43</v>
    <v>56.16</v>
    <v>55.77</v>
    <v>56.18</v>
    <v>55.8</v>
    <v>56.19</v>
    <v>56.94</v>
    <v>56.63</v>
    <v>56.46</v>
    <v>55.9</v>
    <v>56.23</v>
    <v>56.15</v>
    <v>56.55</v>
    <v>57.09</v>
    <v>57.48</v>
    <v>58.16</v>
    <v>57.57</v>
    <v>57.27</v>
    <v>57.49</v>
    <v>58.72</v>
    <v>59.2</v>
    <v>59.19</v>
    <v>59.18</v>
    <v>59.48</v>
    <v>59.41</v>
    <v>59.4</v>
    <v>59.65</v>
    <v>59.3</v>
    <v>58.83</v>
    <v>58.53</v>
  </a>
  <a r="1" c="208">
    <v>59.1</v>
    <v>59.41</v>
    <v>59.33</v>
    <v>58.89</v>
    <v>58.87</v>
    <v>59.19</v>
    <v>59.81</v>
    <v>59.63</v>
    <v>59.65</v>
    <v>60.65</v>
    <v>60.38</v>
    <v>59.52</v>
    <v>58.62</v>
    <v>58.32</v>
    <v>58.36</v>
    <v>58.49</v>
    <v>58.9</v>
    <v>58.38</v>
    <v>58.92</v>
    <v>57.9</v>
    <v>56.18</v>
    <v>56.73</v>
    <v>54.53</v>
    <v>52.92</v>
    <v>52.92</v>
    <v>52.8</v>
    <v>53.55</v>
    <v>54.48</v>
    <v>53.51</v>
    <v>52.31</v>
    <v>51.64</v>
    <v>51.74</v>
    <v>52.05</v>
    <v>52.43</v>
    <v>52.27</v>
    <v>52.04</v>
    <v>51.77</v>
    <v>51.7</v>
    <v>52.2</v>
    <v>52.33</v>
    <v>52.45</v>
    <v>52.06</v>
    <v>51.28</v>
    <v>52.57</v>
    <v>51.28</v>
    <v>51.43</v>
    <v>52.03</v>
    <v>53.26</v>
    <v>52.75</v>
    <v>52.81</v>
    <v>53.19</v>
    <v>53.63</v>
    <v>53.02</v>
    <v>52.35</v>
    <v>51.37</v>
    <v>50.97</v>
    <v>51.18</v>
    <v>50.63</v>
    <v>50.95</v>
    <v>50.16</v>
    <v>50.2</v>
    <v>50.54</v>
    <v>50.9</v>
    <v>52</v>
    <v>51.45</v>
    <v>50.55</v>
    <v>51.53</v>
    <v>50.67</v>
    <v>50.4</v>
    <v>50.66</v>
    <v>51.47</v>
    <v>52.14</v>
    <v>53.24</v>
    <v>54.01</v>
    <v>53.63</v>
    <v>52.89</v>
    <v>53.27</v>
    <v>52.26</v>
    <v>51.53</v>
    <v>51.94</v>
    <v>51.67</v>
    <v>51.37</v>
    <v>51.58</v>
    <v>51.27</v>
    <v>51.09</v>
    <v>51.13</v>
    <v>50.8</v>
    <v>50.87</v>
    <v>50.79</v>
    <v>50.52</v>
    <v>51.18</v>
    <v>51.2</v>
    <v>50.76</v>
    <v>50.59</v>
    <v>51.15</v>
    <v>51.25</v>
    <v>50.43</v>
    <v>50.75</v>
    <v>50.58</v>
    <v>50.57</v>
    <v>50.53</v>
    <v>50.31</v>
    <v>50.44</v>
    <v>51.38</v>
    <v>52.19</v>
    <v>51.16</v>
    <v>50.98</v>
    <v>50.66</v>
    <v>50.48</v>
    <v>49.95</v>
    <v>50.13</v>
    <v>49.895000000000003</v>
    <v>50.26</v>
    <v>50.26</v>
    <v>50.2</v>
    <v>50.68</v>
    <v>50.86</v>
    <v>51.14</v>
    <v>50.6</v>
    <v>50.33</v>
    <v>50.46</v>
    <v>49.54</v>
    <v>49.865000000000002</v>
    <v>51.52</v>
    <v>52.13</v>
    <v>53.04</v>
    <v>52.95</v>
    <v>52.68</v>
    <v>53.5</v>
    <v>53.64</v>
    <v>53.52</v>
    <v>53.42</v>
    <v>53.52</v>
    <v>53.55</v>
    <v>52.8</v>
    <v>53.08</v>
    <v>53.3</v>
    <v>52.66</v>
    <v>53.22</v>
    <v>52.89</v>
    <v>51.85</v>
    <v>51.02</v>
    <v>51.85</v>
    <v>53.16</v>
    <v>54.56</v>
    <v>55.63</v>
    <v>55.13</v>
    <v>53.59</v>
    <v>54.42</v>
    <v>54.51</v>
    <v>53.81</v>
    <v>55.3</v>
    <v>56.5</v>
    <v>57.14</v>
    <v>56.89</v>
    <v>56.12</v>
    <v>55.8</v>
    <v>56.92</v>
    <v>56.32</v>
    <v>55.81</v>
    <v>56</v>
    <v>55.11</v>
    <v>55.62</v>
    <v>55.61</v>
    <v>55.53</v>
    <v>55.46</v>
    <v>54.6</v>
    <v>55.68</v>
    <v>55.37</v>
    <v>55.22</v>
    <v>54.85</v>
    <v>55.16</v>
    <v>55.59</v>
    <v>55.18</v>
    <v>55.37</v>
    <v>54.52</v>
    <v>54.13</v>
    <v>55.43</v>
    <v>56.43</v>
    <v>56.16</v>
    <v>55.77</v>
    <v>56.18</v>
    <v>55.8</v>
    <v>56.19</v>
    <v>56.94</v>
    <v>56.63</v>
    <v>56.46</v>
    <v>55.9</v>
    <v>56.23</v>
    <v>56.15</v>
    <v>56.55</v>
    <v>57.09</v>
    <v>57.48</v>
    <v>58.16</v>
    <v>57.57</v>
    <v>57.27</v>
    <v>57.49</v>
    <v>58.72</v>
    <v>59.2</v>
    <v>59.19</v>
    <v>59.18</v>
    <v>59.48</v>
    <v>59.41</v>
    <v>59.4</v>
    <v>59.65</v>
    <v>59.3</v>
    <v>58.83</v>
    <v>58.53</v>
  </a>
  <a r="1" c="761">
    <v>29.72</v>
    <v>30.41</v>
    <v>30.1</v>
    <v>29.565000000000001</v>
    <v>29.41</v>
    <v>29.26</v>
    <v>29.614999999999998</v>
    <v>29.95</v>
    <v>30.44</v>
    <v>31.11</v>
    <v>31.055</v>
    <v>31.35</v>
    <v>31.74</v>
    <v>32.130000000000003</v>
    <v>32.024999999999999</v>
    <v>32.325000000000003</v>
    <v>32.155000000000001</v>
    <v>32.344999999999999</v>
    <v>31.63</v>
    <v>31.71</v>
    <v>31.864999999999998</v>
    <v>31.645</v>
    <v>31.94</v>
    <v>31.84</v>
    <v>31.56</v>
    <v>31.594999999999999</v>
    <v>31.58</v>
    <v>31.795000000000002</v>
    <v>31.78</v>
    <v>32.134999999999998</v>
    <v>31.844999999999999</v>
    <v>31.725000000000001</v>
    <v>32</v>
    <v>32.11</v>
    <v>32.369999999999997</v>
    <v>32.24</v>
    <v>32.340000000000003</v>
    <v>32.47</v>
    <v>32.590000000000003</v>
    <v>32.9</v>
    <v>32.56</v>
    <v>32.979999999999997</v>
    <v>33.01</v>
    <v>32.604999999999997</v>
    <v>31.914999999999999</v>
    <v>32.295000000000002</v>
    <v>32.765000000000001</v>
    <v>32.619999999999997</v>
    <v>32.295000000000002</v>
    <v>32</v>
    <v>32.11</v>
    <v>32.06</v>
    <v>32.22</v>
    <v>32.549999999999997</v>
    <v>32.825000000000003</v>
    <v>32.51</v>
    <v>32.884999999999998</v>
    <v>32.814999999999998</v>
    <v>32.880000000000003</v>
    <v>32.18</v>
    <v>32.655000000000001</v>
    <v>32.655000000000001</v>
    <v>33.134999999999998</v>
    <v>33.664999999999999</v>
    <v>34.145000000000003</v>
    <v>34.409999999999997</v>
    <v>34.270000000000003</v>
    <v>34.244999999999997</v>
    <v>34.325000000000003</v>
    <v>33.83</v>
    <v>33.68</v>
    <v>34.85</v>
    <v>35.034999999999997</v>
    <v>35.174999999999997</v>
    <v>35.49</v>
    <v>35.630000000000003</v>
    <v>35.505000000000003</v>
    <v>36.225000000000001</v>
    <v>35.655000000000001</v>
    <v>36.04</v>
    <v>36.4</v>
    <v>36.67</v>
    <v>36.265000000000001</v>
    <v>35.119999999999997</v>
    <v>35.14</v>
    <v>36.225000000000001</v>
    <v>36.314999999999998</v>
    <v>36.22</v>
    <v>36.28</v>
    <v>35.950000000000003</v>
    <v>36.270000000000003</v>
    <v>37.04</v>
    <v>36.92</v>
    <v>36.520000000000003</v>
    <v>37.155000000000001</v>
    <v>37.4</v>
    <v>37.1</v>
    <v>37.159999999999997</v>
    <v>37.29</v>
    <v>37.255000000000003</v>
    <v>36.914999999999999</v>
    <v>36.700000000000003</v>
    <v>36.840000000000003</v>
    <v>36.549999999999997</v>
    <v>36.715000000000003</v>
    <v>37.325000000000003</v>
    <v>37.020000000000003</v>
    <v>36.67</v>
    <v>37.125</v>
    <v>36.86</v>
    <v>37.14</v>
    <v>36.44</v>
    <v>36.405000000000001</v>
    <v>36.545000000000002</v>
    <v>36.094999999999999</v>
    <v>36.42</v>
    <v>36.340000000000003</v>
    <v>36.44</v>
    <v>36.409999999999997</v>
    <v>36.155000000000001</v>
    <v>35.840000000000003</v>
    <v>35.43</v>
    <v>35.22</v>
    <v>35.33</v>
    <v>34.79</v>
    <v>35.22</v>
    <v>35.619999999999997</v>
    <v>35.619999999999997</v>
    <v>35.185000000000002</v>
    <v>36.075000000000003</v>
    <v>36.274999999999999</v>
    <v>35.96</v>
    <v>36.29</v>
    <v>37.020000000000003</v>
    <v>37.39</v>
    <v>37.6</v>
    <v>37.130000000000003</v>
    <v>37.22</v>
    <v>37.674999999999997</v>
    <v>38.4</v>
    <v>40.46</v>
    <v>39.365000000000002</v>
    <v>39.76</v>
    <v>39.26</v>
    <v>39.21</v>
    <v>38.945</v>
    <v>39.03</v>
    <v>38.465000000000003</v>
    <v>38.215000000000003</v>
    <v>38.744999999999997</v>
    <v>38.409999999999997</v>
    <v>38.024999999999999</v>
    <v>38.15</v>
    <v>37.805</v>
    <v>38.884999999999998</v>
    <v>38.784999999999997</v>
    <v>39.65</v>
    <v>39.905000000000001</v>
    <v>40.094999999999999</v>
    <v>39.384999999999998</v>
    <v>38.884999999999998</v>
    <v>39.42</v>
    <v>39.04</v>
    <v>39.265000000000001</v>
    <v>39.26</v>
    <v>39.244999999999997</v>
    <v>39.24</v>
    <v>39.395000000000003</v>
    <v>39.299999999999997</v>
    <v>39.450000000000003</v>
    <v>39.46</v>
    <v>39.79</v>
    <v>39.700000000000003</v>
    <v>39.94</v>
    <v>39.335000000000001</v>
    <v>39.4</v>
    <v>39.75</v>
    <v>39.57</v>
    <v>39.854999999999997</v>
    <v>40.005000000000003</v>
    <v>40.244999999999997</v>
    <v>40.51</v>
    <v>40.805</v>
    <v>41.325000000000003</v>
    <v>41.325000000000003</v>
    <v>41.134999999999998</v>
    <v>40.674999999999997</v>
    <v>40.055</v>
    <v>39.695</v>
    <v>39.979999999999997</v>
    <v>40.195</v>
    <v>39.835000000000001</v>
    <v>39.380000000000003</v>
    <v>39.35</v>
    <v>39.51</v>
    <v>39.57</v>
    <v>40.274999999999999</v>
    <v>39.46</v>
    <v>37.700000000000003</v>
    <v>36.68</v>
    <v>37.005000000000003</v>
    <v>37.784999999999997</v>
    <v>38.22</v>
    <v>38.270000000000003</v>
    <v>38.53</v>
    <v>39.295000000000002</v>
    <v>38.984999999999999</v>
    <v>39.695</v>
    <v>40.19</v>
    <v>40.07</v>
    <v>40.585000000000001</v>
    <v>40.524999999999999</v>
    <v>40.5</v>
    <v>40.56</v>
    <v>40.380000000000003</v>
    <v>40.064999999999998</v>
    <v>40.655000000000001</v>
    <v>40.465000000000003</v>
    <v>40.674999999999997</v>
    <v>40.33</v>
    <v>40</v>
    <v>39.854999999999997</v>
    <v>39.185000000000002</v>
    <v>40.104999999999997</v>
    <v>40.204999999999998</v>
    <v>39.914999999999999</v>
    <v>40.74</v>
    <v>41.435000000000002</v>
    <v>41.354999999999997</v>
    <v>41.81</v>
    <v>41.48</v>
    <v>42.26</v>
    <v>41.744999999999997</v>
    <v>42.265000000000001</v>
    <v>43.015000000000001</v>
    <v>43.284999999999997</v>
    <v>43.835000000000001</v>
    <v>44.005000000000003</v>
    <v>43.935000000000002</v>
    <v>43.795000000000002</v>
    <v>44.28</v>
    <v>44.1</v>
    <v>44.575000000000003</v>
    <v>44.895000000000003</v>
    <v>44.59</v>
    <v>44.36</v>
    <v>44.055</v>
    <v>44.024999999999999</v>
    <v>43.965000000000003</v>
    <v>43.615000000000002</v>
    <v>43.63</v>
    <v>43.29</v>
    <v>43.57</v>
    <v>43.52</v>
    <v>43.524999999999999</v>
    <v>43.594999999999999</v>
    <v>43.564999999999998</v>
    <v>43.84</v>
    <v>44.18</v>
    <v>44.69</v>
    <v>44.07</v>
    <v>43.935000000000002</v>
    <v>44.295000000000002</v>
    <v>44</v>
    <v>44.23</v>
    <v>45.23</v>
    <v>47.49</v>
    <v>47.54</v>
    <v>48.344999999999999</v>
    <v>47.9</v>
    <v>47.945</v>
    <v>48.35</v>
    <v>47.93</v>
    <v>48.484999999999999</v>
    <v>48.575000000000003</v>
    <v>49.975000000000001</v>
    <v>50.25</v>
    <v>50.49</v>
    <v>50.68</v>
    <v>50.85</v>
    <v>50.27</v>
    <v>50.99</v>
    <v>51.35</v>
    <v>52.13</v>
    <v>52.62</v>
    <v>53.37</v>
    <v>53.72</v>
    <v>54.13</v>
    <v>53.17</v>
    <v>52.32</v>
    <v>52.85</v>
    <v>52.82</v>
    <v>52.3</v>
    <v>52.45</v>
    <v>52.78</v>
    <v>52.7</v>
    <v>51.85</v>
    <v>52.13</v>
    <v>51.98</v>
    <v>52.11</v>
    <v>51.88</v>
    <v>52.73</v>
    <v>52.96</v>
    <v>52.96</v>
    <v>51.94</v>
    <v>51.74</v>
    <v>51.86</v>
    <v>51.16</v>
    <v>51.27</v>
    <v>51.48</v>
    <v>52.44</v>
    <v>52.3</v>
    <v>52.57</v>
    <v>52.31</v>
    <v>52.21</v>
    <v>52.39</v>
    <v>51.97</v>
    <v>52.38</v>
    <v>51.47</v>
    <v>52.79</v>
    <v>53.17</v>
    <v>54.11</v>
    <v>54.45</v>
    <v>54.99</v>
    <v>55.24</v>
    <v>55.88</v>
    <v>56.73</v>
    <v>56.85</v>
    <v>57.83</v>
    <v>57.59</v>
    <v>56.72</v>
    <v>57.93</v>
    <v>58.41</v>
    <v>59.3</v>
    <v>59.25</v>
    <v>59.48</v>
    <v>58.81</v>
    <v>59.82</v>
    <v>57.99</v>
    <v>56.73</v>
    <v>57.01</v>
    <v>56.99</v>
    <v>56.18</v>
    <v>56.27</v>
    <v>54.49</v>
    <v>54.66</v>
    <v>54.97</v>
    <v>52.59</v>
    <v>51.72</v>
    <v>51.29</v>
    <v>52.18</v>
    <v>51.8</v>
    <v>52.56</v>
    <v>53.06</v>
    <v>52.36</v>
    <v>53.13</v>
    <v>52.88</v>
    <v>53.53</v>
    <v>54.47</v>
    <v>55.1</v>
    <v>54.9</v>
    <v>54.02</v>
    <v>52.39</v>
    <v>51.41</v>
    <v>52.33</v>
    <v>52.77</v>
    <v>50.08</v>
    <v>48.005000000000003</v>
    <v>47.274999999999999</v>
    <v>48.994999999999997</v>
    <v>46.625</v>
    <v>49.22</v>
    <v>48.5</v>
    <v>50.06</v>
    <v>50.46</v>
    <v>50.14</v>
    <v>50.3</v>
    <v>50.65</v>
    <v>51.8</v>
    <v>52.44</v>
    <v>52.62</v>
    <v>52.67</v>
    <v>52.72</v>
    <v>53.57</v>
    <v>55.63</v>
    <v>55.99</v>
    <v>55.93</v>
    <v>55.23</v>
    <v>55.75</v>
    <v>55.59</v>
    <v>56.55</v>
    <v>56.91</v>
    <v>56.79</v>
    <v>57.27</v>
    <v>57.84</v>
    <v>57.3</v>
    <v>57.36</v>
    <v>57.19</v>
    <v>56.63</v>
    <v>56.84</v>
    <v>57.64</v>
    <v>58.44</v>
    <v>58.28</v>
    <v>57.68</v>
    <v>57.56</v>
    <v>57.96</v>
    <v>58.28</v>
    <v>59.25</v>
    <v>59.23</v>
    <v>59.53</v>
    <v>59.42</v>
    <v>59.12</v>
    <v>58.71</v>
    <v>58.19</v>
    <v>58.42</v>
    <v>58.77</v>
    <v>58.86</v>
    <v>59.64</v>
    <v>59.23</v>
    <v>58.71</v>
    <v>58.64</v>
    <v>59.64</v>
    <v>59.54</v>
    <v>59.38</v>
    <v>59.6</v>
    <v>59.8</v>
    <v>59.24</v>
    <v>58.27</v>
    <v>58.23</v>
    <v>57.96</v>
    <v>58.38</v>
    <v>58.4</v>
    <v>58.24</v>
    <v>57.88</v>
    <v>57.58</v>
    <v>58.02</v>
    <v>58.31</v>
    <v>58.56</v>
    <v>60.41</v>
    <v>60.25</v>
    <v>60.35</v>
    <v>59.33</v>
    <v>59.86</v>
    <v>59.59</v>
    <v>59.28</v>
    <v>59.18</v>
    <v>59.68</v>
    <v>60.14</v>
    <v>61.03</v>
    <v>59.51</v>
    <v>60.91</v>
    <v>61.4</v>
    <v>61.29</v>
    <v>62.66</v>
    <v>62.79</v>
    <v>63.39</v>
    <v>63.63</v>
    <v>63.63</v>
    <v>63.64</v>
    <v>63.61</v>
    <v>63.04</v>
    <v>62.19</v>
    <v>62.75</v>
    <v>63.43</v>
    <v>63.64</v>
    <v>63.94</v>
    <v>63.46</v>
    <v>63.78</v>
    <v>63.07</v>
    <v>63.09</v>
    <v>62.7</v>
    <v>63.36</v>
    <v>63.35</v>
    <v>62.87</v>
    <v>64.91</v>
    <v>65.16</v>
    <v>65.67</v>
    <v>66.290000000000006</v>
    <v>66.41</v>
    <v>67.19</v>
    <v>66.42</v>
    <v>66.56</v>
    <v>67.06</v>
    <v>66.83</v>
    <v>67.11</v>
    <v>66.84</v>
    <v>66.38</v>
    <v>66.17</v>
    <v>65.88</v>
    <v>67.53</v>
    <v>67.180000000000007</v>
    <v>67.900000000000006</v>
    <v>67.56</v>
    <v>67.5</v>
    <v>67.56</v>
    <v>66.87</v>
    <v>67.209999999999994</v>
    <v>66.709999999999994</v>
    <v>64.66</v>
    <v>65.540000000000006</v>
    <v>65.180000000000007</v>
    <v>65.510000000000005</v>
    <v>64.819999999999993</v>
    <v>64.23</v>
    <v>65.209999999999994</v>
    <v>65.55</v>
    <v>64.42</v>
    <v>64.760000000000005</v>
    <v>64.94</v>
    <v>65.180000000000007</v>
    <v>65</v>
    <v>64.790000000000006</v>
    <v>63.84</v>
    <v>64.319999999999993</v>
    <v>64.27</v>
    <v>64.33</v>
    <v>64.069999999999993</v>
    <v>63.43</v>
    <v>62.67</v>
    <v>63.57</v>
    <v>63.46</v>
    <v>63.55</v>
    <v>62.48</v>
    <v>62.5</v>
    <v>61.64</v>
    <v>60.98</v>
    <v>60.6</v>
    <v>60.55</v>
    <v>60.95</v>
    <v>61.82</v>
    <v>61.4</v>
    <v>61.92</v>
    <v>61.73</v>
    <v>62.3</v>
    <v>62.23</v>
    <v>61.73</v>
    <v>61.11</v>
    <v>61.04</v>
    <v>61.15</v>
    <v>61.37</v>
    <v>61.17</v>
    <v>60.8</v>
    <v>60.06</v>
    <v>59.05</v>
    <v>59.25</v>
    <v>58.6</v>
    <v>58.55</v>
    <v>58.99</v>
    <v>58.93</v>
    <v>58.46</v>
    <v>58.47</v>
    <v>58.52</v>
    <v>58.71</v>
    <v>59.1</v>
    <v>59.41</v>
    <v>59.33</v>
    <v>58.89</v>
    <v>58.87</v>
    <v>59.19</v>
    <v>59.81</v>
    <v>59.63</v>
    <v>59.65</v>
    <v>60.65</v>
    <v>60.38</v>
    <v>59.52</v>
    <v>58.62</v>
    <v>58.32</v>
    <v>58.36</v>
    <v>58.49</v>
    <v>58.9</v>
    <v>58.38</v>
    <v>58.92</v>
    <v>57.9</v>
    <v>56.18</v>
    <v>56.73</v>
    <v>54.53</v>
    <v>52.92</v>
    <v>52.92</v>
    <v>52.8</v>
    <v>53.55</v>
    <v>54.48</v>
    <v>53.51</v>
    <v>52.31</v>
    <v>51.64</v>
    <v>51.74</v>
    <v>52.05</v>
    <v>52.43</v>
    <v>52.27</v>
    <v>52.04</v>
    <v>51.77</v>
    <v>51.7</v>
    <v>52.2</v>
    <v>52.33</v>
    <v>52.45</v>
    <v>52.06</v>
    <v>51.28</v>
    <v>52.57</v>
    <v>51.28</v>
    <v>51.43</v>
    <v>52.03</v>
    <v>53.26</v>
    <v>52.75</v>
    <v>52.81</v>
    <v>53.19</v>
    <v>53.63</v>
    <v>53.02</v>
    <v>52.35</v>
    <v>51.37</v>
    <v>50.97</v>
    <v>51.18</v>
    <v>50.63</v>
    <v>50.95</v>
    <v>50.16</v>
    <v>50.2</v>
    <v>50.54</v>
    <v>50.9</v>
    <v>52</v>
    <v>51.45</v>
    <v>50.55</v>
    <v>51.53</v>
    <v>50.67</v>
    <v>50.4</v>
    <v>50.66</v>
    <v>51.47</v>
    <v>52.14</v>
    <v>53.24</v>
    <v>54.01</v>
    <v>53.63</v>
    <v>52.89</v>
    <v>53.27</v>
    <v>52.26</v>
    <v>51.53</v>
    <v>51.94</v>
    <v>51.67</v>
    <v>51.37</v>
    <v>51.58</v>
    <v>51.27</v>
    <v>51.09</v>
    <v>51.13</v>
    <v>50.8</v>
    <v>50.87</v>
    <v>50.79</v>
    <v>50.52</v>
    <v>51.18</v>
    <v>51.2</v>
    <v>50.76</v>
    <v>50.59</v>
    <v>51.15</v>
    <v>51.25</v>
    <v>50.43</v>
    <v>50.75</v>
    <v>50.58</v>
    <v>50.57</v>
    <v>50.53</v>
    <v>50.31</v>
    <v>50.44</v>
    <v>51.38</v>
    <v>52.19</v>
    <v>51.16</v>
    <v>50.98</v>
    <v>50.66</v>
    <v>50.48</v>
    <v>49.95</v>
    <v>50.13</v>
    <v>49.895000000000003</v>
    <v>50.26</v>
    <v>50.26</v>
    <v>50.2</v>
    <v>50.68</v>
    <v>50.86</v>
    <v>51.14</v>
    <v>50.6</v>
    <v>50.33</v>
    <v>50.46</v>
    <v>49.54</v>
    <v>49.865000000000002</v>
    <v>51.52</v>
    <v>52.13</v>
    <v>53.04</v>
    <v>52.95</v>
    <v>52.68</v>
    <v>53.5</v>
    <v>53.64</v>
    <v>53.52</v>
    <v>53.42</v>
    <v>53.52</v>
    <v>53.55</v>
    <v>52.8</v>
    <v>53.08</v>
    <v>53.3</v>
    <v>52.66</v>
    <v>53.22</v>
    <v>52.89</v>
    <v>51.85</v>
    <v>51.02</v>
    <v>51.85</v>
    <v>53.16</v>
    <v>54.56</v>
    <v>55.63</v>
    <v>55.13</v>
    <v>53.59</v>
    <v>54.42</v>
    <v>54.51</v>
    <v>53.81</v>
    <v>55.3</v>
    <v>56.5</v>
    <v>57.14</v>
    <v>56.89</v>
    <v>56.12</v>
    <v>55.8</v>
    <v>56.92</v>
    <v>56.32</v>
    <v>55.81</v>
    <v>56</v>
    <v>55.11</v>
    <v>55.62</v>
    <v>55.61</v>
    <v>55.53</v>
    <v>55.46</v>
    <v>54.6</v>
    <v>55.68</v>
    <v>55.37</v>
    <v>55.22</v>
    <v>54.85</v>
    <v>55.16</v>
    <v>55.59</v>
    <v>55.18</v>
    <v>55.37</v>
    <v>54.52</v>
    <v>54.13</v>
    <v>55.43</v>
    <v>56.43</v>
    <v>56.16</v>
    <v>55.77</v>
    <v>56.18</v>
    <v>55.8</v>
    <v>56.19</v>
    <v>56.94</v>
    <v>56.63</v>
    <v>56.46</v>
    <v>55.9</v>
    <v>56.23</v>
    <v>56.15</v>
    <v>56.55</v>
    <v>57.09</v>
    <v>57.48</v>
    <v>58.16</v>
    <v>57.57</v>
    <v>57.27</v>
    <v>57.49</v>
    <v>58.72</v>
    <v>59.2</v>
    <v>59.19</v>
    <v>59.18</v>
    <v>59.48</v>
    <v>59.41</v>
    <v>59.4</v>
    <v>59.65</v>
    <v>59.3</v>
    <v>58.83</v>
    <v>58.53</v>
  </a>
  <a r="1" c="254">
    <v>6.8680000000000003</v>
    <v>6.875</v>
    <v>6.8769999999999998</v>
    <v>6.8760000000000003</v>
    <v>6.7949999999999999</v>
    <v>6.8440000000000003</v>
    <v>6.827</v>
    <v>6.7839999999999998</v>
    <v>6.8250000000000002</v>
    <v>6.843</v>
    <v>6.798</v>
    <v>6.8129999999999997</v>
    <v>6.8319999999999999</v>
    <v>6.8979999999999997</v>
    <v>6.9480000000000004</v>
    <v>6.9160000000000004</v>
    <v>6.9240000000000004</v>
    <v>6.9109999999999996</v>
    <v>6.8630000000000004</v>
    <v>6.8460000000000001</v>
    <v>6.8739999999999997</v>
    <v>6.9379999999999997</v>
    <v>6.9420000000000002</v>
    <v>6.9539999999999997</v>
    <v>6.9770000000000003</v>
    <v>6.9749999999999996</v>
    <v>6.9850000000000003</v>
    <v>6.9539999999999997</v>
    <v>6.9249999999999998</v>
    <v>6.9029999999999996</v>
    <v>6.907</v>
    <v>6.9160000000000004</v>
    <v>6.8860000000000001</v>
    <v>6.8739999999999997</v>
    <v>6.85</v>
    <v>6.8559999999999999</v>
    <v>6.8579999999999997</v>
    <v>6.8739999999999997</v>
    <v>6.8380000000000001</v>
    <v>6.8460000000000001</v>
    <v>6.875</v>
    <v>6.8929999999999998</v>
    <v>6.87</v>
    <v>6.87</v>
    <v>6.8959999999999999</v>
    <v>6.9059999999999997</v>
    <v>6.8410000000000002</v>
    <v>6.8540000000000001</v>
    <v>6.8949999999999996</v>
    <v>6.9189999999999996</v>
    <v>6.9450000000000003</v>
    <v>6.9630000000000001</v>
    <v>6.95</v>
    <v>6.9340000000000002</v>
    <v>6.952</v>
    <v>6.9850000000000003</v>
    <v>6.9669999999999996</v>
    <v>6.9370000000000003</v>
    <v>6.87</v>
    <v>6.8579999999999997</v>
    <v>6.883</v>
    <v>6.8719999999999999</v>
    <v>6.8620000000000001</v>
    <v>6.8070000000000004</v>
    <v>6.8209999999999997</v>
    <v>6.782</v>
    <v>6.8150000000000004</v>
    <v>6.9119999999999999</v>
    <v>6.8970000000000002</v>
    <v>6.9470000000000001</v>
    <v>6.9779999999999998</v>
    <v>6.9770000000000003</v>
    <v>6.9539999999999997</v>
    <v>6.9790000000000001</v>
    <v>6.9909999999999997</v>
    <v>6.9989999999999997</v>
    <v>7.0039999999999996</v>
    <v>7.0049999999999999</v>
    <v>6.9989999999999997</v>
    <v>7.0019999999999998</v>
    <v>7.0190000000000001</v>
    <v>7.0129999999999999</v>
    <v>7.0030000000000001</v>
    <v>6.9969999999999999</v>
    <v>7.0110000000000001</v>
    <v>7.048</v>
    <v>7.0880000000000001</v>
    <v>7.1210000000000004</v>
    <v>7.07</v>
    <v>7.1150000000000002</v>
    <v>7.0940000000000003</v>
    <v>7.0650000000000004</v>
    <v>7.05</v>
    <v>7.0670000000000002</v>
    <v>7.0220000000000002</v>
    <v>7.0449999999999999</v>
    <v>7.0789999999999997</v>
    <v>7.0730000000000004</v>
    <v>7.0880000000000001</v>
    <v>7.0069999999999997</v>
    <v>6.9450000000000003</v>
    <v>6.8760000000000003</v>
    <v>6.8540000000000001</v>
    <v>6.8639999999999999</v>
    <v>6.8789999999999996</v>
    <v>6.8929999999999998</v>
    <v>6.8369999999999997</v>
    <v>6.9180000000000001</v>
    <v>6.8789999999999996</v>
    <v>6.907</v>
    <v>6.9550000000000001</v>
    <v>6.92</v>
    <v>6.9379999999999997</v>
    <v>6.9160000000000004</v>
    <v>6.84</v>
    <v>6.827</v>
    <v>6.8380000000000001</v>
    <v>6.8419999999999996</v>
    <v>6.8970000000000002</v>
    <v>6.9139999999999997</v>
    <v>6.9379999999999997</v>
    <v>6.91</v>
    <v>6.8970000000000002</v>
    <v>6.891</v>
    <v>6.8529999999999998</v>
    <v>6.8490000000000002</v>
    <v>6.88</v>
    <v>6.843</v>
    <v>6.8710000000000004</v>
    <v>6.8819999999999997</v>
    <v>6.8639999999999999</v>
    <v>6.8470000000000004</v>
    <v>6.8369999999999997</v>
    <v>6.8070000000000004</v>
    <v>6.7880000000000003</v>
    <v>6.827</v>
    <v>6.8109999999999999</v>
    <v>6.915</v>
    <v>6.9180000000000001</v>
    <v>6.9580000000000002</v>
    <v>7.0449999999999999</v>
    <v>7.0069999999999997</v>
    <v>7</v>
    <v>7.0419999999999998</v>
    <v>7.048</v>
    <v>6.9989999999999997</v>
    <v>6.9960000000000004</v>
    <v>6.96</v>
    <v>6.9610000000000003</v>
    <v>6.992</v>
    <v>6.9749999999999996</v>
    <v>6.9820000000000002</v>
    <v>6.9870000000000001</v>
    <v>7.0309999999999997</v>
    <v>7.0030000000000001</v>
    <v>6.976</v>
    <v>7.0149999999999997</v>
    <v>7.0190000000000001</v>
    <v>7.0170000000000003</v>
    <v>7.0019999999999998</v>
    <v>6.9930000000000003</v>
    <v>6.9779999999999998</v>
    <v>6.931</v>
    <v>6.9340000000000002</v>
    <v>6.9550000000000001</v>
    <v>7.0060000000000002</v>
    <v>7.0679999999999996</v>
    <v>7.0529999999999999</v>
    <v>7.0830000000000002</v>
    <v>7.0759999999999996</v>
    <v>7.08</v>
    <v>7.1420000000000003</v>
    <v>7.1760000000000002</v>
    <v>7.1790000000000003</v>
    <v>7.1989999999999998</v>
    <v>7.266</v>
    <v>7.2249999999999996</v>
    <v>7.2270000000000003</v>
    <v>7.2089999999999996</v>
    <v>7.2709999999999999</v>
    <v>7.2169999999999996</v>
    <v>7.1760000000000002</v>
    <v>7.2060000000000004</v>
    <v>7.2539999999999996</v>
    <v>7.2329999999999997</v>
    <v>7.2030000000000003</v>
    <v>7.2140000000000004</v>
    <v>7.1890000000000001</v>
    <v>7.2770000000000001</v>
    <v>7.3490000000000002</v>
    <v>7.4560000000000004</v>
    <v>7.4740000000000002</v>
    <v>7.2930000000000001</v>
    <v>7.3019999999999996</v>
    <v>7.335</v>
    <v>7.3470000000000004</v>
    <v>7.359</v>
    <v>7.4</v>
    <v>7.4459999999999997</v>
    <v>7.4690000000000003</v>
    <v>7.4729999999999999</v>
    <v>7.4489999999999998</v>
    <v>7.4530000000000003</v>
    <v>7.4489999999999998</v>
    <v>7.4059999999999997</v>
    <v>7.4279999999999999</v>
    <v>7.4420000000000002</v>
    <v>7.4219999999999997</v>
    <v>7.44</v>
    <v>7.4550000000000001</v>
    <v>7.4740000000000002</v>
    <v>7.4850000000000003</v>
    <v>7.49</v>
    <v>7.5380000000000003</v>
    <v>7.5069999999999997</v>
    <v>7.5119999999999996</v>
    <v>7.5019999999999998</v>
    <v>7.5410000000000004</v>
    <v>7.492</v>
    <v>7.444</v>
    <v>7.4039999999999999</v>
    <v>7.359</v>
    <v>7.3570000000000002</v>
    <v>7.3879999999999999</v>
    <v>7.4829999999999997</v>
    <v>7.4560000000000004</v>
    <v>7.4720000000000004</v>
    <v>7.476</v>
    <v>7.4349999999999996</v>
    <v>7.4509999999999996</v>
    <v>7.4649999999999999</v>
    <v>7.4729999999999999</v>
    <v>7.46</v>
    <v>7.4390000000000001</v>
    <v>7.4390000000000001</v>
    <v>7.423</v>
    <v>7.4349999999999996</v>
    <v>7.476</v>
    <v>7.49</v>
    <v>7.556</v>
    <v>7.5789999999999997</v>
    <v>7.6159999999999997</v>
    <v>7.601</v>
    <v>7.6689999999999996</v>
    <v>7.726</v>
    <v>7.72</v>
    <v>7.7759999999999998</v>
    <v>7.8250000000000002</v>
    <v>7.819</v>
    <v>7.8170000000000002</v>
    <v>7.8710000000000004</v>
    <v>7.9009999999999998</v>
    <v>7.9729999999999999</v>
    <v>7.9880000000000004</v>
  </a>
  <a r="1" c="763">
    <v>5.62</v>
    <v>5.657</v>
    <v>5.66</v>
    <v>5.665</v>
    <v>5.5970000000000004</v>
    <v>5.59</v>
    <v>5.6420000000000003</v>
    <v>5.6890000000000001</v>
    <v>5.7409999999999997</v>
    <v>5.7560000000000002</v>
    <v>5.7389999999999999</v>
    <v>5.7640000000000002</v>
    <v>5.7210000000000001</v>
    <v>5.7350000000000003</v>
    <v>5.7290000000000001</v>
    <v>5.7469999999999999</v>
    <v>5.7530000000000001</v>
    <v>5.7480000000000002</v>
    <v>5.73</v>
    <v>5.742</v>
    <v>5.7279999999999998</v>
    <v>5.7480000000000002</v>
    <v>5.7910000000000004</v>
    <v>5.8010000000000002</v>
    <v>5.7960000000000003</v>
    <v>5.7869999999999999</v>
    <v>5.77</v>
    <v>5.77</v>
    <v>5.8140000000000001</v>
    <v>5.875</v>
    <v>5.8970000000000002</v>
    <v>5.9130000000000003</v>
    <v>5.923</v>
    <v>5.9320000000000004</v>
    <v>5.9409999999999998</v>
    <v>5.9820000000000002</v>
    <v>5.9809999999999999</v>
    <v>6.0049999999999999</v>
    <v>5.9370000000000003</v>
    <v>5.9370000000000003</v>
    <v>5.9390000000000001</v>
    <v>5.9249999999999998</v>
    <v>5.9219999999999997</v>
    <v>5.891</v>
    <v>5.9249999999999998</v>
    <v>5.8949999999999996</v>
    <v>5.9290000000000003</v>
    <v>5.9489999999999998</v>
    <v>6.0060000000000002</v>
    <v>6.0170000000000003</v>
    <v>6.0170000000000003</v>
    <v>6.0019999999999998</v>
    <v>5.99</v>
    <v>6.0250000000000004</v>
    <v>6.02</v>
    <v>6.008</v>
    <v>6.0570000000000004</v>
    <v>6.0709999999999997</v>
    <v>6.0869999999999997</v>
    <v>6.0839999999999996</v>
    <v>6.0549999999999997</v>
    <v>6.0720000000000001</v>
    <v>6.1040000000000001</v>
    <v>6.1159999999999997</v>
    <v>6.11</v>
    <v>6.1349999999999998</v>
    <v>6.1420000000000003</v>
    <v>6.1719999999999997</v>
    <v>6.173</v>
    <v>6.1870000000000003</v>
    <v>6.1639999999999997</v>
    <v>6.2069999999999999</v>
    <v>6.19</v>
    <v>6.1950000000000003</v>
    <v>6.2080000000000002</v>
    <v>6.17</v>
    <v>6.157</v>
    <v>6.1849999999999996</v>
    <v>6.165</v>
    <v>6.173</v>
    <v>6.2050000000000001</v>
    <v>6.2149999999999999</v>
    <v>6.2069999999999999</v>
    <v>6.1989999999999998</v>
    <v>6.19</v>
    <v>6.2329999999999997</v>
    <v>6.274</v>
    <v>6.2460000000000004</v>
    <v>6.2279999999999998</v>
    <v>6.2290000000000001</v>
    <v>6.2460000000000004</v>
    <v>6.2409999999999997</v>
    <v>6.242</v>
    <v>6.234</v>
    <v>6.2530000000000001</v>
    <v>6.2640000000000002</v>
    <v>6.2729999999999997</v>
    <v>6.2569999999999997</v>
    <v>6.2809999999999997</v>
    <v>6.2869999999999999</v>
    <v>6.2839999999999998</v>
    <v>6.2619999999999996</v>
    <v>6.3</v>
    <v>6.3129999999999997</v>
    <v>6.327</v>
    <v>6.3609999999999998</v>
    <v>6.37</v>
    <v>6.3380000000000001</v>
    <v>6.35</v>
    <v>6.383</v>
    <v>6.4240000000000004</v>
    <v>6.3689999999999998</v>
    <v>6.3460000000000001</v>
    <v>6.3339999999999996</v>
    <v>6.3070000000000004</v>
    <v>6.3</v>
    <v>6.2850000000000001</v>
    <v>6.3019999999999996</v>
    <v>6.2880000000000003</v>
    <v>6.3019999999999996</v>
    <v>6.2939999999999996</v>
    <v>6.2409999999999997</v>
    <v>6.2110000000000003</v>
    <v>6.2389999999999999</v>
    <v>6.2460000000000004</v>
    <v>6.2850000000000001</v>
    <v>6.3109999999999999</v>
    <v>6.2960000000000003</v>
    <v>6.2489999999999997</v>
    <v>6.29</v>
    <v>6.2850000000000001</v>
    <v>6.2750000000000004</v>
    <v>6.2640000000000002</v>
    <v>6.26</v>
    <v>6.2889999999999997</v>
    <v>6.3289999999999997</v>
    <v>6.3440000000000003</v>
    <v>6.3479999999999999</v>
    <v>6.3879999999999999</v>
    <v>6.3869999999999996</v>
    <v>6.3620000000000001</v>
    <v>6.38</v>
    <v>6.3940000000000001</v>
    <v>6.3860000000000001</v>
    <v>6.4160000000000004</v>
    <v>6.3929999999999998</v>
    <v>6.4050000000000002</v>
    <v>6.3769999999999998</v>
    <v>6.34</v>
    <v>6.3390000000000004</v>
    <v>6.2889999999999997</v>
    <v>6.2510000000000003</v>
    <v>6.25</v>
    <v>6.27</v>
    <v>6.3019999999999996</v>
    <v>6.298</v>
    <v>6.3380000000000001</v>
    <v>6.36</v>
    <v>6.3929999999999998</v>
    <v>6.3920000000000003</v>
    <v>6.3840000000000003</v>
    <v>6.3559999999999999</v>
    <v>6.3490000000000002</v>
    <v>6.3869999999999996</v>
    <v>6.3760000000000003</v>
    <v>6.4080000000000004</v>
    <v>6.3949999999999996</v>
    <v>6.4379999999999997</v>
    <v>6.4509999999999996</v>
    <v>6.4909999999999997</v>
    <v>6.48</v>
    <v>6.4509999999999996</v>
    <v>6.44</v>
    <v>6.4550000000000001</v>
    <v>6.4240000000000004</v>
    <v>6.4160000000000004</v>
    <v>6.3949999999999996</v>
    <v>6.399</v>
    <v>6.3810000000000002</v>
    <v>6.3869999999999996</v>
    <v>6.3979999999999997</v>
    <v>6.4169999999999998</v>
    <v>6.4640000000000004</v>
    <v>6.4950000000000001</v>
    <v>6.4829999999999997</v>
    <v>6.5250000000000004</v>
    <v>6.5359999999999996</v>
    <v>6.56</v>
    <v>6.4939999999999998</v>
    <v>6.5090000000000003</v>
    <v>6.5270000000000001</v>
    <v>6.5</v>
    <v>6.5330000000000004</v>
    <v>6.5679999999999996</v>
    <v>6.5839999999999996</v>
    <v>6.6070000000000002</v>
    <v>6.6580000000000004</v>
    <v>6.617</v>
    <v>6.4539999999999997</v>
    <v>6.3689999999999998</v>
    <v>6.4009999999999998</v>
    <v>6.4749999999999996</v>
    <v>6.4619999999999997</v>
    <v>6.4729999999999999</v>
    <v>6.4669999999999996</v>
    <v>6.4909999999999997</v>
    <v>6.5060000000000002</v>
    <v>6.5670000000000002</v>
    <v>6.585</v>
    <v>6.6029999999999998</v>
    <v>6.5910000000000002</v>
    <v>6.6130000000000004</v>
    <v>6.6360000000000001</v>
    <v>6.6310000000000002</v>
    <v>6.649</v>
    <v>6.657</v>
    <v>6.6970000000000001</v>
    <v>6.7489999999999997</v>
    <v>6.742</v>
    <v>6.7720000000000002</v>
    <v>6.7990000000000004</v>
    <v>6.7439999999999998</v>
    <v>6.6970000000000001</v>
    <v>6.6520000000000001</v>
    <v>6.7380000000000004</v>
    <v>6.7350000000000003</v>
    <v>6.681</v>
    <v>6.74</v>
    <v>6.7789999999999999</v>
    <v>6.7809999999999997</v>
    <v>6.7949999999999999</v>
    <v>6.7560000000000002</v>
    <v>6.7569999999999997</v>
    <v>6.7480000000000002</v>
    <v>6.7930000000000001</v>
    <v>6.7750000000000004</v>
    <v>6.7519999999999998</v>
    <v>6.7619999999999996</v>
    <v>6.7949999999999999</v>
    <v>6.7709999999999999</v>
    <v>6.8209999999999997</v>
    <v>6.806</v>
    <v>6.7839999999999998</v>
    <v>6.8</v>
    <v>6.7880000000000003</v>
    <v>6.7960000000000003</v>
    <v>6.84</v>
    <v>6.8559999999999999</v>
    <v>6.875</v>
    <v>6.9260000000000002</v>
    <v>6.9489999999999998</v>
    <v>6.9569999999999999</v>
    <v>6.9969999999999999</v>
    <v>6.9790000000000001</v>
    <v>6.9370000000000003</v>
    <v>6.9160000000000004</v>
    <v>6.9050000000000002</v>
    <v>6.8979999999999997</v>
    <v>6.8789999999999996</v>
    <v>6.8719999999999999</v>
    <v>6.875</v>
    <v>6.8109999999999999</v>
    <v>6.77</v>
    <v>6.806</v>
    <v>6.7539999999999996</v>
    <v>6.78</v>
    <v>6.9370000000000003</v>
    <v>6.9619999999999997</v>
    <v>7.04</v>
    <v>7.1210000000000004</v>
    <v>7.0810000000000004</v>
    <v>7.0990000000000002</v>
    <v>7.0789999999999997</v>
    <v>7.0069999999999997</v>
    <v>7.0419999999999998</v>
    <v>7.0229999999999997</v>
    <v>7.048</v>
    <v>7.1609999999999996</v>
    <v>7.2590000000000003</v>
    <v>7.2309999999999999</v>
    <v>7.2480000000000002</v>
    <v>7.2350000000000003</v>
    <v>7.242</v>
    <v>7.2649999999999997</v>
    <v>7.2969999999999997</v>
    <v>7.2830000000000004</v>
    <v>7.2729999999999997</v>
    <v>7.2469999999999999</v>
    <v>7.2309999999999999</v>
    <v>7.1879999999999997</v>
    <v>7.2009999999999996</v>
    <v>7.1859999999999999</v>
    <v>7.17</v>
    <v>7.1470000000000002</v>
    <v>7.1219999999999999</v>
    <v>7.069</v>
    <v>7.0659999999999998</v>
    <v>7.0039999999999996</v>
    <v>7.0209999999999999</v>
    <v>6.9809999999999999</v>
    <v>7.03</v>
    <v>6.9749999999999996</v>
    <v>7.11</v>
    <v>7.0910000000000002</v>
    <v>7.0279999999999996</v>
    <v>7.0359999999999996</v>
    <v>7.0590000000000002</v>
    <v>7.07</v>
    <v>7.0289999999999999</v>
    <v>7.0469999999999997</v>
    <v>7.0350000000000001</v>
    <v>7.1050000000000004</v>
    <v>7.1210000000000004</v>
    <v>7.1749999999999998</v>
    <v>7.1059999999999999</v>
    <v>7.1449999999999996</v>
    <v>7.1310000000000002</v>
    <v>7.1319999999999997</v>
    <v>7.0970000000000004</v>
    <v>7.1459999999999999</v>
    <v>7.2069999999999999</v>
    <v>7.2370000000000001</v>
    <v>7.2629999999999999</v>
    <v>7.2720000000000002</v>
    <v>7.3029999999999999</v>
    <v>7.2649999999999997</v>
    <v>7.2649999999999997</v>
    <v>7.3070000000000004</v>
    <v>7.2990000000000004</v>
    <v>7.3209999999999997</v>
    <v>7.31</v>
    <v>7.28</v>
    <v>7.298</v>
    <v>7.2610000000000001</v>
    <v>7.2750000000000004</v>
    <v>7.274</v>
    <v>7.3070000000000004</v>
    <v>7.2889999999999997</v>
    <v>7.3140000000000001</v>
    <v>7.32</v>
    <v>7.3220000000000001</v>
    <v>7.3460000000000001</v>
    <v>7.399</v>
    <v>7.37</v>
    <v>7.4130000000000003</v>
    <v>7.3150000000000004</v>
    <v>7.1429999999999998</v>
    <v>7.13</v>
    <v>7.1310000000000002</v>
    <v>7.1840000000000002</v>
    <v>6.9880000000000004</v>
    <v>6.9669999999999996</v>
    <v>6.9710000000000001</v>
    <v>7.0019999999999998</v>
    <v>7.056</v>
    <v>7.04</v>
    <v>7.0839999999999996</v>
    <v>7.093</v>
    <v>7.085</v>
    <v>7.1369999999999996</v>
    <v>7.1340000000000003</v>
    <v>7.1550000000000002</v>
    <v>7.18</v>
    <v>7.1310000000000002</v>
    <v>7.1520000000000001</v>
    <v>7.1959999999999997</v>
    <v>7.1619999999999999</v>
    <v>7.0110000000000001</v>
    <v>6.8090000000000002</v>
    <v>6.577</v>
    <v>6.7169999999999996</v>
    <v>6.4349999999999996</v>
    <v>6.601</v>
    <v>6.5579999999999998</v>
    <v>6.7169999999999996</v>
    <v>6.7859999999999996</v>
    <v>6.7690000000000001</v>
    <v>6.7210000000000001</v>
    <v>6.6660000000000004</v>
    <v>6.7460000000000004</v>
    <v>6.766</v>
    <v>6.7220000000000004</v>
    <v>6.7619999999999996</v>
    <v>6.79</v>
    <v>6.8550000000000004</v>
    <v>6.8949999999999996</v>
    <v>6.9329999999999998</v>
    <v>6.9109999999999996</v>
    <v>6.9219999999999997</v>
    <v>6.9480000000000004</v>
    <v>6.93</v>
    <v>7.0049999999999999</v>
    <v>6.9610000000000003</v>
    <v>6.89</v>
    <v>6.9880000000000004</v>
    <v>7.0570000000000004</v>
    <v>7.0490000000000004</v>
    <v>7.0759999999999996</v>
    <v>7.0039999999999996</v>
    <v>6.9649999999999999</v>
    <v>6.9160000000000004</v>
    <v>6.9530000000000003</v>
    <v>6.992</v>
    <v>6.9820000000000002</v>
    <v>6.9290000000000003</v>
    <v>6.9619999999999997</v>
    <v>6.9279999999999999</v>
    <v>6.9560000000000004</v>
    <v>6.9550000000000001</v>
    <v>6.9219999999999997</v>
    <v>6.9619999999999997</v>
    <v>6.9290000000000003</v>
    <v>6.923</v>
    <v>6.8890000000000002</v>
    <v>6.8529999999999998</v>
    <v>6.8540000000000001</v>
    <v>6.8360000000000003</v>
    <v>6.8289999999999997</v>
    <v>6.8120000000000003</v>
    <v>6.7969999999999997</v>
    <v>6.798</v>
    <v>6.7850000000000001</v>
    <v>6.7949999999999999</v>
    <v>6.7530000000000001</v>
    <v>6.7389999999999999</v>
    <v>6.7750000000000004</v>
    <v>6.7750000000000004</v>
    <v>6.8120000000000003</v>
    <v>6.7489999999999997</v>
    <v>6.7889999999999997</v>
    <v>6.7649999999999997</v>
    <v>6.7919999999999998</v>
    <v>6.7809999999999997</v>
    <v>6.7679999999999998</v>
    <v>6.8019999999999996</v>
    <v>6.7290000000000001</v>
    <v>6.7430000000000003</v>
    <v>6.7270000000000003</v>
    <v>6.6669999999999998</v>
    <v>6.7679999999999998</v>
    <v>6.7510000000000003</v>
    <v>6.7329999999999997</v>
    <v>6.7389999999999999</v>
    <v>6.77</v>
    <v>6.7539999999999996</v>
    <v>6.7569999999999997</v>
    <v>6.7779999999999996</v>
    <v>6.8280000000000003</v>
    <v>6.8449999999999998</v>
    <v>6.8440000000000003</v>
    <v>6.7220000000000004</v>
    <v>6.7960000000000003</v>
    <v>6.7779999999999996</v>
    <v>6.7670000000000003</v>
    <v>6.7469999999999999</v>
    <v>6.758</v>
    <v>6.7910000000000004</v>
    <v>6.7489999999999997</v>
    <v>6.7809999999999997</v>
    <v>6.806</v>
    <v>6.7880000000000003</v>
    <v>6.8230000000000004</v>
    <v>6.8479999999999999</v>
    <v>6.8979999999999997</v>
    <v>6.915</v>
    <v>6.891</v>
    <v>6.8339999999999996</v>
    <v>6.8120000000000003</v>
    <v>6.859</v>
    <v>6.8070000000000004</v>
    <v>6.7949999999999999</v>
    <v>6.8230000000000004</v>
    <v>6.7990000000000004</v>
    <v>6.7779999999999996</v>
    <v>6.8259999999999996</v>
    <v>6.774</v>
    <v>6.78</v>
    <v>6.7910000000000004</v>
    <v>6.7709999999999999</v>
    <v>6.8250000000000002</v>
    <v>6.81</v>
    <v>6.7679999999999998</v>
    <v>6.69</v>
    <v>6.718</v>
    <v>6.7489999999999997</v>
    <v>6.7370000000000001</v>
    <v>6.7050000000000001</v>
    <v>6.7030000000000003</v>
    <v>6.7279999999999998</v>
    <v>6.7279999999999998</v>
    <v>6.7530000000000001</v>
    <v>6.7610000000000001</v>
    <v>6.7750000000000004</v>
    <v>6.8040000000000003</v>
    <v>6.7949999999999999</v>
    <v>6.8230000000000004</v>
    <v>6.819</v>
    <v>6.8490000000000002</v>
    <v>6.8760000000000003</v>
    <v>6.8920000000000003</v>
    <v>6.8070000000000004</v>
    <v>6.8239999999999998</v>
    <v>6.8330000000000002</v>
    <v>6.8369999999999997</v>
    <v>6.8029999999999999</v>
    <v>6.8010000000000002</v>
    <v>6.8620000000000001</v>
    <v>6.907</v>
    <v>6.915</v>
    <v>6.8680000000000003</v>
    <v>6.875</v>
    <v>6.8769999999999998</v>
    <v>6.8760000000000003</v>
    <v>6.7949999999999999</v>
    <v>6.8440000000000003</v>
    <v>6.827</v>
    <v>6.7839999999999998</v>
    <v>6.8250000000000002</v>
    <v>6.843</v>
    <v>6.798</v>
    <v>6.8129999999999997</v>
    <v>6.8319999999999999</v>
    <v>6.8979999999999997</v>
    <v>6.9480000000000004</v>
    <v>6.9160000000000004</v>
    <v>6.9240000000000004</v>
    <v>6.9109999999999996</v>
    <v>6.8630000000000004</v>
    <v>6.8460000000000001</v>
    <v>6.8739999999999997</v>
    <v>6.9379999999999997</v>
    <v>6.9420000000000002</v>
    <v>6.9539999999999997</v>
    <v>6.9770000000000003</v>
    <v>6.9749999999999996</v>
    <v>6.9850000000000003</v>
    <v>6.9539999999999997</v>
    <v>6.9249999999999998</v>
    <v>6.9029999999999996</v>
    <v>6.907</v>
    <v>6.9160000000000004</v>
    <v>6.8860000000000001</v>
    <v>6.8739999999999997</v>
    <v>6.85</v>
    <v>6.8559999999999999</v>
    <v>6.8579999999999997</v>
    <v>6.8739999999999997</v>
    <v>6.8380000000000001</v>
    <v>6.8460000000000001</v>
    <v>6.875</v>
    <v>6.8929999999999998</v>
    <v>6.87</v>
    <v>6.87</v>
    <v>6.8959999999999999</v>
    <v>6.9059999999999997</v>
    <v>6.8410000000000002</v>
    <v>6.8540000000000001</v>
    <v>6.8949999999999996</v>
    <v>6.9189999999999996</v>
    <v>6.9450000000000003</v>
    <v>6.9630000000000001</v>
    <v>6.95</v>
    <v>6.9340000000000002</v>
    <v>6.952</v>
    <v>6.9850000000000003</v>
    <v>6.9669999999999996</v>
    <v>6.9370000000000003</v>
    <v>6.87</v>
    <v>6.8579999999999997</v>
    <v>6.883</v>
    <v>6.8719999999999999</v>
    <v>6.8620000000000001</v>
    <v>6.8070000000000004</v>
    <v>6.8209999999999997</v>
    <v>6.782</v>
    <v>6.8150000000000004</v>
    <v>6.9119999999999999</v>
    <v>6.8970000000000002</v>
    <v>6.9470000000000001</v>
    <v>6.9779999999999998</v>
    <v>6.9770000000000003</v>
    <v>6.9539999999999997</v>
    <v>6.9790000000000001</v>
    <v>6.9909999999999997</v>
    <v>6.9989999999999997</v>
    <v>7.0039999999999996</v>
    <v>7.0049999999999999</v>
    <v>6.9989999999999997</v>
    <v>7.0019999999999998</v>
    <v>7.0190000000000001</v>
    <v>7.0129999999999999</v>
    <v>7.0030000000000001</v>
    <v>6.9969999999999999</v>
    <v>7.0110000000000001</v>
    <v>7.048</v>
    <v>7.0880000000000001</v>
    <v>7.1210000000000004</v>
    <v>7.07</v>
    <v>7.1150000000000002</v>
    <v>7.0940000000000003</v>
    <v>7.0650000000000004</v>
    <v>7.05</v>
    <v>7.0670000000000002</v>
    <v>7.0220000000000002</v>
    <v>7.0449999999999999</v>
    <v>7.0789999999999997</v>
    <v>7.0730000000000004</v>
    <v>7.0880000000000001</v>
    <v>7.0069999999999997</v>
    <v>6.9450000000000003</v>
    <v>6.8760000000000003</v>
    <v>6.8540000000000001</v>
    <v>6.8639999999999999</v>
    <v>6.8789999999999996</v>
    <v>6.8929999999999998</v>
    <v>6.8369999999999997</v>
    <v>6.9180000000000001</v>
    <v>6.8789999999999996</v>
    <v>6.907</v>
    <v>6.9550000000000001</v>
    <v>6.92</v>
    <v>6.9379999999999997</v>
    <v>6.9160000000000004</v>
    <v>6.84</v>
    <v>6.827</v>
    <v>6.8380000000000001</v>
    <v>6.8419999999999996</v>
    <v>6.8970000000000002</v>
    <v>6.9139999999999997</v>
    <v>6.9379999999999997</v>
    <v>6.91</v>
    <v>6.8970000000000002</v>
    <v>6.891</v>
    <v>6.8529999999999998</v>
    <v>6.8490000000000002</v>
    <v>6.88</v>
    <v>6.843</v>
    <v>6.8710000000000004</v>
    <v>6.8819999999999997</v>
    <v>6.8639999999999999</v>
    <v>6.8470000000000004</v>
    <v>6.8369999999999997</v>
    <v>6.8070000000000004</v>
    <v>6.7880000000000003</v>
    <v>6.827</v>
    <v>6.8109999999999999</v>
    <v>6.915</v>
    <v>6.9180000000000001</v>
    <v>6.9580000000000002</v>
    <v>7.0449999999999999</v>
    <v>7.0069999999999997</v>
    <v>7</v>
    <v>7.0419999999999998</v>
    <v>7.048</v>
    <v>6.9989999999999997</v>
    <v>6.9960000000000004</v>
    <v>6.96</v>
    <v>6.9610000000000003</v>
    <v>6.992</v>
    <v>6.9749999999999996</v>
    <v>6.9820000000000002</v>
    <v>6.9870000000000001</v>
    <v>7.0309999999999997</v>
    <v>7.0030000000000001</v>
    <v>6.976</v>
    <v>7.0149999999999997</v>
    <v>7.0190000000000001</v>
    <v>7.0170000000000003</v>
    <v>7.0019999999999998</v>
    <v>6.9930000000000003</v>
    <v>6.9779999999999998</v>
    <v>6.931</v>
    <v>6.9340000000000002</v>
    <v>6.9550000000000001</v>
    <v>7.0060000000000002</v>
    <v>7.0679999999999996</v>
    <v>7.0529999999999999</v>
    <v>7.0830000000000002</v>
    <v>7.0759999999999996</v>
    <v>7.08</v>
    <v>7.1420000000000003</v>
    <v>7.1760000000000002</v>
    <v>7.1790000000000003</v>
    <v>7.1989999999999998</v>
    <v>7.266</v>
    <v>7.2249999999999996</v>
    <v>7.2270000000000003</v>
    <v>7.2089999999999996</v>
    <v>7.2709999999999999</v>
    <v>7.2169999999999996</v>
    <v>7.1760000000000002</v>
    <v>7.2060000000000004</v>
    <v>7.2539999999999996</v>
    <v>7.2329999999999997</v>
    <v>7.2030000000000003</v>
    <v>7.2140000000000004</v>
    <v>7.1890000000000001</v>
    <v>7.2770000000000001</v>
    <v>7.3490000000000002</v>
    <v>7.4560000000000004</v>
    <v>7.4740000000000002</v>
    <v>7.2930000000000001</v>
    <v>7.3019999999999996</v>
    <v>7.335</v>
    <v>7.3470000000000004</v>
    <v>7.359</v>
    <v>7.4</v>
    <v>7.4459999999999997</v>
    <v>7.4690000000000003</v>
    <v>7.4729999999999999</v>
    <v>7.4489999999999998</v>
    <v>7.4530000000000003</v>
    <v>7.4489999999999998</v>
    <v>7.4059999999999997</v>
    <v>7.4279999999999999</v>
    <v>7.4420000000000002</v>
    <v>7.4219999999999997</v>
    <v>7.44</v>
    <v>7.4550000000000001</v>
    <v>7.4740000000000002</v>
    <v>7.4850000000000003</v>
    <v>7.49</v>
    <v>7.5380000000000003</v>
    <v>7.5069999999999997</v>
    <v>7.5119999999999996</v>
    <v>7.5019999999999998</v>
    <v>7.5410000000000004</v>
    <v>7.492</v>
    <v>7.444</v>
    <v>7.4039999999999999</v>
    <v>7.359</v>
    <v>7.3570000000000002</v>
    <v>7.3879999999999999</v>
    <v>7.4829999999999997</v>
    <v>7.4560000000000004</v>
    <v>7.4720000000000004</v>
    <v>7.476</v>
    <v>7.4349999999999996</v>
    <v>7.4509999999999996</v>
    <v>7.4649999999999999</v>
    <v>7.4729999999999999</v>
    <v>7.46</v>
    <v>7.4390000000000001</v>
    <v>7.4390000000000001</v>
    <v>7.423</v>
    <v>7.4349999999999996</v>
    <v>7.476</v>
    <v>7.49</v>
    <v>7.556</v>
    <v>7.5789999999999997</v>
    <v>7.6159999999999997</v>
    <v>7.601</v>
    <v>7.6689999999999996</v>
    <v>7.726</v>
    <v>7.72</v>
    <v>7.7759999999999998</v>
    <v>7.8250000000000002</v>
    <v>7.819</v>
    <v>7.8170000000000002</v>
    <v>7.8710000000000004</v>
    <v>7.9009999999999998</v>
    <v>7.9729999999999999</v>
    <v>7.9880000000000004</v>
  </a>
  <a r="1" c="208">
    <v>6.8410000000000002</v>
    <v>6.8540000000000001</v>
    <v>6.8949999999999996</v>
    <v>6.9189999999999996</v>
    <v>6.9450000000000003</v>
    <v>6.9630000000000001</v>
    <v>6.95</v>
    <v>6.9340000000000002</v>
    <v>6.952</v>
    <v>6.9850000000000003</v>
    <v>6.9669999999999996</v>
    <v>6.9370000000000003</v>
    <v>6.87</v>
    <v>6.8579999999999997</v>
    <v>6.883</v>
    <v>6.8719999999999999</v>
    <v>6.8620000000000001</v>
    <v>6.8070000000000004</v>
    <v>6.8209999999999997</v>
    <v>6.782</v>
    <v>6.8150000000000004</v>
    <v>6.9119999999999999</v>
    <v>6.8970000000000002</v>
    <v>6.9470000000000001</v>
    <v>6.9779999999999998</v>
    <v>6.9770000000000003</v>
    <v>6.9539999999999997</v>
    <v>6.9790000000000001</v>
    <v>6.9909999999999997</v>
    <v>6.9989999999999997</v>
    <v>7.0039999999999996</v>
    <v>7.0049999999999999</v>
    <v>6.9989999999999997</v>
    <v>7.0019999999999998</v>
    <v>7.0190000000000001</v>
    <v>7.0129999999999999</v>
    <v>7.0030000000000001</v>
    <v>6.9969999999999999</v>
    <v>7.0110000000000001</v>
    <v>7.048</v>
    <v>7.0880000000000001</v>
    <v>7.1210000000000004</v>
    <v>7.07</v>
    <v>7.1150000000000002</v>
    <v>7.0940000000000003</v>
    <v>7.0650000000000004</v>
    <v>7.05</v>
    <v>7.0670000000000002</v>
    <v>7.0220000000000002</v>
    <v>7.0449999999999999</v>
    <v>7.0789999999999997</v>
    <v>7.0730000000000004</v>
    <v>7.0880000000000001</v>
    <v>7.0069999999999997</v>
    <v>6.9450000000000003</v>
    <v>6.8760000000000003</v>
    <v>6.8540000000000001</v>
    <v>6.8639999999999999</v>
    <v>6.8789999999999996</v>
    <v>6.8929999999999998</v>
    <v>6.8369999999999997</v>
    <v>6.9180000000000001</v>
    <v>6.8789999999999996</v>
    <v>6.907</v>
    <v>6.9550000000000001</v>
    <v>6.92</v>
    <v>6.9379999999999997</v>
    <v>6.9160000000000004</v>
    <v>6.84</v>
    <v>6.827</v>
    <v>6.8380000000000001</v>
    <v>6.8419999999999996</v>
    <v>6.8970000000000002</v>
    <v>6.9139999999999997</v>
    <v>6.9379999999999997</v>
    <v>6.91</v>
    <v>6.8970000000000002</v>
    <v>6.891</v>
    <v>6.8529999999999998</v>
    <v>6.8490000000000002</v>
    <v>6.88</v>
    <v>6.843</v>
    <v>6.8710000000000004</v>
    <v>6.8819999999999997</v>
    <v>6.8639999999999999</v>
    <v>6.8470000000000004</v>
    <v>6.8369999999999997</v>
    <v>6.8070000000000004</v>
    <v>6.7880000000000003</v>
    <v>6.827</v>
    <v>6.8109999999999999</v>
    <v>6.915</v>
    <v>6.9180000000000001</v>
    <v>6.9580000000000002</v>
    <v>7.0449999999999999</v>
    <v>7.0069999999999997</v>
    <v>7</v>
    <v>7.0419999999999998</v>
    <v>7.048</v>
    <v>6.9989999999999997</v>
    <v>6.9960000000000004</v>
    <v>6.96</v>
    <v>6.9610000000000003</v>
    <v>6.992</v>
    <v>6.9749999999999996</v>
    <v>6.9820000000000002</v>
    <v>6.9870000000000001</v>
    <v>7.0309999999999997</v>
    <v>7.0030000000000001</v>
    <v>6.976</v>
    <v>7.0149999999999997</v>
    <v>7.0190000000000001</v>
    <v>7.0170000000000003</v>
    <v>7.0019999999999998</v>
    <v>6.9930000000000003</v>
    <v>6.9779999999999998</v>
    <v>6.931</v>
    <v>6.9340000000000002</v>
    <v>6.9550000000000001</v>
    <v>7.0060000000000002</v>
    <v>7.0679999999999996</v>
    <v>7.0529999999999999</v>
    <v>7.0830000000000002</v>
    <v>7.0759999999999996</v>
    <v>7.08</v>
    <v>7.1420000000000003</v>
    <v>7.1760000000000002</v>
    <v>7.1790000000000003</v>
    <v>7.1989999999999998</v>
    <v>7.266</v>
    <v>7.2249999999999996</v>
    <v>7.2270000000000003</v>
    <v>7.2089999999999996</v>
    <v>7.2709999999999999</v>
    <v>7.2169999999999996</v>
    <v>7.1760000000000002</v>
    <v>7.2060000000000004</v>
    <v>7.2539999999999996</v>
    <v>7.2329999999999997</v>
    <v>7.2030000000000003</v>
    <v>7.2140000000000004</v>
    <v>7.1890000000000001</v>
    <v>7.2770000000000001</v>
    <v>7.3490000000000002</v>
    <v>7.4560000000000004</v>
    <v>7.4740000000000002</v>
    <v>7.2930000000000001</v>
    <v>7.3019999999999996</v>
    <v>7.335</v>
    <v>7.3470000000000004</v>
    <v>7.359</v>
    <v>7.4</v>
    <v>7.4459999999999997</v>
    <v>7.4690000000000003</v>
    <v>7.4729999999999999</v>
    <v>7.4489999999999998</v>
    <v>7.4530000000000003</v>
    <v>7.4489999999999998</v>
    <v>7.4059999999999997</v>
    <v>7.4279999999999999</v>
    <v>7.4420000000000002</v>
    <v>7.4219999999999997</v>
    <v>7.44</v>
    <v>7.4550000000000001</v>
    <v>7.4740000000000002</v>
    <v>7.4850000000000003</v>
    <v>7.49</v>
    <v>7.5380000000000003</v>
    <v>7.5069999999999997</v>
    <v>7.5119999999999996</v>
    <v>7.5019999999999998</v>
    <v>7.5410000000000004</v>
    <v>7.492</v>
    <v>7.444</v>
    <v>7.4039999999999999</v>
    <v>7.359</v>
    <v>7.3570000000000002</v>
    <v>7.3879999999999999</v>
    <v>7.4829999999999997</v>
    <v>7.4560000000000004</v>
    <v>7.4720000000000004</v>
    <v>7.476</v>
    <v>7.4349999999999996</v>
    <v>7.4509999999999996</v>
    <v>7.4649999999999999</v>
    <v>7.4729999999999999</v>
    <v>7.46</v>
    <v>7.4390000000000001</v>
    <v>7.4390000000000001</v>
    <v>7.423</v>
    <v>7.4349999999999996</v>
    <v>7.476</v>
    <v>7.49</v>
    <v>7.556</v>
    <v>7.5789999999999997</v>
    <v>7.6159999999999997</v>
    <v>7.601</v>
    <v>7.6689999999999996</v>
    <v>7.726</v>
    <v>7.72</v>
    <v>7.7759999999999998</v>
    <v>7.8250000000000002</v>
    <v>7.819</v>
    <v>7.8170000000000002</v>
    <v>7.8710000000000004</v>
    <v>7.9009999999999998</v>
    <v>7.9729999999999999</v>
    <v>7.9880000000000004</v>
  </a>
  <a r="1" c="205">
    <v>346.1</v>
    <v>347.62</v>
    <v>343.42</v>
    <v>343.77</v>
    <v>343.5</v>
    <v>332.48</v>
    <v>344.97</v>
    <v>352.21</v>
    <v>354.61</v>
    <v>339.89</v>
    <v>343.02</v>
    <v>351.71</v>
    <v>332.6</v>
    <v>328.8</v>
    <v>325.49</v>
    <v>320.05</v>
    <v>324.85000000000002</v>
    <v>332.79</v>
    <v>333.24</v>
    <v>330.73</v>
    <v>331.3</v>
    <v>331.11</v>
    <v>320.33</v>
    <v>308.05</v>
    <v>310.51</v>
    <v>332.92</v>
    <v>343.94</v>
    <v>340.44</v>
    <v>342.76</v>
    <v>331.17</v>
    <v>325.17</v>
    <v>332.54</v>
    <v>333.51</v>
    <v>333.99</v>
    <v>332.65</v>
    <v>330.34</v>
    <v>325.49</v>
    <v>332.31</v>
    <v>321.7</v>
    <v>319.55</v>
    <v>318.82</v>
    <v>313.83999999999997</v>
    <v>317.52999999999997</v>
    <v>332.77</v>
    <v>330.48</v>
    <v>345.75</v>
    <v>342.58</v>
    <v>341.57</v>
    <v>335.97</v>
    <v>322.16000000000003</v>
    <v>324.92</v>
    <v>321.31</v>
    <v>315.93</v>
    <v>319.83999999999997</v>
    <v>310.51</v>
    <v>322.51</v>
    <v>318.29000000000002</v>
    <v>318.81</v>
    <v>309.41500000000002</v>
    <v>300.68</v>
    <v>293.41000000000003</v>
    <v>309.51</v>
    <v>313.49</v>
    <v>314.55</v>
    <v>314.43</v>
    <v>333.97</v>
    <v>350.63</v>
    <v>354.91</v>
    <v>371.55</v>
    <v>379.75</v>
    <v>380.78</v>
    <v>396.72</v>
    <v>398.47</v>
    <v>406.54</v>
    <v>399.63</v>
    <v>402.17</v>
    <v>422.65</v>
    <v>419.94</v>
    <v>422.76</v>
    <v>418.2</v>
    <v>399.83</v>
    <v>405.45</v>
    <v>417.43</v>
    <v>421.28</v>
    <v>416.5</v>
    <v>427.36</v>
    <v>425.44</v>
    <v>412.56</v>
    <v>430</v>
    <v>428.43</v>
    <v>419.3</v>
    <v>416.79</v>
    <v>439.79</v>
    <v>425.19</v>
    <v>420.71</v>
    <v>411.07</v>
    <v>417.76</v>
    <v>414.57</v>
    <v>414.14</v>
    <v>422.01</v>
    <v>421.86</v>
    <v>426.58</v>
    <v>446.77</v>
    <v>459.97</v>
    <v>481.57</v>
    <v>479.23</v>
    <v>418.91</v>
    <v>385.73</v>
    <v>396.6</v>
    <v>392.16</v>
    <v>372.1</v>
    <v>385.57</v>
    <v>382.07</v>
    <v>393.94</v>
    <v>376.71</v>
    <v>392.9</v>
    <v>411.35</v>
    <v>392.13</v>
    <v>380.15</v>
    <v>382.07</v>
    <v>378.91</v>
    <v>365.02</v>
    <v>372.45</v>
    <v>377.75</v>
    <v>369.34</v>
    <v>360.45</v>
    <v>373.9</v>
    <v>370.78</v>
    <v>388.69</v>
    <v>401.11</v>
    <v>399.97</v>
    <v>384.05</v>
    <v>389.11</v>
    <v>394.28</v>
    <v>374.45</v>
    <v>370.82499999999999</v>
    <v>378.16</v>
    <v>386.5</v>
    <v>396.81</v>
    <v>392.47</v>
    <v>381.92</v>
    <v>383.22</v>
    <v>380.91</v>
    <v>370.32</v>
    <v>387.84</v>
    <v>389.28</v>
    <v>392.23</v>
    <v>418.16</v>
    <v>418.28</v>
    <v>420.565</v>
    <v>427.76</v>
    <v>422.4</v>
    <v>416.08</v>
    <v>416.05</v>
    <v>417.82</v>
    <v>392.99</v>
    <v>392.43</v>
    <v>380</v>
    <v>362.48</v>
    <v>364.03</v>
    <v>368.45</v>
    <v>358.76</v>
    <v>356.74</v>
    <v>355.59</v>
    <v>371.54</v>
    <v>368.79</v>
    <v>370.34</v>
    <v>369.68</v>
    <v>367.24</v>
    <v>357.16</v>
    <v>357.89499999999998</v>
    <v>368.56</v>
    <v>364.38</v>
    <v>360.83</v>
    <v>361.99</v>
    <v>344.72</v>
    <v>339.27</v>
    <v>339.51</v>
    <v>347.3</v>
    <v>357.61</v>
    <v>362.66</v>
    <v>364.54</v>
    <v>354.99</v>
    <v>350.36</v>
    <v>352.81</v>
    <v>349.57</v>
    <v>355.1</v>
    <v>351.19</v>
    <v>343.64</v>
    <v>355.14</v>
    <v>362.51</v>
    <v>375.81</v>
    <v>376.51</v>
    <v>360.14</v>
    <v>361.54</v>
    <v>354.73</v>
    <v>357.31</v>
    <v>346.25</v>
    <v>344.33</v>
    <v>328.75</v>
    <v>334.59</v>
    <v>334.37</v>
    <v>337.8</v>
    <v>323.24</v>
    <v>321.68</v>
  </a>
  <a r="1" c="252">
    <v>344.29</v>
    <v>354.13</v>
    <v>362.05</v>
    <v>372.97</v>
    <v>385.98</v>
    <v>376.47</v>
    <v>369.63</v>
    <v>362.55</v>
    <v>351.94</v>
    <v>358.98</v>
    <v>355.59</v>
    <v>349.43</v>
    <v>358.39</v>
    <v>351.96</v>
    <v>355.22</v>
    <v>339.98</v>
    <v>342.46</v>
    <v>342.65</v>
    <v>340.5</v>
    <v>354.42</v>
    <v>346.82</v>
    <v>340.2</v>
    <v>377.96</v>
    <v>385.03</v>
    <v>397.57</v>
    <v>402.96</v>
    <v>386.08</v>
    <v>381.57</v>
    <v>380.61</v>
    <v>381.03</v>
    <v>390.24</v>
    <v>401.1</v>
    <v>406.29</v>
    <v>412.97</v>
    <v>406.37</v>
    <v>359.93</v>
    <v>339.81</v>
    <v>341.3</v>
    <v>326.02</v>
    <v>329.88</v>
    <v>340.36</v>
    <v>341.45</v>
    <v>349.32</v>
    <v>350.22</v>
    <v>352.13</v>
    <v>349.39</v>
    <v>349.85</v>
    <v>346.1</v>
    <v>347.62</v>
    <v>343.42</v>
    <v>343.77</v>
    <v>343.5</v>
    <v>332.48</v>
    <v>344.97</v>
    <v>352.21</v>
    <v>354.61</v>
    <v>339.89</v>
    <v>343.02</v>
    <v>351.71</v>
    <v>332.6</v>
    <v>328.8</v>
    <v>325.49</v>
    <v>320.05</v>
    <v>324.85000000000002</v>
    <v>332.79</v>
    <v>333.24</v>
    <v>330.73</v>
    <v>331.3</v>
    <v>331.11</v>
    <v>320.33</v>
    <v>308.05</v>
    <v>310.51</v>
    <v>332.92</v>
    <v>343.94</v>
    <v>340.44</v>
    <v>342.76</v>
    <v>331.17</v>
    <v>325.17</v>
    <v>332.54</v>
    <v>333.51</v>
    <v>333.99</v>
    <v>332.65</v>
    <v>330.34</v>
    <v>325.49</v>
    <v>332.31</v>
    <v>321.7</v>
    <v>319.55</v>
    <v>318.82</v>
    <v>313.83999999999997</v>
    <v>317.52999999999997</v>
    <v>332.77</v>
    <v>330.48</v>
    <v>345.75</v>
    <v>342.58</v>
    <v>341.57</v>
    <v>335.97</v>
    <v>322.16000000000003</v>
    <v>324.92</v>
    <v>321.31</v>
    <v>315.93</v>
    <v>319.83999999999997</v>
    <v>310.51</v>
    <v>322.51</v>
    <v>318.29000000000002</v>
    <v>318.81</v>
    <v>309.41500000000002</v>
    <v>300.68</v>
    <v>293.41000000000003</v>
    <v>309.51</v>
    <v>313.49</v>
    <v>314.55</v>
    <v>314.43</v>
    <v>333.97</v>
    <v>350.63</v>
    <v>354.91</v>
    <v>371.55</v>
    <v>379.75</v>
    <v>380.78</v>
    <v>396.72</v>
    <v>398.47</v>
    <v>406.54</v>
    <v>399.63</v>
    <v>402.17</v>
    <v>422.65</v>
    <v>419.94</v>
    <v>422.76</v>
    <v>418.2</v>
    <v>399.83</v>
    <v>405.45</v>
    <v>417.43</v>
    <v>421.28</v>
    <v>416.5</v>
    <v>427.36</v>
    <v>425.44</v>
    <v>412.56</v>
    <v>430</v>
    <v>428.43</v>
    <v>419.3</v>
    <v>416.79</v>
    <v>439.79</v>
    <v>425.19</v>
    <v>420.71</v>
    <v>411.07</v>
    <v>417.76</v>
    <v>414.57</v>
    <v>414.14</v>
    <v>422.01</v>
    <v>421.86</v>
    <v>426.58</v>
    <v>446.77</v>
    <v>459.97</v>
    <v>481.57</v>
    <v>479.23</v>
    <v>418.91</v>
    <v>385.73</v>
    <v>396.6</v>
    <v>392.16</v>
    <v>372.1</v>
    <v>385.57</v>
    <v>382.07</v>
    <v>393.94</v>
    <v>376.71</v>
    <v>392.9</v>
    <v>411.35</v>
    <v>392.13</v>
    <v>380.15</v>
    <v>382.07</v>
    <v>378.91</v>
    <v>365.02</v>
    <v>372.45</v>
    <v>377.75</v>
    <v>369.34</v>
    <v>360.45</v>
    <v>373.9</v>
    <v>370.78</v>
    <v>388.69</v>
    <v>401.11</v>
    <v>399.97</v>
    <v>384.05</v>
    <v>389.11</v>
    <v>394.28</v>
    <v>374.45</v>
    <v>370.82499999999999</v>
    <v>378.16</v>
    <v>386.5</v>
    <v>396.81</v>
    <v>392.47</v>
    <v>381.92</v>
    <v>383.22</v>
    <v>380.91</v>
    <v>370.32</v>
    <v>387.84</v>
    <v>389.28</v>
    <v>392.23</v>
    <v>418.16</v>
    <v>418.28</v>
    <v>420.565</v>
    <v>427.76</v>
    <v>422.4</v>
    <v>416.08</v>
    <v>416.05</v>
    <v>417.82</v>
    <v>392.99</v>
    <v>392.43</v>
    <v>380</v>
    <v>362.48</v>
    <v>364.03</v>
    <v>368.45</v>
    <v>358.76</v>
    <v>356.74</v>
    <v>355.59</v>
    <v>371.54</v>
    <v>368.79</v>
    <v>370.34</v>
    <v>369.68</v>
    <v>367.24</v>
    <v>357.16</v>
    <v>357.89499999999998</v>
    <v>368.56</v>
    <v>364.38</v>
    <v>360.83</v>
    <v>361.99</v>
    <v>344.72</v>
    <v>339.27</v>
    <v>339.51</v>
    <v>347.3</v>
    <v>357.61</v>
    <v>362.66</v>
    <v>364.54</v>
    <v>354.99</v>
    <v>350.36</v>
    <v>352.81</v>
    <v>349.57</v>
    <v>355.1</v>
    <v>351.19</v>
    <v>343.64</v>
    <v>355.14</v>
    <v>362.51</v>
    <v>375.81</v>
    <v>376.51</v>
    <v>360.14</v>
    <v>361.54</v>
    <v>354.73</v>
    <v>357.31</v>
    <v>346.25</v>
    <v>344.33</v>
    <v>328.75</v>
    <v>334.59</v>
    <v>334.37</v>
    <v>337.8</v>
    <v>323.24</v>
    <v>321.68</v>
  </a>
  <a r="1" c="754">
    <v>86.221999999999994</v>
    <v>88.111000000000004</v>
    <v>84.962999999999994</v>
    <v>82.674999999999997</v>
    <v>83.835999999999999</v>
    <v>84.125</v>
    <v>84.137</v>
    <v>85.293999999999997</v>
    <v>87.13</v>
    <v>88.268000000000001</v>
    <v>88.082999999999998</v>
    <v>89.781999999999996</v>
    <v>91.113</v>
    <v>91.138000000000005</v>
    <v>95.751999999999995</v>
    <v>94.692999999999998</v>
    <v>97.296000000000006</v>
    <v>97.54</v>
    <v>95.954999999999998</v>
    <v>97.772999999999996</v>
    <v>99.570999999999998</v>
    <v>98.12</v>
    <v>97.2</v>
    <v>97.887</v>
    <v>95.024000000000001</v>
    <v>94.635000000000005</v>
    <v>94.082999999999998</v>
    <v>92.572999999999993</v>
    <v>93</v>
    <v>92.397000000000006</v>
    <v>91.311999999999998</v>
    <v>90.364000000000004</v>
    <v>92.225999999999999</v>
    <v>94.43</v>
    <v>102.92400000000001</v>
    <v>107.22799999999999</v>
    <v>108.96899999999999</v>
    <v>110.649</v>
    <v>112.974</v>
    <v>114.7</v>
    <v>113.958</v>
    <v>111.038</v>
    <v>112.729</v>
    <v>112.19799999999999</v>
    <v>113.18899999999999</v>
    <v>112.617</v>
    <v>112.241</v>
    <v>111.625</v>
    <v>108.538</v>
    <v>105.858</v>
    <v>104.901</v>
    <v>104.928</v>
    <v>107.485</v>
    <v>108.249</v>
    <v>108.057</v>
    <v>109.998</v>
    <v>110.768</v>
    <v>111.496</v>
    <v>110.367</v>
    <v>114.39100000000001</v>
    <v>121.12</v>
    <v>122.05</v>
    <v>122.631</v>
    <v>125.387</v>
    <v>123</v>
    <v>120.488</v>
    <v>121.777</v>
    <v>120.816</v>
    <v>118</v>
    <v>120.001</v>
    <v>122.434</v>
    <v>124.31</v>
    <v>122.265</v>
    <v>125.706</v>
    <v>127.476</v>
    <v>128.34399999999999</v>
    <v>126.5</v>
    <v>125.16500000000001</v>
    <v>126.22199999999999</v>
    <v>126.50700000000001</v>
    <v>124.548</v>
    <v>122.655</v>
    <v>122.745</v>
    <v>130.49</v>
    <v>129.637</v>
    <v>130.91300000000001</v>
    <v>129.62299999999999</v>
    <v>128.94200000000001</v>
    <v>130.04900000000001</v>
    <v>139.917</v>
    <v>140.226</v>
    <v>134.27500000000001</v>
    <v>135</v>
    <v>140.70099999999999</v>
    <v>130.87200000000001</v>
    <v>129.31200000000001</v>
    <v>129.18799999999999</v>
    <v>125.78700000000001</v>
    <v>126.227</v>
    <v>123.55</v>
    <v>123.724</v>
    <v>123.801</v>
    <v>127.6</v>
    <v>134.80000000000001</v>
    <v>135.34700000000001</v>
    <v>135.15799999999999</v>
    <v>133.149</v>
    <v>131.87299999999999</v>
    <v>132.541</v>
    <v>135.02600000000001</v>
    <v>133.876</v>
    <v>136.321</v>
    <v>131.75</v>
    <v>133.94300000000001</v>
    <v>133.61000000000001</v>
    <v>133.40799999999999</v>
    <v>132.23699999999999</v>
    <v>138.24600000000001</v>
    <v>134.40700000000001</v>
    <v>131.06899999999999</v>
    <v>132.90600000000001</v>
    <v>128.26300000000001</v>
    <v>125.899</v>
    <v>120.471</v>
    <v>122.446</v>
    <v>124.919</v>
    <v>125.682</v>
    <v>129.44200000000001</v>
    <v>134.40700000000001</v>
    <v>133.86199999999999</v>
    <v>130.02699999999999</v>
    <v>124.286</v>
    <v>123.857</v>
    <v>127.81100000000001</v>
    <v>131.03100000000001</v>
    <v>130.31100000000001</v>
    <v>132.53700000000001</v>
    <v>130.56700000000001</v>
    <v>133.28</v>
    <v>133.751</v>
    <v>138.00299999999999</v>
    <v>143.61699999999999</v>
    <v>141.21299999999999</v>
    <v>139.529</v>
    <v>141.40299999999999</v>
    <v>139.91999999999999</v>
    <v>139.22399999999999</v>
    <v>139.32900000000001</v>
    <v>140.78399999999999</v>
    <v>141.245</v>
    <v>139.06700000000001</v>
    <v>136.40799999999999</v>
    <v>132.85499999999999</v>
    <v>132.19</v>
    <v>133.08199999999999</v>
    <v>141.309</v>
    <v>140.12700000000001</v>
    <v>140.66399999999999</v>
    <v>144.047</v>
    <v>146.10300000000001</v>
    <v>149.55099999999999</v>
    <v>167.899</v>
    <v>173.50399999999999</v>
    <v>182.887</v>
    <v>180.25200000000001</v>
    <v>173.45599999999999</v>
    <v>165.863</v>
    <v>159.221</v>
    <v>158.07900000000001</v>
    <v>159.19999999999999</v>
    <v>158.666</v>
    <v>160.553</v>
    <v>164.08</v>
    <v>165.74799999999999</v>
    <v>172.922</v>
    <v>170.33099999999999</v>
    <v>174.58600000000001</v>
    <v>173.33099999999999</v>
    <v>174.46899999999999</v>
    <v>170.595</v>
    <v>170.06700000000001</v>
    <v>171.42</v>
    <v>169.375</v>
    <v>155.97999999999999</v>
    <v>160.52000000000001</v>
    <v>157.35</v>
    <v>161.06</v>
    <v>163.77000000000001</v>
    <v>151.34</v>
    <v>149.26</v>
    <v>151.63</v>
    <v>150.22</v>
    <v>143.52000000000001</v>
    <v>160.68</v>
    <v>147.02000000000001</v>
    <v>143.82</v>
    <v>142.08000000000001</v>
    <v>143.91999999999999</v>
    <v>136.27000000000001</v>
    <v>145.74</v>
    <v>148.26</v>
    <v>148.62</v>
    <v>156.16</v>
    <v>157.69</v>
    <v>166.13</v>
    <v>165.72</v>
    <v>167.71</v>
    <v>165.95</v>
    <v>165.78</v>
    <v>162.34</v>
    <v>166.36</v>
    <v>159.62</v>
    <v>161.38999999999999</v>
    <v>158.18</v>
    <v>156.93</v>
    <v>162.82</v>
    <v>152.79</v>
    <v>154.12</v>
    <v>152.82</v>
    <v>136.995</v>
    <v>140.82</v>
    <v>148.21</v>
    <v>158.27000000000001</v>
    <v>164.56</v>
    <v>167.69</v>
    <v>164.02</v>
    <v>162.47</v>
    <v>161.66999999999999</v>
    <v>167.42</v>
    <v>171.1</v>
    <v>172.94</v>
    <v>174.84</v>
    <v>175.52</v>
    <v>178.09</v>
    <v>172.69</v>
    <v>172.5</v>
    <v>167.47</v>
    <v>170.66</v>
    <v>171.89</v>
    <v>176.64</v>
    <v>175.08</v>
    <v>180.73</v>
    <v>185.95</v>
    <v>185.69</v>
    <v>181.48</v>
    <v>182.31</v>
    <v>175.98</v>
    <v>176.82</v>
    <v>181.53</v>
    <v>179.89</v>
    <v>179.99</v>
    <v>179.38</v>
    <v>173.51</v>
    <v>171.35</v>
    <v>173</v>
    <v>172.02</v>
    <v>179.24</v>
    <v>176.64</v>
    <v>169.77</v>
    <v>168.92</v>
    <v>168.55</v>
    <v>173.9</v>
    <v>179.55</v>
    <v>183.81</v>
    <v>183.64</v>
    <v>178.91</v>
    <v>176.22</v>
    <v>173.58</v>
    <v>170.38</v>
    <v>164.84</v>
    <v>165.67</v>
    <v>165.35</v>
    <v>163.25</v>
    <v>163.94</v>
    <v>164.23</v>
    <v>164.82</v>
    <v>164.74</v>
    <v>159.66999999999999</v>
    <v>162.08000000000001</v>
    <v>166.51</v>
    <v>168.15</v>
    <v>170.56</v>
    <v>170.47</v>
    <v>179.53</v>
    <v>178.94</v>
    <v>171.81</v>
    <v>183.2</v>
    <v>180.66</v>
    <v>224.8</v>
    <v>250</v>
    <v>240.23</v>
    <v>223.62</v>
    <v>218.32</v>
    <v>220.79</v>
    <v>232.35</v>
    <v>239.68</v>
    <v>245.36</v>
    <v>241.75</v>
    <v>235.58</v>
    <v>231.84</v>
    <v>231.98</v>
    <v>232.55</v>
    <v>236.41</v>
    <v>228.64</v>
    <v>229.31</v>
    <v>224.31</v>
    <v>225.29</v>
    <v>224.7</v>
    <v>228</v>
    <v>229.41</v>
    <v>237.44</v>
    <v>240.31</v>
    <v>240.91</v>
    <v>240.28</v>
    <v>244.7</v>
    <v>202.13</v>
    <v>207.36</v>
    <v>206.35</v>
    <v>215.66</v>
    <v>221.27</v>
    <v>217.73</v>
    <v>222.43</v>
    <v>232</v>
    <v>231.36</v>
    <v>224.87</v>
    <v>235.04</v>
    <v>235.04</v>
    <v>236.35</v>
    <v>235.8</v>
    <v>233.04</v>
    <v>228.53</v>
    <v>228.73</v>
    <v>226.74</v>
    <v>218.66</v>
    <v>207.93</v>
    <v>202.54</v>
    <v>212.94</v>
    <v>197.8</v>
    <v>199.43</v>
    <v>187.37</v>
    <v>187.48</v>
    <v>191.58</v>
    <v>179.45</v>
    <v>194.96</v>
    <v>184.45</v>
    <v>190.09</v>
    <v>194.23</v>
    <v>191.36</v>
    <v>195.54</v>
    <v>194.5</v>
    <v>188.67</v>
    <v>195.57</v>
    <v>190.54</v>
    <v>191.66</v>
    <v>191.25</v>
    <v>188.26</v>
    <v>179.27</v>
    <v>171.99</v>
    <v>169.12</v>
    <v>167.43</v>
    <v>168.52</v>
    <v>172.09</v>
    <v>154.01</v>
    <v>146.29</v>
    <v>154.13999999999999</v>
    <v>156.03</v>
    <v>185.15</v>
    <v>172.3</v>
    <v>181.94</v>
    <v>178.36</v>
    <v>178.95</v>
    <v>174.61</v>
    <v>170.99</v>
    <v>166.21</v>
    <v>169.58</v>
    <v>176.91</v>
    <v>188.15</v>
    <v>192.31</v>
    <v>192.47</v>
    <v>191.17</v>
    <v>192.47</v>
    <v>197.33</v>
    <v>203.64</v>
    <v>200.72</v>
    <v>200.09</v>
    <v>204.81</v>
    <v>207.77</v>
    <v>208.2</v>
    <v>221.58</v>
    <v>232.42</v>
    <v>232.12</v>
    <v>232.64</v>
    <v>228.61</v>
    <v>230.63</v>
    <v>231.68</v>
    <v>229.73</v>
    <v>230.53</v>
    <v>228.72</v>
    <v>235.65</v>
    <v>239.43</v>
    <v>241.97</v>
    <v>242.07</v>
    <v>248.71</v>
    <v>256.85000000000002</v>
    <v>261.08</v>
    <v>259.93</v>
    <v>246.93</v>
    <v>244.28</v>
    <v>244.63</v>
    <v>252.91</v>
    <v>256.07</v>
    <v>248.7</v>
    <v>252.1</v>
    <v>249.37</v>
    <v>251.26</v>
    <v>249.99</v>
    <v>253.77</v>
    <v>263.77</v>
    <v>264.64999999999998</v>
    <v>270.17</v>
    <v>269.35000000000002</v>
    <v>275.64999999999998</v>
    <v>264.74</v>
    <v>269.89999999999998</v>
    <v>275.18</v>
    <v>274.18</v>
    <v>271.8</v>
    <v>277.89999999999998</v>
    <v>275.39999999999998</v>
    <v>274.38</v>
    <v>275.60000000000002</v>
    <v>280.94</v>
    <v>280.81</v>
    <v>286.45</v>
    <v>283.33999999999997</v>
    <v>288.20999999999998</v>
    <v>278.58999999999997</v>
    <v>283.69</v>
    <v>288.70999999999998</v>
    <v>290.18</v>
    <v>294.3</v>
    <v>297.42</v>
    <v>302.62</v>
    <v>293.7</v>
    <v>288.64</v>
    <v>297.72000000000003</v>
    <v>292.93</v>
    <v>301.67</v>
    <v>303.76</v>
    <v>304.97000000000003</v>
    <v>303.89999999999998</v>
    <v>312.83</v>
    <v>309.08999999999997</v>
    <v>311.23</v>
    <v>306.33999999999997</v>
    <v>305.76</v>
    <v>294.91000000000003</v>
    <v>291.17</v>
    <v>289.60000000000002</v>
    <v>294</v>
    <v>294.23</v>
    <v>298.01</v>
    <v>300.25</v>
    <v>308.64999999999998</v>
    <v>297.39</v>
    <v>298.24</v>
    <v>302.39</v>
    <v>306.10000000000002</v>
    <v>334.89</v>
    <v>345.65</v>
    <v>336.67</v>
    <v>369.57</v>
    <v>359.63</v>
    <v>359.87</v>
    <v>364.09</v>
    <v>360</v>
    <v>346.17</v>
    <v>345.35</v>
    <v>344.94</v>
    <v>338.79</v>
    <v>338.94</v>
    <v>339.31</v>
    <v>336.1</v>
    <v>334.53</v>
    <v>327.9</v>
    <v>329.91</v>
    <v>333.39</v>
    <v>338.18</v>
    <v>338.37</v>
    <v>335.49</v>
    <v>336.41</v>
    <v>345.5</v>
    <v>345.02</v>
    <v>324.63</v>
    <v>356.7</v>
    <v>344.13</v>
    <v>351.33</v>
    <v>354.15</v>
    <v>349.33</v>
    <v>349.24</v>
    <v>342.66</v>
    <v>340.3</v>
    <v>344.29</v>
    <v>354.13</v>
    <v>362.05</v>
    <v>372.97</v>
    <v>385.98</v>
    <v>376.47</v>
    <v>369.63</v>
    <v>362.55</v>
    <v>351.94</v>
    <v>358.98</v>
    <v>355.59</v>
    <v>349.43</v>
    <v>358.39</v>
    <v>351.96</v>
    <v>355.22</v>
    <v>339.98</v>
    <v>342.46</v>
    <v>342.65</v>
    <v>340.5</v>
    <v>354.42</v>
    <v>346.82</v>
    <v>340.2</v>
    <v>377.96</v>
    <v>385.03</v>
    <v>397.57</v>
    <v>402.96</v>
    <v>386.08</v>
    <v>381.57</v>
    <v>380.61</v>
    <v>381.03</v>
    <v>390.24</v>
    <v>401.1</v>
    <v>406.29</v>
    <v>412.97</v>
    <v>406.37</v>
    <v>359.93</v>
    <v>339.81</v>
    <v>341.3</v>
    <v>326.02</v>
    <v>329.88</v>
    <v>340.36</v>
    <v>341.45</v>
    <v>349.32</v>
    <v>350.22</v>
    <v>352.13</v>
    <v>349.39</v>
    <v>349.85</v>
    <v>346.1</v>
    <v>347.62</v>
    <v>343.42</v>
    <v>343.77</v>
    <v>343.5</v>
    <v>332.48</v>
    <v>344.97</v>
    <v>352.21</v>
    <v>354.61</v>
    <v>339.89</v>
    <v>343.02</v>
    <v>351.71</v>
    <v>332.6</v>
    <v>328.8</v>
    <v>325.49</v>
    <v>320.05</v>
    <v>324.85000000000002</v>
    <v>332.79</v>
    <v>333.24</v>
    <v>330.73</v>
    <v>331.3</v>
    <v>331.11</v>
    <v>320.33</v>
    <v>308.05</v>
    <v>310.51</v>
    <v>332.92</v>
    <v>343.94</v>
    <v>340.44</v>
    <v>342.76</v>
    <v>331.17</v>
    <v>325.17</v>
    <v>332.54</v>
    <v>333.51</v>
    <v>333.99</v>
    <v>332.65</v>
    <v>330.34</v>
    <v>325.49</v>
    <v>332.31</v>
    <v>321.7</v>
    <v>319.55</v>
    <v>318.82</v>
    <v>313.83999999999997</v>
    <v>317.52999999999997</v>
    <v>332.77</v>
    <v>330.48</v>
    <v>345.75</v>
    <v>342.58</v>
    <v>341.57</v>
    <v>335.97</v>
    <v>322.16000000000003</v>
    <v>324.92</v>
    <v>321.31</v>
    <v>315.93</v>
    <v>319.83999999999997</v>
    <v>310.51</v>
    <v>322.51</v>
    <v>318.29000000000002</v>
    <v>318.81</v>
    <v>309.41500000000002</v>
    <v>300.68</v>
    <v>293.41000000000003</v>
    <v>309.51</v>
    <v>313.49</v>
    <v>314.55</v>
    <v>314.43</v>
    <v>333.97</v>
    <v>350.63</v>
    <v>354.91</v>
    <v>371.55</v>
    <v>379.75</v>
    <v>380.78</v>
    <v>396.72</v>
    <v>398.47</v>
    <v>406.54</v>
    <v>399.63</v>
    <v>402.17</v>
    <v>422.65</v>
    <v>419.94</v>
    <v>422.76</v>
    <v>418.2</v>
    <v>399.83</v>
    <v>405.45</v>
    <v>417.43</v>
    <v>421.28</v>
    <v>416.5</v>
    <v>427.36</v>
    <v>425.44</v>
    <v>412.56</v>
    <v>430</v>
    <v>428.43</v>
    <v>419.3</v>
    <v>416.79</v>
    <v>439.79</v>
    <v>425.19</v>
    <v>420.71</v>
    <v>411.07</v>
    <v>417.76</v>
    <v>414.57</v>
    <v>414.14</v>
    <v>422.01</v>
    <v>421.86</v>
    <v>426.58</v>
    <v>446.77</v>
    <v>459.97</v>
    <v>481.57</v>
    <v>479.23</v>
    <v>418.91</v>
    <v>385.73</v>
    <v>396.6</v>
    <v>392.16</v>
    <v>372.1</v>
    <v>385.57</v>
    <v>382.07</v>
    <v>393.94</v>
    <v>376.71</v>
    <v>392.9</v>
    <v>411.35</v>
    <v>392.13</v>
    <v>380.15</v>
    <v>382.07</v>
    <v>378.91</v>
    <v>365.02</v>
    <v>372.45</v>
    <v>377.75</v>
    <v>369.34</v>
    <v>360.45</v>
    <v>373.9</v>
    <v>370.78</v>
    <v>388.69</v>
    <v>401.11</v>
    <v>399.97</v>
    <v>384.05</v>
    <v>389.11</v>
    <v>394.28</v>
    <v>374.45</v>
    <v>370.82499999999999</v>
    <v>378.16</v>
    <v>386.5</v>
    <v>396.81</v>
    <v>392.47</v>
    <v>381.92</v>
    <v>383.22</v>
    <v>380.91</v>
    <v>370.32</v>
    <v>387.84</v>
    <v>389.28</v>
    <v>392.23</v>
    <v>418.16</v>
    <v>418.28</v>
    <v>420.565</v>
    <v>427.76</v>
    <v>422.4</v>
    <v>416.08</v>
    <v>416.05</v>
    <v>417.82</v>
    <v>392.99</v>
    <v>392.43</v>
    <v>380</v>
    <v>362.48</v>
    <v>364.03</v>
    <v>368.45</v>
    <v>358.76</v>
    <v>356.74</v>
    <v>355.59</v>
    <v>371.54</v>
    <v>368.79</v>
    <v>370.34</v>
    <v>369.68</v>
    <v>367.24</v>
    <v>357.16</v>
    <v>357.89499999999998</v>
    <v>368.56</v>
    <v>364.38</v>
    <v>360.83</v>
    <v>361.99</v>
    <v>344.72</v>
    <v>339.27</v>
    <v>339.51</v>
    <v>347.3</v>
    <v>357.61</v>
    <v>362.66</v>
    <v>364.54</v>
    <v>354.99</v>
    <v>350.36</v>
    <v>352.81</v>
    <v>349.57</v>
    <v>355.1</v>
    <v>351.19</v>
    <v>343.64</v>
    <v>355.14</v>
    <v>362.51</v>
    <v>375.81</v>
    <v>376.51</v>
    <v>360.14</v>
    <v>361.54</v>
    <v>354.73</v>
    <v>357.31</v>
    <v>346.25</v>
    <v>344.33</v>
    <v>328.75</v>
    <v>334.59</v>
    <v>334.37</v>
    <v>337.8</v>
    <v>323.24</v>
    <v>321.68</v>
  </a>
  <a r="1" c="761">
    <v>69.2</v>
    <v>69.290000000000006</v>
    <v>69.02</v>
    <v>68.150000000000006</v>
    <v>67.98</v>
    <v>68</v>
    <v>68.53</v>
    <v>69.13</v>
    <v>70.47</v>
    <v>71.41</v>
    <v>71.31</v>
    <v>71.44</v>
    <v>71.36</v>
    <v>71.709999999999994</v>
    <v>71.37</v>
    <v>71.989999999999995</v>
    <v>73.180000000000007</v>
    <v>73.41</v>
    <v>72.97</v>
    <v>73.36</v>
    <v>73.64</v>
    <v>73.56</v>
    <v>73.959999999999994</v>
    <v>74.09</v>
    <v>74.040000000000006</v>
    <v>73.88</v>
    <v>73.930000000000007</v>
    <v>73.89</v>
    <v>73.92</v>
    <v>74.459999999999994</v>
    <v>74.040000000000006</v>
    <v>74.27</v>
    <v>74.319999999999993</v>
    <v>74.349999999999994</v>
    <v>74.58</v>
    <v>74.900000000000006</v>
    <v>75.099999999999994</v>
    <v>75.33</v>
    <v>76.31</v>
    <v>76.37</v>
    <v>76.52</v>
    <v>76.87</v>
    <v>77.14</v>
    <v>76.59</v>
    <v>77.06</v>
    <v>77.14</v>
    <v>77.27</v>
    <v>76.98</v>
    <v>76.760000000000005</v>
    <v>76.23</v>
    <v>76.42</v>
    <v>76.319999999999993</v>
    <v>76.459999999999994</v>
    <v>76.790000000000006</v>
    <v>77.040000000000006</v>
    <v>76.73</v>
    <v>77.37</v>
    <v>77.34</v>
    <v>77.260000000000005</v>
    <v>76.52</v>
    <v>76.92</v>
    <v>77.34</v>
    <v>78.180000000000007</v>
    <v>78.010000000000005</v>
    <v>78.78</v>
    <v>78.709999999999994</v>
    <v>78.97</v>
    <v>78.84</v>
    <v>79.33</v>
    <v>78.83</v>
    <v>78.48</v>
    <v>79.47</v>
    <v>79.34</v>
    <v>79.56</v>
    <v>79.98</v>
    <v>80.040000000000006</v>
    <v>80.319999999999993</v>
    <v>80.930000000000007</v>
    <v>79.87</v>
    <v>80</v>
    <v>80.599999999999994</v>
    <v>81.03</v>
    <v>80.84</v>
    <v>80.31</v>
    <v>80.22</v>
    <v>81.58</v>
    <v>81.89</v>
    <v>81.8</v>
    <v>81.709999999999994</v>
    <v>81.63</v>
    <v>81.66</v>
    <v>82.35</v>
    <v>82.51</v>
    <v>82.02</v>
    <v>82.42</v>
    <v>83.01</v>
    <v>82.96</v>
    <v>82.31</v>
    <v>83.03</v>
    <v>83.2</v>
    <v>82.9</v>
    <v>82.46</v>
    <v>83.04</v>
    <v>83.19</v>
    <v>83.38</v>
    <v>84.64</v>
    <v>84.32</v>
    <v>84.18</v>
    <v>84.36</v>
    <v>84.24</v>
    <v>84.64</v>
    <v>83.76</v>
    <v>84.2</v>
    <v>84.49</v>
    <v>83.69</v>
    <v>84</v>
    <v>83.5</v>
    <v>83.25</v>
    <v>83.17</v>
    <v>83.16</v>
    <v>82.94</v>
    <v>81.569999999999993</v>
    <v>81.209999999999994</v>
    <v>81.540000000000006</v>
    <v>80.77</v>
    <v>80.77</v>
    <v>82.03</v>
    <v>82.06</v>
    <v>81.22</v>
    <v>82.53</v>
    <v>82.71</v>
    <v>82.32</v>
    <v>81.680000000000007</v>
    <v>82.79</v>
    <v>83.37</v>
    <v>84</v>
    <v>83.89</v>
    <v>84.22</v>
    <v>84.48</v>
    <v>84.55</v>
    <v>84.62</v>
    <v>85.49</v>
    <v>85.9</v>
    <v>85.61</v>
    <v>86.05</v>
    <v>85.8</v>
    <v>85.76</v>
    <v>85.67</v>
    <v>85.6</v>
    <v>85.71</v>
    <v>85.5</v>
    <v>84.79</v>
    <v>84.68</v>
    <v>84.27</v>
    <v>85</v>
    <v>84.76</v>
    <v>85.73</v>
    <v>86.08</v>
    <v>86.08</v>
    <v>85.99</v>
    <v>85.77</v>
    <v>86.91</v>
    <v>86.38</v>
    <v>86.25</v>
    <v>86.46</v>
    <v>86.96</v>
    <v>87.15</v>
    <v>87.38</v>
    <v>86.84</v>
    <v>87.26</v>
    <v>87.08</v>
    <v>86.97</v>
    <v>87.08</v>
    <v>87.48</v>
    <v>87.06</v>
    <v>87.3</v>
    <v>87.95</v>
    <v>88.2</v>
    <v>88.29</v>
    <v>88.54</v>
    <v>88.51</v>
    <v>88.94</v>
    <v>88.97</v>
    <v>89.63</v>
    <v>89.69</v>
    <v>89.67</v>
    <v>89.01</v>
    <v>88.3</v>
    <v>87.66</v>
    <v>88.05</v>
    <v>88.68</v>
    <v>87.06</v>
    <v>86.68</v>
    <v>86.79</v>
    <v>86.75</v>
    <v>86.69</v>
    <v>87.99</v>
    <v>86.83</v>
    <v>84.11</v>
    <v>82.4</v>
    <v>82.93</v>
    <v>84.14</v>
    <v>84</v>
    <v>84.39</v>
    <v>84.64</v>
    <v>85.61</v>
    <v>86.28</v>
    <v>87.78</v>
    <v>88.33</v>
    <v>88.38</v>
    <v>88.64</v>
    <v>88.6</v>
    <v>89.1</v>
    <v>88.89</v>
    <v>88.8</v>
    <v>88.59</v>
    <v>89.26</v>
    <v>88.87</v>
    <v>89.45</v>
    <v>88.3</v>
    <v>87.47</v>
    <v>86.92</v>
    <v>85.81</v>
    <v>86.46</v>
    <v>86.52</v>
    <v>85.97</v>
    <v>87.79</v>
    <v>88.67</v>
    <v>88.57</v>
    <v>89.12</v>
    <v>88.65</v>
    <v>90.1</v>
    <v>89.6</v>
    <v>90.08</v>
    <v>90.2</v>
    <v>90.25</v>
    <v>90.67</v>
    <v>90.76</v>
    <v>90.45</v>
    <v>90.04</v>
    <v>90.3</v>
    <v>89.96</v>
    <v>90.24</v>
    <v>90.6</v>
    <v>90.44</v>
    <v>91.09</v>
    <v>91.11</v>
    <v>91.65</v>
    <v>92.11</v>
    <v>91.83</v>
    <v>91.58</v>
    <v>92.15</v>
    <v>92.17</v>
    <v>91.58</v>
    <v>91.61</v>
    <v>91.15</v>
    <v>91.1</v>
    <v>91.62</v>
    <v>91.64</v>
    <v>91.59</v>
    <v>91.54</v>
    <v>89.99</v>
    <v>90.52</v>
    <v>90.05</v>
    <v>90.65</v>
    <v>92.21</v>
    <v>93.17</v>
    <v>93.28</v>
    <v>93.82</v>
    <v>93.24</v>
    <v>93.34</v>
    <v>93.36</v>
    <v>91.9</v>
    <v>92.34</v>
    <v>92.18</v>
    <v>91.69</v>
    <v>92.85</v>
    <v>93.25</v>
    <v>93.68</v>
    <v>93.71</v>
    <v>93.52</v>
    <v>93.81</v>
    <v>94.17</v>
    <v>94.39</v>
    <v>94.48</v>
    <v>95.01</v>
    <v>95.15</v>
    <v>95.25</v>
    <v>94.98</v>
    <v>94.65</v>
    <v>95.17</v>
    <v>95</v>
    <v>94.55</v>
    <v>94.78</v>
    <v>94.51</v>
    <v>94.5</v>
    <v>92.34</v>
    <v>92.7</v>
    <v>92.53</v>
    <v>93.16</v>
    <v>92.26</v>
    <v>92.52</v>
    <v>92.72</v>
    <v>94.08</v>
    <v>93.17</v>
    <v>92.77</v>
    <v>92.75</v>
    <v>91.41</v>
    <v>91.03</v>
    <v>91.49</v>
    <v>92.85</v>
    <v>93.39</v>
    <v>94.14</v>
    <v>94.43</v>
    <v>94.59</v>
    <v>95.46</v>
    <v>95.53</v>
    <v>95.89</v>
    <v>94.19</v>
    <v>94.86</v>
    <v>95.1</v>
    <v>95.37</v>
    <v>96.1</v>
    <v>94.61</v>
    <v>94.97</v>
    <v>94.97</v>
    <v>95.65</v>
    <v>95.14</v>
    <v>95.49</v>
    <v>95.61</v>
    <v>95.15</v>
    <v>96.09</v>
    <v>96.35</v>
    <v>96.66</v>
    <v>96.59</v>
    <v>96.45</v>
    <v>95.9</v>
    <v>95.87</v>
    <v>94.92</v>
    <v>93.72</v>
    <v>95</v>
    <v>94.35</v>
    <v>93.41</v>
    <v>94.29</v>
    <v>91.43</v>
    <v>91.8</v>
    <v>92.5</v>
    <v>90.91</v>
    <v>90.31</v>
    <v>89.15</v>
    <v>89.96</v>
    <v>88.95</v>
    <v>90.01</v>
    <v>90.68</v>
    <v>90.45</v>
    <v>90.96</v>
    <v>90.93</v>
    <v>90.64</v>
    <v>91.92</v>
    <v>92.15</v>
    <v>91.59</v>
    <v>91.26</v>
    <v>89.62</v>
    <v>88.72</v>
    <v>89.9</v>
    <v>90.18</v>
    <v>87</v>
    <v>82.66</v>
    <v>79.739999999999995</v>
    <v>82.42</v>
    <v>79.64</v>
    <v>83.48</v>
    <v>83.64</v>
    <v>85.98</v>
    <v>86.3</v>
    <v>85.71</v>
    <v>84.88</v>
    <v>84.8</v>
    <v>86.75</v>
    <v>87.28</v>
    <v>87.88</v>
    <v>88.03</v>
    <v>88.64</v>
    <v>88.35</v>
    <v>90.55</v>
    <v>90.54</v>
    <v>90.18</v>
    <v>89.78</v>
    <v>90.87</v>
    <v>90.69</v>
    <v>92.76</v>
    <v>93.82</v>
    <v>93.72</v>
    <v>93.92</v>
    <v>94.35</v>
    <v>94.4</v>
    <v>94.67</v>
    <v>94.37</v>
    <v>93.32</v>
    <v>92.47</v>
    <v>93.64</v>
    <v>94.1</v>
    <v>94.05</v>
    <v>93.99</v>
    <v>93.85</v>
    <v>93.88</v>
    <v>94.75</v>
    <v>95.02</v>
    <v>95.22</v>
    <v>95.3</v>
    <v>95.37</v>
    <v>95.51</v>
    <v>95.87</v>
    <v>95.59</v>
    <v>95.17</v>
    <v>95.61</v>
    <v>95.05</v>
    <v>95.1</v>
    <v>93.93</v>
    <v>94.62</v>
    <v>94.64</v>
    <v>95.82</v>
    <v>95.87</v>
    <v>96.38</v>
    <v>97.3</v>
    <v>97.24</v>
    <v>97.27</v>
    <v>97.56</v>
    <v>98.36</v>
    <v>97.86</v>
    <v>97.85</v>
    <v>97.69</v>
    <v>98.03</v>
    <v>98.52</v>
    <v>98.13</v>
    <v>98.16</v>
    <v>98.18</v>
    <v>97.34</v>
    <v>98.57</v>
    <v>98.63</v>
    <v>99.08</v>
    <v>98.56</v>
    <v>99.29</v>
    <v>99.92</v>
    <v>99.89</v>
    <v>99.9</v>
    <v>99.7</v>
    <v>99.77</v>
    <v>99.82</v>
    <v>97.57</v>
    <v>98.79</v>
    <v>98.6</v>
    <v>99.27</v>
    <v>99.47</v>
    <v>99.96</v>
    <v>100.17</v>
    <v>100.71</v>
    <v>101.09</v>
    <v>101.05</v>
    <v>101.13</v>
    <v>101.11</v>
    <v>100.52</v>
    <v>100.62</v>
    <v>101.77</v>
    <v>101.42</v>
    <v>101.01</v>
    <v>101.46</v>
    <v>101.57</v>
    <v>101.04</v>
    <v>101.33</v>
    <v>99.95</v>
    <v>100.75</v>
    <v>101.37</v>
    <v>101.31</v>
    <v>101.93</v>
    <v>101.79</v>
    <v>102.27</v>
    <v>103.05</v>
    <v>102.93</v>
    <v>103.36</v>
    <v>103.01</v>
    <v>102.98</v>
    <v>103.77</v>
    <v>103.55</v>
    <v>103.99</v>
    <v>104.22</v>
    <v>103.73</v>
    <v>103.17</v>
    <v>103.34</v>
    <v>103.8</v>
    <v>103.68</v>
    <v>104.35</v>
    <v>104.5</v>
    <v>105.3</v>
    <v>105.49</v>
    <v>105.06</v>
    <v>105.66</v>
    <v>105.3</v>
    <v>103.64</v>
    <v>104.08</v>
    <v>103.73</v>
    <v>104.66</v>
    <v>104.79</v>
    <v>103.55</v>
    <v>105.33</v>
    <v>105.43</v>
    <v>104.82</v>
    <v>105.21</v>
    <v>106.25</v>
    <v>106.98</v>
    <v>107.34</v>
    <v>107.52</v>
    <v>107.04</v>
    <v>106.71</v>
    <v>106.83</v>
    <v>106.14</v>
    <v>106.23</v>
    <v>105.25</v>
    <v>104.07</v>
    <v>105.89</v>
    <v>106.62</v>
    <v>107.24</v>
    <v>106.22</v>
    <v>105.78</v>
    <v>105.23</v>
    <v>103.61</v>
    <v>103.67</v>
    <v>104.3</v>
    <v>102.92</v>
    <v>104.47</v>
    <v>104.95</v>
    <v>106.46</v>
    <v>106.39</v>
    <v>106.74</v>
    <v>106.52</v>
    <v>106.44</v>
    <v>106.76</v>
    <v>107</v>
    <v>107.16</v>
    <v>106.92</v>
    <v>107.21</v>
    <v>107</v>
    <v>107.3</v>
    <v>106.61</v>
    <v>106.9</v>
    <v>106.19</v>
    <v>105.69</v>
    <v>106.65</v>
    <v>107.11</v>
    <v>107.58</v>
    <v>107.9</v>
    <v>107.86</v>
    <v>108.12</v>
    <v>107.46</v>
    <v>108.59</v>
    <v>108.74</v>
    <v>109.09</v>
    <v>108.66</v>
    <v>109.39</v>
    <v>109.64</v>
    <v>109.63</v>
    <v>109.01</v>
    <v>109.9</v>
    <v>109.66</v>
    <v>108.41</v>
    <v>108.13</v>
    <v>108.03</v>
    <v>108.96</v>
    <v>108.84</v>
    <v>109.14</v>
    <v>109.65</v>
    <v>109.37</v>
    <v>108.46</v>
    <v>108.82</v>
    <v>109.56</v>
    <v>109.06</v>
    <v>108.71</v>
    <v>107.69</v>
    <v>108.85</v>
    <v>109.98</v>
    <v>110.15</v>
    <v>109.89</v>
    <v>108.83</v>
    <v>108.75</v>
    <v>108.38</v>
    <v>108.54</v>
    <v>109.63</v>
    <v>109.18</v>
    <v>109.6</v>
    <v>108.91</v>
    <v>109.28</v>
    <v>110.29</v>
    <v>110</v>
    <v>109.71</v>
    <v>109.01</v>
    <v>107.01</v>
    <v>108.57</v>
    <v>107.5</v>
    <v>106.4</v>
    <v>105.9</v>
    <v>107.78</v>
    <v>106.81</v>
    <v>105.92</v>
    <v>105.16</v>
    <v>105.71</v>
    <v>106.34</v>
    <v>105.55</v>
    <v>103.93</v>
    <v>103.14</v>
    <v>103.71</v>
    <v>103.74</v>
    <v>104.53</v>
    <v>103.24</v>
    <v>101.72</v>
    <v>101.83</v>
    <v>102.32</v>
    <v>105.04</v>
    <v>104.65</v>
    <v>104.19</v>
    <v>107.59</v>
    <v>107.85</v>
    <v>108.31</v>
    <v>108.13</v>
    <v>109.87</v>
    <v>110.23</v>
    <v>110.76</v>
    <v>112.15</v>
    <v>111.65</v>
    <v>111.22</v>
    <v>111.59</v>
    <v>111.81</v>
    <v>111.51</v>
    <v>111.58</v>
    <v>111.12</v>
    <v>111.13</v>
    <v>111.82</v>
    <v>111.92</v>
    <v>112.78</v>
    <v>114.38</v>
    <v>114.54</v>
    <v>114.48</v>
    <v>114.88</v>
    <v>113.82</v>
    <v>114.94</v>
    <v>116.22</v>
    <v>114.92</v>
    <v>114.4</v>
    <v>113.9</v>
    <v>115.2</v>
    <v>114.98</v>
    <v>116.34</v>
    <v>117.36</v>
    <v>116.78</v>
    <v>116.72</v>
    <v>117.14</v>
    <v>117.56</v>
    <v>117.46</v>
    <v>118.06</v>
    <v>117.5</v>
    <v>117.64</v>
    <v>116.38</v>
    <v>115.72</v>
    <v>114.18</v>
    <v>114.02</v>
    <v>113.94</v>
    <v>116.18</v>
    <v>117.76</v>
    <v>117.72</v>
    <v>117.62</v>
    <v>117.14</v>
    <v>117.24</v>
    <v>117.1</v>
    <v>115.68</v>
    <v>116.08</v>
    <v>115.76</v>
    <v>115.62</v>
    <v>115.94</v>
    <v>117.12</v>
    <v>117.5</v>
    <v>117.4</v>
    <v>117.72</v>
    <v>118.2</v>
    <v>117.36</v>
    <v>116.28</v>
    <v>117.68</v>
    <v>118.06</v>
    <v>117.92</v>
    <v>118.02</v>
    <v>118.16</v>
    <v>118.18</v>
    <v>116.74</v>
    <v>116.94</v>
    <v>117.4</v>
    <v>117.7</v>
    <v>115.9</v>
    <v>116.72</v>
    <v>116.26</v>
    <v>116.8</v>
    <v>115.92</v>
    <v>116.22</v>
    <v>116.58</v>
    <v>118.32</v>
    <v>120</v>
    <v>120.66</v>
    <v>120.34</v>
    <v>121.08</v>
    <v>121.14</v>
    <v>121.06</v>
    <v>121.16</v>
    <v>121.64</v>
    <v>121.56</v>
    <v>121.4</v>
    <v>120.16</v>
    <v>120.4</v>
    <v>119.72</v>
    <v>120</v>
    <v>119.72</v>
    <v>120.08</v>
    <v>120.04</v>
    <v>120.44</v>
    <v>121.1</v>
    <v>119.84</v>
    <v>119.46</v>
    <v>119.56</v>
    <v>120.66</v>
    <v>120.22</v>
    <v>120.12</v>
    <v>119.92</v>
    <v>118.9</v>
    <v>118.42</v>
    <v>119.28</v>
    <v>118.58</v>
    <v>118.04</v>
    <v>118.58</v>
    <v>119.06</v>
    <v>118.68</v>
    <v>120.1</v>
    <v>120.6</v>
    <v>120</v>
    <v>119.08</v>
    <v>119.86</v>
    <v>119.26</v>
    <v>119</v>
    <v>119.68</v>
    <v>118.16</v>
    <v>119.64</v>
    <v>120.18</v>
    <v>121.34</v>
    <v>120.2</v>
    <v>119.86</v>
    <v>120.44</v>
    <v>120.76</v>
    <v>120.44</v>
    <v>119.86</v>
    <v>119.66</v>
    <v>119.7</v>
    <v>119.56</v>
    <v>119.48</v>
    <v>120.04</v>
    <v>118.58</v>
    <v>118.52</v>
  </a>
  <a r="1" c="254">
    <v>105.21</v>
    <v>106.25</v>
    <v>106.98</v>
    <v>107.34</v>
    <v>107.52</v>
    <v>107.04</v>
    <v>106.71</v>
    <v>106.83</v>
    <v>106.14</v>
    <v>106.23</v>
    <v>105.25</v>
    <v>104.07</v>
    <v>105.89</v>
    <v>106.62</v>
    <v>107.24</v>
    <v>106.22</v>
    <v>105.78</v>
    <v>105.23</v>
    <v>103.61</v>
    <v>103.67</v>
    <v>104.3</v>
    <v>102.92</v>
    <v>104.47</v>
    <v>104.95</v>
    <v>106.46</v>
    <v>106.39</v>
    <v>106.74</v>
    <v>106.52</v>
    <v>106.44</v>
    <v>106.76</v>
    <v>107</v>
    <v>107.16</v>
    <v>106.92</v>
    <v>107.21</v>
    <v>107</v>
    <v>107.3</v>
    <v>106.61</v>
    <v>106.9</v>
    <v>106.19</v>
    <v>105.69</v>
    <v>106.65</v>
    <v>107.11</v>
    <v>107.58</v>
    <v>107.9</v>
    <v>107.86</v>
    <v>108.12</v>
    <v>107.46</v>
    <v>108.59</v>
    <v>108.74</v>
    <v>109.09</v>
    <v>108.66</v>
    <v>109.39</v>
    <v>109.64</v>
    <v>109.63</v>
    <v>109.01</v>
    <v>109.9</v>
    <v>109.66</v>
    <v>108.41</v>
    <v>108.13</v>
    <v>108.03</v>
    <v>108.96</v>
    <v>108.84</v>
    <v>109.14</v>
    <v>109.65</v>
    <v>109.37</v>
    <v>108.46</v>
    <v>108.82</v>
    <v>109.56</v>
    <v>109.06</v>
    <v>108.71</v>
    <v>107.69</v>
    <v>108.85</v>
    <v>109.98</v>
    <v>110.15</v>
    <v>109.89</v>
    <v>108.83</v>
    <v>108.75</v>
    <v>108.38</v>
    <v>108.54</v>
    <v>109.63</v>
    <v>109.18</v>
    <v>109.6</v>
    <v>108.91</v>
    <v>109.28</v>
    <v>110.29</v>
    <v>110</v>
    <v>109.71</v>
    <v>109.01</v>
    <v>107.01</v>
    <v>108.57</v>
    <v>107.5</v>
    <v>106.4</v>
    <v>105.9</v>
    <v>107.78</v>
    <v>106.81</v>
    <v>105.92</v>
    <v>105.16</v>
    <v>105.71</v>
    <v>106.34</v>
    <v>105.55</v>
    <v>103.93</v>
    <v>103.14</v>
    <v>103.71</v>
    <v>103.74</v>
    <v>104.53</v>
    <v>103.24</v>
    <v>101.72</v>
    <v>101.83</v>
    <v>102.32</v>
    <v>105.04</v>
    <v>104.65</v>
    <v>104.19</v>
    <v>107.59</v>
    <v>107.85</v>
    <v>108.31</v>
    <v>108.13</v>
    <v>109.87</v>
    <v>110.23</v>
    <v>110.76</v>
    <v>112.15</v>
    <v>111.65</v>
    <v>111.22</v>
    <v>111.59</v>
    <v>111.81</v>
    <v>111.51</v>
    <v>111.58</v>
    <v>111.12</v>
    <v>111.13</v>
    <v>111.82</v>
    <v>111.92</v>
    <v>112.78</v>
    <v>114.38</v>
    <v>114.54</v>
    <v>114.48</v>
    <v>114.88</v>
    <v>113.82</v>
    <v>114.94</v>
    <v>116.22</v>
    <v>114.92</v>
    <v>114.4</v>
    <v>113.9</v>
    <v>115.2</v>
    <v>114.98</v>
    <v>116.34</v>
    <v>117.36</v>
    <v>116.78</v>
    <v>116.72</v>
    <v>117.14</v>
    <v>117.56</v>
    <v>117.46</v>
    <v>118.06</v>
    <v>117.5</v>
    <v>117.64</v>
    <v>116.38</v>
    <v>115.72</v>
    <v>114.18</v>
    <v>114.02</v>
    <v>113.94</v>
    <v>116.18</v>
    <v>117.76</v>
    <v>117.72</v>
    <v>117.62</v>
    <v>117.14</v>
    <v>117.24</v>
    <v>117.1</v>
    <v>115.68</v>
    <v>116.08</v>
    <v>115.76</v>
    <v>115.62</v>
    <v>115.94</v>
    <v>117.12</v>
    <v>117.5</v>
    <v>117.4</v>
    <v>117.72</v>
    <v>118.2</v>
    <v>117.36</v>
    <v>116.28</v>
    <v>117.68</v>
    <v>118.06</v>
    <v>117.92</v>
    <v>118.02</v>
    <v>118.16</v>
    <v>118.18</v>
    <v>116.74</v>
    <v>116.94</v>
    <v>117.4</v>
    <v>117.7</v>
    <v>115.9</v>
    <v>116.72</v>
    <v>116.26</v>
    <v>116.8</v>
    <v>115.92</v>
    <v>116.22</v>
    <v>116.58</v>
    <v>118.32</v>
    <v>120</v>
    <v>120.66</v>
    <v>120.34</v>
    <v>121.08</v>
    <v>121.14</v>
    <v>121.06</v>
    <v>121.16</v>
    <v>121.64</v>
    <v>121.56</v>
    <v>121.4</v>
    <v>120.16</v>
    <v>120.4</v>
    <v>119.72</v>
    <v>120</v>
    <v>119.72</v>
    <v>120.08</v>
    <v>120.04</v>
    <v>120.44</v>
    <v>121.1</v>
    <v>119.84</v>
    <v>119.46</v>
    <v>119.56</v>
    <v>120.66</v>
    <v>120.22</v>
    <v>120.12</v>
    <v>119.92</v>
    <v>118.9</v>
    <v>118.42</v>
    <v>119.28</v>
    <v>118.58</v>
    <v>118.04</v>
    <v>118.58</v>
    <v>119.06</v>
    <v>118.68</v>
    <v>120.1</v>
    <v>120.6</v>
    <v>120</v>
    <v>119.08</v>
    <v>119.86</v>
    <v>119.26</v>
    <v>119</v>
    <v>119.68</v>
    <v>118.16</v>
    <v>119.64</v>
    <v>120.18</v>
    <v>121.34</v>
    <v>120.2</v>
    <v>119.86</v>
    <v>120.44</v>
    <v>120.76</v>
    <v>120.44</v>
    <v>119.86</v>
    <v>119.66</v>
    <v>119.7</v>
    <v>119.56</v>
    <v>119.48</v>
    <v>120.04</v>
    <v>118.58</v>
    <v>118.52</v>
  </a>
  <a r="1" c="208">
    <v>107.46</v>
    <v>108.59</v>
    <v>108.74</v>
    <v>109.09</v>
    <v>108.66</v>
    <v>109.39</v>
    <v>109.64</v>
    <v>109.63</v>
    <v>109.01</v>
    <v>109.9</v>
    <v>109.66</v>
    <v>108.41</v>
    <v>108.13</v>
    <v>108.03</v>
    <v>108.96</v>
    <v>108.84</v>
    <v>109.14</v>
    <v>109.65</v>
    <v>109.37</v>
    <v>108.46</v>
    <v>108.82</v>
    <v>109.56</v>
    <v>109.06</v>
    <v>108.71</v>
    <v>107.69</v>
    <v>108.85</v>
    <v>109.98</v>
    <v>110.15</v>
    <v>109.89</v>
    <v>108.83</v>
    <v>108.75</v>
    <v>108.38</v>
    <v>108.54</v>
    <v>109.63</v>
    <v>109.18</v>
    <v>109.6</v>
    <v>108.91</v>
    <v>109.28</v>
    <v>110.29</v>
    <v>110</v>
    <v>109.71</v>
    <v>109.01</v>
    <v>107.01</v>
    <v>108.57</v>
    <v>107.5</v>
    <v>106.4</v>
    <v>105.9</v>
    <v>107.78</v>
    <v>106.81</v>
    <v>105.92</v>
    <v>105.16</v>
    <v>105.71</v>
    <v>106.34</v>
    <v>105.55</v>
    <v>103.93</v>
    <v>103.14</v>
    <v>103.71</v>
    <v>103.74</v>
    <v>104.53</v>
    <v>103.24</v>
    <v>101.72</v>
    <v>101.83</v>
    <v>102.32</v>
    <v>105.04</v>
    <v>104.65</v>
    <v>104.19</v>
    <v>107.59</v>
    <v>107.85</v>
    <v>108.31</v>
    <v>108.13</v>
    <v>109.87</v>
    <v>110.23</v>
    <v>110.76</v>
    <v>112.15</v>
    <v>111.65</v>
    <v>111.22</v>
    <v>111.59</v>
    <v>111.81</v>
    <v>111.51</v>
    <v>111.58</v>
    <v>111.12</v>
    <v>111.13</v>
    <v>111.82</v>
    <v>111.92</v>
    <v>112.78</v>
    <v>114.38</v>
    <v>114.54</v>
    <v>114.48</v>
    <v>114.88</v>
    <v>113.82</v>
    <v>114.94</v>
    <v>116.22</v>
    <v>114.92</v>
    <v>114.4</v>
    <v>113.9</v>
    <v>115.2</v>
    <v>114.98</v>
    <v>116.34</v>
    <v>117.36</v>
    <v>116.78</v>
    <v>116.72</v>
    <v>117.14</v>
    <v>117.56</v>
    <v>117.46</v>
    <v>118.06</v>
    <v>117.5</v>
    <v>117.64</v>
    <v>116.38</v>
    <v>115.72</v>
    <v>114.18</v>
    <v>114.02</v>
    <v>113.94</v>
    <v>116.18</v>
    <v>117.76</v>
    <v>117.72</v>
    <v>117.62</v>
    <v>117.14</v>
    <v>117.24</v>
    <v>117.1</v>
    <v>115.68</v>
    <v>116.08</v>
    <v>115.76</v>
    <v>115.62</v>
    <v>115.94</v>
    <v>117.12</v>
    <v>117.5</v>
    <v>117.4</v>
    <v>117.72</v>
    <v>118.2</v>
    <v>117.36</v>
    <v>116.28</v>
    <v>117.68</v>
    <v>118.06</v>
    <v>117.92</v>
    <v>118.02</v>
    <v>118.16</v>
    <v>118.18</v>
    <v>116.74</v>
    <v>116.94</v>
    <v>117.4</v>
    <v>117.7</v>
    <v>115.9</v>
    <v>116.72</v>
    <v>116.26</v>
    <v>116.8</v>
    <v>115.92</v>
    <v>116.22</v>
    <v>116.58</v>
    <v>118.32</v>
    <v>120</v>
    <v>120.66</v>
    <v>120.34</v>
    <v>121.08</v>
    <v>121.14</v>
    <v>121.06</v>
    <v>121.16</v>
    <v>121.64</v>
    <v>121.56</v>
    <v>121.4</v>
    <v>120.16</v>
    <v>120.4</v>
    <v>119.72</v>
    <v>120</v>
    <v>119.72</v>
    <v>120.08</v>
    <v>120.04</v>
    <v>120.44</v>
    <v>121.1</v>
    <v>119.84</v>
    <v>119.46</v>
    <v>119.56</v>
    <v>120.66</v>
    <v>120.22</v>
    <v>120.12</v>
    <v>119.92</v>
    <v>118.9</v>
    <v>118.42</v>
    <v>119.28</v>
    <v>118.58</v>
    <v>118.04</v>
    <v>118.58</v>
    <v>119.06</v>
    <v>118.68</v>
    <v>120.1</v>
    <v>120.6</v>
    <v>120</v>
    <v>119.08</v>
    <v>119.86</v>
    <v>119.26</v>
    <v>119</v>
    <v>119.68</v>
    <v>118.16</v>
    <v>119.64</v>
    <v>120.18</v>
    <v>121.34</v>
    <v>120.2</v>
    <v>119.86</v>
    <v>120.44</v>
    <v>120.76</v>
    <v>120.44</v>
    <v>119.86</v>
    <v>119.66</v>
    <v>119.7</v>
    <v>119.56</v>
    <v>119.48</v>
    <v>120.04</v>
    <v>118.58</v>
    <v>118.52</v>
  </a>
  <a r="1" c="205">
    <v>285.41000000000003</v>
    <v>315.42</v>
    <v>312.14999999999998</v>
    <v>343.43</v>
    <v>339.55</v>
    <v>327.02</v>
    <v>345.09</v>
    <v>345.87</v>
    <v>338.13</v>
    <v>333.35</v>
    <v>336.63</v>
    <v>362.75</v>
    <v>365</v>
    <v>389.11</v>
    <v>397.58</v>
    <v>399.65</v>
    <v>389.09</v>
    <v>410.24</v>
    <v>435.28</v>
    <v>435.79</v>
    <v>414.88</v>
    <v>437.8</v>
    <v>419.44</v>
    <v>379.4</v>
    <v>382.89</v>
    <v>394.69</v>
    <v>383.5</v>
    <v>373.25</v>
    <v>410.34</v>
    <v>413.97</v>
    <v>411.66</v>
    <v>399.78</v>
    <v>420.95</v>
    <v>417.35</v>
    <v>428.17</v>
    <v>420.97</v>
    <v>418.01</v>
    <v>429</v>
    <v>415.56</v>
    <v>412.37</v>
    <v>412.67</v>
    <v>379.68</v>
    <v>400.77</v>
    <v>397.05</v>
    <v>370.3</v>
    <v>389.32</v>
    <v>403.11</v>
    <v>418.69</v>
    <v>405.35</v>
    <v>426.13</v>
    <v>441.8</v>
    <v>461.69</v>
    <v>461.73</v>
    <v>444.27</v>
    <v>422.9</v>
    <v>404.35</v>
    <v>395.53</v>
    <v>382.09</v>
    <v>355.46</v>
    <v>357.22</v>
    <v>321.8</v>
    <v>337.84</v>
    <v>367.85</v>
    <v>366.24</v>
    <v>377.76</v>
    <v>377.58</v>
    <v>406.73</v>
    <v>421.51</v>
    <v>420.59</v>
    <v>426.56</v>
    <v>465.66</v>
    <v>456.23</v>
    <v>457.23</v>
    <v>455.07</v>
    <v>448.42</v>
    <v>449.38</v>
    <v>487.48</v>
    <v>481.72</v>
    <v>496.72</v>
    <v>524.55999999999995</v>
    <v>504.29</v>
    <v>518.46</v>
    <v>517.16</v>
    <v>542.21</v>
    <v>576.45000000000005</v>
    <v>640.20000000000005</v>
    <v>666.59</v>
    <v>646.63</v>
    <v>746.81</v>
    <v>795.33</v>
    <v>766.58</v>
    <v>803.63</v>
    <v>776.01</v>
    <v>724.66</v>
    <v>681.54</v>
    <v>698.74</v>
    <v>731.99</v>
    <v>762.1</v>
    <v>751</v>
    <v>895.88</v>
    <v>928.41</v>
    <v>923.52</v>
    <v>971</v>
    <v>1035.5</v>
    <v>1064.0999999999999</v>
    <v>1079.57</v>
    <v>996</v>
    <v>864.01</v>
    <v>949.28</v>
    <v>935.89</v>
    <v>891.88</v>
    <v>995.87</v>
    <v>981.61</v>
    <v>1087.99</v>
    <v>1020.76</v>
    <v>1043.19</v>
    <v>1133.99</v>
    <v>1211.3800000000001</v>
    <v>1051.77</v>
    <v>1048.51</v>
    <v>1213.56</v>
    <v>1132.33</v>
    <v>1145.28</v>
    <v>1154.29</v>
    <v>1032.28</v>
    <v>975.56</v>
    <v>984.75</v>
    <v>938.38</v>
    <v>948.8</v>
    <v>991.64</v>
    <v>979.3</v>
    <v>937</v>
    <v>983.12</v>
    <v>904.28</v>
    <v>853.2</v>
    <v>848.95</v>
    <v>865.46</v>
    <v>970.82</v>
    <v>959.48</v>
    <v>990.21</v>
    <v>920.95</v>
    <v>900.2</v>
    <v>820.53</v>
    <v>739</v>
    <v>874.66</v>
    <v>823.03</v>
    <v>829.5</v>
    <v>892.67</v>
    <v>893.19</v>
    <v>881.47</v>
    <v>877.57</v>
    <v>861</v>
    <v>868.52</v>
    <v>911.29</v>
    <v>949.83</v>
    <v>971.66</v>
    <v>1011.75</v>
    <v>940.76</v>
    <v>937.10500000000002</v>
    <v>974.33</v>
    <v>966.78</v>
    <v>910.43</v>
    <v>932.97</v>
    <v>938.4</v>
    <v>935.39</v>
    <v>932.86</v>
    <v>958.73</v>
    <v>933.44</v>
    <v>956.08</v>
    <v>958.16</v>
    <v>1016.59</v>
    <v>1000.26</v>
    <v>1027.77</v>
    <v>977.41</v>
    <v>975.26</v>
    <v>924.03</v>
    <v>927.6</v>
    <v>926.55</v>
    <v>977.5</v>
    <v>1015.8</v>
    <v>1043.96</v>
    <v>1096.1600000000001</v>
    <v>1071.8800000000001</v>
    <v>1080.53</v>
    <v>1082.28</v>
    <v>1053.98</v>
    <v>1065.08</v>
    <v>1065.1099999999999</v>
    <v>1097.3900000000001</v>
    <v>1074.8900000000001</v>
    <v>1063.96</v>
    <v>1045.56</v>
    <v>1088</v>
    <v>1035.8399999999999</v>
    <v>1029</v>
    <v>989.04</v>
    <v>953.19</v>
    <v>914.13</v>
    <v>931.24</v>
    <v>878.84</v>
    <v>904.9</v>
    <v>896.07</v>
    <v>913.67</v>
    <v>856.49</v>
    <v>877.55</v>
  </a>
  <a r="1" c="754">
    <v>66.88</v>
    <v>68.069999999999993</v>
    <v>66.5</v>
    <v>64.53</v>
    <v>65.650000000000006</v>
    <v>66.069999999999993</v>
    <v>66.87</v>
    <v>69.400000000000006</v>
    <v>70.44</v>
    <v>72.58</v>
    <v>72.92</v>
    <v>72.8</v>
    <v>72.28</v>
    <v>73.569999999999993</v>
    <v>75.36</v>
    <v>74.78</v>
    <v>77.17</v>
    <v>77.14</v>
    <v>76.67</v>
    <v>77.56</v>
    <v>78.62</v>
    <v>76.709999999999994</v>
    <v>77.099999999999994</v>
    <v>76.87</v>
    <v>77.510000000000005</v>
    <v>76.12</v>
    <v>76.69</v>
    <v>76.12</v>
    <v>75.930000000000007</v>
    <v>74.290000000000006</v>
    <v>73.69</v>
    <v>73.13</v>
    <v>73.650000000000006</v>
    <v>74.959999999999994</v>
    <v>77.790000000000006</v>
    <v>78.16</v>
    <v>79.790000000000006</v>
    <v>82.19</v>
    <v>81.41</v>
    <v>81.56</v>
    <v>82.17</v>
    <v>78.69</v>
    <v>85.48</v>
    <v>86.49</v>
    <v>87.06</v>
    <v>86.66</v>
    <v>86</v>
    <v>85.34</v>
    <v>82.34</v>
    <v>82.26</v>
    <v>82.71</v>
    <v>83.45</v>
    <v>84.95</v>
    <v>83.33</v>
    <v>82.38</v>
    <v>83.39</v>
    <v>82.39</v>
    <v>84.61</v>
    <v>83.28</v>
    <v>84.82</v>
    <v>87.51</v>
    <v>89.24</v>
    <v>87.53</v>
    <v>88.08</v>
    <v>89.2</v>
    <v>88.05</v>
    <v>89.07</v>
    <v>86.16</v>
    <v>85.75</v>
    <v>85.61</v>
    <v>86.48</v>
    <v>86.98</v>
    <v>84.6</v>
    <v>85.17</v>
    <v>84.88</v>
    <v>85.56</v>
    <v>85.7</v>
    <v>81.53</v>
    <v>81.83</v>
    <v>81.63</v>
    <v>79.5</v>
    <v>80.709999999999994</v>
    <v>81.489999999999995</v>
    <v>85.91</v>
    <v>86</v>
    <v>89.46</v>
    <v>91.85</v>
    <v>89.71</v>
    <v>90.61</v>
    <v>95.15</v>
    <v>95.77</v>
    <v>94.47</v>
    <v>95.56</v>
    <v>98.98</v>
    <v>97.62</v>
    <v>94.51</v>
    <v>97.42</v>
    <v>94.16</v>
    <v>91.43</v>
    <v>93.25</v>
    <v>93.78</v>
    <v>94</v>
    <v>96.25</v>
    <v>109.85</v>
    <v>110.21</v>
    <v>117.13</v>
    <v>118.8</v>
    <v>119.25</v>
    <v>117.89</v>
    <v>124.3</v>
    <v>122.75</v>
    <v>128.01</v>
    <v>124.09</v>
    <v>123.58</v>
    <v>122.95</v>
    <v>122.63</v>
    <v>122.2</v>
    <v>127.51</v>
    <v>122.52</v>
    <v>121.37</v>
    <v>121.77</v>
    <v>116.33</v>
    <v>111.93</v>
    <v>106.77</v>
    <v>109.12</v>
    <v>112.46</v>
    <v>111.78</v>
    <v>111.58</v>
    <v>114.84</v>
    <v>114.36</v>
    <v>112.96</v>
    <v>109.7</v>
    <v>112.33</v>
    <v>114.7</v>
    <v>120.13</v>
    <v>119.21</v>
    <v>119.32</v>
    <v>117.81</v>
    <v>121.24</v>
    <v>123</v>
    <v>124.81</v>
    <v>127.81</v>
    <v>127.89</v>
    <v>125.29</v>
    <v>129</v>
    <v>127.5</v>
    <v>126.28</v>
    <v>126.27</v>
    <v>129.49</v>
    <v>132.66999999999999</v>
    <v>131.58000000000001</v>
    <v>126.29</v>
    <v>125</v>
    <v>128.16999999999999</v>
    <v>126.64</v>
    <v>133.71</v>
    <v>130.07</v>
    <v>130.94</v>
    <v>134.82</v>
    <v>135.07</v>
    <v>140.75</v>
    <v>143.13999999999999</v>
    <v>141.36000000000001</v>
    <v>147.83000000000001</v>
    <v>153.44999999999999</v>
    <v>144.19</v>
    <v>139.54</v>
    <v>139.01</v>
    <v>141.12</v>
    <v>142.36000000000001</v>
    <v>132.22999999999999</v>
    <v>131.53</v>
    <v>131.52000000000001</v>
    <v>132.59</v>
    <v>136.82</v>
    <v>131.6</v>
    <v>130.69</v>
    <v>131.13999999999999</v>
    <v>136.38999999999999</v>
    <v>130.22999999999999</v>
    <v>133.55000000000001</v>
    <v>130.87</v>
    <v>127.49</v>
    <v>119.5</v>
    <v>117.45</v>
    <v>114.26</v>
    <v>115.28</v>
    <v>114.25</v>
    <v>110.28</v>
    <v>107.45</v>
    <v>109.41</v>
    <v>107.85</v>
    <v>102.56</v>
    <v>109.82</v>
    <v>101.51</v>
    <v>92.7</v>
    <v>90.42</v>
    <v>89</v>
    <v>86.8</v>
    <v>92.07</v>
    <v>93.08</v>
    <v>94.64</v>
    <v>97.44</v>
    <v>100.41</v>
    <v>106.95</v>
    <v>107.99</v>
    <v>108.63</v>
    <v>107.99</v>
    <v>108.33</v>
    <v>104.26</v>
    <v>102.85</v>
    <v>98.91</v>
    <v>97.86</v>
    <v>94.86</v>
    <v>95.57</v>
    <v>96.24</v>
    <v>88.58</v>
    <v>89.29</v>
    <v>89.39</v>
    <v>86.38</v>
    <v>86.27</v>
    <v>86.85</v>
    <v>90.65</v>
    <v>87.21</v>
    <v>91.22</v>
    <v>87.18</v>
    <v>88.73</v>
    <v>87.35</v>
    <v>89.25</v>
    <v>90.9</v>
    <v>93.57</v>
    <v>94</v>
    <v>95.77</v>
    <v>109.88</v>
    <v>107.5</v>
    <v>103.71</v>
    <v>100.31</v>
    <v>99.85</v>
    <v>101.82</v>
    <v>102.25</v>
    <v>102.91</v>
    <v>102.54</v>
    <v>101.7</v>
    <v>105.69</v>
    <v>106.92</v>
    <v>108.34</v>
    <v>104.32</v>
    <v>109.24</v>
    <v>112.05</v>
    <v>111.15</v>
    <v>109.08</v>
    <v>107.82</v>
    <v>105.05</v>
    <v>106.85</v>
    <v>107.91</v>
    <v>106.39</v>
    <v>108.18</v>
    <v>104.08</v>
    <v>99.65</v>
    <v>99.73</v>
    <v>101.73</v>
    <v>105.49</v>
    <v>111.83</v>
    <v>113.41</v>
    <v>111.9</v>
    <v>108.65</v>
    <v>104.1</v>
    <v>99.92</v>
    <v>99.18</v>
    <v>96.34</v>
    <v>97.51</v>
    <v>97.73</v>
    <v>98.37</v>
    <v>102.76</v>
    <v>102.64</v>
    <v>104.48</v>
    <v>101.8</v>
    <v>98.2</v>
    <v>97.95</v>
    <v>98.55</v>
    <v>99.84</v>
    <v>103.2</v>
    <v>100.87</v>
    <v>101.17</v>
    <v>102.82</v>
    <v>98.1</v>
    <v>102.05500000000001</v>
    <v>98.24</v>
    <v>102.5</v>
    <v>108.26</v>
    <v>108.6</v>
    <v>103.9</v>
    <v>87.09</v>
    <v>90.12</v>
    <v>89.72</v>
    <v>89.28</v>
    <v>89.82</v>
    <v>88.63</v>
    <v>85.31</v>
    <v>84.16</v>
    <v>87.33</v>
    <v>89.87</v>
    <v>99.26</v>
    <v>101.91</v>
    <v>99.41</v>
    <v>99.34</v>
    <v>95.06</v>
    <v>97.36</v>
    <v>103.19</v>
    <v>102.6</v>
    <v>105.75</v>
    <v>109.38</v>
    <v>109.23</v>
    <v>104.84</v>
    <v>103.19</v>
    <v>91.11</v>
    <v>88.25</v>
    <v>89.01</v>
    <v>92.5</v>
    <v>91.24</v>
    <v>89.92</v>
    <v>90.66</v>
    <v>93.6</v>
    <v>94.54</v>
    <v>92.3</v>
    <v>95.93</v>
    <v>94.08</v>
    <v>91.68</v>
    <v>95.66</v>
    <v>99.52</v>
    <v>106.79</v>
    <v>104.36</v>
    <v>103.18</v>
    <v>98.84</v>
    <v>95.41</v>
    <v>93.22</v>
    <v>97.71</v>
    <v>91.82</v>
    <v>93.63</v>
    <v>90.54</v>
    <v>91.2</v>
    <v>94.34</v>
    <v>89.27</v>
    <v>92.96</v>
    <v>87.08</v>
    <v>89.05</v>
    <v>95.64</v>
    <v>94.88</v>
    <v>100.79</v>
    <v>103.11</v>
    <v>101.72</v>
    <v>102.06</v>
    <v>103</v>
    <v>94.72</v>
    <v>96.94</v>
    <v>94.18</v>
    <v>92.13</v>
    <v>91.16</v>
    <v>88.44</v>
    <v>86.89</v>
    <v>88.71</v>
    <v>88.6</v>
    <v>74.34</v>
    <v>64.72</v>
    <v>68.37</v>
    <v>65.540000000000006</v>
    <v>77.87</v>
    <v>70.05</v>
    <v>69.55</v>
    <v>71.02</v>
    <v>71.040000000000006</v>
    <v>69.33</v>
    <v>68.8</v>
    <v>66.739999999999995</v>
    <v>70.209999999999994</v>
    <v>72.930000000000007</v>
    <v>77.42</v>
    <v>79.78</v>
    <v>78.56</v>
    <v>76.88</v>
    <v>76.95</v>
    <v>77.77</v>
    <v>80.72</v>
    <v>80.42</v>
    <v>80.510000000000005</v>
    <v>82.62</v>
    <v>85.15</v>
    <v>85.86</v>
    <v>92.29</v>
    <v>96.93</v>
    <v>95.32</v>
    <v>95.45</v>
    <v>98</v>
    <v>98.65</v>
    <v>98.1</v>
    <v>95.84</v>
    <v>94.83</v>
    <v>93.37</v>
    <v>96.38</v>
    <v>96.18</v>
    <v>96.8</v>
    <v>94.46</v>
    <v>98.18</v>
    <v>102.25</v>
    <v>103.25</v>
    <v>106.29</v>
    <v>108.56</v>
    <v>110.95</v>
    <v>114.14</v>
    <v>116.03</v>
    <v>116.18</v>
    <v>115.6</v>
    <v>119.84</v>
    <v>120.34</v>
    <v>121.82</v>
    <v>123.6</v>
    <v>122.08</v>
    <v>127.91</v>
    <v>127.25</v>
    <v>126</v>
    <v>124.76</v>
    <v>123.25</v>
    <v>120.89</v>
    <v>121.74</v>
    <v>122.29</v>
    <v>119.92</v>
    <v>124.42</v>
    <v>122.24</v>
    <v>123.11</v>
    <v>124.53</v>
    <v>118.61</v>
    <v>120.11</v>
    <v>116.43</v>
    <v>113.26</v>
    <v>114.39</v>
    <v>113.23</v>
    <v>109.22</v>
    <v>109.83</v>
    <v>111.73</v>
    <v>111.26</v>
    <v>111.25</v>
    <v>111.96</v>
    <v>114.74</v>
    <v>109.14</v>
    <v>104.88</v>
    <v>107.77</v>
    <v>109.06</v>
    <v>108.78</v>
    <v>111.87</v>
    <v>118.89</v>
    <v>123.72</v>
    <v>127.75</v>
    <v>124.27</v>
    <v>125.29</v>
    <v>120.87</v>
    <v>123.55</v>
    <v>122.05</v>
    <v>117.21</v>
    <v>115.79</v>
    <v>117.68</v>
    <v>116.42</v>
    <v>116.5</v>
    <v>117.75</v>
    <v>122</v>
    <v>119.01</v>
    <v>118.48</v>
    <v>118.72</v>
    <v>124.21</v>
    <v>131.37</v>
    <v>131.46</v>
    <v>135.24</v>
    <v>140</v>
    <v>150.57</v>
    <v>157.22999999999999</v>
    <v>157.77000000000001</v>
    <v>158.82</v>
    <v>159.99</v>
    <v>168.89</v>
    <v>162.72999999999999</v>
    <v>164.62</v>
    <v>166.41</v>
    <v>161.71</v>
    <v>156.83000000000001</v>
    <v>157.27000000000001</v>
    <v>163.9</v>
    <v>167.32</v>
    <v>182.15</v>
    <v>183.75</v>
    <v>187.83</v>
    <v>190.96</v>
    <v>185.69</v>
    <v>196.54</v>
    <v>192.33</v>
    <v>181.6</v>
    <v>192.77</v>
    <v>187.06</v>
    <v>191.94</v>
    <v>202.53</v>
    <v>202.38</v>
    <v>206.77</v>
    <v>202.29</v>
    <v>198.47</v>
    <v>206.71</v>
    <v>219.02</v>
    <v>220.1</v>
    <v>221.91</v>
    <v>226.63</v>
    <v>224.01</v>
    <v>223.77</v>
    <v>234.7</v>
    <v>218.03</v>
    <v>237.5</v>
    <v>238.33</v>
    <v>237.92</v>
    <v>253.3</v>
    <v>241.11</v>
    <v>244.9</v>
    <v>236.95</v>
    <v>246.83</v>
    <v>241.95</v>
    <v>228.5</v>
    <v>225.92</v>
    <v>201.37</v>
    <v>207.37</v>
    <v>223.93</v>
    <v>224.53</v>
    <v>230.26</v>
    <v>236.48</v>
    <v>240.46</v>
    <v>239.49</v>
    <v>234.16</v>
    <v>226.65</v>
    <v>237.22</v>
    <v>246.92</v>
    <v>252.42</v>
    <v>263.70999999999998</v>
    <v>258.45999999999998</v>
    <v>241.14</v>
    <v>237.5</v>
    <v>232.51</v>
    <v>225.52</v>
    <v>248.55</v>
    <v>265.92</v>
    <v>276.58999999999997</v>
    <v>276.27</v>
    <v>286.68</v>
    <v>284.79000000000002</v>
    <v>294.37</v>
    <v>292.63</v>
    <v>285.41000000000003</v>
    <v>315.42</v>
    <v>312.14999999999998</v>
    <v>343.43</v>
    <v>339.55</v>
    <v>327.02</v>
    <v>345.09</v>
    <v>345.87</v>
    <v>338.13</v>
    <v>333.35</v>
    <v>336.63</v>
    <v>362.75</v>
    <v>365</v>
    <v>389.11</v>
    <v>397.58</v>
    <v>399.65</v>
    <v>389.09</v>
    <v>410.24</v>
    <v>435.28</v>
    <v>435.79</v>
    <v>414.88</v>
    <v>437.8</v>
    <v>419.44</v>
    <v>379.4</v>
    <v>382.89</v>
    <v>394.69</v>
    <v>383.5</v>
    <v>373.25</v>
    <v>410.34</v>
    <v>413.97</v>
    <v>411.66</v>
    <v>399.78</v>
    <v>420.95</v>
    <v>417.35</v>
    <v>428.17</v>
    <v>420.97</v>
    <v>418.01</v>
    <v>429</v>
    <v>415.56</v>
    <v>412.37</v>
    <v>412.67</v>
    <v>379.68</v>
    <v>400.77</v>
    <v>397.05</v>
    <v>370.3</v>
    <v>389.32</v>
    <v>403.11</v>
    <v>418.69</v>
    <v>405.35</v>
    <v>426.13</v>
    <v>441.8</v>
    <v>461.69</v>
    <v>461.73</v>
    <v>444.27</v>
    <v>422.9</v>
    <v>404.35</v>
    <v>395.53</v>
    <v>382.09</v>
    <v>355.46</v>
    <v>357.22</v>
    <v>321.8</v>
    <v>337.84</v>
    <v>367.85</v>
    <v>366.24</v>
    <v>377.76</v>
    <v>377.58</v>
    <v>406.73</v>
    <v>421.51</v>
    <v>420.59</v>
    <v>426.56</v>
    <v>465.66</v>
    <v>456.23</v>
    <v>457.23</v>
    <v>455.07</v>
    <v>448.42</v>
    <v>449.38</v>
    <v>487.48</v>
    <v>481.72</v>
    <v>496.72</v>
    <v>524.55999999999995</v>
    <v>504.29</v>
    <v>518.46</v>
    <v>517.16</v>
    <v>542.21</v>
    <v>576.45000000000005</v>
    <v>640.20000000000005</v>
    <v>666.59</v>
    <v>646.63</v>
    <v>746.81</v>
    <v>795.33</v>
    <v>766.58</v>
    <v>803.63</v>
    <v>776.01</v>
    <v>724.66</v>
    <v>681.54</v>
    <v>698.74</v>
    <v>731.99</v>
    <v>762.1</v>
    <v>751</v>
    <v>895.88</v>
    <v>928.41</v>
    <v>923.52</v>
    <v>971</v>
    <v>1035.5</v>
    <v>1064.0999999999999</v>
    <v>1079.57</v>
    <v>996</v>
    <v>864.01</v>
    <v>949.28</v>
    <v>935.89</v>
    <v>891.88</v>
    <v>995.87</v>
    <v>981.61</v>
    <v>1087.99</v>
    <v>1020.76</v>
    <v>1043.19</v>
    <v>1133.99</v>
    <v>1211.3800000000001</v>
    <v>1051.77</v>
    <v>1048.51</v>
    <v>1213.56</v>
    <v>1132.33</v>
    <v>1145.28</v>
    <v>1154.29</v>
    <v>1032.28</v>
    <v>975.56</v>
    <v>984.75</v>
    <v>938.38</v>
    <v>948.8</v>
    <v>991.64</v>
    <v>979.3</v>
    <v>937</v>
    <v>983.12</v>
    <v>904.28</v>
    <v>853.2</v>
    <v>848.95</v>
    <v>865.46</v>
    <v>970.82</v>
    <v>959.48</v>
    <v>990.21</v>
    <v>920.95</v>
    <v>900.2</v>
    <v>820.53</v>
    <v>739</v>
    <v>874.66</v>
    <v>823.03</v>
    <v>829.5</v>
    <v>892.67</v>
    <v>893.19</v>
    <v>881.47</v>
    <v>877.57</v>
    <v>861</v>
    <v>868.52</v>
    <v>911.29</v>
    <v>949.83</v>
    <v>971.66</v>
    <v>1011.75</v>
    <v>940.76</v>
    <v>937.10500000000002</v>
    <v>974.33</v>
    <v>966.78</v>
    <v>910.43</v>
    <v>932.97</v>
    <v>938.4</v>
    <v>935.39</v>
    <v>932.86</v>
    <v>958.73</v>
    <v>933.44</v>
    <v>956.08</v>
    <v>958.16</v>
    <v>1016.59</v>
    <v>1000.26</v>
    <v>1027.77</v>
    <v>977.41</v>
    <v>975.26</v>
    <v>924.03</v>
    <v>927.6</v>
    <v>926.55</v>
    <v>977.5</v>
    <v>1015.8</v>
    <v>1043.96</v>
    <v>1096.1600000000001</v>
    <v>1071.8800000000001</v>
    <v>1080.53</v>
    <v>1082.28</v>
    <v>1053.98</v>
    <v>1065.08</v>
    <v>1065.1099999999999</v>
    <v>1097.3900000000001</v>
    <v>1074.8900000000001</v>
    <v>1063.96</v>
    <v>1045.56</v>
    <v>1088</v>
    <v>1035.8399999999999</v>
    <v>1029</v>
    <v>989.04</v>
    <v>953.19</v>
    <v>914.13</v>
    <v>931.24</v>
    <v>878.84</v>
    <v>904.9</v>
    <v>896.07</v>
    <v>913.67</v>
    <v>856.49</v>
    <v>877.55</v>
  </a>
  <a r="1" c="252">
    <v>206.71</v>
    <v>219.02</v>
    <v>220.1</v>
    <v>221.91</v>
    <v>226.63</v>
    <v>224.01</v>
    <v>223.77</v>
    <v>234.7</v>
    <v>218.03</v>
    <v>237.5</v>
    <v>238.33</v>
    <v>237.92</v>
    <v>253.3</v>
    <v>241.11</v>
    <v>244.9</v>
    <v>236.95</v>
    <v>246.83</v>
    <v>241.95</v>
    <v>228.5</v>
    <v>225.92</v>
    <v>201.37</v>
    <v>207.37</v>
    <v>223.93</v>
    <v>224.53</v>
    <v>230.26</v>
    <v>236.48</v>
    <v>240.46</v>
    <v>239.49</v>
    <v>234.16</v>
    <v>226.65</v>
    <v>237.22</v>
    <v>246.92</v>
    <v>252.42</v>
    <v>263.70999999999998</v>
    <v>258.45999999999998</v>
    <v>241.14</v>
    <v>237.5</v>
    <v>232.51</v>
    <v>225.52</v>
    <v>248.55</v>
    <v>265.92</v>
    <v>276.58999999999997</v>
    <v>276.27</v>
    <v>286.68</v>
    <v>284.79000000000002</v>
    <v>294.37</v>
    <v>292.63</v>
    <v>285.41000000000003</v>
    <v>315.42</v>
    <v>312.14999999999998</v>
    <v>343.43</v>
    <v>339.55</v>
    <v>327.02</v>
    <v>345.09</v>
    <v>345.87</v>
    <v>338.13</v>
    <v>333.35</v>
    <v>336.63</v>
    <v>362.75</v>
    <v>365</v>
    <v>389.11</v>
    <v>397.58</v>
    <v>399.65</v>
    <v>389.09</v>
    <v>410.24</v>
    <v>435.28</v>
    <v>435.79</v>
    <v>414.88</v>
    <v>437.8</v>
    <v>419.44</v>
    <v>379.4</v>
    <v>382.89</v>
    <v>394.69</v>
    <v>383.5</v>
    <v>373.25</v>
    <v>410.34</v>
    <v>413.97</v>
    <v>411.66</v>
    <v>399.78</v>
    <v>420.95</v>
    <v>417.35</v>
    <v>428.17</v>
    <v>420.97</v>
    <v>418.01</v>
    <v>429</v>
    <v>415.56</v>
    <v>412.37</v>
    <v>412.67</v>
    <v>379.68</v>
    <v>400.77</v>
    <v>397.05</v>
    <v>370.3</v>
    <v>389.32</v>
    <v>403.11</v>
    <v>418.69</v>
    <v>405.35</v>
    <v>426.13</v>
    <v>441.8</v>
    <v>461.69</v>
    <v>461.73</v>
    <v>444.27</v>
    <v>422.9</v>
    <v>404.35</v>
    <v>395.53</v>
    <v>382.09</v>
    <v>355.46</v>
    <v>357.22</v>
    <v>321.8</v>
    <v>337.84</v>
    <v>367.85</v>
    <v>366.24</v>
    <v>377.76</v>
    <v>377.58</v>
    <v>406.73</v>
    <v>421.51</v>
    <v>420.59</v>
    <v>426.56</v>
    <v>465.66</v>
    <v>456.23</v>
    <v>457.23</v>
    <v>455.07</v>
    <v>448.42</v>
    <v>449.38</v>
    <v>487.48</v>
    <v>481.72</v>
    <v>496.72</v>
    <v>524.55999999999995</v>
    <v>504.29</v>
    <v>518.46</v>
    <v>517.16</v>
    <v>542.21</v>
    <v>576.45000000000005</v>
    <v>640.20000000000005</v>
    <v>666.59</v>
    <v>646.63</v>
    <v>746.81</v>
    <v>795.33</v>
    <v>766.58</v>
    <v>803.63</v>
    <v>776.01</v>
    <v>724.66</v>
    <v>681.54</v>
    <v>698.74</v>
    <v>731.99</v>
    <v>762.1</v>
    <v>751</v>
    <v>895.88</v>
    <v>928.41</v>
    <v>923.52</v>
    <v>971</v>
    <v>1035.5</v>
    <v>1064.0999999999999</v>
    <v>1079.57</v>
    <v>996</v>
    <v>864.01</v>
    <v>949.28</v>
    <v>935.89</v>
    <v>891.88</v>
    <v>995.87</v>
    <v>981.61</v>
    <v>1087.99</v>
    <v>1020.76</v>
    <v>1043.19</v>
    <v>1133.99</v>
    <v>1211.3800000000001</v>
    <v>1051.77</v>
    <v>1048.51</v>
    <v>1213.56</v>
    <v>1132.33</v>
    <v>1145.28</v>
    <v>1154.29</v>
    <v>1032.28</v>
    <v>975.56</v>
    <v>984.75</v>
    <v>938.38</v>
    <v>948.8</v>
    <v>991.64</v>
    <v>979.3</v>
    <v>937</v>
    <v>983.12</v>
    <v>904.28</v>
    <v>853.2</v>
    <v>848.95</v>
    <v>865.46</v>
    <v>970.82</v>
    <v>959.48</v>
    <v>990.21</v>
    <v>920.95</v>
    <v>900.2</v>
    <v>820.53</v>
    <v>739</v>
    <v>874.66</v>
    <v>823.03</v>
    <v>829.5</v>
    <v>892.67</v>
    <v>893.19</v>
    <v>881.47</v>
    <v>877.57</v>
    <v>861</v>
    <v>868.52</v>
    <v>911.29</v>
    <v>949.83</v>
    <v>971.66</v>
    <v>1011.75</v>
    <v>940.76</v>
    <v>937.10500000000002</v>
    <v>974.33</v>
    <v>966.78</v>
    <v>910.43</v>
    <v>932.97</v>
    <v>938.4</v>
    <v>935.39</v>
    <v>932.86</v>
    <v>958.73</v>
    <v>933.44</v>
    <v>956.08</v>
    <v>958.16</v>
    <v>1016.59</v>
    <v>1000.26</v>
    <v>1027.77</v>
    <v>977.41</v>
    <v>975.26</v>
    <v>924.03</v>
    <v>927.6</v>
    <v>926.55</v>
    <v>977.5</v>
    <v>1015.8</v>
    <v>1043.96</v>
    <v>1096.1600000000001</v>
    <v>1071.8800000000001</v>
    <v>1080.53</v>
    <v>1082.28</v>
    <v>1053.98</v>
    <v>1065.08</v>
    <v>1065.1099999999999</v>
    <v>1097.3900000000001</v>
    <v>1074.8900000000001</v>
    <v>1063.96</v>
    <v>1045.56</v>
    <v>1088</v>
    <v>1035.8399999999999</v>
    <v>1029</v>
    <v>989.04</v>
    <v>953.19</v>
    <v>914.13</v>
    <v>931.24</v>
    <v>878.84</v>
    <v>904.9</v>
    <v>896.07</v>
    <v>913.67</v>
    <v>856.49</v>
    <v>877.55</v>
  </a>
  <a r="1" c="254">
    <v>47.71</v>
    <v>48.094999999999999</v>
    <v>48.52</v>
    <v>48.674999999999997</v>
    <v>48.82</v>
    <v>48.865000000000002</v>
    <v>48.765000000000001</v>
    <v>48.935000000000002</v>
    <v>48.695</v>
    <v>48.99</v>
    <v>48.74</v>
    <v>48.32</v>
    <v>49.094999999999999</v>
    <v>49.31</v>
    <v>49.96</v>
    <v>49.6</v>
    <v>49.575000000000003</v>
    <v>49.145000000000003</v>
    <v>48.09</v>
    <v>48.145000000000003</v>
    <v>48.104999999999997</v>
    <v>48.055</v>
    <v>48.7</v>
    <v>49.005000000000003</v>
    <v>49.54</v>
    <v>49.465000000000003</v>
    <v>49.825000000000003</v>
    <v>49.69</v>
    <v>49.83</v>
    <v>49.9</v>
    <v>50.14</v>
    <v>50.3</v>
    <v>50.29</v>
    <v>50.48</v>
    <v>50.58</v>
    <v>50.78</v>
    <v>50.52</v>
    <v>50.68</v>
    <v>50.3</v>
    <v>50.08</v>
    <v>50.61</v>
    <v>50.93</v>
    <v>50.87</v>
    <v>50.91</v>
    <v>51.12</v>
    <v>51.39</v>
    <v>51.66</v>
    <v>52.14</v>
    <v>52.6</v>
    <v>52.55</v>
    <v>52.47</v>
    <v>53.09</v>
    <v>53.07</v>
    <v>53.15</v>
    <v>53.36</v>
    <v>53.88</v>
    <v>53.69</v>
    <v>53.15</v>
    <v>52.81</v>
    <v>53.41</v>
    <v>53.87</v>
    <v>53.29</v>
    <v>53.04</v>
    <v>53.22</v>
    <v>53.61</v>
    <v>53.52</v>
    <v>54.11</v>
    <v>54.87</v>
    <v>55.19</v>
    <v>55.44</v>
    <v>54.86</v>
    <v>55.71</v>
    <v>55.79</v>
    <v>55.99</v>
    <v>56.54</v>
    <v>56.02</v>
    <v>56.06</v>
    <v>55.78</v>
    <v>56.05</v>
    <v>56.58</v>
    <v>56.44</v>
    <v>56.46</v>
    <v>56.2</v>
    <v>56.36</v>
    <v>56.76</v>
    <v>56.62</v>
    <v>56.64</v>
    <v>56.24</v>
    <v>54.68</v>
    <v>55.58</v>
    <v>54.95</v>
    <v>54.05</v>
    <v>53.72</v>
    <v>55.11</v>
    <v>54.89</v>
    <v>54.44</v>
    <v>54.66</v>
    <v>55.06</v>
    <v>55.37</v>
    <v>55.35</v>
    <v>54.28</v>
    <v>53.56</v>
    <v>53.41</v>
    <v>53.84</v>
    <v>54.54</v>
    <v>54.07</v>
    <v>53.52</v>
    <v>53.58</v>
    <v>53.3</v>
    <v>55</v>
    <v>54.85</v>
    <v>54.66</v>
    <v>56.44</v>
    <v>56.39</v>
    <v>56.5</v>
    <v>56.26</v>
    <v>56.66</v>
    <v>56.65</v>
    <v>57.18</v>
    <v>57.89</v>
    <v>57.64</v>
    <v>57.47</v>
    <v>57.65</v>
    <v>58.09</v>
    <v>58.18</v>
    <v>58.41</v>
    <v>58.16</v>
    <v>58.95</v>
    <v>59.81</v>
    <v>60.32</v>
    <v>61.61</v>
    <v>62.52</v>
    <v>62.43</v>
    <v>63.2</v>
    <v>64.540000000000006</v>
    <v>63.39</v>
    <v>64.75</v>
    <v>65.540000000000006</v>
    <v>64.27</v>
    <v>63.65</v>
    <v>63.49</v>
    <v>64.760000000000005</v>
    <v>65.05</v>
    <v>66.56</v>
    <v>67.5</v>
    <v>68.17</v>
    <v>68.010000000000005</v>
    <v>68.510000000000005</v>
    <v>68.89</v>
    <v>69.38</v>
    <v>69.94</v>
    <v>70.03</v>
    <v>69.48</v>
    <v>68.36</v>
    <v>68.42</v>
    <v>67.16</v>
    <v>66.930000000000007</v>
    <v>67.180000000000007</v>
    <v>69.12</v>
    <v>70.03</v>
    <v>69.59</v>
    <v>69.599999999999994</v>
    <v>70.069999999999993</v>
    <v>70.180000000000007</v>
    <v>71.12</v>
    <v>69.58</v>
    <v>69.33</v>
    <v>70.739999999999995</v>
    <v>70.37</v>
    <v>68.92</v>
    <v>69.53</v>
    <v>69.13</v>
    <v>68.36</v>
    <v>69.150000000000006</v>
    <v>69.05</v>
    <v>67.84</v>
    <v>67.349999999999994</v>
    <v>68.91</v>
    <v>68.989999999999995</v>
    <v>68.59</v>
    <v>68.95</v>
    <v>67.87</v>
    <v>67.37</v>
    <v>67.12</v>
    <v>67.47</v>
    <v>68.599999999999994</v>
    <v>69.209999999999994</v>
    <v>68.739999999999995</v>
    <v>68.77</v>
    <v>68.36</v>
    <v>68.33</v>
    <v>67.930000000000007</v>
    <v>68.08</v>
    <v>67.819999999999993</v>
    <v>68.14</v>
    <v>69.48</v>
    <v>69.5</v>
    <v>69.66</v>
    <v>69.540000000000006</v>
    <v>69.64</v>
    <v>69.489999999999995</v>
    <v>70.23</v>
    <v>70.989999999999995</v>
    <v>70.739999999999995</v>
    <v>71.290000000000006</v>
    <v>69.89</v>
    <v>69.599999999999994</v>
    <v>69.66</v>
    <v>70.25</v>
    <v>69.47</v>
    <v>69.75</v>
    <v>70.069999999999993</v>
    <v>69.8</v>
    <v>70.510000000000005</v>
    <v>70.180000000000007</v>
    <v>70.52</v>
    <v>70.489999999999995</v>
    <v>71.13</v>
    <v>71.62</v>
    <v>71.900000000000006</v>
    <v>71.62</v>
    <v>71.23</v>
    <v>70.59</v>
    <v>71.33</v>
    <v>70.91</v>
    <v>70.83</v>
    <v>70.959999999999994</v>
    <v>71.83</v>
    <v>71.069999999999993</v>
    <v>71.98</v>
    <v>72.290000000000006</v>
    <v>72.349999999999994</v>
    <v>71.569999999999993</v>
    <v>72.209999999999994</v>
    <v>71.44</v>
    <v>71.47</v>
    <v>71.75</v>
    <v>71.2</v>
    <v>71.91</v>
    <v>72.16</v>
    <v>72.36</v>
    <v>72.39</v>
    <v>71.77</v>
    <v>71.56</v>
    <v>71.489999999999995</v>
    <v>70.94</v>
    <v>70.95</v>
    <v>70.47</v>
    <v>70.47</v>
    <v>70.39</v>
    <v>70.319999999999993</v>
    <v>70.5</v>
    <v>69.87</v>
    <v>70.08</v>
  </a>
  <a r="1" c="208">
    <v>51.66</v>
    <v>52.14</v>
    <v>52.6</v>
    <v>52.55</v>
    <v>52.47</v>
    <v>53.09</v>
    <v>53.07</v>
    <v>53.15</v>
    <v>53.36</v>
    <v>53.88</v>
    <v>53.69</v>
    <v>53.15</v>
    <v>52.81</v>
    <v>53.41</v>
    <v>53.87</v>
    <v>53.29</v>
    <v>53.04</v>
    <v>53.22</v>
    <v>53.61</v>
    <v>53.52</v>
    <v>54.11</v>
    <v>54.87</v>
    <v>55.19</v>
    <v>55.44</v>
    <v>54.86</v>
    <v>55.71</v>
    <v>55.79</v>
    <v>55.99</v>
    <v>56.54</v>
    <v>56.02</v>
    <v>56.06</v>
    <v>55.78</v>
    <v>56.05</v>
    <v>56.58</v>
    <v>56.44</v>
    <v>56.46</v>
    <v>56.2</v>
    <v>56.36</v>
    <v>56.76</v>
    <v>56.62</v>
    <v>56.64</v>
    <v>56.24</v>
    <v>54.68</v>
    <v>55.58</v>
    <v>54.95</v>
    <v>54.05</v>
    <v>53.72</v>
    <v>55.11</v>
    <v>54.89</v>
    <v>54.44</v>
    <v>54.66</v>
    <v>55.06</v>
    <v>55.37</v>
    <v>55.35</v>
    <v>54.28</v>
    <v>53.56</v>
    <v>53.41</v>
    <v>53.84</v>
    <v>54.54</v>
    <v>54.07</v>
    <v>53.52</v>
    <v>53.58</v>
    <v>53.3</v>
    <v>55</v>
    <v>54.85</v>
    <v>54.66</v>
    <v>56.44</v>
    <v>56.39</v>
    <v>56.5</v>
    <v>56.26</v>
    <v>56.66</v>
    <v>56.65</v>
    <v>57.18</v>
    <v>57.89</v>
    <v>57.64</v>
    <v>57.47</v>
    <v>57.65</v>
    <v>58.09</v>
    <v>58.18</v>
    <v>58.41</v>
    <v>58.16</v>
    <v>58.95</v>
    <v>59.81</v>
    <v>60.32</v>
    <v>61.61</v>
    <v>62.52</v>
    <v>62.43</v>
    <v>63.2</v>
    <v>64.540000000000006</v>
    <v>63.39</v>
    <v>64.75</v>
    <v>65.540000000000006</v>
    <v>64.27</v>
    <v>63.65</v>
    <v>63.49</v>
    <v>64.760000000000005</v>
    <v>65.05</v>
    <v>66.56</v>
    <v>67.5</v>
    <v>68.17</v>
    <v>68.010000000000005</v>
    <v>68.510000000000005</v>
    <v>68.89</v>
    <v>69.38</v>
    <v>69.94</v>
    <v>70.03</v>
    <v>69.48</v>
    <v>68.36</v>
    <v>68.42</v>
    <v>67.16</v>
    <v>66.930000000000007</v>
    <v>67.180000000000007</v>
    <v>69.12</v>
    <v>70.03</v>
    <v>69.59</v>
    <v>69.599999999999994</v>
    <v>70.069999999999993</v>
    <v>70.180000000000007</v>
    <v>71.12</v>
    <v>69.58</v>
    <v>69.33</v>
    <v>70.739999999999995</v>
    <v>70.37</v>
    <v>68.92</v>
    <v>69.53</v>
    <v>69.13</v>
    <v>68.36</v>
    <v>69.150000000000006</v>
    <v>69.05</v>
    <v>67.84</v>
    <v>67.349999999999994</v>
    <v>68.91</v>
    <v>68.989999999999995</v>
    <v>68.59</v>
    <v>68.95</v>
    <v>67.87</v>
    <v>67.37</v>
    <v>67.12</v>
    <v>67.47</v>
    <v>68.599999999999994</v>
    <v>69.209999999999994</v>
    <v>68.739999999999995</v>
    <v>68.77</v>
    <v>68.36</v>
    <v>68.33</v>
    <v>67.930000000000007</v>
    <v>68.08</v>
    <v>67.819999999999993</v>
    <v>68.14</v>
    <v>69.48</v>
    <v>69.5</v>
    <v>69.66</v>
    <v>69.540000000000006</v>
    <v>69.64</v>
    <v>69.489999999999995</v>
    <v>70.23</v>
    <v>70.989999999999995</v>
    <v>70.739999999999995</v>
    <v>71.290000000000006</v>
    <v>69.89</v>
    <v>69.599999999999994</v>
    <v>69.66</v>
    <v>70.25</v>
    <v>69.47</v>
    <v>69.75</v>
    <v>70.069999999999993</v>
    <v>69.8</v>
    <v>70.510000000000005</v>
    <v>70.180000000000007</v>
    <v>70.52</v>
    <v>70.489999999999995</v>
    <v>71.13</v>
    <v>71.62</v>
    <v>71.900000000000006</v>
    <v>71.62</v>
    <v>71.23</v>
    <v>70.59</v>
    <v>71.33</v>
    <v>70.91</v>
    <v>70.83</v>
    <v>70.959999999999994</v>
    <v>71.83</v>
    <v>71.069999999999993</v>
    <v>71.98</v>
    <v>72.290000000000006</v>
    <v>72.349999999999994</v>
    <v>71.569999999999993</v>
    <v>72.209999999999994</v>
    <v>71.44</v>
    <v>71.47</v>
    <v>71.75</v>
    <v>71.2</v>
    <v>71.91</v>
    <v>72.16</v>
    <v>72.36</v>
    <v>72.39</v>
    <v>71.77</v>
    <v>71.56</v>
    <v>71.489999999999995</v>
    <v>70.94</v>
    <v>70.95</v>
    <v>70.47</v>
    <v>70.47</v>
    <v>70.39</v>
    <v>70.319999999999993</v>
    <v>70.5</v>
    <v>69.87</v>
    <v>70.08</v>
  </a>
  <a r="1" c="761">
    <v>34.005000000000003</v>
    <v>34.090000000000003</v>
    <v>34.115000000000002</v>
    <v>33.975000000000001</v>
    <v>33.805</v>
    <v>33.67</v>
    <v>34.06</v>
    <v>34.4</v>
    <v>34.76</v>
    <v>35.064999999999998</v>
    <v>34.875</v>
    <v>34.799999999999997</v>
    <v>34.42</v>
    <v>34.549999999999997</v>
    <v>34.465000000000003</v>
    <v>34.695</v>
    <v>34.97</v>
    <v>35.055</v>
    <v>34.71</v>
    <v>35.1</v>
    <v>35.04</v>
    <v>34.94</v>
    <v>35.134999999999998</v>
    <v>35.125</v>
    <v>35.21</v>
    <v>35.145000000000003</v>
    <v>35.03</v>
    <v>35.18</v>
    <v>35.445</v>
    <v>35.795000000000002</v>
    <v>35.799999999999997</v>
    <v>35.85</v>
    <v>36.064999999999998</v>
    <v>36.03</v>
    <v>36.244999999999997</v>
    <v>36.484999999999999</v>
    <v>36.335000000000001</v>
    <v>36.119999999999997</v>
    <v>36.475000000000001</v>
    <v>36.64</v>
    <v>36.479999999999997</v>
    <v>36.484999999999999</v>
    <v>36.634999999999998</v>
    <v>36.479999999999997</v>
    <v>36.725000000000001</v>
    <v>36.645000000000003</v>
    <v>36.74</v>
    <v>36.72</v>
    <v>37.11</v>
    <v>36.89</v>
    <v>36.99</v>
    <v>37.17</v>
    <v>37.200000000000003</v>
    <v>37.155000000000001</v>
    <v>37.03</v>
    <v>36.825000000000003</v>
    <v>37.03</v>
    <v>37.130000000000003</v>
    <v>37.085000000000001</v>
    <v>36.664999999999999</v>
    <v>36.795000000000002</v>
    <v>36.82</v>
    <v>37.229999999999997</v>
    <v>37.29</v>
    <v>37.42</v>
    <v>37.58</v>
    <v>37.395000000000003</v>
    <v>37.51</v>
    <v>37.585000000000001</v>
    <v>37.67</v>
    <v>37.424999999999997</v>
    <v>37.545000000000002</v>
    <v>37.49</v>
    <v>37.68</v>
    <v>37.585000000000001</v>
    <v>37.409999999999997</v>
    <v>37.4</v>
    <v>37.854999999999997</v>
    <v>37.57</v>
    <v>37.664999999999999</v>
    <v>37.89</v>
    <v>37.954999999999998</v>
    <v>37.99</v>
    <v>37.82</v>
    <v>37.784999999999997</v>
    <v>38.14</v>
    <v>38.284999999999997</v>
    <v>38.119999999999997</v>
    <v>38.15</v>
    <v>38.104999999999997</v>
    <v>38.174999999999997</v>
    <v>38.564999999999998</v>
    <v>38.57</v>
    <v>38.57</v>
    <v>38.86</v>
    <v>38.905000000000001</v>
    <v>38.884999999999998</v>
    <v>38.674999999999997</v>
    <v>38.909999999999997</v>
    <v>38.814999999999998</v>
    <v>38.67</v>
    <v>38.825000000000003</v>
    <v>38.984999999999999</v>
    <v>39.18</v>
    <v>39.195</v>
    <v>39.725000000000001</v>
    <v>39.79</v>
    <v>39.659999999999997</v>
    <v>39.83</v>
    <v>39.99</v>
    <v>40.295000000000002</v>
    <v>39.869999999999997</v>
    <v>39.93</v>
    <v>40.08</v>
    <v>39.659999999999997</v>
    <v>39.869999999999997</v>
    <v>39.72</v>
    <v>39.71</v>
    <v>39.564999999999998</v>
    <v>39.67</v>
    <v>39.765000000000001</v>
    <v>38.94</v>
    <v>38.78</v>
    <v>38.93</v>
    <v>38.844999999999999</v>
    <v>39.085000000000001</v>
    <v>39.314999999999998</v>
    <v>39.340000000000003</v>
    <v>38.869999999999997</v>
    <v>39.14</v>
    <v>39.39</v>
    <v>39.15</v>
    <v>39.104999999999997</v>
    <v>39.125</v>
    <v>39.405000000000001</v>
    <v>39.494999999999997</v>
    <v>39.42</v>
    <v>39.494999999999997</v>
    <v>39.659999999999997</v>
    <v>39.774999999999999</v>
    <v>39.83</v>
    <v>40</v>
    <v>39.884999999999998</v>
    <v>39.875</v>
    <v>40.094999999999999</v>
    <v>39.950000000000003</v>
    <v>39.869999999999997</v>
    <v>39.75</v>
    <v>39.79</v>
    <v>39.965000000000003</v>
    <v>39.9</v>
    <v>39.4</v>
    <v>39.615000000000002</v>
    <v>39.655000000000001</v>
    <v>39.884999999999998</v>
    <v>39.61</v>
    <v>39.71</v>
    <v>39.814999999999998</v>
    <v>39.875</v>
    <v>39.965000000000003</v>
    <v>39.64</v>
    <v>39.674999999999997</v>
    <v>39.25</v>
    <v>39.18</v>
    <v>39.08</v>
    <v>39.325000000000003</v>
    <v>39.255000000000003</v>
    <v>39.465000000000003</v>
    <v>39.314999999999998</v>
    <v>39.68</v>
    <v>39.64</v>
    <v>39.409999999999997</v>
    <v>39.314999999999998</v>
    <v>39.604999999999997</v>
    <v>39.615000000000002</v>
    <v>39.575000000000003</v>
    <v>39.734999999999999</v>
    <v>39.945</v>
    <v>39.72</v>
    <v>39.774999999999999</v>
    <v>39.674999999999997</v>
    <v>40.045000000000002</v>
    <v>40.215000000000003</v>
    <v>40.424999999999997</v>
    <v>40.365000000000002</v>
    <v>40.619999999999997</v>
    <v>40.744999999999997</v>
    <v>40.844999999999999</v>
    <v>40.215000000000003</v>
    <v>40.409999999999997</v>
    <v>40.369999999999997</v>
    <v>40.15</v>
    <v>39.965000000000003</v>
    <v>40.185000000000002</v>
    <v>40.31</v>
    <v>40.39</v>
    <v>40.734999999999999</v>
    <v>39.795000000000002</v>
    <v>37.880000000000003</v>
    <v>36.97</v>
    <v>37.034999999999997</v>
    <v>37.83</v>
    <v>37.835000000000001</v>
    <v>37.805</v>
    <v>37.82</v>
    <v>38.125</v>
    <v>38.164999999999999</v>
    <v>38.99</v>
    <v>39.25</v>
    <v>38.965000000000003</v>
    <v>39.07</v>
    <v>39.115000000000002</v>
    <v>39.395000000000003</v>
    <v>39.424999999999997</v>
    <v>39.515000000000001</v>
    <v>39.61</v>
    <v>39.905000000000001</v>
    <v>39.99</v>
    <v>40.204999999999998</v>
    <v>39.83</v>
    <v>39.475000000000001</v>
    <v>39.344999999999999</v>
    <v>38.695</v>
    <v>39.21</v>
    <v>38.884999999999998</v>
    <v>38.655000000000001</v>
    <v>39.130000000000003</v>
    <v>39.445</v>
    <v>39.450000000000003</v>
    <v>39.715000000000003</v>
    <v>39.549999999999997</v>
    <v>40.015000000000001</v>
    <v>39.72</v>
    <v>39.950000000000003</v>
    <v>40.075000000000003</v>
    <v>39.975000000000001</v>
    <v>40.29</v>
    <v>40.534999999999997</v>
    <v>40.215000000000003</v>
    <v>40.255000000000003</v>
    <v>40.380000000000003</v>
    <v>40.104999999999997</v>
    <v>40.54</v>
    <v>40.549999999999997</v>
    <v>40.414999999999999</v>
    <v>40.67</v>
    <v>40.64</v>
    <v>40.704999999999998</v>
    <v>40.905000000000001</v>
    <v>40.884999999999998</v>
    <v>40.975000000000001</v>
    <v>41.185000000000002</v>
    <v>41.07</v>
    <v>40.704999999999998</v>
    <v>40.659999999999997</v>
    <v>40.524999999999999</v>
    <v>40.46</v>
    <v>40.524999999999999</v>
    <v>40.67</v>
    <v>40.604999999999997</v>
    <v>40.274999999999999</v>
    <v>39.97</v>
    <v>40.380000000000003</v>
    <v>40.19</v>
    <v>40.369999999999997</v>
    <v>41.085000000000001</v>
    <v>41.295000000000002</v>
    <v>41.134999999999998</v>
    <v>41.59</v>
    <v>41.085000000000001</v>
    <v>41.115000000000002</v>
    <v>41.32</v>
    <v>41.08</v>
    <v>41.25</v>
    <v>41.05</v>
    <v>40.97</v>
    <v>41.48</v>
    <v>41.96</v>
    <v>42.024999999999999</v>
    <v>41.655000000000001</v>
    <v>41.35</v>
    <v>41.625</v>
    <v>41.82</v>
    <v>42.174999999999997</v>
    <v>42.174999999999997</v>
    <v>41.96</v>
    <v>42.034999999999997</v>
    <v>41.96</v>
    <v>42.02</v>
    <v>41.924999999999997</v>
    <v>41.884999999999998</v>
    <v>41.87</v>
    <v>41.585000000000001</v>
    <v>41.354999999999997</v>
    <v>41.12</v>
    <v>41.32</v>
    <v>40.615000000000002</v>
    <v>40.700000000000003</v>
    <v>40.700000000000003</v>
    <v>41.3</v>
    <v>41.064999999999998</v>
    <v>41.725000000000001</v>
    <v>41.54</v>
    <v>41.93</v>
    <v>41.814999999999998</v>
    <v>41.57</v>
    <v>41.524999999999999</v>
    <v>41.24</v>
    <v>41.25</v>
    <v>41.284999999999997</v>
    <v>41.924999999999997</v>
    <v>41.895000000000003</v>
    <v>42.26</v>
    <v>42.21</v>
    <v>42.35</v>
    <v>42.244999999999997</v>
    <v>42.475000000000001</v>
    <v>42.34</v>
    <v>42.29</v>
    <v>42.43</v>
    <v>42.67</v>
    <v>42.924999999999997</v>
    <v>43.09</v>
    <v>42.87</v>
    <v>42.814999999999998</v>
    <v>42.945</v>
    <v>43.37</v>
    <v>43.22</v>
    <v>43.42</v>
    <v>43.524999999999999</v>
    <v>43.31</v>
    <v>43.674999999999997</v>
    <v>43.655000000000001</v>
    <v>43.96</v>
    <v>44.17</v>
    <v>44.16</v>
    <v>43.975000000000001</v>
    <v>44.06</v>
    <v>43.89</v>
    <v>43.91</v>
    <v>44.284999999999997</v>
    <v>44.395000000000003</v>
    <v>44.05</v>
    <v>44.405000000000001</v>
    <v>42.994999999999997</v>
    <v>42.884999999999998</v>
    <v>43.215000000000003</v>
    <v>42.984999999999999</v>
    <v>42.945</v>
    <v>41.875</v>
    <v>42.145000000000003</v>
    <v>42.204999999999998</v>
    <v>42.585000000000001</v>
    <v>43.06</v>
    <v>43.2</v>
    <v>43.414999999999999</v>
    <v>43.31</v>
    <v>43.19</v>
    <v>43.45</v>
    <v>43.645000000000003</v>
    <v>43.515000000000001</v>
    <v>43.335000000000001</v>
    <v>42.56</v>
    <v>42.265000000000001</v>
    <v>42.545000000000002</v>
    <v>42.3</v>
    <v>40.435000000000002</v>
    <v>38.395000000000003</v>
    <v>37.164999999999999</v>
    <v>38.295000000000002</v>
    <v>36.53</v>
    <v>37.695</v>
    <v>37.354999999999997</v>
    <v>38.395000000000003</v>
    <v>39.14</v>
    <v>38.965000000000003</v>
    <v>38.825000000000003</v>
    <v>38.935000000000002</v>
    <v>39.86</v>
    <v>39.94</v>
    <v>40.024999999999999</v>
    <v>40.35</v>
    <v>40.56</v>
    <v>40.585000000000001</v>
    <v>41.015000000000001</v>
    <v>41.204999999999998</v>
    <v>41.15</v>
    <v>41.03</v>
    <v>41.555</v>
    <v>41.655000000000001</v>
    <v>42.7</v>
    <v>42.68</v>
    <v>42.305</v>
    <v>42.61</v>
    <v>42.895000000000003</v>
    <v>42.78</v>
    <v>43.085000000000001</v>
    <v>42.84</v>
    <v>42.494999999999997</v>
    <v>42.055</v>
    <v>42.48</v>
    <v>42.715000000000003</v>
    <v>42.54</v>
    <v>42.325000000000003</v>
    <v>42.42</v>
    <v>42.19</v>
    <v>42.575000000000003</v>
    <v>42.515000000000001</v>
    <v>42.52</v>
    <v>42.854999999999997</v>
    <v>42.914999999999999</v>
    <v>43.005000000000003</v>
    <v>42.91</v>
    <v>42.594999999999999</v>
    <v>42.44</v>
    <v>42.625</v>
    <v>42.414999999999999</v>
    <v>42.475000000000001</v>
    <v>42.23</v>
    <v>42.23</v>
    <v>42.015000000000001</v>
    <v>42.43</v>
    <v>42.195</v>
    <v>42.31</v>
    <v>42.774999999999999</v>
    <v>42.62</v>
    <v>42.7</v>
    <v>42.814999999999998</v>
    <v>43.174999999999997</v>
    <v>42.83</v>
    <v>42.755000000000003</v>
    <v>43.015000000000001</v>
    <v>43.115000000000002</v>
    <v>43.42</v>
    <v>42.895000000000003</v>
    <v>42.87</v>
    <v>42.83</v>
    <v>42.26</v>
    <v>42.895000000000003</v>
    <v>42.75</v>
    <v>42.905000000000001</v>
    <v>42.81</v>
    <v>43.64</v>
    <v>43.594999999999999</v>
    <v>43.344999999999999</v>
    <v>43.505000000000003</v>
    <v>43.734999999999999</v>
    <v>43.87</v>
    <v>43.64</v>
    <v>42.744999999999997</v>
    <v>43.21</v>
    <v>43.274999999999999</v>
    <v>43.39</v>
    <v>43.524999999999999</v>
    <v>44.085000000000001</v>
    <v>44.344999999999999</v>
    <v>44.674999999999997</v>
    <v>44.78</v>
    <v>44.945</v>
    <v>45.18</v>
    <v>45.454999999999998</v>
    <v>45.284999999999997</v>
    <v>45.31</v>
    <v>45.75</v>
    <v>45.52</v>
    <v>45.305</v>
    <v>45.4</v>
    <v>45.37</v>
    <v>45.115000000000002</v>
    <v>45.29</v>
    <v>44.854999999999997</v>
    <v>44.88</v>
    <v>45.365000000000002</v>
    <v>45.29</v>
    <v>45.575000000000003</v>
    <v>45.61</v>
    <v>45.67</v>
    <v>46.21</v>
    <v>45.994999999999997</v>
    <v>46</v>
    <v>45.6</v>
    <v>45.8</v>
    <v>46.35</v>
    <v>46.19</v>
    <v>46.14</v>
    <v>46.37</v>
    <v>46.33</v>
    <v>46.305</v>
    <v>46.55</v>
    <v>46.435000000000002</v>
    <v>46.38</v>
    <v>46.895000000000003</v>
    <v>46.96</v>
    <v>47.49</v>
    <v>47.63</v>
    <v>47.344999999999999</v>
    <v>47.664999999999999</v>
    <v>47.51</v>
    <v>46.375</v>
    <v>46.77</v>
    <v>46.69</v>
    <v>47.1</v>
    <v>47.27</v>
    <v>46.95</v>
    <v>47.634999999999998</v>
    <v>47.805</v>
    <v>47.564999999999998</v>
    <v>47.71</v>
    <v>48.094999999999999</v>
    <v>48.52</v>
    <v>48.674999999999997</v>
    <v>48.82</v>
    <v>48.865000000000002</v>
    <v>48.765000000000001</v>
    <v>48.935000000000002</v>
    <v>48.695</v>
    <v>48.99</v>
    <v>48.74</v>
    <v>48.32</v>
    <v>49.094999999999999</v>
    <v>49.31</v>
    <v>49.96</v>
    <v>49.6</v>
    <v>49.575000000000003</v>
    <v>49.145000000000003</v>
    <v>48.09</v>
    <v>48.145000000000003</v>
    <v>48.104999999999997</v>
    <v>48.055</v>
    <v>48.7</v>
    <v>49.005000000000003</v>
    <v>49.54</v>
    <v>49.465000000000003</v>
    <v>49.825000000000003</v>
    <v>49.69</v>
    <v>49.83</v>
    <v>49.9</v>
    <v>50.14</v>
    <v>50.3</v>
    <v>50.29</v>
    <v>50.48</v>
    <v>50.58</v>
    <v>50.78</v>
    <v>50.52</v>
    <v>50.68</v>
    <v>50.3</v>
    <v>50.08</v>
    <v>50.61</v>
    <v>50.93</v>
    <v>50.87</v>
    <v>50.91</v>
    <v>51.12</v>
    <v>51.39</v>
    <v>51.66</v>
    <v>52.14</v>
    <v>52.6</v>
    <v>52.55</v>
    <v>52.47</v>
    <v>53.09</v>
    <v>53.07</v>
    <v>53.15</v>
    <v>53.36</v>
    <v>53.88</v>
    <v>53.69</v>
    <v>53.15</v>
    <v>52.81</v>
    <v>53.41</v>
    <v>53.87</v>
    <v>53.29</v>
    <v>53.04</v>
    <v>53.22</v>
    <v>53.61</v>
    <v>53.52</v>
    <v>54.11</v>
    <v>54.87</v>
    <v>55.19</v>
    <v>55.44</v>
    <v>54.86</v>
    <v>55.71</v>
    <v>55.79</v>
    <v>55.99</v>
    <v>56.54</v>
    <v>56.02</v>
    <v>56.06</v>
    <v>55.78</v>
    <v>56.05</v>
    <v>56.58</v>
    <v>56.44</v>
    <v>56.46</v>
    <v>56.2</v>
    <v>56.36</v>
    <v>56.76</v>
    <v>56.62</v>
    <v>56.64</v>
    <v>56.24</v>
    <v>54.68</v>
    <v>55.58</v>
    <v>54.95</v>
    <v>54.05</v>
    <v>53.72</v>
    <v>55.11</v>
    <v>54.89</v>
    <v>54.44</v>
    <v>54.66</v>
    <v>55.06</v>
    <v>55.37</v>
    <v>55.35</v>
    <v>54.28</v>
    <v>53.56</v>
    <v>53.41</v>
    <v>53.84</v>
    <v>54.54</v>
    <v>54.07</v>
    <v>53.52</v>
    <v>53.58</v>
    <v>53.3</v>
    <v>55</v>
    <v>54.85</v>
    <v>54.66</v>
    <v>56.44</v>
    <v>56.39</v>
    <v>56.5</v>
    <v>56.26</v>
    <v>56.66</v>
    <v>56.65</v>
    <v>57.18</v>
    <v>57.89</v>
    <v>57.64</v>
    <v>57.47</v>
    <v>57.65</v>
    <v>58.09</v>
    <v>58.18</v>
    <v>58.41</v>
    <v>58.16</v>
    <v>58.95</v>
    <v>59.81</v>
    <v>60.32</v>
    <v>61.61</v>
    <v>62.52</v>
    <v>62.43</v>
    <v>63.2</v>
    <v>64.540000000000006</v>
    <v>63.39</v>
    <v>64.75</v>
    <v>65.540000000000006</v>
    <v>64.27</v>
    <v>63.65</v>
    <v>63.49</v>
    <v>64.760000000000005</v>
    <v>65.05</v>
    <v>66.56</v>
    <v>67.5</v>
    <v>68.17</v>
    <v>68.010000000000005</v>
    <v>68.510000000000005</v>
    <v>68.89</v>
    <v>69.38</v>
    <v>69.94</v>
    <v>70.03</v>
    <v>69.48</v>
    <v>68.36</v>
    <v>68.42</v>
    <v>67.16</v>
    <v>66.930000000000007</v>
    <v>67.180000000000007</v>
    <v>69.12</v>
    <v>70.03</v>
    <v>69.59</v>
    <v>69.599999999999994</v>
    <v>70.069999999999993</v>
    <v>70.180000000000007</v>
    <v>71.12</v>
    <v>69.58</v>
    <v>69.33</v>
    <v>70.739999999999995</v>
    <v>70.37</v>
    <v>68.92</v>
    <v>69.53</v>
    <v>69.13</v>
    <v>68.36</v>
    <v>69.150000000000006</v>
    <v>69.05</v>
    <v>67.84</v>
    <v>67.349999999999994</v>
    <v>68.91</v>
    <v>68.989999999999995</v>
    <v>68.59</v>
    <v>68.95</v>
    <v>67.87</v>
    <v>67.37</v>
    <v>67.12</v>
    <v>67.47</v>
    <v>68.599999999999994</v>
    <v>69.209999999999994</v>
    <v>68.739999999999995</v>
    <v>68.77</v>
    <v>68.36</v>
    <v>68.33</v>
    <v>67.930000000000007</v>
    <v>68.08</v>
    <v>67.819999999999993</v>
    <v>68.14</v>
    <v>69.48</v>
    <v>69.5</v>
    <v>69.66</v>
    <v>69.540000000000006</v>
    <v>69.64</v>
    <v>69.489999999999995</v>
    <v>70.23</v>
    <v>70.989999999999995</v>
    <v>70.739999999999995</v>
    <v>71.290000000000006</v>
    <v>69.89</v>
    <v>69.599999999999994</v>
    <v>69.66</v>
    <v>70.25</v>
    <v>69.47</v>
    <v>69.75</v>
    <v>70.069999999999993</v>
    <v>69.8</v>
    <v>70.510000000000005</v>
    <v>70.180000000000007</v>
    <v>70.52</v>
    <v>70.489999999999995</v>
    <v>71.13</v>
    <v>71.62</v>
    <v>71.900000000000006</v>
    <v>71.62</v>
    <v>71.23</v>
    <v>70.59</v>
    <v>71.33</v>
    <v>70.91</v>
    <v>70.83</v>
    <v>70.959999999999994</v>
    <v>71.83</v>
    <v>71.069999999999993</v>
    <v>71.98</v>
    <v>72.290000000000006</v>
    <v>72.349999999999994</v>
    <v>71.569999999999993</v>
    <v>72.209999999999994</v>
    <v>71.44</v>
    <v>71.47</v>
    <v>71.75</v>
    <v>71.2</v>
    <v>71.91</v>
    <v>72.16</v>
    <v>72.36</v>
    <v>72.39</v>
    <v>71.77</v>
    <v>71.56</v>
    <v>71.489999999999995</v>
    <v>70.94</v>
    <v>70.95</v>
    <v>70.47</v>
    <v>70.47</v>
    <v>70.39</v>
    <v>70.319999999999993</v>
    <v>70.5</v>
    <v>69.87</v>
    <v>70.08</v>
  </a>
  <a r="1" c="209">
    <v>17.55</v>
    <v>17.79</v>
    <v>17.75</v>
    <v>17.57</v>
    <v>17.32</v>
    <v>17.57</v>
    <v>17.684999999999999</v>
    <v>17.64</v>
    <v>17.765000000000001</v>
    <v>17.670000000000002</v>
    <v>17.63</v>
    <v>17.55</v>
    <v>17.405000000000001</v>
    <v>17.254999999999999</v>
    <v>17.28</v>
    <v>17.489999999999998</v>
    <v>17.454999999999998</v>
    <v>17.715</v>
    <v>18.190000000000001</v>
    <v>18</v>
    <v>18.079999999999998</v>
    <v>18.27</v>
    <v>18.48</v>
    <v>18.745000000000001</v>
    <v>18.175000000000001</v>
    <v>17.72</v>
    <v>17.864999999999998</v>
    <v>18.184999999999999</v>
    <v>18.04</v>
    <v>18.03</v>
    <v>17.940000000000001</v>
    <v>17.77</v>
    <v>18.024999999999999</v>
    <v>18.05</v>
    <v>18.3</v>
    <v>18.254999999999999</v>
    <v>18.565000000000001</v>
    <v>18.715</v>
    <v>18.504999999999999</v>
    <v>19.015000000000001</v>
    <v>19.024999999999999</v>
    <v>18.785</v>
    <v>18.39</v>
    <v>17.579999999999998</v>
    <v>17.600000000000001</v>
    <v>17.004999999999999</v>
    <v>16.79</v>
    <v>16.59</v>
    <v>17.085000000000001</v>
    <v>17.010000000000002</v>
    <v>16.510000000000002</v>
    <v>16.324999999999999</v>
    <v>16.39</v>
    <v>16.495000000000001</v>
    <v>16.64</v>
    <v>16.254999999999999</v>
    <v>15.975</v>
    <v>16.18</v>
    <v>16.105</v>
    <v>16.329999999999998</v>
    <v>15.945</v>
    <v>15.87</v>
    <v>15.85</v>
    <v>15.93</v>
    <v>16.579999999999998</v>
    <v>16.364999999999998</v>
    <v>16.414999999999999</v>
    <v>17.29</v>
    <v>17.2</v>
    <v>17.175000000000001</v>
    <v>17.085000000000001</v>
    <v>17.364999999999998</v>
    <v>17.355</v>
    <v>17.29</v>
    <v>17.78</v>
    <v>17.61</v>
    <v>17.465</v>
    <v>17.28</v>
    <v>17.184999999999999</v>
    <v>17.094999999999999</v>
    <v>17.135000000000002</v>
    <v>17.309999999999999</v>
    <v>17.225000000000001</v>
    <v>16.594999999999999</v>
    <v>16.510000000000002</v>
    <v>16.649999999999999</v>
    <v>17.25</v>
    <v>17.155000000000001</v>
    <v>17.03</v>
    <v>17.149999999999999</v>
    <v>16.925000000000001</v>
    <v>17.024999999999999</v>
    <v>17.170000000000002</v>
    <v>16.899999999999999</v>
    <v>16.824999999999999</v>
    <v>16.87</v>
    <v>17.094999999999999</v>
    <v>17.11</v>
    <v>17.260000000000002</v>
    <v>17.45</v>
    <v>16.395</v>
    <v>16.45</v>
    <v>16.375</v>
    <v>16.600000000000001</v>
    <v>16.45</v>
    <v>16.535</v>
    <v>16.47</v>
    <v>16.510000000000002</v>
    <v>16.53</v>
    <v>16.5</v>
    <v>16.434999999999999</v>
    <v>16.315000000000001</v>
    <v>16.245000000000001</v>
    <v>16.725000000000001</v>
    <v>16.93</v>
    <v>17.239999999999998</v>
    <v>17.515000000000001</v>
    <v>17.62</v>
    <v>17.695</v>
    <v>17.684999999999999</v>
    <v>17.61</v>
    <v>17.54</v>
    <v>17.664999999999999</v>
    <v>17.52</v>
    <v>17.445</v>
    <v>17.594999999999999</v>
    <v>17.48</v>
    <v>17.725000000000001</v>
    <v>17.72</v>
    <v>17.850000000000001</v>
    <v>17.600000000000001</v>
    <v>17.2</v>
    <v>17.425000000000001</v>
    <v>17.489999999999998</v>
    <v>17.55</v>
    <v>17.829999999999998</v>
    <v>17.77</v>
    <v>17.920000000000002</v>
    <v>17.785</v>
    <v>17.93</v>
    <v>18.105</v>
    <v>18.239999999999998</v>
    <v>18.035</v>
    <v>18.504999999999999</v>
    <v>18.61</v>
    <v>18.664999999999999</v>
    <v>18.37</v>
    <v>18.785</v>
    <v>19.274999999999999</v>
    <v>19.445</v>
    <v>19.375</v>
    <v>19.355</v>
    <v>19.46</v>
    <v>19.605</v>
    <v>19.93</v>
    <v>20.02</v>
    <v>20.170000000000002</v>
    <v>20.100000000000001</v>
    <v>20.2</v>
    <v>20.07</v>
    <v>19.675000000000001</v>
    <v>19.164999999999999</v>
    <v>19.100000000000001</v>
    <v>19.07</v>
    <v>19.085000000000001</v>
    <v>19.004999999999999</v>
    <v>19.010000000000002</v>
    <v>18.254999999999999</v>
    <v>18.440000000000001</v>
    <v>18.515000000000001</v>
    <v>18.579999999999998</v>
    <v>18.585000000000001</v>
    <v>18.844999999999999</v>
    <v>18.805</v>
    <v>18.864999999999998</v>
    <v>18.675000000000001</v>
    <v>18.489999999999998</v>
    <v>18.54</v>
    <v>18.625</v>
    <v>18.440000000000001</v>
    <v>18.350000000000001</v>
    <v>18.385000000000002</v>
    <v>18.605</v>
    <v>18.190000000000001</v>
    <v>18.21</v>
    <v>18.114999999999998</v>
    <v>18.035</v>
    <v>17.940000000000001</v>
    <v>18.184999999999999</v>
    <v>17.934999999999999</v>
    <v>17.829999999999998</v>
    <v>17.57</v>
    <v>16.920000000000002</v>
    <v>16.885000000000002</v>
    <v>16.93</v>
    <v>17.114999999999998</v>
    <v>16.524999999999999</v>
    <v>16.215</v>
    <v>16.32</v>
    <v>16.329999999999998</v>
    <v>15.914999999999999</v>
    <v>15.805</v>
    <v>15.645</v>
    <v>15.715</v>
    <v>15.3</v>
    <v>15.244999999999999</v>
    <v>15.24</v>
    <v>14.855</v>
    <v>14.92</v>
  </a>
  <a r="1" c="767">
    <v>11.316000000000001</v>
    <v>11.202</v>
    <v>11.262</v>
    <v>11.208</v>
    <v>11.17</v>
    <v>11.234</v>
    <v>11.378</v>
    <v>11.417999999999999</v>
    <v>11.554</v>
    <v>11.683999999999999</v>
    <v>11.673999999999999</v>
    <v>11.587999999999999</v>
    <v>11.72</v>
    <v>11.72</v>
    <v>11.71</v>
    <v>11.742000000000001</v>
    <v>11.786</v>
    <v>11.692</v>
    <v>11.656000000000001</v>
    <v>11.766</v>
    <v>11.804</v>
    <v>11.746</v>
    <v>11.73</v>
    <v>11.704000000000001</v>
    <v>11.75</v>
    <v>11.731999999999999</v>
    <v>11.746</v>
    <v>11.8</v>
    <v>12.022</v>
    <v>12.066000000000001</v>
    <v>12.128</v>
    <v>12.17</v>
    <v>12.374000000000001</v>
    <v>12.454000000000001</v>
    <v>12.612</v>
    <v>12.648</v>
    <v>12.657999999999999</v>
    <v>12.603999999999999</v>
    <v>12.896000000000001</v>
    <v>12.932</v>
    <v>12.832000000000001</v>
    <v>12.776</v>
    <v>12.87</v>
    <v>12.798</v>
    <v>12.852</v>
    <v>12.914</v>
    <v>12.858000000000001</v>
    <v>12.852</v>
    <v>13.064</v>
    <v>12.952</v>
    <v>13.14</v>
    <v>13.25</v>
    <v>13.34</v>
    <v>13.318</v>
    <v>13.26</v>
    <v>13.076000000000001</v>
    <v>13.118</v>
    <v>13.215999999999999</v>
    <v>13.222</v>
    <v>13.1</v>
    <v>13.09</v>
    <v>13.23</v>
    <v>13.3</v>
    <v>13.276</v>
    <v>13.38</v>
    <v>13.42</v>
    <v>13.468</v>
    <v>13.254</v>
    <v>13.31</v>
    <v>13.311999999999999</v>
    <v>12.938000000000001</v>
    <v>13.138</v>
    <v>13.055999999999999</v>
    <v>13.066000000000001</v>
    <v>13.02</v>
    <v>12.342000000000001</v>
    <v>12.21</v>
    <v>12.23</v>
    <v>12.2</v>
    <v>12.202</v>
    <v>12.23</v>
    <v>12.23</v>
    <v>12.364000000000001</v>
    <v>12.44</v>
    <v>12.516</v>
    <v>12.593999999999999</v>
    <v>12.55</v>
    <v>12.458</v>
    <v>12.52</v>
    <v>12.574</v>
    <v>12.52</v>
    <v>12.6</v>
    <v>12.598000000000001</v>
    <v>12.564</v>
    <v>12.54</v>
    <v>12.804</v>
    <v>12.773999999999999</v>
    <v>12.882</v>
    <v>12.942</v>
    <v>12.988</v>
    <v>13.036</v>
    <v>13.02</v>
    <v>13.114000000000001</v>
    <v>13.242000000000001</v>
    <v>13.254</v>
    <v>13.401999999999999</v>
    <v>13.4</v>
    <v>13.398</v>
    <v>13.574</v>
    <v>13.58</v>
    <v>13.816000000000001</v>
    <v>13.875</v>
    <v>14.055</v>
    <v>14.145</v>
    <v>14.105</v>
    <v>14.13</v>
    <v>14.065</v>
    <v>14.05</v>
    <v>13.775</v>
    <v>13.76</v>
    <v>13.82</v>
    <v>13.57</v>
    <v>13.664999999999999</v>
    <v>13.904999999999999</v>
    <v>14.035</v>
    <v>14.22</v>
    <v>14.385</v>
    <v>14.45</v>
    <v>14.475</v>
    <v>14.555</v>
    <v>14.55</v>
    <v>14.55</v>
    <v>14.61</v>
    <v>14.77</v>
    <v>15</v>
    <v>15.275</v>
    <v>15.39</v>
    <v>15.43</v>
    <v>15.45</v>
    <v>15.62</v>
    <v>15.654999999999999</v>
    <v>15.64</v>
    <v>15.625</v>
    <v>15.84</v>
    <v>15.865</v>
    <v>15.775</v>
    <v>15.715</v>
    <v>15.725</v>
    <v>15.775</v>
    <v>15.855</v>
    <v>15.92</v>
    <v>14.74</v>
    <v>14.83</v>
    <v>14.925000000000001</v>
    <v>14.875</v>
    <v>14.72</v>
    <v>14.525</v>
    <v>14.605</v>
    <v>14.64</v>
    <v>14.115</v>
    <v>13.565</v>
    <v>13.78</v>
    <v>13.435</v>
    <v>13.035</v>
    <v>12.984999999999999</v>
    <v>13.045</v>
    <v>12.96</v>
    <v>13.185</v>
    <v>13.025</v>
    <v>13.285</v>
    <v>13.14</v>
    <v>12.98</v>
    <v>12.93</v>
    <v>12.74</v>
    <v>13.1</v>
    <v>12.97</v>
    <v>13.26</v>
    <v>13.56</v>
    <v>13.625</v>
    <v>13.56</v>
    <v>13.385</v>
    <v>13.44</v>
    <v>13.505000000000001</v>
    <v>13.574999999999999</v>
    <v>13.63</v>
    <v>13.695</v>
    <v>13.72</v>
    <v>13.914999999999999</v>
    <v>13.88</v>
    <v>13.96</v>
    <v>14.04</v>
    <v>13.984999999999999</v>
    <v>13.87</v>
    <v>13.885</v>
    <v>13.9</v>
    <v>13.925000000000001</v>
    <v>14.03</v>
    <v>13.97</v>
    <v>13.185</v>
    <v>12.96</v>
    <v>12.86</v>
    <v>13.13</v>
    <v>13.145</v>
    <v>13.13</v>
    <v>13.205</v>
    <v>13.234999999999999</v>
    <v>13.305</v>
    <v>13.465</v>
    <v>13.51</v>
    <v>13.56</v>
    <v>13.53</v>
    <v>13.58</v>
    <v>13.6</v>
    <v>13.715</v>
    <v>13.695</v>
    <v>13.72</v>
    <v>13.755000000000001</v>
    <v>13.8</v>
    <v>14.154999999999999</v>
    <v>14.145</v>
    <v>14.01</v>
    <v>14.03</v>
    <v>14.205</v>
    <v>14.13</v>
    <v>14.275</v>
    <v>14.16</v>
    <v>14.19</v>
    <v>14.275</v>
    <v>14.234999999999999</v>
    <v>14.26</v>
    <v>14.365</v>
    <v>14.4</v>
    <v>14.4</v>
    <v>14.46</v>
    <v>13.815</v>
    <v>13.955</v>
    <v>13.81</v>
    <v>13.994999999999999</v>
    <v>13.96</v>
    <v>13.725</v>
    <v>13.664999999999999</v>
    <v>13.595000000000001</v>
    <v>13.475</v>
    <v>13.61</v>
    <v>13.78</v>
    <v>13.86</v>
    <v>13.94</v>
    <v>13.875</v>
    <v>13.81</v>
    <v>13.88</v>
    <v>14.015000000000001</v>
    <v>14.06</v>
    <v>14.265000000000001</v>
    <v>14.315</v>
    <v>14.27</v>
    <v>14.16</v>
    <v>14.1</v>
    <v>14.065</v>
    <v>14</v>
    <v>14.105</v>
    <v>14.12</v>
    <v>13.984999999999999</v>
    <v>14.085000000000001</v>
    <v>14.13</v>
    <v>14.26</v>
    <v>14.31</v>
    <v>13.77</v>
    <v>13.275</v>
    <v>13.19</v>
    <v>13.29</v>
    <v>13.115</v>
    <v>13.02</v>
    <v>13.11</v>
    <v>13.275</v>
    <v>13.425000000000001</v>
    <v>13.355</v>
    <v>13.27</v>
    <v>13.27</v>
    <v>13.05</v>
    <v>12.925000000000001</v>
    <v>12.69</v>
    <v>12.52</v>
    <v>12.574999999999999</v>
    <v>12.67</v>
    <v>12.56</v>
    <v>12.51</v>
    <v>12.635</v>
    <v>12.925000000000001</v>
    <v>13.035</v>
    <v>13.12</v>
    <v>13.18</v>
    <v>13.19</v>
    <v>13.145</v>
    <v>13.164999999999999</v>
    <v>13.16</v>
    <v>13.05</v>
    <v>13.115</v>
    <v>13.07</v>
    <v>13.01</v>
    <v>13.025</v>
    <v>12.91</v>
    <v>13.225</v>
    <v>13.305</v>
    <v>13.29</v>
    <v>13.34</v>
    <v>13.215</v>
    <v>13.36</v>
    <v>13.385</v>
    <v>13.36</v>
    <v>13.435</v>
    <v>13.375</v>
    <v>13.42</v>
    <v>13.65</v>
    <v>13.865</v>
    <v>13.935</v>
    <v>13.98</v>
    <v>14.175000000000001</v>
    <v>14.17</v>
    <v>14.065</v>
    <v>14.244999999999999</v>
    <v>14.225</v>
    <v>14.29</v>
    <v>14.404999999999999</v>
    <v>14.47</v>
    <v>14.58</v>
    <v>14.545</v>
    <v>14.41</v>
    <v>14.555</v>
    <v>14.675000000000001</v>
    <v>14.955</v>
    <v>15.14</v>
    <v>15.1</v>
    <v>15.305</v>
    <v>15.335000000000001</v>
    <v>15.18</v>
    <v>15.28</v>
    <v>15.335000000000001</v>
    <v>15.565</v>
    <v>15.49</v>
    <v>15.52</v>
    <v>15.64</v>
    <v>15.63</v>
    <v>15.725</v>
    <v>15.94</v>
    <v>15.99</v>
    <v>16.010000000000002</v>
    <v>16.13</v>
    <v>15.8</v>
    <v>16.28</v>
    <v>16.579999999999998</v>
    <v>16.574999999999999</v>
    <v>16.3</v>
    <v>16.114999999999998</v>
    <v>16.204999999999998</v>
    <v>16.155000000000001</v>
    <v>16.34</v>
    <v>16.545000000000002</v>
    <v>16.8</v>
    <v>16.98</v>
    <v>16.850000000000001</v>
    <v>16.805</v>
    <v>16.850000000000001</v>
    <v>17.295000000000002</v>
    <v>17.135000000000002</v>
    <v>17.09</v>
    <v>16.945</v>
    <v>16.774999999999999</v>
    <v>17.010000000000002</v>
    <v>17.035</v>
    <v>16.47</v>
    <v>15.734999999999999</v>
    <v>15.175000000000001</v>
    <v>15.17</v>
    <v>14.975</v>
    <v>15.285</v>
    <v>15.41</v>
    <v>15.755000000000001</v>
    <v>16.100000000000001</v>
    <v>16.274999999999999</v>
    <v>16.285</v>
    <v>16.420000000000002</v>
    <v>16.690000000000001</v>
    <v>16.690000000000001</v>
    <v>16.88</v>
    <v>17.125</v>
    <v>17.25</v>
    <v>16.489999999999998</v>
    <v>16.504999999999999</v>
    <v>16.559999999999999</v>
    <v>16.57</v>
    <v>16.61</v>
    <v>16.77</v>
    <v>16.84</v>
    <v>17</v>
    <v>17.02</v>
    <v>17.329999999999998</v>
    <v>17.405000000000001</v>
    <v>17.34</v>
    <v>17.39</v>
    <v>17.645</v>
    <v>17.600000000000001</v>
    <v>17.574999999999999</v>
    <v>17.23</v>
    <v>16.32</v>
    <v>16.29</v>
    <v>16.024999999999999</v>
    <v>16.094999999999999</v>
    <v>16.105</v>
    <v>16.149999999999999</v>
    <v>16.14</v>
    <v>16.105</v>
    <v>16.215</v>
    <v>16.28</v>
    <v>16.489999999999998</v>
    <v>15.98</v>
    <v>15.895</v>
    <v>15.98</v>
    <v>15.845000000000001</v>
    <v>16.14</v>
    <v>15.885</v>
    <v>15.914999999999999</v>
    <v>15.51</v>
    <v>15.585000000000001</v>
    <v>15.48</v>
    <v>15.805</v>
    <v>15.71</v>
    <v>15.81</v>
    <v>16.015000000000001</v>
    <v>16.065000000000001</v>
    <v>15.95</v>
    <v>16.27</v>
    <v>16.149999999999999</v>
    <v>15.88</v>
    <v>15.94</v>
    <v>16.02</v>
    <v>16.399999999999999</v>
    <v>16.25</v>
    <v>16</v>
    <v>16.035</v>
    <v>15.865</v>
    <v>15.84</v>
    <v>15.98</v>
    <v>16.094999999999999</v>
    <v>16.145</v>
    <v>16.065000000000001</v>
    <v>16.09</v>
    <v>16.43</v>
    <v>16.32</v>
    <v>16.190000000000001</v>
    <v>16.215</v>
    <v>16.405000000000001</v>
    <v>16.149999999999999</v>
    <v>15.92</v>
    <v>16.055</v>
    <v>16.079999999999998</v>
    <v>16.28</v>
    <v>16.395</v>
    <v>16.920000000000002</v>
    <v>17.045000000000002</v>
    <v>17</v>
    <v>17.03</v>
    <v>17.135000000000002</v>
    <v>17.11</v>
    <v>16.79</v>
    <v>16.95</v>
    <v>17.100000000000001</v>
    <v>16.97</v>
    <v>17.055</v>
    <v>16.55</v>
    <v>15.65</v>
    <v>15.56</v>
    <v>15.69</v>
    <v>15.63</v>
    <v>15.62</v>
    <v>15.404999999999999</v>
    <v>15.515000000000001</v>
    <v>15.88</v>
    <v>15.69</v>
    <v>15.94</v>
    <v>16.065000000000001</v>
    <v>16.3</v>
    <v>16.489999999999998</v>
    <v>16.454999999999998</v>
    <v>16.745000000000001</v>
    <v>16.45</v>
    <v>16.27</v>
    <v>16.3</v>
    <v>16.53</v>
    <v>16.61</v>
    <v>16.765000000000001</v>
    <v>16.614999999999998</v>
    <v>16.48</v>
    <v>16.895</v>
    <v>16.940000000000001</v>
    <v>16.72</v>
    <v>17.02</v>
    <v>16.95</v>
    <v>16.914999999999999</v>
    <v>16.335000000000001</v>
    <v>16.3</v>
    <v>16.48</v>
    <v>16.63</v>
    <v>16.53</v>
    <v>16.48</v>
    <v>16.59</v>
    <v>16.829999999999998</v>
    <v>16.905000000000001</v>
    <v>16.489999999999998</v>
    <v>16.355</v>
    <v>16.309999999999999</v>
    <v>16.350000000000001</v>
    <v>16.39</v>
    <v>16.335000000000001</v>
    <v>16.324999999999999</v>
    <v>16.254999999999999</v>
    <v>16.265000000000001</v>
    <v>15.484999999999999</v>
    <v>15.64</v>
    <v>15.565</v>
    <v>15.64</v>
    <v>15.53</v>
    <v>15.645</v>
    <v>15.64</v>
    <v>15.904999999999999</v>
    <v>16.02</v>
    <v>16.225000000000001</v>
    <v>16.53</v>
    <v>16.335000000000001</v>
    <v>16.22</v>
    <v>15.88</v>
    <v>15.89</v>
    <v>15.984999999999999</v>
    <v>16.100000000000001</v>
    <v>16.094999999999999</v>
    <v>16.335000000000001</v>
    <v>16.454999999999998</v>
    <v>16.5</v>
    <v>16.52</v>
    <v>16.579999999999998</v>
    <v>16.84</v>
    <v>16.66</v>
    <v>16.84</v>
    <v>16.795000000000002</v>
    <v>16.899999999999999</v>
    <v>17.16</v>
    <v>17.094999999999999</v>
    <v>17.28</v>
    <v>17.114999999999998</v>
    <v>17.155000000000001</v>
    <v>17.239999999999998</v>
    <v>17.395</v>
    <v>17.445</v>
    <v>17.600000000000001</v>
    <v>17.555</v>
    <v>17.574999999999999</v>
    <v>17.54</v>
    <v>17.440000000000001</v>
    <v>17.614999999999998</v>
    <v>17.55</v>
    <v>17.79</v>
    <v>17.75</v>
    <v>17.57</v>
    <v>17.32</v>
    <v>17.57</v>
    <v>17.684999999999999</v>
    <v>17.64</v>
    <v>17.765000000000001</v>
    <v>17.670000000000002</v>
    <v>17.63</v>
    <v>17.55</v>
    <v>17.405000000000001</v>
    <v>17.254999999999999</v>
    <v>17.28</v>
    <v>17.489999999999998</v>
    <v>17.454999999999998</v>
    <v>17.715</v>
    <v>18.190000000000001</v>
    <v>18</v>
    <v>18.079999999999998</v>
    <v>18.27</v>
    <v>18.48</v>
    <v>18.745000000000001</v>
    <v>18.175000000000001</v>
    <v>17.72</v>
    <v>17.864999999999998</v>
    <v>18.184999999999999</v>
    <v>18.04</v>
    <v>18.03</v>
    <v>17.940000000000001</v>
    <v>17.77</v>
    <v>18.024999999999999</v>
    <v>18.05</v>
    <v>18.3</v>
    <v>18.254999999999999</v>
    <v>18.565000000000001</v>
    <v>18.715</v>
    <v>18.504999999999999</v>
    <v>19.015000000000001</v>
    <v>19.024999999999999</v>
    <v>18.785</v>
    <v>18.39</v>
    <v>17.579999999999998</v>
    <v>17.600000000000001</v>
    <v>17.004999999999999</v>
    <v>16.79</v>
    <v>16.59</v>
    <v>17.085000000000001</v>
    <v>17.010000000000002</v>
    <v>16.510000000000002</v>
    <v>16.324999999999999</v>
    <v>16.39</v>
    <v>16.495000000000001</v>
    <v>16.64</v>
    <v>16.254999999999999</v>
    <v>15.975</v>
    <v>16.18</v>
    <v>16.105</v>
    <v>16.329999999999998</v>
    <v>15.945</v>
    <v>15.87</v>
    <v>15.85</v>
    <v>15.93</v>
    <v>16.579999999999998</v>
    <v>16.364999999999998</v>
    <v>16.414999999999999</v>
    <v>17.29</v>
    <v>17.2</v>
    <v>17.175000000000001</v>
    <v>17.085000000000001</v>
    <v>17.364999999999998</v>
    <v>17.355</v>
    <v>17.29</v>
    <v>17.78</v>
    <v>17.61</v>
    <v>17.465</v>
    <v>17.28</v>
    <v>17.184999999999999</v>
    <v>17.094999999999999</v>
    <v>17.135000000000002</v>
    <v>17.309999999999999</v>
    <v>17.225000000000001</v>
    <v>16.594999999999999</v>
    <v>16.510000000000002</v>
    <v>16.649999999999999</v>
    <v>17.25</v>
    <v>17.155000000000001</v>
    <v>17.03</v>
    <v>17.149999999999999</v>
    <v>16.925000000000001</v>
    <v>17.024999999999999</v>
    <v>17.170000000000002</v>
    <v>16.899999999999999</v>
    <v>16.824999999999999</v>
    <v>16.87</v>
    <v>17.094999999999999</v>
    <v>17.11</v>
    <v>17.260000000000002</v>
    <v>17.45</v>
    <v>16.395</v>
    <v>16.45</v>
    <v>16.375</v>
    <v>16.600000000000001</v>
    <v>16.45</v>
    <v>16.535</v>
    <v>16.47</v>
    <v>16.510000000000002</v>
    <v>16.53</v>
    <v>16.5</v>
    <v>16.434999999999999</v>
    <v>16.315000000000001</v>
    <v>16.245000000000001</v>
    <v>16.725000000000001</v>
    <v>16.93</v>
    <v>17.239999999999998</v>
    <v>17.515000000000001</v>
    <v>17.62</v>
    <v>17.695</v>
    <v>17.684999999999999</v>
    <v>17.61</v>
    <v>17.54</v>
    <v>17.664999999999999</v>
    <v>17.52</v>
    <v>17.445</v>
    <v>17.594999999999999</v>
    <v>17.48</v>
    <v>17.725000000000001</v>
    <v>17.72</v>
    <v>17.850000000000001</v>
    <v>17.600000000000001</v>
    <v>17.2</v>
    <v>17.425000000000001</v>
    <v>17.489999999999998</v>
    <v>17.55</v>
    <v>17.829999999999998</v>
    <v>17.77</v>
    <v>17.920000000000002</v>
    <v>17.785</v>
    <v>17.93</v>
    <v>18.105</v>
    <v>18.239999999999998</v>
    <v>18.035</v>
    <v>18.504999999999999</v>
    <v>18.61</v>
    <v>18.664999999999999</v>
    <v>18.37</v>
    <v>18.785</v>
    <v>19.274999999999999</v>
    <v>19.445</v>
    <v>19.375</v>
    <v>19.355</v>
    <v>19.46</v>
    <v>19.605</v>
    <v>19.93</v>
    <v>20.02</v>
    <v>20.170000000000002</v>
    <v>20.100000000000001</v>
    <v>20.2</v>
    <v>20.07</v>
    <v>19.675000000000001</v>
    <v>19.164999999999999</v>
    <v>19.100000000000001</v>
    <v>19.07</v>
    <v>19.085000000000001</v>
    <v>19.004999999999999</v>
    <v>19.010000000000002</v>
    <v>18.254999999999999</v>
    <v>18.440000000000001</v>
    <v>18.515000000000001</v>
    <v>18.579999999999998</v>
    <v>18.585000000000001</v>
    <v>18.844999999999999</v>
    <v>18.805</v>
    <v>18.864999999999998</v>
    <v>18.675000000000001</v>
    <v>18.489999999999998</v>
    <v>18.54</v>
    <v>18.625</v>
    <v>18.440000000000001</v>
    <v>18.350000000000001</v>
    <v>18.385000000000002</v>
    <v>18.605</v>
    <v>18.190000000000001</v>
    <v>18.21</v>
    <v>18.114999999999998</v>
    <v>18.035</v>
    <v>17.940000000000001</v>
    <v>18.184999999999999</v>
    <v>17.934999999999999</v>
    <v>17.829999999999998</v>
    <v>17.57</v>
    <v>16.920000000000002</v>
    <v>16.885000000000002</v>
    <v>16.93</v>
    <v>17.114999999999998</v>
    <v>16.524999999999999</v>
    <v>16.215</v>
    <v>16.32</v>
    <v>16.329999999999998</v>
    <v>15.914999999999999</v>
    <v>15.805</v>
    <v>15.645</v>
    <v>15.715</v>
    <v>15.3</v>
    <v>15.244999999999999</v>
    <v>15.24</v>
    <v>14.855</v>
    <v>14.92</v>
  </a>
  <a r="1" c="256">
    <v>16.39</v>
    <v>16.335000000000001</v>
    <v>16.324999999999999</v>
    <v>16.254999999999999</v>
    <v>16.265000000000001</v>
    <v>15.484999999999999</v>
    <v>15.64</v>
    <v>15.565</v>
    <v>15.64</v>
    <v>15.53</v>
    <v>15.645</v>
    <v>15.64</v>
    <v>15.904999999999999</v>
    <v>16.02</v>
    <v>16.225000000000001</v>
    <v>16.53</v>
    <v>16.335000000000001</v>
    <v>16.22</v>
    <v>15.88</v>
    <v>15.89</v>
    <v>15.984999999999999</v>
    <v>16.100000000000001</v>
    <v>16.094999999999999</v>
    <v>16.335000000000001</v>
    <v>16.454999999999998</v>
    <v>16.5</v>
    <v>16.52</v>
    <v>16.579999999999998</v>
    <v>16.84</v>
    <v>16.66</v>
    <v>16.84</v>
    <v>16.795000000000002</v>
    <v>16.899999999999999</v>
    <v>17.16</v>
    <v>17.094999999999999</v>
    <v>17.28</v>
    <v>17.114999999999998</v>
    <v>17.155000000000001</v>
    <v>17.239999999999998</v>
    <v>17.395</v>
    <v>17.445</v>
    <v>17.600000000000001</v>
    <v>17.555</v>
    <v>17.574999999999999</v>
    <v>17.54</v>
    <v>17.440000000000001</v>
    <v>17.614999999999998</v>
    <v>17.55</v>
    <v>17.79</v>
    <v>17.75</v>
    <v>17.57</v>
    <v>17.32</v>
    <v>17.57</v>
    <v>17.684999999999999</v>
    <v>17.64</v>
    <v>17.765000000000001</v>
    <v>17.670000000000002</v>
    <v>17.63</v>
    <v>17.55</v>
    <v>17.405000000000001</v>
    <v>17.254999999999999</v>
    <v>17.28</v>
    <v>17.489999999999998</v>
    <v>17.454999999999998</v>
    <v>17.715</v>
    <v>18.190000000000001</v>
    <v>18</v>
    <v>18.079999999999998</v>
    <v>18.27</v>
    <v>18.48</v>
    <v>18.745000000000001</v>
    <v>18.175000000000001</v>
    <v>17.72</v>
    <v>17.864999999999998</v>
    <v>18.184999999999999</v>
    <v>18.04</v>
    <v>18.03</v>
    <v>17.940000000000001</v>
    <v>17.77</v>
    <v>18.024999999999999</v>
    <v>18.05</v>
    <v>18.3</v>
    <v>18.254999999999999</v>
    <v>18.565000000000001</v>
    <v>18.715</v>
    <v>18.504999999999999</v>
    <v>19.015000000000001</v>
    <v>19.024999999999999</v>
    <v>18.785</v>
    <v>18.39</v>
    <v>17.579999999999998</v>
    <v>17.600000000000001</v>
    <v>17.004999999999999</v>
    <v>16.79</v>
    <v>16.59</v>
    <v>17.085000000000001</v>
    <v>17.010000000000002</v>
    <v>16.510000000000002</v>
    <v>16.324999999999999</v>
    <v>16.39</v>
    <v>16.495000000000001</v>
    <v>16.64</v>
    <v>16.254999999999999</v>
    <v>15.975</v>
    <v>16.18</v>
    <v>16.105</v>
    <v>16.329999999999998</v>
    <v>15.945</v>
    <v>15.87</v>
    <v>15.85</v>
    <v>15.93</v>
    <v>16.579999999999998</v>
    <v>16.364999999999998</v>
    <v>16.414999999999999</v>
    <v>17.29</v>
    <v>17.2</v>
    <v>17.175000000000001</v>
    <v>17.085000000000001</v>
    <v>17.364999999999998</v>
    <v>17.355</v>
    <v>17.29</v>
    <v>17.78</v>
    <v>17.61</v>
    <v>17.465</v>
    <v>17.28</v>
    <v>17.184999999999999</v>
    <v>17.094999999999999</v>
    <v>17.135000000000002</v>
    <v>17.309999999999999</v>
    <v>17.225000000000001</v>
    <v>16.594999999999999</v>
    <v>16.510000000000002</v>
    <v>16.649999999999999</v>
    <v>17.25</v>
    <v>17.155000000000001</v>
    <v>17.03</v>
    <v>17.149999999999999</v>
    <v>16.925000000000001</v>
    <v>17.024999999999999</v>
    <v>17.170000000000002</v>
    <v>16.899999999999999</v>
    <v>16.824999999999999</v>
    <v>16.87</v>
    <v>17.094999999999999</v>
    <v>17.11</v>
    <v>17.260000000000002</v>
    <v>17.45</v>
    <v>16.395</v>
    <v>16.45</v>
    <v>16.375</v>
    <v>16.600000000000001</v>
    <v>16.45</v>
    <v>16.535</v>
    <v>16.47</v>
    <v>16.510000000000002</v>
    <v>16.53</v>
    <v>16.5</v>
    <v>16.434999999999999</v>
    <v>16.315000000000001</v>
    <v>16.245000000000001</v>
    <v>16.725000000000001</v>
    <v>16.93</v>
    <v>17.239999999999998</v>
    <v>17.515000000000001</v>
    <v>17.62</v>
    <v>17.695</v>
    <v>17.684999999999999</v>
    <v>17.61</v>
    <v>17.54</v>
    <v>17.664999999999999</v>
    <v>17.52</v>
    <v>17.445</v>
    <v>17.594999999999999</v>
    <v>17.48</v>
    <v>17.725000000000001</v>
    <v>17.72</v>
    <v>17.850000000000001</v>
    <v>17.600000000000001</v>
    <v>17.2</v>
    <v>17.425000000000001</v>
    <v>17.489999999999998</v>
    <v>17.55</v>
    <v>17.829999999999998</v>
    <v>17.77</v>
    <v>17.920000000000002</v>
    <v>17.785</v>
    <v>17.93</v>
    <v>18.105</v>
    <v>18.239999999999998</v>
    <v>18.035</v>
    <v>18.504999999999999</v>
    <v>18.61</v>
    <v>18.664999999999999</v>
    <v>18.37</v>
    <v>18.785</v>
    <v>19.274999999999999</v>
    <v>19.445</v>
    <v>19.375</v>
    <v>19.355</v>
    <v>19.46</v>
    <v>19.605</v>
    <v>19.93</v>
    <v>20.02</v>
    <v>20.170000000000002</v>
    <v>20.100000000000001</v>
    <v>20.2</v>
    <v>20.07</v>
    <v>19.675000000000001</v>
    <v>19.164999999999999</v>
    <v>19.100000000000001</v>
    <v>19.07</v>
    <v>19.085000000000001</v>
    <v>19.004999999999999</v>
    <v>19.010000000000002</v>
    <v>18.254999999999999</v>
    <v>18.440000000000001</v>
    <v>18.515000000000001</v>
    <v>18.579999999999998</v>
    <v>18.585000000000001</v>
    <v>18.844999999999999</v>
    <v>18.805</v>
    <v>18.864999999999998</v>
    <v>18.675000000000001</v>
    <v>18.489999999999998</v>
    <v>18.54</v>
    <v>18.625</v>
    <v>18.440000000000001</v>
    <v>18.350000000000001</v>
    <v>18.385000000000002</v>
    <v>18.605</v>
    <v>18.190000000000001</v>
    <v>18.21</v>
    <v>18.114999999999998</v>
    <v>18.035</v>
    <v>17.940000000000001</v>
    <v>18.184999999999999</v>
    <v>17.934999999999999</v>
    <v>17.829999999999998</v>
    <v>17.57</v>
    <v>16.920000000000002</v>
    <v>16.885000000000002</v>
    <v>16.93</v>
    <v>17.114999999999998</v>
    <v>16.524999999999999</v>
    <v>16.215</v>
    <v>16.32</v>
    <v>16.329999999999998</v>
    <v>15.914999999999999</v>
    <v>15.805</v>
    <v>15.645</v>
    <v>15.715</v>
    <v>15.3</v>
    <v>15.244999999999999</v>
    <v>15.24</v>
    <v>14.855</v>
    <v>14.92</v>
  </a>
  <a r="1" c="208">
    <v>58.95</v>
    <v>62</v>
    <v>63.7</v>
    <v>64.2</v>
    <v>65.400000000000006</v>
    <v>66.69</v>
    <v>67.489999999999995</v>
    <v>67.989999999999995</v>
    <v>68.650000000000006</v>
    <v>70.55</v>
    <v>73.430000000000007</v>
    <v>72.88</v>
    <v>73.2</v>
    <v>70.3</v>
    <v>70.89</v>
    <v>72.92</v>
    <v>69.599999999999994</v>
    <v>71.44</v>
    <v>73.42</v>
    <v>72.099999999999994</v>
    <v>70.180000000000007</v>
    <v>69.37</v>
    <v>70.540000000000006</v>
    <v>68.09</v>
    <v>65.75</v>
    <v>67.55</v>
    <v>69.930000000000007</v>
    <v>69</v>
    <v>66.66</v>
    <v>64.099999999999994</v>
    <v>66.72</v>
    <v>67.010000000000005</v>
    <v>66.650000000000006</v>
    <v>69.099999999999994</v>
    <v>69.11</v>
    <v>69.83</v>
    <v>68.2</v>
    <v>69.2</v>
    <v>69.38</v>
    <v>69.540000000000006</v>
    <v>67.16</v>
    <v>70.12</v>
    <v>70.27</v>
    <v>72.16</v>
    <v>70.010000000000005</v>
    <v>70.19</v>
    <v>69.400000000000006</v>
    <v>71.739999999999995</v>
    <v>71.180000000000007</v>
    <v>71.02</v>
    <v>70.599999999999994</v>
    <v>71.2</v>
    <v>72.7</v>
    <v>73.02</v>
    <v>71.73</v>
    <v>72.56</v>
    <v>72.31</v>
    <v>70.8</v>
    <v>77.94</v>
    <v>74.39</v>
    <v>70.92</v>
    <v>69.8</v>
    <v>68.989999999999995</v>
    <v>74.23</v>
    <v>78.64</v>
    <v>78.5</v>
    <v>82.54</v>
    <v>81.2</v>
    <v>81.03</v>
    <v>82.47</v>
    <v>83.05</v>
    <v>82.65</v>
    <v>87.17</v>
    <v>89.62</v>
    <v>88.91</v>
    <v>88.68</v>
    <v>89.28</v>
    <v>86.76</v>
    <v>83.26</v>
    <v>79.83</v>
    <v>80.45</v>
    <v>79.319999999999993</v>
    <v>83.73</v>
    <v>83.54</v>
    <v>83.31</v>
    <v>85.46</v>
    <v>84.8</v>
    <v>88.78</v>
    <v>94.53</v>
    <v>92.28</v>
    <v>96.19</v>
    <v>98.76</v>
    <v>96.4</v>
    <v>98.33</v>
    <v>96.15</v>
    <v>100.8</v>
    <v>102.63</v>
    <v>107.42</v>
    <v>111.87</v>
    <v>118.03</v>
    <v>116.42</v>
    <v>118.22</v>
    <v>111.05</v>
    <v>104.43</v>
    <v>106.4</v>
    <v>100.49</v>
    <v>101.79</v>
    <v>94.57</v>
    <v>93.97</v>
    <v>88.78</v>
    <v>88.32</v>
    <v>93.58</v>
    <v>92</v>
    <v>87.18</v>
    <v>85.3</v>
    <v>86.26</v>
    <v>84.64</v>
    <v>85.15</v>
    <v>82.87</v>
    <v>82.04</v>
    <v>79.400000000000006</v>
    <v>74.5</v>
    <v>77.08</v>
    <v>82.05</v>
    <v>86.71</v>
    <v>89.73</v>
    <v>87.81</v>
    <v>88.19</v>
    <v>86.37</v>
    <v>81.36</v>
    <v>79.790000000000006</v>
    <v>79.760000000000005</v>
    <v>77.87</v>
    <v>76.260000000000005</v>
    <v>76.36</v>
    <v>74.819999999999993</v>
    <v>70.78</v>
    <v>69.94</v>
    <v>69.67</v>
    <v>72.36</v>
    <v>72.88</v>
    <v>70.900000000000006</v>
    <v>69.64</v>
    <v>69.040000000000006</v>
    <v>68.510000000000005</v>
    <v>66.290000000000006</v>
    <v>66.59</v>
    <v>67.739999999999995</v>
    <v>70.94</v>
    <v>74.83</v>
    <v>74.709999999999994</v>
    <v>76.52</v>
    <v>77.25</v>
    <v>77.33</v>
    <v>77.34</v>
    <v>79.239999999999995</v>
    <v>79.760000000000005</v>
    <v>79.09</v>
    <v>79.569999999999993</v>
    <v>76.98</v>
    <v>74.87</v>
    <v>72.28</v>
    <v>73.56</v>
    <v>71.06</v>
    <v>70.75</v>
    <v>69.89</v>
    <v>70.47</v>
    <v>70.040000000000006</v>
    <v>68.260000000000005</v>
    <v>67.2</v>
    <v>67.39</v>
    <v>67.959999999999994</v>
    <v>68.680000000000007</v>
    <v>68.87</v>
    <v>70.8</v>
    <v>68.31</v>
    <v>68.05</v>
    <v>67.88</v>
    <v>67.83</v>
    <v>66.150000000000006</v>
    <v>67.73</v>
    <v>69.75</v>
    <v>68.19</v>
    <v>71.52</v>
    <v>71.52</v>
    <v>71.58</v>
    <v>70.56</v>
    <v>72.459999999999994</v>
    <v>71.02</v>
    <v>70.33</v>
    <v>70.599999999999994</v>
    <v>69.540000000000006</v>
    <v>71.14</v>
    <v>70.83</v>
    <v>71.760000000000005</v>
    <v>69.819999999999993</v>
    <v>67.459999999999994</v>
    <v>67.010000000000005</v>
    <v>67.06</v>
    <v>64.42</v>
    <v>63.74</v>
    <v>61.56</v>
    <v>62.16</v>
    <v>62.06</v>
    <v>61.02</v>
    <v>62.66</v>
    <v>60.61</v>
    <v>60.53</v>
  </a>
  <a r="1" c="761">
    <v>19.263999999999999</v>
    <v>19.346</v>
    <v>19.277999999999999</v>
    <v>19.41</v>
    <v>19.14</v>
    <v>19.154</v>
    <v>19.347999999999999</v>
    <v>19.382000000000001</v>
    <v>20</v>
    <v>20.344999999999999</v>
    <v>20.324999999999999</v>
    <v>19.861999999999998</v>
    <v>19.558</v>
    <v>19.71</v>
    <v>19.324000000000002</v>
    <v>19.577999999999999</v>
    <v>19.776</v>
    <v>20.065000000000001</v>
    <v>19.484000000000002</v>
    <v>19.706</v>
    <v>19.797999999999998</v>
    <v>19.594000000000001</v>
    <v>19.762</v>
    <v>19.602</v>
    <v>19.754000000000001</v>
    <v>20.015000000000001</v>
    <v>19.757999999999999</v>
    <v>19.882000000000001</v>
    <v>20.09</v>
    <v>20.39</v>
    <v>20.495000000000001</v>
    <v>20.495000000000001</v>
    <v>20.635000000000002</v>
    <v>20.56</v>
    <v>20.8</v>
    <v>20.664999999999999</v>
    <v>20.375</v>
    <v>20.495000000000001</v>
    <v>21.17</v>
    <v>21.215</v>
    <v>20.88</v>
    <v>20.975000000000001</v>
    <v>21.135000000000002</v>
    <v>21.04</v>
    <v>21.57</v>
    <v>21.864999999999998</v>
    <v>22.085000000000001</v>
    <v>21.79</v>
    <v>21.965</v>
    <v>21.37</v>
    <v>21.34</v>
    <v>21.434999999999999</v>
    <v>21.44</v>
    <v>21.375</v>
    <v>21.41</v>
    <v>20.95</v>
    <v>21.02</v>
    <v>20.984999999999999</v>
    <v>20.914999999999999</v>
    <v>20.66</v>
    <v>20.864999999999998</v>
    <v>20.07</v>
    <v>20.5</v>
    <v>20.63</v>
    <v>20.58</v>
    <v>20.234999999999999</v>
    <v>20.37</v>
    <v>20.170000000000002</v>
    <v>19.898</v>
    <v>19.994</v>
    <v>19.48</v>
    <v>20.135000000000002</v>
    <v>19.45</v>
    <v>19.68</v>
    <v>19.826000000000001</v>
    <v>19.835999999999999</v>
    <v>20.094999999999999</v>
    <v>20.63</v>
    <v>20.190000000000001</v>
    <v>20.335000000000001</v>
    <v>20.56</v>
    <v>20.75</v>
    <v>20.785</v>
    <v>20.66</v>
    <v>20.329999999999998</v>
    <v>20.305</v>
    <v>19.975999999999999</v>
    <v>20.035</v>
    <v>20.43</v>
    <v>20.309999999999999</v>
    <v>20.085000000000001</v>
    <v>20.274999999999999</v>
    <v>20.215</v>
    <v>20.195</v>
    <v>20.164999999999999</v>
    <v>20.295000000000002</v>
    <v>20.175000000000001</v>
    <v>20.38</v>
    <v>20.234999999999999</v>
    <v>20.45</v>
    <v>19.998000000000001</v>
    <v>19.882000000000001</v>
    <v>19.638000000000002</v>
    <v>19.468</v>
    <v>19.472000000000001</v>
    <v>19.925999999999998</v>
    <v>19.962</v>
    <v>20.010000000000002</v>
    <v>20.285</v>
    <v>20.27</v>
    <v>20.565000000000001</v>
    <v>20</v>
    <v>19.858000000000001</v>
    <v>20.074999999999999</v>
    <v>19.648</v>
    <v>19.940000000000001</v>
    <v>20.010000000000002</v>
    <v>19.670000000000002</v>
    <v>19.777999999999999</v>
    <v>19.91</v>
    <v>19.341999999999999</v>
    <v>19.212</v>
    <v>19.146000000000001</v>
    <v>19.488</v>
    <v>19.204000000000001</v>
    <v>19.228000000000002</v>
    <v>19.698</v>
    <v>19.7</v>
    <v>19.559999999999999</v>
    <v>20.09</v>
    <v>20.045000000000002</v>
    <v>19.722000000000001</v>
    <v>19.873999999999999</v>
    <v>20.05</v>
    <v>20.175000000000001</v>
    <v>20.21</v>
    <v>19.911999999999999</v>
    <v>19.994</v>
    <v>19.623999999999999</v>
    <v>19.872</v>
    <v>20.204999999999998</v>
    <v>20.170000000000002</v>
    <v>20.59</v>
    <v>20.875</v>
    <v>21.05</v>
    <v>21</v>
    <v>20.625</v>
    <v>20.305</v>
    <v>20.41</v>
    <v>20.565000000000001</v>
    <v>20.79</v>
    <v>21.1</v>
    <v>21.204999999999998</v>
    <v>21.285</v>
    <v>21.29</v>
    <v>21.164999999999999</v>
    <v>21.355</v>
    <v>21.49</v>
    <v>21.07</v>
    <v>20.99</v>
    <v>20.98</v>
    <v>21.47</v>
    <v>21.18</v>
    <v>20.75</v>
    <v>20.795000000000002</v>
    <v>20.945</v>
    <v>21.074999999999999</v>
    <v>21.11</v>
    <v>20.94</v>
    <v>21.004999999999999</v>
    <v>20.725000000000001</v>
    <v>20.8</v>
    <v>20.995000000000001</v>
    <v>21.12</v>
    <v>20.99</v>
    <v>20.96</v>
    <v>20.97</v>
    <v>21.155000000000001</v>
    <v>21.265000000000001</v>
    <v>21.81</v>
    <v>21.445</v>
    <v>21.44</v>
    <v>21.62</v>
    <v>22.004999999999999</v>
    <v>22.274999999999999</v>
    <v>22.66</v>
    <v>22.445</v>
    <v>22.335000000000001</v>
    <v>21.855</v>
    <v>21.835000000000001</v>
    <v>22.585000000000001</v>
    <v>22.364999999999998</v>
    <v>22.69</v>
    <v>23.375</v>
    <v>23.475000000000001</v>
    <v>23.475000000000001</v>
    <v>23.594999999999999</v>
    <v>23.14</v>
    <v>22.195</v>
    <v>21.274999999999999</v>
    <v>21.254999999999999</v>
    <v>22.26</v>
    <v>22.53</v>
    <v>22.335000000000001</v>
    <v>22.11</v>
    <v>21.895</v>
    <v>22.01</v>
    <v>23.905000000000001</v>
    <v>25</v>
    <v>24.484999999999999</v>
    <v>24.605</v>
    <v>24.565000000000001</v>
    <v>24.605</v>
    <v>24.585000000000001</v>
    <v>24.5</v>
    <v>23.71</v>
    <v>23.98</v>
    <v>23.895</v>
    <v>23.92</v>
    <v>23.61</v>
    <v>24.36</v>
    <v>23.62</v>
    <v>23.405000000000001</v>
    <v>23.55</v>
    <v>23.225000000000001</v>
    <v>23.51</v>
    <v>23.35</v>
    <v>24.135000000000002</v>
    <v>24.274999999999999</v>
    <v>24.614999999999998</v>
    <v>24.004999999999999</v>
    <v>24.73</v>
    <v>24.164999999999999</v>
    <v>23.995000000000001</v>
    <v>24.055</v>
    <v>24.25</v>
    <v>24.38</v>
    <v>25.14</v>
    <v>24.96</v>
    <v>24.4</v>
    <v>24.59</v>
    <v>24.44</v>
    <v>25.02</v>
    <v>24.9</v>
    <v>25.06</v>
    <v>24.86</v>
    <v>24.62</v>
    <v>24.695</v>
    <v>25.07</v>
    <v>25.56</v>
    <v>26.195</v>
    <v>26.684999999999999</v>
    <v>26.265000000000001</v>
    <v>25.895</v>
    <v>26.114999999999998</v>
    <v>25.725000000000001</v>
    <v>25.975000000000001</v>
    <v>25.72</v>
    <v>26.335000000000001</v>
    <v>26.164999999999999</v>
    <v>25.954999999999998</v>
    <v>25.25</v>
    <v>26.215</v>
    <v>26.684999999999999</v>
    <v>26.885000000000002</v>
    <v>27.844999999999999</v>
    <v>28.44</v>
    <v>27.99</v>
    <v>29.47</v>
    <v>28.715</v>
    <v>31.355</v>
    <v>29.84</v>
    <v>29.54</v>
    <v>30</v>
    <v>30.105</v>
    <v>30.08</v>
    <v>30.745000000000001</v>
    <v>31.78</v>
    <v>32.25</v>
    <v>32.634999999999998</v>
    <v>32.284999999999997</v>
    <v>32.65</v>
    <v>33.14</v>
    <v>32.954999999999998</v>
    <v>32.450000000000003</v>
    <v>32.695</v>
    <v>31.81</v>
    <v>32.86</v>
    <v>32.344999999999999</v>
    <v>32.17</v>
    <v>32.414999999999999</v>
    <v>32.25</v>
    <v>31.69</v>
    <v>32.524999999999999</v>
    <v>32.344999999999999</v>
    <v>32.755000000000003</v>
    <v>31.58</v>
    <v>32.25</v>
    <v>32.075000000000003</v>
    <v>33.674999999999997</v>
    <v>33.020000000000003</v>
    <v>34.090000000000003</v>
    <v>35.064999999999998</v>
    <v>35.450000000000003</v>
    <v>34.854999999999997</v>
    <v>33.82</v>
    <v>34.049999999999997</v>
    <v>33.130000000000003</v>
    <v>32.799999999999997</v>
    <v>32.395000000000003</v>
    <v>33.395000000000003</v>
    <v>33.33</v>
    <v>33.64</v>
    <v>34</v>
    <v>35.909999999999997</v>
    <v>35.92</v>
    <v>36.005000000000003</v>
    <v>36.79</v>
    <v>35.229999999999997</v>
    <v>34.5</v>
    <v>34.305</v>
    <v>34.615000000000002</v>
    <v>35.93</v>
    <v>35.164999999999999</v>
    <v>36.085000000000001</v>
    <v>36.115000000000002</v>
    <v>36.9</v>
    <v>36.57</v>
    <v>37.85</v>
    <v>37.53</v>
    <v>36.445</v>
    <v>37.08</v>
    <v>37.015000000000001</v>
    <v>37.814999999999998</v>
    <v>38.515000000000001</v>
    <v>38.130000000000003</v>
    <v>36.945</v>
    <v>36.594999999999999</v>
    <v>35.305</v>
    <v>33.854999999999997</v>
    <v>35.325000000000003</v>
    <v>35.06</v>
    <v>34.08</v>
    <v>34.515000000000001</v>
    <v>33.725000000000001</v>
    <v>36.159999999999997</v>
    <v>36.270000000000003</v>
    <v>33.814999999999998</v>
    <v>33.895000000000003</v>
    <v>33.405000000000001</v>
    <v>33.284999999999997</v>
    <v>33.01</v>
    <v>33.405000000000001</v>
    <v>34.244999999999997</v>
    <v>33.56</v>
    <v>33.244999999999997</v>
    <v>33.15</v>
    <v>32.695</v>
    <v>34.015000000000001</v>
    <v>34.145000000000003</v>
    <v>34.43</v>
    <v>33.774999999999999</v>
    <v>32.335000000000001</v>
    <v>31.71</v>
    <v>31.89</v>
    <v>31.7</v>
    <v>29.98</v>
    <v>29.04</v>
    <v>27.54</v>
    <v>29.184999999999999</v>
    <v>27.405000000000001</v>
    <v>29.16</v>
    <v>29.35</v>
    <v>29.26</v>
    <v>29.85</v>
    <v>29.46</v>
    <v>29.09</v>
    <v>28.34</v>
    <v>29.24</v>
    <v>30.055</v>
    <v>30.135000000000002</v>
    <v>30.405000000000001</v>
    <v>30.61</v>
    <v>30.215</v>
    <v>31.934999999999999</v>
    <v>31.984999999999999</v>
    <v>31.655000000000001</v>
    <v>32</v>
    <v>32.524999999999999</v>
    <v>32.65</v>
    <v>33.545000000000002</v>
    <v>33.575000000000003</v>
    <v>33.74</v>
    <v>34.369999999999997</v>
    <v>34.56</v>
    <v>33.865000000000002</v>
    <v>34.270000000000003</v>
    <v>34.07</v>
    <v>33.615000000000002</v>
    <v>33.1</v>
    <v>33.29</v>
    <v>34.96</v>
    <v>34.545000000000002</v>
    <v>34.005000000000003</v>
    <v>33.265000000000001</v>
    <v>33.064999999999998</v>
    <v>33.479999999999997</v>
    <v>33.534999999999997</v>
    <v>34.74</v>
    <v>34.92</v>
    <v>36.185000000000002</v>
    <v>35.18</v>
    <v>35.545000000000002</v>
    <v>35.445</v>
    <v>35.414999999999999</v>
    <v>36.700000000000003</v>
    <v>36.369999999999997</v>
    <v>36.884999999999998</v>
    <v>37.15</v>
    <v>38.229999999999997</v>
    <v>38.630000000000003</v>
    <v>39.159999999999997</v>
    <v>38.954999999999998</v>
    <v>39.755000000000003</v>
    <v>41.05</v>
    <v>40.174999999999997</v>
    <v>39.424999999999997</v>
    <v>39.555</v>
    <v>40.655000000000001</v>
    <v>40.424999999999997</v>
    <v>40.950000000000003</v>
    <v>41.284999999999997</v>
    <v>41.555</v>
    <v>41.74</v>
    <v>41.61</v>
    <v>42.17</v>
    <v>42.975000000000001</v>
    <v>42.005000000000003</v>
    <v>44.95</v>
    <v>44.424999999999997</v>
    <v>45.05</v>
    <v>42.865000000000002</v>
    <v>43.895000000000003</v>
    <v>43.774999999999999</v>
    <v>42.6</v>
    <v>42.87</v>
    <v>41.84</v>
    <v>42.865000000000002</v>
    <v>43.31</v>
    <v>41.99</v>
    <v>42.765000000000001</v>
    <v>43.225000000000001</v>
    <v>43.594999999999999</v>
    <v>42.204999999999998</v>
    <v>42.134999999999998</v>
    <v>41.96</v>
    <v>42.384999999999998</v>
    <v>42.344999999999999</v>
    <v>42.344999999999999</v>
    <v>43.07</v>
    <v>41.38</v>
    <v>40.344999999999999</v>
    <v>40.880000000000003</v>
    <v>42.2</v>
    <v>43.4</v>
    <v>46.715000000000003</v>
    <v>47.115000000000002</v>
    <v>46.895000000000003</v>
    <v>46.07</v>
    <v>47.2</v>
    <v>46.755000000000003</v>
    <v>46.21</v>
    <v>45.564999999999998</v>
    <v>45.725000000000001</v>
    <v>47.234999999999999</v>
    <v>47.21</v>
    <v>46.594999999999999</v>
    <v>46.38</v>
    <v>46.65</v>
    <v>47.195</v>
    <v>46.41</v>
    <v>46.7</v>
    <v>46.8</v>
    <v>47.034999999999997</v>
    <v>47.844999999999999</v>
    <v>49.454999999999998</v>
    <v>49.305</v>
    <v>48.42</v>
    <v>48.195</v>
    <v>48.81</v>
    <v>48.55</v>
    <v>50.24</v>
    <v>52.24</v>
    <v>53.68</v>
    <v>55.76</v>
    <v>55.15</v>
    <v>58.38</v>
    <v>59.1</v>
    <v>56.95</v>
    <v>57.32</v>
    <v>57.78</v>
    <v>58.8</v>
    <v>57.88</v>
    <v>54.07</v>
    <v>56.24</v>
    <v>56.12</v>
    <v>53</v>
    <v>55.13</v>
    <v>55.68</v>
    <v>56.07</v>
    <v>55.9</v>
    <v>55.4</v>
    <v>55.4</v>
    <v>55.6</v>
    <v>54.56</v>
    <v>53.5</v>
    <v>52.91</v>
    <v>50.45</v>
    <v>49.02</v>
    <v>51.26</v>
    <v>51.16</v>
    <v>50.79</v>
    <v>49.015000000000001</v>
    <v>49.645000000000003</v>
    <v>47.774999999999999</v>
    <v>47.25</v>
    <v>48.62</v>
    <v>47.85</v>
    <v>45.19</v>
    <v>46.8</v>
    <v>47.045000000000002</v>
    <v>47.524999999999999</v>
    <v>48.034999999999997</v>
    <v>48.534999999999997</v>
    <v>47.384999999999998</v>
    <v>47.545000000000002</v>
    <v>48.634999999999998</v>
    <v>51.43</v>
    <v>52.61</v>
    <v>53.43</v>
    <v>53.49</v>
    <v>54.51</v>
    <v>56.29</v>
    <v>55.24</v>
    <v>55.31</v>
    <v>53.03</v>
    <v>52.82</v>
    <v>52.6</v>
    <v>55.95</v>
    <v>59.25</v>
    <v>59.47</v>
    <v>57.53</v>
    <v>58.18</v>
    <v>58.95</v>
    <v>62</v>
    <v>63.7</v>
    <v>64.2</v>
    <v>65.400000000000006</v>
    <v>66.69</v>
    <v>67.489999999999995</v>
    <v>67.989999999999995</v>
    <v>68.650000000000006</v>
    <v>70.55</v>
    <v>73.430000000000007</v>
    <v>72.88</v>
    <v>73.2</v>
    <v>70.3</v>
    <v>70.89</v>
    <v>72.92</v>
    <v>69.599999999999994</v>
    <v>71.44</v>
    <v>73.42</v>
    <v>72.099999999999994</v>
    <v>70.180000000000007</v>
    <v>69.37</v>
    <v>70.540000000000006</v>
    <v>68.09</v>
    <v>65.75</v>
    <v>67.55</v>
    <v>69.930000000000007</v>
    <v>69</v>
    <v>66.66</v>
    <v>64.099999999999994</v>
    <v>66.72</v>
    <v>67.010000000000005</v>
    <v>66.650000000000006</v>
    <v>69.099999999999994</v>
    <v>69.11</v>
    <v>69.83</v>
    <v>68.2</v>
    <v>69.2</v>
    <v>69.38</v>
    <v>69.540000000000006</v>
    <v>67.16</v>
    <v>70.12</v>
    <v>70.27</v>
    <v>72.16</v>
    <v>70.010000000000005</v>
    <v>70.19</v>
    <v>69.400000000000006</v>
    <v>71.739999999999995</v>
    <v>71.180000000000007</v>
    <v>71.02</v>
    <v>70.599999999999994</v>
    <v>71.2</v>
    <v>72.7</v>
    <v>73.02</v>
    <v>71.73</v>
    <v>72.56</v>
    <v>72.31</v>
    <v>70.8</v>
    <v>77.94</v>
    <v>74.39</v>
    <v>70.92</v>
    <v>69.8</v>
    <v>68.989999999999995</v>
    <v>74.23</v>
    <v>78.64</v>
    <v>78.5</v>
    <v>82.54</v>
    <v>81.2</v>
    <v>81.03</v>
    <v>82.47</v>
    <v>83.05</v>
    <v>82.65</v>
    <v>87.17</v>
    <v>89.62</v>
    <v>88.91</v>
    <v>88.68</v>
    <v>89.28</v>
    <v>86.76</v>
    <v>83.26</v>
    <v>79.83</v>
    <v>80.45</v>
    <v>79.319999999999993</v>
    <v>83.73</v>
    <v>83.54</v>
    <v>83.31</v>
    <v>85.46</v>
    <v>84.8</v>
    <v>88.78</v>
    <v>94.53</v>
    <v>92.28</v>
    <v>96.19</v>
    <v>98.76</v>
    <v>96.4</v>
    <v>98.33</v>
    <v>96.15</v>
    <v>100.8</v>
    <v>102.63</v>
    <v>107.42</v>
    <v>111.87</v>
    <v>118.03</v>
    <v>116.42</v>
    <v>118.22</v>
    <v>111.05</v>
    <v>104.43</v>
    <v>106.4</v>
    <v>100.49</v>
    <v>101.79</v>
    <v>94.57</v>
    <v>93.97</v>
    <v>88.78</v>
    <v>88.32</v>
    <v>93.58</v>
    <v>92</v>
    <v>87.18</v>
    <v>85.3</v>
    <v>86.26</v>
    <v>84.64</v>
    <v>85.15</v>
    <v>82.87</v>
    <v>82.04</v>
    <v>79.400000000000006</v>
    <v>74.5</v>
    <v>77.08</v>
    <v>82.05</v>
    <v>86.71</v>
    <v>89.73</v>
    <v>87.81</v>
    <v>88.19</v>
    <v>86.37</v>
    <v>81.36</v>
    <v>79.790000000000006</v>
    <v>79.760000000000005</v>
    <v>77.87</v>
    <v>76.260000000000005</v>
    <v>76.36</v>
    <v>74.819999999999993</v>
    <v>70.78</v>
    <v>69.94</v>
    <v>69.67</v>
    <v>72.36</v>
    <v>72.88</v>
    <v>70.900000000000006</v>
    <v>69.64</v>
    <v>69.040000000000006</v>
    <v>68.510000000000005</v>
    <v>66.290000000000006</v>
    <v>66.59</v>
    <v>67.739999999999995</v>
    <v>70.94</v>
    <v>74.83</v>
    <v>74.709999999999994</v>
    <v>76.52</v>
    <v>77.25</v>
    <v>77.33</v>
    <v>77.34</v>
    <v>79.239999999999995</v>
    <v>79.760000000000005</v>
    <v>79.09</v>
    <v>79.569999999999993</v>
    <v>76.98</v>
    <v>74.87</v>
    <v>72.28</v>
    <v>73.56</v>
    <v>71.06</v>
    <v>70.75</v>
    <v>69.89</v>
    <v>70.47</v>
    <v>70.040000000000006</v>
    <v>68.260000000000005</v>
    <v>67.2</v>
    <v>67.39</v>
    <v>67.959999999999994</v>
    <v>68.680000000000007</v>
    <v>68.87</v>
    <v>70.8</v>
    <v>68.31</v>
    <v>68.05</v>
    <v>67.88</v>
    <v>67.83</v>
    <v>66.150000000000006</v>
    <v>67.73</v>
    <v>69.75</v>
    <v>68.19</v>
    <v>71.52</v>
    <v>71.52</v>
    <v>71.58</v>
    <v>70.56</v>
    <v>72.459999999999994</v>
    <v>71.02</v>
    <v>70.33</v>
    <v>70.599999999999994</v>
    <v>69.540000000000006</v>
    <v>71.14</v>
    <v>70.83</v>
    <v>71.760000000000005</v>
    <v>69.819999999999993</v>
    <v>67.459999999999994</v>
    <v>67.010000000000005</v>
    <v>67.06</v>
    <v>64.42</v>
    <v>63.74</v>
    <v>61.56</v>
    <v>62.16</v>
    <v>62.06</v>
    <v>61.02</v>
    <v>62.66</v>
    <v>60.61</v>
    <v>60.53</v>
  </a>
  <a r="1" c="254">
    <v>55.13</v>
    <v>55.68</v>
    <v>56.07</v>
    <v>55.9</v>
    <v>55.4</v>
    <v>55.4</v>
    <v>55.6</v>
    <v>54.56</v>
    <v>53.5</v>
    <v>52.91</v>
    <v>50.45</v>
    <v>49.02</v>
    <v>51.26</v>
    <v>51.16</v>
    <v>50.79</v>
    <v>49.015000000000001</v>
    <v>49.645000000000003</v>
    <v>47.774999999999999</v>
    <v>47.25</v>
    <v>48.62</v>
    <v>47.85</v>
    <v>45.19</v>
    <v>46.8</v>
    <v>47.045000000000002</v>
    <v>47.524999999999999</v>
    <v>48.034999999999997</v>
    <v>48.534999999999997</v>
    <v>47.384999999999998</v>
    <v>47.545000000000002</v>
    <v>48.634999999999998</v>
    <v>51.43</v>
    <v>52.61</v>
    <v>53.43</v>
    <v>53.49</v>
    <v>54.51</v>
    <v>56.29</v>
    <v>55.24</v>
    <v>55.31</v>
    <v>53.03</v>
    <v>52.82</v>
    <v>52.6</v>
    <v>55.95</v>
    <v>59.25</v>
    <v>59.47</v>
    <v>57.53</v>
    <v>58.18</v>
    <v>58.95</v>
    <v>62</v>
    <v>63.7</v>
    <v>64.2</v>
    <v>65.400000000000006</v>
    <v>66.69</v>
    <v>67.489999999999995</v>
    <v>67.989999999999995</v>
    <v>68.650000000000006</v>
    <v>70.55</v>
    <v>73.430000000000007</v>
    <v>72.88</v>
    <v>73.2</v>
    <v>70.3</v>
    <v>70.89</v>
    <v>72.92</v>
    <v>69.599999999999994</v>
    <v>71.44</v>
    <v>73.42</v>
    <v>72.099999999999994</v>
    <v>70.180000000000007</v>
    <v>69.37</v>
    <v>70.540000000000006</v>
    <v>68.09</v>
    <v>65.75</v>
    <v>67.55</v>
    <v>69.930000000000007</v>
    <v>69</v>
    <v>66.66</v>
    <v>64.099999999999994</v>
    <v>66.72</v>
    <v>67.010000000000005</v>
    <v>66.650000000000006</v>
    <v>69.099999999999994</v>
    <v>69.11</v>
    <v>69.83</v>
    <v>68.2</v>
    <v>69.2</v>
    <v>69.38</v>
    <v>69.540000000000006</v>
    <v>67.16</v>
    <v>70.12</v>
    <v>70.27</v>
    <v>72.16</v>
    <v>70.010000000000005</v>
    <v>70.19</v>
    <v>69.400000000000006</v>
    <v>71.739999999999995</v>
    <v>71.180000000000007</v>
    <v>71.02</v>
    <v>70.599999999999994</v>
    <v>71.2</v>
    <v>72.7</v>
    <v>73.02</v>
    <v>71.73</v>
    <v>72.56</v>
    <v>72.31</v>
    <v>70.8</v>
    <v>77.94</v>
    <v>74.39</v>
    <v>70.92</v>
    <v>69.8</v>
    <v>68.989999999999995</v>
    <v>74.23</v>
    <v>78.64</v>
    <v>78.5</v>
    <v>82.54</v>
    <v>81.2</v>
    <v>81.03</v>
    <v>82.47</v>
    <v>83.05</v>
    <v>82.65</v>
    <v>87.17</v>
    <v>89.62</v>
    <v>88.91</v>
    <v>88.68</v>
    <v>89.28</v>
    <v>86.76</v>
    <v>83.26</v>
    <v>79.83</v>
    <v>80.45</v>
    <v>79.319999999999993</v>
    <v>83.73</v>
    <v>83.54</v>
    <v>83.31</v>
    <v>85.46</v>
    <v>84.8</v>
    <v>88.78</v>
    <v>94.53</v>
    <v>92.28</v>
    <v>96.19</v>
    <v>98.76</v>
    <v>96.4</v>
    <v>98.33</v>
    <v>96.15</v>
    <v>100.8</v>
    <v>102.63</v>
    <v>107.42</v>
    <v>111.87</v>
    <v>118.03</v>
    <v>116.42</v>
    <v>118.22</v>
    <v>111.05</v>
    <v>104.43</v>
    <v>106.4</v>
    <v>100.49</v>
    <v>101.79</v>
    <v>94.57</v>
    <v>93.97</v>
    <v>88.78</v>
    <v>88.32</v>
    <v>93.58</v>
    <v>92</v>
    <v>87.18</v>
    <v>85.3</v>
    <v>86.26</v>
    <v>84.64</v>
    <v>85.15</v>
    <v>82.87</v>
    <v>82.04</v>
    <v>79.400000000000006</v>
    <v>74.5</v>
    <v>77.08</v>
    <v>82.05</v>
    <v>86.71</v>
    <v>89.73</v>
    <v>87.81</v>
    <v>88.19</v>
    <v>86.37</v>
    <v>81.36</v>
    <v>79.790000000000006</v>
    <v>79.760000000000005</v>
    <v>77.87</v>
    <v>76.260000000000005</v>
    <v>76.36</v>
    <v>74.819999999999993</v>
    <v>70.78</v>
    <v>69.94</v>
    <v>69.67</v>
    <v>72.36</v>
    <v>72.88</v>
    <v>70.900000000000006</v>
    <v>69.64</v>
    <v>69.040000000000006</v>
    <v>68.510000000000005</v>
    <v>66.290000000000006</v>
    <v>66.59</v>
    <v>67.739999999999995</v>
    <v>70.94</v>
    <v>74.83</v>
    <v>74.709999999999994</v>
    <v>76.52</v>
    <v>77.25</v>
    <v>77.33</v>
    <v>77.34</v>
    <v>79.239999999999995</v>
    <v>79.760000000000005</v>
    <v>79.09</v>
    <v>79.569999999999993</v>
    <v>76.98</v>
    <v>74.87</v>
    <v>72.28</v>
    <v>73.56</v>
    <v>71.06</v>
    <v>70.75</v>
    <v>69.89</v>
    <v>70.47</v>
    <v>70.040000000000006</v>
    <v>68.260000000000005</v>
    <v>67.2</v>
    <v>67.39</v>
    <v>67.959999999999994</v>
    <v>68.680000000000007</v>
    <v>68.87</v>
    <v>70.8</v>
    <v>68.31</v>
    <v>68.05</v>
    <v>67.88</v>
    <v>67.83</v>
    <v>66.150000000000006</v>
    <v>67.73</v>
    <v>69.75</v>
    <v>68.19</v>
    <v>71.52</v>
    <v>71.52</v>
    <v>71.58</v>
    <v>70.56</v>
    <v>72.459999999999994</v>
    <v>71.02</v>
    <v>70.33</v>
    <v>70.599999999999994</v>
    <v>69.540000000000006</v>
    <v>71.14</v>
    <v>70.83</v>
    <v>71.760000000000005</v>
    <v>69.819999999999993</v>
    <v>67.459999999999994</v>
    <v>67.010000000000005</v>
    <v>67.06</v>
    <v>64.42</v>
    <v>63.74</v>
    <v>61.56</v>
    <v>62.16</v>
    <v>62.06</v>
    <v>61.02</v>
    <v>62.66</v>
    <v>60.61</v>
    <v>60.53</v>
  </a>
  <a r="1" c="208">
    <v>4.9169999999999998</v>
    <v>5.0140000000000002</v>
    <v>5.0860000000000003</v>
    <v>5.1150000000000002</v>
    <v>5.1120000000000001</v>
    <v>5.1130000000000004</v>
    <v>5.1120000000000001</v>
    <v>5.0730000000000004</v>
    <v>5.0350000000000001</v>
    <v>5.0910000000000002</v>
    <v>5.0540000000000003</v>
    <v>5.0010000000000003</v>
    <v>4.9245000000000001</v>
    <v>4.9424999999999999</v>
    <v>4.9820000000000002</v>
    <v>4.9535</v>
    <v>4.9284999999999997</v>
    <v>4.9000000000000004</v>
    <v>4.8840000000000003</v>
    <v>4.8295000000000003</v>
    <v>4.8479999999999999</v>
    <v>4.9169999999999998</v>
    <v>4.8365</v>
    <v>4.8114999999999997</v>
    <v>4.7439999999999998</v>
    <v>4.7930000000000001</v>
    <v>4.7750000000000004</v>
    <v>4.8384999999999998</v>
    <v>4.8</v>
    <v>4.7115</v>
    <v>4.7214999999999998</v>
    <v>4.6955</v>
    <v>4.7234999999999996</v>
    <v>4.7664999999999997</v>
    <v>4.7469999999999999</v>
    <v>4.7655000000000003</v>
    <v>4.7039999999999997</v>
    <v>4.7110000000000003</v>
    <v>4.7495000000000003</v>
    <v>4.7824999999999998</v>
    <v>4.7934999999999999</v>
    <v>4.7895000000000003</v>
    <v>4.7465000000000002</v>
    <v>4.8150000000000004</v>
    <v>4.7699999999999996</v>
    <v>4.7050000000000001</v>
    <v>4.6855000000000002</v>
    <v>4.7335000000000003</v>
    <v>4.6749999999999998</v>
    <v>4.6399999999999997</v>
    <v>4.6390000000000002</v>
    <v>4.6505000000000001</v>
    <v>4.6914999999999996</v>
    <v>4.6405000000000003</v>
    <v>4.5705</v>
    <v>4.5289999999999999</v>
    <v>4.5465</v>
    <v>4.532</v>
    <v>4.5670000000000002</v>
    <v>4.5209999999999999</v>
    <v>4.4325000000000001</v>
    <v>4.4649999999999999</v>
    <v>4.4820000000000002</v>
    <v>4.5629999999999997</v>
    <v>4.5609999999999999</v>
    <v>4.5095000000000001</v>
    <v>4.6239999999999997</v>
    <v>4.5434999999999999</v>
    <v>4.5395000000000003</v>
    <v>4.5590000000000002</v>
    <v>4.6425000000000001</v>
    <v>4.6820000000000004</v>
    <v>4.6974999999999998</v>
    <v>4.7675000000000001</v>
    <v>4.7510000000000003</v>
    <v>4.734</v>
    <v>4.7309999999999999</v>
    <v>4.6695000000000002</v>
    <v>4.6360000000000001</v>
    <v>4.6844999999999999</v>
    <v>4.6470000000000002</v>
    <v>4.6254999999999997</v>
    <v>4.6355000000000004</v>
    <v>4.6390000000000002</v>
    <v>4.6479999999999997</v>
    <v>4.6645000000000003</v>
    <v>4.7009999999999996</v>
    <v>4.6615000000000002</v>
    <v>4.6345000000000001</v>
    <v>4.6260000000000003</v>
    <v>4.6280000000000001</v>
    <v>4.6779999999999999</v>
    <v>4.6455000000000002</v>
    <v>4.665</v>
    <v>4.7</v>
    <v>4.6885000000000003</v>
    <v>4.7234999999999996</v>
    <v>4.7945000000000002</v>
    <v>4.8194999999999997</v>
    <v>4.7995000000000001</v>
    <v>4.79</v>
    <v>4.8105000000000002</v>
    <v>4.851</v>
    <v>4.923</v>
    <v>4.8815</v>
    <v>4.8455000000000004</v>
    <v>4.9135</v>
    <v>4.8685</v>
    <v>4.8250000000000002</v>
    <v>4.7634999999999996</v>
    <v>4.7344999999999997</v>
    <v>4.6909999999999998</v>
    <v>4.7220000000000004</v>
    <v>4.7584999999999997</v>
    <v>4.7645</v>
    <v>4.7584999999999997</v>
    <v>4.7234999999999996</v>
    <v>4.7344999999999997</v>
    <v>4.71</v>
    <v>4.7285000000000004</v>
    <v>4.7859999999999996</v>
    <v>4.7670000000000003</v>
    <v>4.7945000000000002</v>
    <v>4.8414999999999999</v>
    <v>4.8220000000000001</v>
    <v>4.9325000000000001</v>
    <v>4.9455</v>
    <v>4.9615</v>
    <v>4.9894999999999996</v>
    <v>5.0110000000000001</v>
    <v>4.9005000000000001</v>
    <v>4.93</v>
    <v>4.9424999999999999</v>
    <v>4.9725000000000001</v>
    <v>4.9189999999999996</v>
    <v>4.9545000000000003</v>
    <v>4.9775</v>
    <v>4.9340000000000002</v>
    <v>4.9225000000000003</v>
    <v>4.8949999999999996</v>
    <v>4.8605</v>
    <v>4.8140000000000001</v>
    <v>4.9000000000000004</v>
    <v>4.9785000000000004</v>
    <v>5.0629999999999997</v>
    <v>5.0650000000000004</v>
    <v>4.9740000000000002</v>
    <v>4.9924999999999997</v>
    <v>5.09</v>
    <v>5.1479999999999997</v>
    <v>5.1669999999999998</v>
    <v>5.1479999999999997</v>
    <v>5.2229999999999999</v>
    <v>5.282</v>
    <v>5.3010000000000002</v>
    <v>5.2629999999999999</v>
    <v>5.2770000000000001</v>
    <v>5.2969999999999997</v>
    <v>5.2450000000000001</v>
    <v>5.234</v>
    <v>5.2789999999999999</v>
    <v>5.2679999999999998</v>
    <v>5.2809999999999997</v>
    <v>5.274</v>
    <v>5.2880000000000003</v>
    <v>5.2649999999999997</v>
    <v>5.3659999999999997</v>
    <v>5.4029999999999996</v>
    <v>5.3630000000000004</v>
    <v>5.3250000000000002</v>
    <v>5.2960000000000003</v>
    <v>5.3419999999999996</v>
    <v>5.2839999999999998</v>
    <v>5.2519999999999998</v>
    <v>5.1909999999999998</v>
    <v>5.157</v>
    <v>5.1420000000000003</v>
    <v>5.1609999999999996</v>
    <v>5.2969999999999997</v>
    <v>5.2930000000000001</v>
    <v>5.3280000000000003</v>
    <v>5.31</v>
    <v>5.29</v>
    <v>5.3390000000000004</v>
    <v>5.3789999999999996</v>
    <v>5.4050000000000002</v>
    <v>5.3860000000000001</v>
    <v>5.3959999999999999</v>
    <v>5.3609999999999998</v>
    <v>5.3520000000000003</v>
    <v>5.399</v>
    <v>5.3970000000000002</v>
    <v>5.4210000000000003</v>
    <v>5.468</v>
    <v>5.4989999999999997</v>
    <v>5.4710000000000001</v>
    <v>5.43</v>
    <v>5.5460000000000003</v>
    <v>5.5890000000000004</v>
    <v>5.5869999999999997</v>
    <v>5.5759999999999996</v>
    <v>5.6070000000000002</v>
    <v>5.5570000000000004</v>
    <v>5.5389999999999997</v>
    <v>5.5730000000000004</v>
    <v>5.6079999999999997</v>
    <v>5.6559999999999997</v>
    <v>5.6520000000000001</v>
  </a>
  <a r="1" c="468">
    <v t="i">420</v>
    <v t="i">421</v>
    <v t="i">422</v>
    <v t="i">423</v>
    <v t="i">424</v>
    <v t="i">427</v>
    <v t="i">431</v>
    <v t="i">434</v>
    <v t="i">437</v>
    <v t="i">438</v>
    <v t="i">441</v>
    <v t="i">442</v>
    <v t="i">443</v>
    <v t="i">444</v>
    <v t="i">445</v>
    <v t="i">448</v>
    <v t="i">449</v>
    <v t="i">450</v>
    <v t="i">451</v>
    <v t="i">452</v>
    <v t="i">455</v>
    <v t="i">456</v>
    <v t="i">457</v>
    <v t="i">458</v>
    <v t="i">459</v>
    <v t="i">462</v>
    <v t="i">463</v>
    <v t="i">464</v>
    <v t="i">465</v>
    <v t="i">466</v>
    <v t="i">469</v>
    <v t="i">470</v>
    <v t="i">471</v>
    <v t="i">472</v>
    <v t="i">473</v>
    <v t="i">476</v>
    <v t="i">477</v>
    <v t="i">478</v>
    <v t="i">479</v>
    <v t="i">480</v>
    <v t="i">483</v>
    <v t="i">484</v>
    <v t="i">485</v>
    <v t="i">486</v>
    <v t="i">487</v>
    <v t="i">490</v>
    <v t="i">491</v>
    <v t="i">492</v>
    <v t="i">493</v>
    <v t="i">494</v>
    <v t="i">497</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547</v>
    <v t="i">548</v>
    <v t="i">549</v>
    <v t="i">550</v>
    <v t="i">553</v>
    <v t="i">554</v>
    <v t="i">555</v>
    <v t="i">557</v>
    <v t="i">560</v>
    <v t="i">561</v>
    <v t="i">562</v>
    <v t="i">563</v>
    <v t="i">564</v>
    <v t="i">567</v>
    <v t="i">568</v>
    <v t="i">569</v>
    <v t="i">570</v>
    <v t="i">571</v>
    <v t="i">574</v>
    <v t="i">575</v>
    <v t="i">576</v>
    <v t="i">577</v>
    <v t="i">578</v>
    <v t="i">581</v>
    <v t="i">582</v>
    <v t="i">583</v>
    <v t="i">584</v>
    <v t="i">585</v>
    <v t="i">588</v>
    <v t="i">589</v>
    <v t="i">590</v>
    <v t="i">591</v>
    <v t="i">592</v>
    <v t="i">595</v>
    <v t="i">596</v>
    <v t="i">597</v>
    <v t="i">598</v>
    <v t="i">599</v>
    <v t="i">602</v>
    <v t="i">603</v>
    <v t="i">604</v>
    <v t="i">605</v>
    <v t="i">606</v>
    <v t="i">609</v>
    <v t="i">610</v>
    <v t="i">611</v>
    <v t="i">612</v>
    <v t="i">613</v>
    <v t="i">616</v>
    <v t="i">617</v>
    <v t="i">618</v>
    <v t="i">619</v>
    <v t="i">620</v>
    <v t="i">623</v>
    <v t="i">624</v>
    <v t="i">625</v>
    <v t="i">626</v>
    <v t="i">627</v>
    <v t="i">630</v>
    <v t="i">631</v>
    <v t="i">632</v>
    <v t="i">633</v>
    <v t="i">634</v>
    <v t="i">637</v>
    <v t="i">638</v>
    <v t="i">639</v>
    <v t="i">640</v>
    <v t="i">641</v>
    <v t="i">644</v>
    <v t="i">645</v>
    <v t="i">646</v>
    <v t="i">647</v>
    <v t="i">648</v>
    <v t="i">651</v>
    <v t="i">652</v>
    <v t="i">653</v>
    <v t="i">654</v>
    <v t="i">655</v>
    <v t="i">658</v>
    <v t="i">659</v>
    <v t="i">660</v>
    <v t="i">661</v>
    <v t="i">665</v>
    <v t="i">666</v>
    <v t="i">667</v>
    <v t="i">668</v>
    <v t="i">669</v>
    <v t="i">672</v>
    <v t="i">673</v>
    <v t="i">674</v>
    <v t="i">675</v>
    <v t="i">676</v>
    <v t="i">679</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750</v>
    <v t="i">751</v>
    <v t="i">752</v>
    <v t="i">753</v>
    <v t="i">756</v>
    <v t="i">757</v>
    <v t="i">758</v>
    <v t="i">759</v>
    <v t="i">760</v>
    <v t="i">763</v>
    <v t="i">764</v>
    <v t="i">765</v>
    <v t="i">766</v>
    <v t="i">767</v>
    <v t="i">770</v>
    <v t="i">771</v>
    <v t="i">772</v>
    <v t="i">773</v>
    <v t="i">774</v>
    <v t="i">777</v>
    <v t="i">778</v>
    <v t="i">779</v>
    <v t="i">780</v>
    <v t="i">781</v>
    <v t="i">784</v>
    <v t="i">785</v>
    <v t="i">786</v>
    <v t="i">787</v>
    <v t="i">788</v>
    <v t="i">791</v>
    <v t="i">792</v>
    <v t="i">798</v>
    <v t="i">799</v>
    <v t="i">802</v>
    <v t="i">805</v>
    <v t="i">806</v>
    <v t="i">807</v>
    <v t="i">808</v>
    <v t="i">809</v>
    <v t="i">812</v>
    <v t="i">813</v>
    <v t="i">814</v>
    <v t="i">815</v>
    <v t="i">816</v>
    <v t="i">819</v>
    <v t="i">820</v>
    <v t="i">821</v>
    <v t="i">822</v>
    <v t="i">823</v>
    <v t="i">826</v>
    <v t="i">827</v>
    <v t="i">828</v>
    <v t="i">829</v>
    <v t="i">830</v>
    <v t="i">833</v>
    <v t="i">834</v>
    <v t="i">835</v>
    <v t="i">836</v>
    <v t="i">837</v>
    <v t="i">840</v>
    <v t="i">841</v>
    <v t="i">842</v>
    <v t="i">843</v>
    <v t="i">844</v>
    <v t="i">847</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897</v>
    <v t="i">898</v>
    <v t="i">899</v>
    <v t="i">900</v>
    <v t="i">903</v>
    <v t="i">904</v>
    <v t="i">905</v>
    <v t="i">906</v>
    <v t="i">907</v>
    <v t="i">910</v>
    <v t="i">911</v>
    <v t="i">912</v>
    <v t="i">913</v>
    <v t="i">914</v>
    <v t="i">917</v>
    <v t="i">918</v>
    <v t="i">919</v>
    <v t="i">920</v>
    <v t="i">924</v>
    <v t="i">925</v>
    <v t="i">926</v>
    <v t="i">927</v>
    <v t="i">928</v>
    <v t="i">931</v>
    <v t="i">932</v>
    <v t="i">933</v>
    <v t="i">934</v>
    <v t="i">935</v>
    <v t="i">938</v>
    <v t="i">939</v>
    <v t="i">940</v>
    <v t="i">941</v>
    <v t="i">942</v>
    <v t="i">945</v>
    <v t="i">946</v>
    <v t="i">947</v>
    <v t="i">948</v>
    <v t="i">949</v>
    <v t="i">952</v>
    <v t="i">953</v>
    <v t="i">954</v>
    <v t="i">955</v>
    <v t="i">956</v>
    <v t="i">959</v>
    <v t="i">960</v>
    <v t="i">961</v>
    <v t="i">962</v>
    <v t="i">963</v>
    <v t="i">966</v>
    <v t="i">967</v>
    <v t="i">968</v>
    <v t="i">969</v>
    <v t="i">970</v>
    <v t="i">973</v>
    <v t="i">974</v>
    <v t="i">975</v>
    <v t="i">976</v>
    <v t="i">977</v>
    <v t="i">980</v>
    <v t="i">981</v>
    <v t="i">982</v>
    <v t="i">983</v>
    <v t="i">984</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1050</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468">
    <v>4.7954999999999997</v>
    <v>4.8079999999999998</v>
    <v>4.8144999999999998</v>
    <v>4.7380000000000004</v>
    <v>4.7590000000000003</v>
    <v>4.7409999999999997</v>
    <v>4.7625000000000002</v>
    <v>4.7294999999999998</v>
    <v>4.7939999999999996</v>
    <v>4.7824999999999998</v>
    <v>4.82</v>
    <v>4.8224999999999998</v>
    <v>4.8179999999999996</v>
    <v>4.827</v>
    <v>4.79</v>
    <v>4.7714999999999996</v>
    <v>4.7670000000000003</v>
    <v>4.8505000000000003</v>
    <v>4.8884999999999996</v>
    <v>4.9295</v>
    <v>4.9165000000000001</v>
    <v>4.9325000000000001</v>
    <v>4.9785000000000004</v>
    <v>4.9859999999999998</v>
    <v>4.9814999999999996</v>
    <v>4.9669999999999996</v>
    <v>5.0250000000000004</v>
    <v>5.03</v>
    <v>5.0570000000000004</v>
    <v>5.0970000000000004</v>
    <v>5.07</v>
    <v>5.0730000000000004</v>
    <v>5.05</v>
    <v>5.1159999999999997</v>
    <v>5.1219999999999999</v>
    <v>5.133</v>
    <v>5.1050000000000004</v>
    <v>5.0759999999999996</v>
    <v>5.1050000000000004</v>
    <v>5.0819999999999999</v>
    <v>5.1210000000000004</v>
    <v>5.1109999999999998</v>
    <v>5.1159999999999997</v>
    <v>5.0449999999999999</v>
    <v>5.0519999999999996</v>
    <v>4.9770000000000003</v>
    <v>4.883</v>
    <v>4.9654999999999996</v>
    <v>4.9844999999999997</v>
    <v>4.8975</v>
    <v>4.9450000000000003</v>
    <v>4.7489999999999997</v>
    <v>4.7415000000000003</v>
    <v>4.766</v>
    <v>4.6464999999999996</v>
    <v>4.5984999999999996</v>
    <v>4.4995000000000003</v>
    <v>4.5490000000000004</v>
    <v>4.4980000000000002</v>
    <v>4.5644999999999998</v>
    <v>4.5934999999999997</v>
    <v>4.5715000000000003</v>
    <v>4.6265000000000001</v>
    <v>4.6315</v>
    <v>4.62</v>
    <v>4.6989999999999998</v>
    <v>4.7134999999999998</v>
    <v>4.6680000000000001</v>
    <v>4.6520000000000001</v>
    <v>4.5255000000000001</v>
    <v>4.4779999999999998</v>
    <v>4.5385</v>
    <v>4.5294999999999996</v>
    <v>4.2850000000000001</v>
    <v>4.0964999999999998</v>
    <v>3.9424999999999999</v>
    <v>4.0875000000000004</v>
    <v>3.895</v>
    <v>4.0609999999999999</v>
    <v>3.9769999999999999</v>
    <v>4.1180000000000003</v>
    <v>4.1444999999999999</v>
    <v>4.1174999999999997</v>
    <v>4.0754999999999999</v>
    <v>4.0425000000000004</v>
    <v>4.1875</v>
    <v>4.2119999999999997</v>
    <v>4.2640000000000002</v>
    <v>4.2755000000000001</v>
    <v>4.2990000000000004</v>
    <v>4.3164999999999996</v>
    <v>4.4135</v>
    <v>4.4539999999999997</v>
    <v>4.407</v>
    <v>4.3925000000000001</v>
    <v>4.4889999999999999</v>
    <v>4.4800000000000004</v>
    <v>4.6395</v>
    <v>4.6585000000000001</v>
    <v>4.6379999999999999</v>
    <v>4.6515000000000004</v>
    <v>4.6840000000000002</v>
    <v>4.6535000000000002</v>
    <v>4.673</v>
    <v>4.6284999999999998</v>
    <v>4.5884999999999998</v>
    <v>4.5460000000000003</v>
    <v>4.5955000000000004</v>
    <v>4.6340000000000003</v>
    <v>4.63</v>
    <v>4.5970000000000004</v>
    <v>4.6094999999999997</v>
    <v>4.5579999999999998</v>
    <v>4.6130000000000004</v>
    <v>4.6260000000000003</v>
    <v>4.6289999999999996</v>
    <v>4.649</v>
    <v>4.6459999999999999</v>
    <v>4.6680000000000001</v>
    <v>4.673</v>
    <v>4.6185</v>
    <v>4.585</v>
    <v>4.6619999999999999</v>
    <v>4.5990000000000002</v>
    <v>4.5804999999999998</v>
    <v>4.5309999999999997</v>
    <v>4.5415000000000001</v>
    <v>4.5324999999999998</v>
    <v>4.5865</v>
    <v>4.5875000000000004</v>
    <v>4.5904999999999996</v>
    <v>4.6275000000000004</v>
    <v>4.6139999999999999</v>
    <v>4.601</v>
    <v>4.5984999999999996</v>
    <v>4.6364999999999998</v>
    <v>4.6085000000000003</v>
    <v>4.6154999999999999</v>
    <v>4.6269999999999998</v>
    <v>4.6204999999999998</v>
    <v>4.6515000000000004</v>
    <v>4.5880000000000001</v>
    <v>4.5990000000000002</v>
    <v>4.6005000000000003</v>
    <v>4.5620000000000003</v>
    <v>4.6475</v>
    <v>4.6304999999999996</v>
    <v>4.6260000000000003</v>
    <v>4.6109999999999998</v>
    <v>4.6734999999999998</v>
    <v>4.6695000000000002</v>
    <v>4.6849999999999996</v>
    <v>4.718</v>
    <v>4.7255000000000003</v>
    <v>4.7424999999999997</v>
    <v>4.7154999999999996</v>
    <v>4.5644999999999998</v>
    <v>4.6100000000000003</v>
    <v>4.6064999999999996</v>
    <v>4.5635000000000003</v>
    <v>4.5990000000000002</v>
    <v>4.6280000000000001</v>
    <v>4.6440000000000001</v>
    <v>4.6420000000000003</v>
    <v>4.6734999999999998</v>
    <v>4.68</v>
    <v>4.7004999999999999</v>
    <v>4.7024999999999997</v>
    <v>4.6779999999999999</v>
    <v>4.6885000000000003</v>
    <v>4.7175000000000002</v>
    <v>4.6989999999999998</v>
    <v>4.6879999999999997</v>
    <v>4.71</v>
    <v>4.6879999999999997</v>
    <v>4.6654999999999998</v>
    <v>4.6790000000000003</v>
    <v>4.6269999999999998</v>
    <v>4.6479999999999997</v>
    <v>4.6760000000000002</v>
    <v>4.6509999999999998</v>
    <v>4.6825000000000001</v>
    <v>4.7009999999999996</v>
    <v>4.6725000000000003</v>
    <v>4.6944999999999997</v>
    <v>4.6829999999999998</v>
    <v>4.6859999999999999</v>
    <v>4.6475</v>
    <v>4.665</v>
    <v>4.7229999999999999</v>
    <v>4.7234999999999996</v>
    <v>4.734</v>
    <v>4.7244999999999999</v>
    <v>4.7050000000000001</v>
    <v>4.6680000000000001</v>
    <v>4.6814999999999998</v>
    <v>4.6924999999999999</v>
    <v>4.6870000000000003</v>
    <v>4.7300000000000004</v>
    <v>4.7545000000000002</v>
    <v>4.8140000000000001</v>
    <v>4.8425000000000002</v>
    <v>4.8164999999999996</v>
    <v>4.8620000000000001</v>
    <v>4.8605</v>
    <v>4.7164999999999999</v>
    <v>4.7824999999999998</v>
    <v>4.7569999999999997</v>
    <v>4.7965</v>
    <v>4.7874999999999996</v>
    <v>4.7305000000000001</v>
    <v>4.8384999999999998</v>
    <v>4.8810000000000002</v>
    <v>4.8674999999999997</v>
    <v>4.8520000000000003</v>
    <v>4.9000000000000004</v>
    <v>4.9080000000000004</v>
    <v>4.9320000000000004</v>
    <v>4.9055</v>
    <v>4.9295</v>
    <v>4.9024999999999999</v>
    <v>4.9130000000000003</v>
    <v>4.8815</v>
    <v>4.8615000000000004</v>
    <v>4.8224999999999998</v>
    <v>4.7839999999999998</v>
    <v>4.8564999999999996</v>
    <v>4.9059999999999997</v>
    <v>4.9480000000000004</v>
    <v>4.9135</v>
    <v>4.8864999999999998</v>
    <v>4.8449999999999998</v>
    <v>4.7934999999999999</v>
    <v>4.7839999999999998</v>
    <v>4.8079999999999998</v>
    <v>4.8094999999999999</v>
    <v>4.8789999999999996</v>
    <v>4.9154999999999998</v>
    <v>4.9135</v>
    <v>4.92</v>
    <v>4.9400000000000004</v>
    <v>4.9180000000000001</v>
    <v>4.9169999999999998</v>
    <v>4.9180000000000001</v>
    <v>4.9584999999999999</v>
    <v>5.0010000000000003</v>
    <v>4.9725000000000001</v>
    <v>4.9664999999999999</v>
    <v>4.9474999999999998</v>
    <v>4.9539999999999997</v>
    <v>4.9574999999999996</v>
    <v>4.9645000000000001</v>
    <v>4.9104999999999999</v>
    <v>4.9390000000000001</v>
    <v>4.9355000000000002</v>
    <v>4.9669999999999996</v>
    <v>4.9844999999999997</v>
    <v>4.9790000000000001</v>
    <v>4.9770000000000003</v>
    <v>4.9814999999999996</v>
    <v>4.9169999999999998</v>
    <v>5.0140000000000002</v>
    <v>5.0860000000000003</v>
    <v>5.1150000000000002</v>
    <v>5.1120000000000001</v>
    <v>5.1130000000000004</v>
    <v>5.1120000000000001</v>
    <v>5.0730000000000004</v>
    <v>5.0350000000000001</v>
    <v>5.0910000000000002</v>
    <v>5.0540000000000003</v>
    <v>5.0010000000000003</v>
    <v>4.9245000000000001</v>
    <v>4.9424999999999999</v>
    <v>4.9820000000000002</v>
    <v>4.9535</v>
    <v>4.9284999999999997</v>
    <v>4.9000000000000004</v>
    <v>4.8840000000000003</v>
    <v>4.8295000000000003</v>
    <v>4.8479999999999999</v>
    <v>4.9169999999999998</v>
    <v>4.8365</v>
    <v>4.8114999999999997</v>
    <v>4.7439999999999998</v>
    <v>4.7930000000000001</v>
    <v>4.7750000000000004</v>
    <v>4.8384999999999998</v>
    <v>4.8</v>
    <v>4.7115</v>
    <v>4.7214999999999998</v>
    <v>4.6955</v>
    <v>4.7234999999999996</v>
    <v>4.7664999999999997</v>
    <v>4.7469999999999999</v>
    <v>4.7655000000000003</v>
    <v>4.7039999999999997</v>
    <v>4.7110000000000003</v>
    <v>4.7495000000000003</v>
    <v>4.7824999999999998</v>
    <v>4.7934999999999999</v>
    <v>4.7895000000000003</v>
    <v>4.7465000000000002</v>
    <v>4.8150000000000004</v>
    <v>4.7699999999999996</v>
    <v>4.7050000000000001</v>
    <v>4.6855000000000002</v>
    <v>4.7335000000000003</v>
    <v>4.6749999999999998</v>
    <v>4.6399999999999997</v>
    <v>4.6390000000000002</v>
    <v>4.6505000000000001</v>
    <v>4.6914999999999996</v>
    <v>4.6405000000000003</v>
    <v>4.5705</v>
    <v>4.5289999999999999</v>
    <v>4.5465</v>
    <v>4.532</v>
    <v>4.5670000000000002</v>
    <v>4.5209999999999999</v>
    <v>4.4325000000000001</v>
    <v>4.4649999999999999</v>
    <v>4.4820000000000002</v>
    <v>4.5629999999999997</v>
    <v>4.5609999999999999</v>
    <v>4.5095000000000001</v>
    <v>4.6239999999999997</v>
    <v>4.5434999999999999</v>
    <v>4.5395000000000003</v>
    <v>4.5590000000000002</v>
    <v>4.6425000000000001</v>
    <v>4.6820000000000004</v>
    <v>4.6974999999999998</v>
    <v>4.7675000000000001</v>
    <v>4.7510000000000003</v>
    <v>4.734</v>
    <v>4.7309999999999999</v>
    <v>4.6695000000000002</v>
    <v>4.6360000000000001</v>
    <v>4.6844999999999999</v>
    <v>4.6470000000000002</v>
    <v>4.6254999999999997</v>
    <v>4.6355000000000004</v>
    <v>4.6390000000000002</v>
    <v>4.6479999999999997</v>
    <v>4.6645000000000003</v>
    <v>4.7009999999999996</v>
    <v>4.6615000000000002</v>
    <v>4.6345000000000001</v>
    <v>4.6260000000000003</v>
    <v>4.6280000000000001</v>
    <v>4.6779999999999999</v>
    <v>4.6455000000000002</v>
    <v>4.665</v>
    <v>4.7</v>
    <v>4.6885000000000003</v>
    <v>4.7234999999999996</v>
    <v>4.7945000000000002</v>
    <v>4.8194999999999997</v>
    <v>4.7995000000000001</v>
    <v>4.79</v>
    <v>4.8105000000000002</v>
    <v>4.851</v>
    <v>4.923</v>
    <v>4.8815</v>
    <v>4.8455000000000004</v>
    <v>4.9135</v>
    <v>4.8685</v>
    <v>4.8250000000000002</v>
    <v>4.7634999999999996</v>
    <v>4.7344999999999997</v>
    <v>4.6909999999999998</v>
    <v>4.7220000000000004</v>
    <v>4.7584999999999997</v>
    <v>4.7645</v>
    <v>4.7584999999999997</v>
    <v>4.7234999999999996</v>
    <v>4.7344999999999997</v>
    <v>4.71</v>
    <v>4.7285000000000004</v>
    <v>4.7859999999999996</v>
    <v>4.7670000000000003</v>
    <v>4.7945000000000002</v>
    <v>4.8414999999999999</v>
    <v>4.8220000000000001</v>
    <v>4.9325000000000001</v>
    <v>4.9455</v>
    <v>4.9615</v>
    <v>4.9894999999999996</v>
    <v>5.0110000000000001</v>
    <v>4.9005000000000001</v>
    <v>4.93</v>
    <v>4.9424999999999999</v>
    <v>4.9725000000000001</v>
    <v>4.9189999999999996</v>
    <v>4.9545000000000003</v>
    <v>4.9775</v>
    <v>4.9340000000000002</v>
    <v>4.9225000000000003</v>
    <v>4.8949999999999996</v>
    <v>4.8605</v>
    <v>4.8140000000000001</v>
    <v>4.9000000000000004</v>
    <v>4.9785000000000004</v>
    <v>5.0629999999999997</v>
    <v>5.0650000000000004</v>
    <v>4.9740000000000002</v>
    <v>4.9924999999999997</v>
    <v>5.09</v>
    <v>5.1479999999999997</v>
    <v>5.1669999999999998</v>
    <v>5.1479999999999997</v>
    <v>5.2229999999999999</v>
    <v>5.282</v>
    <v>5.3010000000000002</v>
    <v>5.2629999999999999</v>
    <v>5.2770000000000001</v>
    <v>5.2969999999999997</v>
    <v>5.2450000000000001</v>
    <v>5.234</v>
    <v>5.2789999999999999</v>
    <v>5.2679999999999998</v>
    <v>5.2809999999999997</v>
    <v>5.274</v>
    <v>5.2880000000000003</v>
    <v>5.2649999999999997</v>
    <v>5.3659999999999997</v>
    <v>5.4029999999999996</v>
    <v>5.3630000000000004</v>
    <v>5.3250000000000002</v>
    <v>5.2960000000000003</v>
    <v>5.3419999999999996</v>
    <v>5.2839999999999998</v>
    <v>5.2519999999999998</v>
    <v>5.1909999999999998</v>
    <v>5.157</v>
    <v>5.1420000000000003</v>
    <v>5.1609999999999996</v>
    <v>5.2969999999999997</v>
    <v>5.2930000000000001</v>
    <v>5.3280000000000003</v>
    <v>5.31</v>
    <v>5.29</v>
    <v>5.3390000000000004</v>
    <v>5.3789999999999996</v>
    <v>5.4050000000000002</v>
    <v>5.3860000000000001</v>
    <v>5.3959999999999999</v>
    <v>5.3609999999999998</v>
    <v>5.3520000000000003</v>
    <v>5.399</v>
    <v>5.3970000000000002</v>
    <v>5.4210000000000003</v>
    <v>5.468</v>
    <v>5.4989999999999997</v>
    <v>5.4710000000000001</v>
    <v>5.43</v>
    <v>5.5460000000000003</v>
    <v>5.5890000000000004</v>
    <v>5.5869999999999997</v>
    <v>5.5759999999999996</v>
    <v>5.6070000000000002</v>
    <v>5.5570000000000004</v>
    <v>5.5389999999999997</v>
    <v>5.5730000000000004</v>
    <v>5.6079999999999997</v>
    <v>5.6559999999999997</v>
    <v>5.6520000000000001</v>
  </a>
  <a r="1" c="254">
    <v>4.8520000000000003</v>
    <v>4.9000000000000004</v>
    <v>4.9080000000000004</v>
    <v>4.9320000000000004</v>
    <v>4.9055</v>
    <v>4.9295</v>
    <v>4.9024999999999999</v>
    <v>4.9130000000000003</v>
    <v>4.8815</v>
    <v>4.8615000000000004</v>
    <v>4.8224999999999998</v>
    <v>4.7839999999999998</v>
    <v>4.8564999999999996</v>
    <v>4.9059999999999997</v>
    <v>4.9480000000000004</v>
    <v>4.9135</v>
    <v>4.8864999999999998</v>
    <v>4.8449999999999998</v>
    <v>4.7934999999999999</v>
    <v>4.7839999999999998</v>
    <v>4.8079999999999998</v>
    <v>4.8094999999999999</v>
    <v>4.8789999999999996</v>
    <v>4.9154999999999998</v>
    <v>4.9135</v>
    <v>4.92</v>
    <v>4.9400000000000004</v>
    <v>4.9180000000000001</v>
    <v>4.9169999999999998</v>
    <v>4.9180000000000001</v>
    <v>4.9584999999999999</v>
    <v>5.0010000000000003</v>
    <v>4.9725000000000001</v>
    <v>4.9664999999999999</v>
    <v>4.9474999999999998</v>
    <v>4.9539999999999997</v>
    <v>4.9574999999999996</v>
    <v>4.9645000000000001</v>
    <v>4.9104999999999999</v>
    <v>4.9390000000000001</v>
    <v>4.9355000000000002</v>
    <v>4.9669999999999996</v>
    <v>4.9844999999999997</v>
    <v>4.9790000000000001</v>
    <v>4.9770000000000003</v>
    <v>4.9814999999999996</v>
    <v>4.9169999999999998</v>
    <v>5.0140000000000002</v>
    <v>5.0860000000000003</v>
    <v>5.1150000000000002</v>
    <v>5.1120000000000001</v>
    <v>5.1130000000000004</v>
    <v>5.1120000000000001</v>
    <v>5.0730000000000004</v>
    <v>5.0350000000000001</v>
    <v>5.0910000000000002</v>
    <v>5.0540000000000003</v>
    <v>5.0010000000000003</v>
    <v>4.9245000000000001</v>
    <v>4.9424999999999999</v>
    <v>4.9820000000000002</v>
    <v>4.9535</v>
    <v>4.9284999999999997</v>
    <v>4.9000000000000004</v>
    <v>4.8840000000000003</v>
    <v>4.8295000000000003</v>
    <v>4.8479999999999999</v>
    <v>4.9169999999999998</v>
    <v>4.8365</v>
    <v>4.8114999999999997</v>
    <v>4.7439999999999998</v>
    <v>4.7930000000000001</v>
    <v>4.7750000000000004</v>
    <v>4.8384999999999998</v>
    <v>4.8</v>
    <v>4.7115</v>
    <v>4.7214999999999998</v>
    <v>4.6955</v>
    <v>4.7234999999999996</v>
    <v>4.7664999999999997</v>
    <v>4.7469999999999999</v>
    <v>4.7655000000000003</v>
    <v>4.7039999999999997</v>
    <v>4.7110000000000003</v>
    <v>4.7495000000000003</v>
    <v>4.7824999999999998</v>
    <v>4.7934999999999999</v>
    <v>4.7895000000000003</v>
    <v>4.7465000000000002</v>
    <v>4.8150000000000004</v>
    <v>4.7699999999999996</v>
    <v>4.7050000000000001</v>
    <v>4.6855000000000002</v>
    <v>4.7335000000000003</v>
    <v>4.6749999999999998</v>
    <v>4.6399999999999997</v>
    <v>4.6390000000000002</v>
    <v>4.6505000000000001</v>
    <v>4.6914999999999996</v>
    <v>4.6405000000000003</v>
    <v>4.5705</v>
    <v>4.5289999999999999</v>
    <v>4.5465</v>
    <v>4.532</v>
    <v>4.5670000000000002</v>
    <v>4.5209999999999999</v>
    <v>4.4325000000000001</v>
    <v>4.4649999999999999</v>
    <v>4.4820000000000002</v>
    <v>4.5629999999999997</v>
    <v>4.5609999999999999</v>
    <v>4.5095000000000001</v>
    <v>4.6239999999999997</v>
    <v>4.5434999999999999</v>
    <v>4.5395000000000003</v>
    <v>4.5590000000000002</v>
    <v>4.6425000000000001</v>
    <v>4.6820000000000004</v>
    <v>4.6974999999999998</v>
    <v>4.7675000000000001</v>
    <v>4.7510000000000003</v>
    <v>4.734</v>
    <v>4.7309999999999999</v>
    <v>4.6695000000000002</v>
    <v>4.6360000000000001</v>
    <v>4.6844999999999999</v>
    <v>4.6470000000000002</v>
    <v>4.6254999999999997</v>
    <v>4.6355000000000004</v>
    <v>4.6390000000000002</v>
    <v>4.6479999999999997</v>
    <v>4.6645000000000003</v>
    <v>4.7009999999999996</v>
    <v>4.6615000000000002</v>
    <v>4.6345000000000001</v>
    <v>4.6260000000000003</v>
    <v>4.6280000000000001</v>
    <v>4.6779999999999999</v>
    <v>4.6455000000000002</v>
    <v>4.665</v>
    <v>4.7</v>
    <v>4.6885000000000003</v>
    <v>4.7234999999999996</v>
    <v>4.7945000000000002</v>
    <v>4.8194999999999997</v>
    <v>4.7995000000000001</v>
    <v>4.79</v>
    <v>4.8105000000000002</v>
    <v>4.851</v>
    <v>4.923</v>
    <v>4.8815</v>
    <v>4.8455000000000004</v>
    <v>4.9135</v>
    <v>4.8685</v>
    <v>4.8250000000000002</v>
    <v>4.7634999999999996</v>
    <v>4.7344999999999997</v>
    <v>4.6909999999999998</v>
    <v>4.7220000000000004</v>
    <v>4.7584999999999997</v>
    <v>4.7645</v>
    <v>4.7584999999999997</v>
    <v>4.7234999999999996</v>
    <v>4.7344999999999997</v>
    <v>4.71</v>
    <v>4.7285000000000004</v>
    <v>4.7859999999999996</v>
    <v>4.7670000000000003</v>
    <v>4.7945000000000002</v>
    <v>4.8414999999999999</v>
    <v>4.8220000000000001</v>
    <v>4.9325000000000001</v>
    <v>4.9455</v>
    <v>4.9615</v>
    <v>4.9894999999999996</v>
    <v>5.0110000000000001</v>
    <v>4.9005000000000001</v>
    <v>4.93</v>
    <v>4.9424999999999999</v>
    <v>4.9725000000000001</v>
    <v>4.9189999999999996</v>
    <v>4.9545000000000003</v>
    <v>4.9775</v>
    <v>4.9340000000000002</v>
    <v>4.9225000000000003</v>
    <v>4.8949999999999996</v>
    <v>4.8605</v>
    <v>4.8140000000000001</v>
    <v>4.9000000000000004</v>
    <v>4.9785000000000004</v>
    <v>5.0629999999999997</v>
    <v>5.0650000000000004</v>
    <v>4.9740000000000002</v>
    <v>4.9924999999999997</v>
    <v>5.09</v>
    <v>5.1479999999999997</v>
    <v>5.1669999999999998</v>
    <v>5.1479999999999997</v>
    <v>5.2229999999999999</v>
    <v>5.282</v>
    <v>5.3010000000000002</v>
    <v>5.2629999999999999</v>
    <v>5.2770000000000001</v>
    <v>5.2969999999999997</v>
    <v>5.2450000000000001</v>
    <v>5.234</v>
    <v>5.2789999999999999</v>
    <v>5.2679999999999998</v>
    <v>5.2809999999999997</v>
    <v>5.274</v>
    <v>5.2880000000000003</v>
    <v>5.2649999999999997</v>
    <v>5.3659999999999997</v>
    <v>5.4029999999999996</v>
    <v>5.3630000000000004</v>
    <v>5.3250000000000002</v>
    <v>5.2960000000000003</v>
    <v>5.3419999999999996</v>
    <v>5.2839999999999998</v>
    <v>5.2519999999999998</v>
    <v>5.1909999999999998</v>
    <v>5.157</v>
    <v>5.1420000000000003</v>
    <v>5.1609999999999996</v>
    <v>5.2969999999999997</v>
    <v>5.2930000000000001</v>
    <v>5.3280000000000003</v>
    <v>5.31</v>
    <v>5.29</v>
    <v>5.3390000000000004</v>
    <v>5.3789999999999996</v>
    <v>5.4050000000000002</v>
    <v>5.3860000000000001</v>
    <v>5.3959999999999999</v>
    <v>5.3609999999999998</v>
    <v>5.3520000000000003</v>
    <v>5.399</v>
    <v>5.3970000000000002</v>
    <v>5.4210000000000003</v>
    <v>5.468</v>
    <v>5.4989999999999997</v>
    <v>5.4710000000000001</v>
    <v>5.43</v>
    <v>5.5460000000000003</v>
    <v>5.5890000000000004</v>
    <v>5.5869999999999997</v>
    <v>5.5759999999999996</v>
    <v>5.6070000000000002</v>
    <v>5.5570000000000004</v>
    <v>5.5389999999999997</v>
    <v>5.5730000000000004</v>
    <v>5.6079999999999997</v>
    <v>5.6559999999999997</v>
    <v>5.6520000000000001</v>
  </a>
  <a r="1" c="208">
    <v>5.13</v>
    <v>5.0999999999999996</v>
    <v>5.109</v>
    <v>5.0839999999999996</v>
    <v>5.1230000000000002</v>
    <v>5.1079999999999997</v>
    <v>5.0810000000000004</v>
    <v>5.1029999999999998</v>
    <v>5.1289999999999996</v>
    <v>5.109</v>
    <v>5.13</v>
    <v>5.1760000000000002</v>
    <v>5.1440000000000001</v>
    <v>5.15</v>
    <v>5.093</v>
    <v>5.0839999999999996</v>
    <v>5.0140000000000002</v>
    <v>4.95</v>
    <v>4.9740000000000002</v>
    <v>5.0309999999999997</v>
    <v>5.0339999999999998</v>
    <v>5.0359999999999996</v>
    <v>5.069</v>
    <v>5.0940000000000003</v>
    <v>5.165</v>
    <v>5.0979999999999999</v>
    <v>5.0129999999999999</v>
    <v>5.0060000000000002</v>
    <v>5.0419999999999998</v>
    <v>5.1059999999999999</v>
    <v>5.1050000000000004</v>
    <v>5.1289999999999996</v>
    <v>5.1420000000000003</v>
    <v>5.0990000000000002</v>
    <v>5.1529999999999996</v>
    <v>5.1319999999999997</v>
    <v>5.149</v>
    <v>5.1319999999999997</v>
    <v>5.0860000000000003</v>
    <v>5.1109999999999998</v>
    <v>5.1219999999999999</v>
    <v>5.2060000000000004</v>
    <v>5.31</v>
    <v>5.2069999999999999</v>
    <v>5.2880000000000003</v>
    <v>5.3230000000000004</v>
    <v>5.351</v>
    <v>5.2389999999999999</v>
    <v>5.319</v>
    <v>5.3959999999999999</v>
    <v>5.48</v>
    <v>5.4370000000000003</v>
    <v>5.3789999999999996</v>
    <v>5.4320000000000004</v>
    <v>5.4889999999999999</v>
    <v>5.51</v>
    <v>5.468</v>
    <v>5.4770000000000003</v>
    <v>5.46</v>
    <v>5.5549999999999997</v>
    <v>5.6550000000000002</v>
    <v>5.7</v>
    <v>5.633</v>
    <v>5.4530000000000003</v>
    <v>5.4960000000000004</v>
    <v>5.5049999999999999</v>
    <v>5.2809999999999997</v>
    <v>5.2510000000000003</v>
    <v>5.2149999999999999</v>
    <v>5.2389999999999999</v>
    <v>5.0970000000000004</v>
    <v>5.0609999999999999</v>
    <v>5.0460000000000003</v>
    <v>4.9649999999999999</v>
    <v>4.9974999999999996</v>
    <v>5.0250000000000004</v>
    <v>5.0129999999999999</v>
    <v>5.0039999999999996</v>
    <v>5.0110000000000001</v>
    <v>4.9930000000000003</v>
    <v>5.0289999999999999</v>
    <v>5.0279999999999996</v>
    <v>4.9880000000000004</v>
    <v>4.9809999999999999</v>
    <v>4.9424999999999999</v>
    <v>4.8624999999999998</v>
    <v>4.84</v>
    <v>4.8244999999999996</v>
    <v>4.8045</v>
    <v>4.8775000000000004</v>
    <v>4.8384999999999998</v>
    <v>4.7934999999999999</v>
    <v>4.8650000000000002</v>
    <v>4.8964999999999996</v>
    <v>4.9379999999999997</v>
    <v>4.88</v>
    <v>4.9059999999999997</v>
    <v>4.835</v>
    <v>4.7919999999999998</v>
    <v>4.8179999999999996</v>
    <v>4.8125</v>
    <v>4.7794999999999996</v>
    <v>4.7515000000000001</v>
    <v>4.7839999999999998</v>
    <v>4.7534999999999998</v>
    <v>4.7915000000000001</v>
    <v>4.7874999999999996</v>
    <v>4.8739999999999997</v>
    <v>4.9154999999999998</v>
    <v>4.9800000000000004</v>
    <v>4.9794999999999998</v>
    <v>5.0209999999999999</v>
    <v>4.8825000000000003</v>
    <v>4.8049999999999997</v>
    <v>4.8205</v>
    <v>4.8434999999999997</v>
    <v>4.9095000000000004</v>
    <v>4.9065000000000003</v>
    <v>4.9359999999999999</v>
    <v>5.0270000000000001</v>
    <v>5.0060000000000002</v>
    <v>5.0309999999999997</v>
    <v>5.0209999999999999</v>
    <v>4.9965000000000002</v>
    <v>4.9444999999999997</v>
    <v>4.9305000000000003</v>
    <v>4.9295</v>
    <v>4.9249999999999998</v>
    <v>4.9175000000000004</v>
    <v>4.9429999999999996</v>
    <v>4.9969999999999999</v>
    <v>4.9184999999999999</v>
    <v>4.9000000000000004</v>
    <v>4.9234999999999998</v>
    <v>4.9015000000000004</v>
    <v>4.8964999999999996</v>
    <v>4.8959999999999999</v>
    <v>4.9530000000000003</v>
    <v>4.9660000000000002</v>
    <v>4.9524999999999997</v>
    <v>4.9459999999999997</v>
    <v>5.0510000000000002</v>
    <v>5.0030000000000001</v>
    <v>5.0369999999999999</v>
    <v>5.01</v>
    <v>5.0640000000000001</v>
    <v>5.0010000000000003</v>
    <v>4.97</v>
    <v>4.8739999999999997</v>
    <v>4.79</v>
    <v>4.7510000000000003</v>
    <v>4.7774999999999999</v>
    <v>4.74</v>
    <v>4.7435</v>
    <v>4.7554999999999996</v>
    <v>4.7575000000000003</v>
    <v>4.7380000000000004</v>
    <v>4.7214999999999998</v>
    <v>4.7240000000000002</v>
    <v>4.7770000000000001</v>
    <v>4.7229999999999999</v>
    <v>4.7415000000000003</v>
    <v>4.7504999999999997</v>
    <v>4.7690000000000001</v>
    <v>4.7590000000000003</v>
    <v>4.7670000000000003</v>
    <v>4.7380000000000004</v>
    <v>4.7320000000000002</v>
    <v>4.7839999999999998</v>
    <v>4.8085000000000004</v>
    <v>4.7954999999999997</v>
    <v>4.7415000000000003</v>
    <v>4.7655000000000003</v>
    <v>4.7679999999999998</v>
    <v>4.7744999999999997</v>
    <v>4.8109999999999999</v>
    <v>4.8280000000000003</v>
    <v>4.7995000000000001</v>
    <v>4.8685</v>
    <v>4.8815</v>
    <v>4.8710000000000004</v>
    <v>4.8845000000000001</v>
    <v>4.8890000000000002</v>
    <v>4.8265000000000002</v>
    <v>4.8215000000000003</v>
    <v>4.867</v>
    <v>4.9130000000000003</v>
    <v>4.8665000000000003</v>
    <v>4.9074999999999998</v>
    <v>4.9390000000000001</v>
    <v>4.891</v>
    <v>5.0060000000000002</v>
    <v>4.9359999999999999</v>
    <v>4.9335000000000004</v>
    <v>4.8564999999999996</v>
    <v>4.9335000000000004</v>
    <v>4.9305000000000003</v>
    <v>4.9225000000000003</v>
    <v>4.9275000000000002</v>
    <v>4.9295</v>
    <v>4.9930000000000003</v>
    <v>4.9640000000000004</v>
    <v>4.9560000000000004</v>
    <v>4.9645000000000001</v>
    <v>4.9615</v>
    <v>4.9485000000000001</v>
    <v>5.0170000000000003</v>
    <v>5.0229999999999997</v>
  </a>
  <a r="1" c="254">
    <v>5.226</v>
    <v>5.1539999999999999</v>
    <v>5.1150000000000002</v>
    <v>5.0839999999999996</v>
    <v>5.07</v>
    <v>5.14</v>
    <v>5.1779999999999999</v>
    <v>5.1829999999999998</v>
    <v>5.2279999999999998</v>
    <v>5.2350000000000003</v>
    <v>5.2619999999999996</v>
    <v>5.3120000000000003</v>
    <v>5.2249999999999996</v>
    <v>5.181</v>
    <v>5.1589999999999998</v>
    <v>5.1879999999999997</v>
    <v>5.2119999999999997</v>
    <v>5.2549999999999999</v>
    <v>5.3360000000000003</v>
    <v>5.351</v>
    <v>5.3150000000000004</v>
    <v>5.42</v>
    <v>5.3140000000000001</v>
    <v>5.2709999999999999</v>
    <v>5.18</v>
    <v>5.1879999999999997</v>
    <v>5.173</v>
    <v>5.173</v>
    <v>5.19</v>
    <v>5.1470000000000002</v>
    <v>5.1440000000000001</v>
    <v>5.1360000000000001</v>
    <v>5.16</v>
    <v>5.1470000000000002</v>
    <v>5.1520000000000001</v>
    <v>5.1029999999999998</v>
    <v>5.1340000000000003</v>
    <v>5.1159999999999997</v>
    <v>5.1539999999999999</v>
    <v>5.1829999999999998</v>
    <v>5.15</v>
    <v>5.1420000000000003</v>
    <v>5.0940000000000003</v>
    <v>5.0739999999999998</v>
    <v>5.0810000000000004</v>
    <v>5.0750000000000002</v>
    <v>5.13</v>
    <v>5.0999999999999996</v>
    <v>5.109</v>
    <v>5.0839999999999996</v>
    <v>5.1230000000000002</v>
    <v>5.1079999999999997</v>
    <v>5.0810000000000004</v>
    <v>5.1029999999999998</v>
    <v>5.1289999999999996</v>
    <v>5.109</v>
    <v>5.13</v>
    <v>5.1760000000000002</v>
    <v>5.1440000000000001</v>
    <v>5.15</v>
    <v>5.093</v>
    <v>5.0839999999999996</v>
    <v>5.0140000000000002</v>
    <v>4.95</v>
    <v>4.9740000000000002</v>
    <v>5.0309999999999997</v>
    <v>5.0339999999999998</v>
    <v>5.0359999999999996</v>
    <v>5.069</v>
    <v>5.0940000000000003</v>
    <v>5.165</v>
    <v>5.0979999999999999</v>
    <v>5.0129999999999999</v>
    <v>5.0060000000000002</v>
    <v>5.0419999999999998</v>
    <v>5.1059999999999999</v>
    <v>5.1050000000000004</v>
    <v>5.1289999999999996</v>
    <v>5.1420000000000003</v>
    <v>5.0990000000000002</v>
    <v>5.1529999999999996</v>
    <v>5.1319999999999997</v>
    <v>5.149</v>
    <v>5.1319999999999997</v>
    <v>5.0860000000000003</v>
    <v>5.1109999999999998</v>
    <v>5.1219999999999999</v>
    <v>5.2060000000000004</v>
    <v>5.31</v>
    <v>5.2069999999999999</v>
    <v>5.2880000000000003</v>
    <v>5.3230000000000004</v>
    <v>5.351</v>
    <v>5.2389999999999999</v>
    <v>5.319</v>
    <v>5.3959999999999999</v>
    <v>5.48</v>
    <v>5.4370000000000003</v>
    <v>5.3789999999999996</v>
    <v>5.4320000000000004</v>
    <v>5.4889999999999999</v>
    <v>5.51</v>
    <v>5.468</v>
    <v>5.4770000000000003</v>
    <v>5.46</v>
    <v>5.5549999999999997</v>
    <v>5.6550000000000002</v>
    <v>5.7</v>
    <v>5.633</v>
    <v>5.4530000000000003</v>
    <v>5.4960000000000004</v>
    <v>5.5049999999999999</v>
    <v>5.2809999999999997</v>
    <v>5.2510000000000003</v>
    <v>5.2149999999999999</v>
    <v>5.2389999999999999</v>
    <v>5.0970000000000004</v>
    <v>5.0609999999999999</v>
    <v>5.0460000000000003</v>
    <v>4.9649999999999999</v>
    <v>4.9974999999999996</v>
    <v>5.0250000000000004</v>
    <v>5.0129999999999999</v>
    <v>5.0039999999999996</v>
    <v>5.0110000000000001</v>
    <v>4.9930000000000003</v>
    <v>5.0289999999999999</v>
    <v>5.0279999999999996</v>
    <v>4.9880000000000004</v>
    <v>4.9809999999999999</v>
    <v>4.9424999999999999</v>
    <v>4.8624999999999998</v>
    <v>4.84</v>
    <v>4.8244999999999996</v>
    <v>4.8045</v>
    <v>4.8775000000000004</v>
    <v>4.8384999999999998</v>
    <v>4.7934999999999999</v>
    <v>4.8650000000000002</v>
    <v>4.8964999999999996</v>
    <v>4.9379999999999997</v>
    <v>4.88</v>
    <v>4.9059999999999997</v>
    <v>4.835</v>
    <v>4.7919999999999998</v>
    <v>4.8179999999999996</v>
    <v>4.8125</v>
    <v>4.7794999999999996</v>
    <v>4.7515000000000001</v>
    <v>4.7839999999999998</v>
    <v>4.7534999999999998</v>
    <v>4.7915000000000001</v>
    <v>4.7874999999999996</v>
    <v>4.8739999999999997</v>
    <v>4.9154999999999998</v>
    <v>4.9800000000000004</v>
    <v>4.9794999999999998</v>
    <v>5.0209999999999999</v>
    <v>4.8825000000000003</v>
    <v>4.8049999999999997</v>
    <v>4.8205</v>
    <v>4.8434999999999997</v>
    <v>4.9095000000000004</v>
    <v>4.9065000000000003</v>
    <v>4.9359999999999999</v>
    <v>5.0270000000000001</v>
    <v>5.0060000000000002</v>
    <v>5.0309999999999997</v>
    <v>5.0209999999999999</v>
    <v>4.9965000000000002</v>
    <v>4.9444999999999997</v>
    <v>4.9305000000000003</v>
    <v>4.9295</v>
    <v>4.9249999999999998</v>
    <v>4.9175000000000004</v>
    <v>4.9429999999999996</v>
    <v>4.9969999999999999</v>
    <v>4.9184999999999999</v>
    <v>4.9000000000000004</v>
    <v>4.9234999999999998</v>
    <v>4.9015000000000004</v>
    <v>4.8964999999999996</v>
    <v>4.8959999999999999</v>
    <v>4.9530000000000003</v>
    <v>4.9660000000000002</v>
    <v>4.9524999999999997</v>
    <v>4.9459999999999997</v>
    <v>5.0510000000000002</v>
    <v>5.0030000000000001</v>
    <v>5.0369999999999999</v>
    <v>5.01</v>
    <v>5.0640000000000001</v>
    <v>5.0010000000000003</v>
    <v>4.97</v>
    <v>4.8739999999999997</v>
    <v>4.79</v>
    <v>4.7510000000000003</v>
    <v>4.7774999999999999</v>
    <v>4.74</v>
    <v>4.7435</v>
    <v>4.7554999999999996</v>
    <v>4.7575000000000003</v>
    <v>4.7380000000000004</v>
    <v>4.7214999999999998</v>
    <v>4.7240000000000002</v>
    <v>4.7770000000000001</v>
    <v>4.7229999999999999</v>
    <v>4.7415000000000003</v>
    <v>4.7504999999999997</v>
    <v>4.7690000000000001</v>
    <v>4.7590000000000003</v>
    <v>4.7670000000000003</v>
    <v>4.7380000000000004</v>
    <v>4.7320000000000002</v>
    <v>4.7839999999999998</v>
    <v>4.8085000000000004</v>
    <v>4.7954999999999997</v>
    <v>4.7415000000000003</v>
    <v>4.7655000000000003</v>
    <v>4.7679999999999998</v>
    <v>4.7744999999999997</v>
    <v>4.8109999999999999</v>
    <v>4.8280000000000003</v>
    <v>4.7995000000000001</v>
    <v>4.8685</v>
    <v>4.8815</v>
    <v>4.8710000000000004</v>
    <v>4.8845000000000001</v>
    <v>4.8890000000000002</v>
    <v>4.8265000000000002</v>
    <v>4.8215000000000003</v>
    <v>4.867</v>
    <v>4.9130000000000003</v>
    <v>4.8665000000000003</v>
    <v>4.9074999999999998</v>
    <v>4.9390000000000001</v>
    <v>4.891</v>
    <v>5.0060000000000002</v>
    <v>4.9359999999999999</v>
    <v>4.9335000000000004</v>
    <v>4.8564999999999996</v>
    <v>4.9335000000000004</v>
    <v>4.9305000000000003</v>
    <v>4.9225000000000003</v>
    <v>4.9275000000000002</v>
    <v>4.9295</v>
    <v>4.9930000000000003</v>
    <v>4.9640000000000004</v>
    <v>4.9560000000000004</v>
    <v>4.9645000000000001</v>
    <v>4.9615</v>
    <v>4.9485000000000001</v>
    <v>5.0170000000000003</v>
    <v>5.0229999999999997</v>
  </a>
  <a r="1" c="761">
    <v>7.96</v>
    <v>8.0039999999999996</v>
    <v>8.0410000000000004</v>
    <v>8.2170000000000005</v>
    <v>8.1769999999999996</v>
    <v>8.1829999999999998</v>
    <v>8.17</v>
    <v>8.109</v>
    <v>7.8789999999999996</v>
    <v>7.6760000000000002</v>
    <v>7.68</v>
    <v>7.694</v>
    <v>7.6879999999999997</v>
    <v>7.6740000000000004</v>
    <v>7.7190000000000003</v>
    <v>7.6390000000000002</v>
    <v>7.3760000000000003</v>
    <v>7.3490000000000002</v>
    <v>7.399</v>
    <v>7.3609999999999998</v>
    <v>7.2770000000000001</v>
    <v>7.29</v>
    <v>7.2930000000000001</v>
    <v>7.2640000000000002</v>
    <v>7.2549999999999999</v>
    <v>7.2629999999999999</v>
    <v>7.2069999999999999</v>
    <v>7.2389999999999999</v>
    <v>7.2919999999999998</v>
    <v>7.2709999999999999</v>
    <v>7.3479999999999999</v>
    <v>7.351</v>
    <v>7.3460000000000001</v>
    <v>7.343</v>
    <v>7.3490000000000002</v>
    <v>7.327</v>
    <v>7.2670000000000003</v>
    <v>7.23</v>
    <v>6.9880000000000004</v>
    <v>7.04</v>
    <v>7.02</v>
    <v>6.9489999999999998</v>
    <v>6.9390000000000001</v>
    <v>6.9960000000000004</v>
    <v>6.931</v>
    <v>6.8540000000000001</v>
    <v>6.8710000000000004</v>
    <v>6.9269999999999996</v>
    <v>7.0170000000000003</v>
    <v>7.0919999999999996</v>
    <v>7.0449999999999999</v>
    <v>7.0709999999999997</v>
    <v>7.05</v>
    <v>7.0369999999999999</v>
    <v>6.9950000000000001</v>
    <v>7.0309999999999997</v>
    <v>6.9649999999999999</v>
    <v>6.9889999999999999</v>
    <v>7.0350000000000001</v>
    <v>7.11</v>
    <v>7.0720000000000001</v>
    <v>7.0019999999999998</v>
    <v>6.9260000000000002</v>
    <v>6.976</v>
    <v>6.8659999999999997</v>
    <v>6.9139999999999997</v>
    <v>6.8860000000000001</v>
    <v>6.9409999999999998</v>
    <v>6.8769999999999998</v>
    <v>6.9260000000000002</v>
    <v>6.9640000000000004</v>
    <v>6.8840000000000003</v>
    <v>6.9530000000000003</v>
    <v>6.9139999999999997</v>
    <v>6.8490000000000002</v>
    <v>6.851</v>
    <v>6.8090000000000002</v>
    <v>6.7759999999999998</v>
    <v>6.9160000000000004</v>
    <v>6.8979999999999997</v>
    <v>6.84</v>
    <v>6.798</v>
    <v>6.8339999999999996</v>
    <v>6.8449999999999998</v>
    <v>6.8639999999999999</v>
    <v>6.7320000000000002</v>
    <v>6.6970000000000001</v>
    <v>6.6929999999999996</v>
    <v>6.7130000000000001</v>
    <v>6.7149999999999999</v>
    <v>6.7249999999999996</v>
    <v>6.6719999999999997</v>
    <v>6.633</v>
    <v>6.6870000000000003</v>
    <v>6.633</v>
    <v>6.5709999999999997</v>
    <v>6.5620000000000003</v>
    <v>6.6280000000000001</v>
    <v>6.5789999999999997</v>
    <v>6.5469999999999997</v>
    <v>6.6029999999999998</v>
    <v>6.6589999999999998</v>
    <v>6.6139999999999999</v>
    <v>6.6180000000000003</v>
    <v>6.5990000000000002</v>
    <v>6.4960000000000004</v>
    <v>6.5640000000000001</v>
    <v>6.5620000000000003</v>
    <v>6.5620000000000003</v>
    <v>6.5819999999999999</v>
    <v>6.5540000000000003</v>
    <v>6.6539999999999999</v>
    <v>6.58</v>
    <v>6.5369999999999999</v>
    <v>6.6219999999999999</v>
    <v>6.59</v>
    <v>6.6379999999999999</v>
    <v>6.7279999999999998</v>
    <v>6.7629999999999999</v>
    <v>6.81</v>
    <v>6.84</v>
    <v>6.95</v>
    <v>6.968</v>
    <v>6.9429999999999996</v>
    <v>7.0190000000000001</v>
    <v>7.0570000000000004</v>
    <v>6.9</v>
    <v>6.9139999999999997</v>
    <v>6.968</v>
    <v>6.8760000000000003</v>
    <v>6.84</v>
    <v>6.8940000000000001</v>
    <v>6.9589999999999996</v>
    <v>6.8109999999999999</v>
    <v>6.7480000000000002</v>
    <v>6.7030000000000003</v>
    <v>6.7350000000000003</v>
    <v>6.6909999999999998</v>
    <v>6.6870000000000003</v>
    <v>6.6710000000000003</v>
    <v>6.6420000000000003</v>
    <v>6.5289999999999999</v>
    <v>6.4969999999999999</v>
    <v>6.53</v>
    <v>6.508</v>
    <v>6.5229999999999997</v>
    <v>6.5289999999999999</v>
    <v>6.5469999999999997</v>
    <v>6.5350000000000001</v>
    <v>6.5389999999999997</v>
    <v>6.5359999999999996</v>
    <v>6.6130000000000004</v>
    <v>6.63</v>
    <v>6.6840000000000002</v>
    <v>6.5789999999999997</v>
    <v>6.5919999999999996</v>
    <v>6.524</v>
    <v>6.4859999999999998</v>
    <v>6.5339999999999998</v>
    <v>6.5819999999999999</v>
    <v>6.593</v>
    <v>6.4130000000000003</v>
    <v>6.4950000000000001</v>
    <v>6.5309999999999997</v>
    <v>6.4930000000000003</v>
    <v>6.4429999999999996</v>
    <v>6.4260000000000002</v>
    <v>6.444</v>
    <v>6.4969999999999999</v>
    <v>6.4530000000000003</v>
    <v>6.4930000000000003</v>
    <v>6.5119999999999996</v>
    <v>6.4859999999999998</v>
    <v>6.4539999999999997</v>
    <v>6.4939999999999998</v>
    <v>6.4649999999999999</v>
    <v>6.3780000000000001</v>
    <v>6.3659999999999997</v>
    <v>6.3390000000000004</v>
    <v>6.3120000000000003</v>
    <v>6.32</v>
    <v>6.2930000000000001</v>
    <v>6.2759999999999998</v>
    <v>6.2140000000000004</v>
    <v>6.1829999999999998</v>
    <v>6.2060000000000004</v>
    <v>6.2320000000000002</v>
    <v>6.3</v>
    <v>6.3639999999999999</v>
    <v>6.3470000000000004</v>
    <v>6.3120000000000003</v>
    <v>6.4429999999999996</v>
    <v>6.4610000000000003</v>
    <v>6.468</v>
    <v>6.48</v>
    <v>6.5149999999999997</v>
    <v>6.4</v>
    <v>6.4820000000000002</v>
    <v>6.6020000000000003</v>
    <v>6.694</v>
    <v>6.6870000000000003</v>
    <v>6.593</v>
    <v>6.63</v>
    <v>6.5890000000000004</v>
    <v>6.5679999999999996</v>
    <v>6.4809999999999999</v>
    <v>6.3890000000000002</v>
    <v>6.2969999999999997</v>
    <v>6.2169999999999996</v>
    <v>6.181</v>
    <v>6.1429999999999998</v>
    <v>6.1740000000000004</v>
    <v>6.0979999999999999</v>
    <v>6.1260000000000003</v>
    <v>6.1269999999999998</v>
    <v>6.1779999999999999</v>
    <v>6.1639999999999997</v>
    <v>6.2089999999999996</v>
    <v>6.16</v>
    <v>6.258</v>
    <v>6.2779999999999996</v>
    <v>6.33</v>
    <v>6.4009999999999998</v>
    <v>6.407</v>
    <v>6.3769999999999998</v>
    <v>6.444</v>
    <v>6.2850000000000001</v>
    <v>6.1829999999999998</v>
    <v>6.18</v>
    <v>6.1349999999999998</v>
    <v>6.1630000000000003</v>
    <v>6.0629999999999997</v>
    <v>6.1020000000000003</v>
    <v>6.069</v>
    <v>6.0579999999999998</v>
    <v>6.0519999999999996</v>
    <v>6.032</v>
    <v>6.0220000000000002</v>
    <v>6.0529999999999999</v>
    <v>6.1369999999999996</v>
    <v>6.1360000000000001</v>
    <v>6.1760000000000002</v>
    <v>6.1980000000000004</v>
    <v>6.1580000000000004</v>
    <v>6.1619999999999999</v>
    <v>6.1280000000000001</v>
    <v>6.1390000000000002</v>
    <v>6.0960000000000001</v>
    <v>6.0860000000000003</v>
    <v>6.0970000000000004</v>
    <v>6.1360000000000001</v>
    <v>6.1180000000000003</v>
    <v>6.1070000000000002</v>
    <v>6.165</v>
    <v>6.1609999999999996</v>
    <v>6.2140000000000004</v>
    <v>6.2069999999999999</v>
    <v>6.1580000000000004</v>
    <v>6.1719999999999997</v>
    <v>6.19</v>
    <v>6.1429999999999998</v>
    <v>6.27</v>
    <v>6.25</v>
    <v>6.2560000000000002</v>
    <v>6.202</v>
    <v>6.1639999999999997</v>
    <v>6.0609999999999999</v>
    <v>6.0659999999999998</v>
    <v>6.1029999999999998</v>
    <v>6.1470000000000002</v>
    <v>6.16</v>
    <v>6.1749999999999998</v>
    <v>6.2960000000000003</v>
    <v>6.2709999999999999</v>
    <v>6.26</v>
    <v>6.34</v>
    <v>6.28</v>
    <v>6.319</v>
    <v>6.2290000000000001</v>
    <v>6.2240000000000002</v>
    <v>6.1840000000000002</v>
    <v>6.1740000000000004</v>
    <v>6.1609999999999996</v>
    <v>6.1840000000000002</v>
    <v>6.1740000000000004</v>
    <v>6.1319999999999997</v>
    <v>6.0960000000000001</v>
    <v>6.0960000000000001</v>
    <v>6.117</v>
    <v>6.173</v>
    <v>6.1550000000000002</v>
    <v>6.16</v>
    <v>6.1950000000000003</v>
    <v>6.1660000000000004</v>
    <v>6.1909999999999998</v>
    <v>6.194</v>
    <v>6.4</v>
    <v>6.3460000000000001</v>
    <v>6.38</v>
    <v>6.3230000000000004</v>
    <v>6.4320000000000004</v>
    <v>6.5170000000000003</v>
    <v>6.4690000000000003</v>
    <v>6.3049999999999997</v>
    <v>6.3920000000000003</v>
    <v>6.4870000000000001</v>
    <v>6.4930000000000003</v>
    <v>6.625</v>
    <v>6.673</v>
    <v>6.5860000000000003</v>
    <v>6.47</v>
    <v>6.4379999999999997</v>
    <v>6.3869999999999996</v>
    <v>6.3090000000000002</v>
    <v>6.2939999999999996</v>
    <v>6.2270000000000003</v>
    <v>6.2350000000000003</v>
    <v>6.1509999999999998</v>
    <v>6.2939999999999996</v>
    <v>6.2939999999999996</v>
    <v>6.2859999999999996</v>
    <v>6.28</v>
    <v>6.2370000000000001</v>
    <v>6.4130000000000003</v>
    <v>6.3239999999999998</v>
    <v>6.3109999999999999</v>
    <v>6.3</v>
    <v>6.3579999999999997</v>
    <v>6.3479999999999999</v>
    <v>6.3259999999999996</v>
    <v>6.3620000000000001</v>
    <v>6.25</v>
    <v>6.1840000000000002</v>
    <v>6.1879999999999997</v>
    <v>6.2089999999999996</v>
    <v>6.234</v>
    <v>6.2309999999999999</v>
    <v>6.2569999999999997</v>
    <v>6.3179999999999996</v>
    <v>6.3979999999999997</v>
    <v>6.3109999999999999</v>
    <v>6.4249999999999998</v>
    <v>6.5220000000000002</v>
    <v>6.391</v>
    <v>6.5890000000000004</v>
    <v>6.4189999999999996</v>
    <v>6.343</v>
    <v>6.4589999999999996</v>
    <v>6.5129999999999999</v>
    <v>6.5510000000000002</v>
    <v>6.5049999999999999</v>
    <v>6.6269999999999998</v>
    <v>6.524</v>
    <v>6.4649999999999999</v>
    <v>6.484</v>
    <v>6.468</v>
    <v>6.4880000000000004</v>
    <v>6.5289999999999999</v>
    <v>6.4160000000000004</v>
    <v>6.4</v>
    <v>6.452</v>
    <v>6.476</v>
    <v>6.59</v>
    <v>6.6619999999999999</v>
    <v>6.5659999999999998</v>
    <v>6.51</v>
    <v>6.633</v>
    <v>6.9820000000000002</v>
    <v>7.2949999999999999</v>
    <v>7.03</v>
    <v>7.2009999999999996</v>
    <v>6.6929999999999996</v>
    <v>6.6</v>
    <v>6.41</v>
    <v>6.4290000000000003</v>
    <v>6.476</v>
    <v>6.556</v>
    <v>6.5190000000000001</v>
    <v>6.41</v>
    <v>6.375</v>
    <v>6.3250000000000002</v>
    <v>6.3129999999999997</v>
    <v>6.2629999999999999</v>
    <v>6.3220000000000001</v>
    <v>6.1479999999999997</v>
    <v>6.1529999999999996</v>
    <v>6.1790000000000003</v>
    <v>6.2089999999999996</v>
    <v>6.1719999999999997</v>
    <v>6.1980000000000004</v>
    <v>6.12</v>
    <v>6</v>
    <v>5.984</v>
    <v>5.9930000000000003</v>
    <v>5.99</v>
    <v>5.9189999999999996</v>
    <v>5.907</v>
    <v>5.8819999999999997</v>
    <v>5.9980000000000002</v>
    <v>6.0250000000000004</v>
    <v>5.93</v>
    <v>5.9189999999999996</v>
    <v>5.9359999999999999</v>
    <v>5.8890000000000002</v>
    <v>5.9279999999999999</v>
    <v>5.8810000000000002</v>
    <v>5.8460000000000001</v>
    <v>5.806</v>
    <v>5.7770000000000001</v>
    <v>5.81</v>
    <v>5.7930000000000001</v>
    <v>5.7750000000000004</v>
    <v>5.7110000000000003</v>
    <v>5.6890000000000001</v>
    <v>5.7149999999999999</v>
    <v>5.6790000000000003</v>
    <v>5.7409999999999997</v>
    <v>5.7389999999999999</v>
    <v>5.85</v>
    <v>5.7750000000000004</v>
    <v>5.7569999999999997</v>
    <v>5.63</v>
    <v>5.6180000000000003</v>
    <v>5.5540000000000003</v>
    <v>5.5049999999999999</v>
    <v>5.4870000000000001</v>
    <v>5.4660000000000002</v>
    <v>5.45</v>
    <v>5.4009999999999998</v>
    <v>5.4260000000000002</v>
    <v>5.4489999999999998</v>
    <v>5.4829999999999997</v>
    <v>5.4649999999999999</v>
    <v>5.4459999999999997</v>
    <v>5.4589999999999996</v>
    <v>5.4640000000000004</v>
    <v>5.4909999999999997</v>
    <v>5.49</v>
    <v>5.4880000000000004</v>
    <v>5.4530000000000003</v>
    <v>5.3979999999999997</v>
    <v>5.4210000000000003</v>
    <v>5.3979999999999997</v>
    <v>5.3410000000000002</v>
    <v>5.3550000000000004</v>
    <v>5.4009999999999998</v>
    <v>5.4560000000000004</v>
    <v>5.4850000000000003</v>
    <v>5.4930000000000003</v>
    <v>5.5810000000000004</v>
    <v>5.5039999999999996</v>
    <v>5.508</v>
    <v>5.4470000000000001</v>
    <v>5.45</v>
    <v>5.4029999999999996</v>
    <v>5.4269999999999996</v>
    <v>5.359</v>
    <v>5.319</v>
    <v>5.3540000000000001</v>
    <v>5.3609999999999998</v>
    <v>5.3659999999999997</v>
    <v>5.4160000000000004</v>
    <v>5.4340000000000002</v>
    <v>5.3090000000000002</v>
    <v>5.3390000000000004</v>
    <v>5.3739999999999997</v>
    <v>5.3659999999999997</v>
    <v>5.3410000000000002</v>
    <v>5.343</v>
    <v>5.3319999999999999</v>
    <v>5.4279999999999999</v>
    <v>5.3739999999999997</v>
    <v>5.3609999999999998</v>
    <v>5.3150000000000004</v>
    <v>5.2880000000000003</v>
    <v>5.3079999999999998</v>
    <v>5.2779999999999996</v>
    <v>5.2350000000000003</v>
    <v>5.2430000000000003</v>
    <v>5.2050000000000001</v>
    <v>5.1790000000000003</v>
    <v>5.1820000000000004</v>
    <v>5.1760000000000002</v>
    <v>5.202</v>
    <v>5.16</v>
    <v>5.1440000000000001</v>
    <v>5.1950000000000003</v>
    <v>5.266</v>
    <v>5.2380000000000004</v>
    <v>5.1980000000000004</v>
    <v>5.2119999999999997</v>
    <v>5.181</v>
    <v>5.1840000000000002</v>
    <v>5.1349999999999998</v>
    <v>5.157</v>
    <v>5.1890000000000001</v>
    <v>5.1929999999999996</v>
    <v>5.2320000000000002</v>
    <v>5.2779999999999996</v>
    <v>5.29</v>
    <v>5.306</v>
    <v>5.2240000000000002</v>
    <v>5.2229999999999999</v>
    <v>5.28</v>
    <v>5.1909999999999998</v>
    <v>5.2060000000000004</v>
    <v>5.24</v>
    <v>5.226</v>
    <v>5.1539999999999999</v>
    <v>5.1150000000000002</v>
    <v>5.0839999999999996</v>
    <v>5.07</v>
    <v>5.14</v>
    <v>5.1779999999999999</v>
    <v>5.1829999999999998</v>
    <v>5.2279999999999998</v>
    <v>5.2350000000000003</v>
    <v>5.2619999999999996</v>
    <v>5.3120000000000003</v>
    <v>5.2249999999999996</v>
    <v>5.181</v>
    <v>5.1589999999999998</v>
    <v>5.1879999999999997</v>
    <v>5.2119999999999997</v>
    <v>5.2549999999999999</v>
    <v>5.3360000000000003</v>
    <v>5.351</v>
    <v>5.3150000000000004</v>
    <v>5.42</v>
    <v>5.3140000000000001</v>
    <v>5.2709999999999999</v>
    <v>5.18</v>
    <v>5.1879999999999997</v>
    <v>5.173</v>
    <v>5.173</v>
    <v>5.19</v>
    <v>5.1470000000000002</v>
    <v>5.1440000000000001</v>
    <v>5.1360000000000001</v>
    <v>5.16</v>
    <v>5.1470000000000002</v>
    <v>5.1520000000000001</v>
    <v>5.1029999999999998</v>
    <v>5.1340000000000003</v>
    <v>5.1159999999999997</v>
    <v>5.1539999999999999</v>
    <v>5.1829999999999998</v>
    <v>5.15</v>
    <v>5.1420000000000003</v>
    <v>5.0940000000000003</v>
    <v>5.0739999999999998</v>
    <v>5.0810000000000004</v>
    <v>5.0750000000000002</v>
    <v>5.13</v>
    <v>5.0999999999999996</v>
    <v>5.109</v>
    <v>5.0839999999999996</v>
    <v>5.1230000000000002</v>
    <v>5.1079999999999997</v>
    <v>5.0810000000000004</v>
    <v>5.1029999999999998</v>
    <v>5.1289999999999996</v>
    <v>5.109</v>
    <v>5.13</v>
    <v>5.1760000000000002</v>
    <v>5.1440000000000001</v>
    <v>5.15</v>
    <v>5.093</v>
    <v>5.0839999999999996</v>
    <v>5.0140000000000002</v>
    <v>4.95</v>
    <v>4.9740000000000002</v>
    <v>5.0309999999999997</v>
    <v>5.0339999999999998</v>
    <v>5.0359999999999996</v>
    <v>5.069</v>
    <v>5.0940000000000003</v>
    <v>5.165</v>
    <v>5.0979999999999999</v>
    <v>5.0129999999999999</v>
    <v>5.0060000000000002</v>
    <v>5.0419999999999998</v>
    <v>5.1059999999999999</v>
    <v>5.1050000000000004</v>
    <v>5.1289999999999996</v>
    <v>5.1420000000000003</v>
    <v>5.0990000000000002</v>
    <v>5.1529999999999996</v>
    <v>5.1319999999999997</v>
    <v>5.149</v>
    <v>5.1319999999999997</v>
    <v>5.0860000000000003</v>
    <v>5.1109999999999998</v>
    <v>5.1219999999999999</v>
    <v>5.2060000000000004</v>
    <v>5.31</v>
    <v>5.2069999999999999</v>
    <v>5.2880000000000003</v>
    <v>5.3230000000000004</v>
    <v>5.351</v>
    <v>5.2389999999999999</v>
    <v>5.319</v>
    <v>5.3959999999999999</v>
    <v>5.48</v>
    <v>5.4370000000000003</v>
    <v>5.3789999999999996</v>
    <v>5.4320000000000004</v>
    <v>5.4889999999999999</v>
    <v>5.51</v>
    <v>5.468</v>
    <v>5.4770000000000003</v>
    <v>5.46</v>
    <v>5.5549999999999997</v>
    <v>5.6550000000000002</v>
    <v>5.7</v>
    <v>5.633</v>
    <v>5.4530000000000003</v>
    <v>5.4960000000000004</v>
    <v>5.5049999999999999</v>
    <v>5.2809999999999997</v>
    <v>5.2510000000000003</v>
    <v>5.2149999999999999</v>
    <v>5.2389999999999999</v>
    <v>5.0970000000000004</v>
    <v>5.0609999999999999</v>
    <v>5.0460000000000003</v>
    <v>4.9649999999999999</v>
    <v>4.9974999999999996</v>
    <v>5.0250000000000004</v>
    <v>5.0129999999999999</v>
    <v>5.0039999999999996</v>
    <v>5.0110000000000001</v>
    <v>4.9930000000000003</v>
    <v>5.0289999999999999</v>
    <v>5.0279999999999996</v>
    <v>4.9880000000000004</v>
    <v>4.9809999999999999</v>
    <v>4.9424999999999999</v>
    <v>4.8624999999999998</v>
    <v>4.84</v>
    <v>4.8244999999999996</v>
    <v>4.8045</v>
    <v>4.8775000000000004</v>
    <v>4.8384999999999998</v>
    <v>4.7934999999999999</v>
    <v>4.8650000000000002</v>
    <v>4.8964999999999996</v>
    <v>4.9379999999999997</v>
    <v>4.88</v>
    <v>4.9059999999999997</v>
    <v>4.835</v>
    <v>4.7919999999999998</v>
    <v>4.8179999999999996</v>
    <v>4.8125</v>
    <v>4.7794999999999996</v>
    <v>4.7515000000000001</v>
    <v>4.7839999999999998</v>
    <v>4.7534999999999998</v>
    <v>4.7915000000000001</v>
    <v>4.7874999999999996</v>
    <v>4.8739999999999997</v>
    <v>4.9154999999999998</v>
    <v>4.9800000000000004</v>
    <v>4.9794999999999998</v>
    <v>5.0209999999999999</v>
    <v>4.8825000000000003</v>
    <v>4.8049999999999997</v>
    <v>4.8205</v>
    <v>4.8434999999999997</v>
    <v>4.9095000000000004</v>
    <v>4.9065000000000003</v>
    <v>4.9359999999999999</v>
    <v>5.0270000000000001</v>
    <v>5.0060000000000002</v>
    <v>5.0309999999999997</v>
    <v>5.0209999999999999</v>
    <v>4.9965000000000002</v>
    <v>4.9444999999999997</v>
    <v>4.9305000000000003</v>
    <v>4.9295</v>
    <v>4.9249999999999998</v>
    <v>4.9175000000000004</v>
    <v>4.9429999999999996</v>
    <v>4.9969999999999999</v>
    <v>4.9184999999999999</v>
    <v>4.9000000000000004</v>
    <v>4.9234999999999998</v>
    <v>4.9015000000000004</v>
    <v>4.8964999999999996</v>
    <v>4.8959999999999999</v>
    <v>4.9530000000000003</v>
    <v>4.9660000000000002</v>
    <v>4.9524999999999997</v>
    <v>4.9459999999999997</v>
    <v>5.0510000000000002</v>
    <v>5.0030000000000001</v>
    <v>5.0369999999999999</v>
    <v>5.01</v>
    <v>5.0640000000000001</v>
    <v>5.0010000000000003</v>
    <v>4.97</v>
    <v>4.8739999999999997</v>
    <v>4.79</v>
    <v>4.7510000000000003</v>
    <v>4.7774999999999999</v>
    <v>4.74</v>
    <v>4.7435</v>
    <v>4.7554999999999996</v>
    <v>4.7575000000000003</v>
    <v>4.7380000000000004</v>
    <v>4.7214999999999998</v>
    <v>4.7240000000000002</v>
    <v>4.7770000000000001</v>
    <v>4.7229999999999999</v>
    <v>4.7415000000000003</v>
    <v>4.7504999999999997</v>
    <v>4.7690000000000001</v>
    <v>4.7590000000000003</v>
    <v>4.7670000000000003</v>
    <v>4.7380000000000004</v>
    <v>4.7320000000000002</v>
    <v>4.7839999999999998</v>
    <v>4.8085000000000004</v>
    <v>4.7954999999999997</v>
    <v>4.7415000000000003</v>
    <v>4.7655000000000003</v>
    <v>4.7679999999999998</v>
    <v>4.7744999999999997</v>
    <v>4.8109999999999999</v>
    <v>4.8280000000000003</v>
    <v>4.7995000000000001</v>
    <v>4.8685</v>
    <v>4.8815</v>
    <v>4.8710000000000004</v>
    <v>4.8845000000000001</v>
    <v>4.8890000000000002</v>
    <v>4.8265000000000002</v>
    <v>4.8215000000000003</v>
    <v>4.867</v>
    <v>4.9130000000000003</v>
    <v>4.8665000000000003</v>
    <v>4.9074999999999998</v>
    <v>4.9390000000000001</v>
    <v>4.891</v>
    <v>5.0060000000000002</v>
    <v>4.9359999999999999</v>
    <v>4.9335000000000004</v>
    <v>4.8564999999999996</v>
    <v>4.9335000000000004</v>
    <v>4.9305000000000003</v>
    <v>4.9225000000000003</v>
    <v>4.9275000000000002</v>
    <v>4.9295</v>
    <v>4.9930000000000003</v>
    <v>4.9640000000000004</v>
    <v>4.9560000000000004</v>
    <v>4.9645000000000001</v>
    <v>4.9615</v>
    <v>4.9485000000000001</v>
    <v>5.0170000000000003</v>
    <v>5.0229999999999997</v>
  </a>
  <a r="1" c="209">
    <v>145.6908</v>
    <v>144.5453</v>
    <v>142.72710000000001</v>
    <v>143.1635</v>
    <v>141.76349999999999</v>
    <v>141.5635</v>
    <v>144.36349999999999</v>
    <v>144.3817</v>
    <v>143.59989999999999</v>
    <v>146.87260000000001</v>
    <v>146.12710000000001</v>
    <v>144.74529999999999</v>
    <v>142.50890000000001</v>
    <v>141.52709999999999</v>
    <v>141.58170000000001</v>
    <v>142.90889999999999</v>
    <v>143.29079999999999</v>
    <v>143.05439999999999</v>
    <v>142.67259999999999</v>
    <v>142.6362</v>
    <v>143.79990000000001</v>
    <v>143.58170000000001</v>
    <v>144.9453</v>
    <v>144.98169999999999</v>
    <v>153.2544</v>
    <v>152.5453</v>
    <v>152.49080000000001</v>
    <v>151.98169999999999</v>
    <v>153.96350000000001</v>
    <v>152.6362</v>
    <v>153.5453</v>
    <v>153.99979999999999</v>
    <v>153.87260000000001</v>
    <v>154.7817</v>
    <v>152.45439999999999</v>
    <v>152.29079999999999</v>
    <v>159.59979999999999</v>
    <v>158.87260000000001</v>
    <v>161.18170000000001</v>
    <v>162.0907</v>
    <v>163.18170000000001</v>
    <v>162.03620000000001</v>
    <v>159.7089</v>
    <v>157.90889999999999</v>
    <v>156.6908</v>
    <v>154.81800000000001</v>
    <v>152.0908</v>
    <v>150.34530000000001</v>
    <v>152.14529999999999</v>
    <v>151.9453</v>
    <v>155.29079999999999</v>
    <v>155.34530000000001</v>
    <v>156.5453</v>
    <v>156.5635</v>
    <v>155.10890000000001</v>
    <v>152.98169999999999</v>
    <v>152.03620000000001</v>
    <v>150.50890000000001</v>
    <v>153.7817</v>
    <v>155.6908</v>
    <v>155.74529999999999</v>
    <v>157.21799999999999</v>
    <v>160.34530000000001</v>
    <v>161.74529999999999</v>
    <v>163.6362</v>
    <v>164.10890000000001</v>
    <v>164.99979999999999</v>
    <v>166.76349999999999</v>
    <v>170.1635</v>
    <v>171.3998</v>
    <v>170.45439999999999</v>
    <v>170.2544</v>
    <v>170.14529999999999</v>
    <v>169.43620000000001</v>
    <v>169.12710000000001</v>
    <v>169.43620000000001</v>
    <v>169.4907</v>
    <v>169.29069999999999</v>
    <v>170.7816</v>
    <v>171.2362</v>
    <v>170.5635</v>
    <v>165.10890000000001</v>
    <v>164.18170000000001</v>
    <v>166.43620000000001</v>
    <v>161.4907</v>
    <v>163.12710000000001</v>
    <v>163.89070000000001</v>
    <v>160.6362</v>
    <v>159.19980000000001</v>
    <v>159.99979999999999</v>
    <v>159.83619999999999</v>
    <v>160.9271</v>
    <v>162.69069999999999</v>
    <v>160.21799999999999</v>
    <v>158.6362</v>
    <v>158.27260000000001</v>
    <v>160.9271</v>
    <v>163.3817</v>
    <v>163.98169999999999</v>
    <v>167.41800000000001</v>
    <v>165.41800000000001</v>
    <v>166.30889999999999</v>
    <v>165.45439999999999</v>
    <v>161.89070000000001</v>
    <v>161.29069999999999</v>
    <v>160.4907</v>
    <v>163.5453</v>
    <v>165.1635</v>
    <v>166.72710000000001</v>
    <v>165.38</v>
    <v>168.42</v>
    <v>167.72</v>
    <v>165.02</v>
    <v>168.3</v>
    <v>165.86</v>
    <v>167.38</v>
    <v>166.9</v>
    <v>167.12</v>
    <v>164.16</v>
    <v>165.7</v>
    <v>166.44</v>
    <v>169.76</v>
    <v>171.4</v>
    <v>172.86</v>
    <v>172.72</v>
    <v>173.28</v>
    <v>176.3</v>
    <v>180.02</v>
    <v>180.3</v>
    <v>177.6</v>
    <v>178.18</v>
    <v>173.68</v>
    <v>172.96</v>
    <v>174.3</v>
    <v>176.74</v>
    <v>178.52</v>
    <v>175.14</v>
    <v>177.08</v>
    <v>176.46</v>
    <v>177.7</v>
    <v>176.52</v>
    <v>176.74</v>
    <v>175.58</v>
    <v>176.52</v>
    <v>177.18</v>
    <v>173.54</v>
    <v>171.48</v>
    <v>171.74</v>
    <v>170.72</v>
    <v>170.32</v>
    <v>172.06</v>
    <v>173.58</v>
    <v>173.22</v>
    <v>172.38</v>
    <v>171.44</v>
    <v>171.68</v>
    <v>170.34</v>
    <v>169.14</v>
    <v>168.26</v>
    <v>166.82</v>
    <v>167.04</v>
    <v>166.78</v>
    <v>167.38</v>
    <v>167.12</v>
    <v>167.7</v>
    <v>167.78</v>
    <v>168.72</v>
    <v>166.78</v>
    <v>169.8</v>
    <v>169.54</v>
    <v>173.18</v>
    <v>172.48</v>
    <v>172.76</v>
    <v>170.44</v>
    <v>170.76</v>
    <v>173.16</v>
    <v>168.32</v>
    <v>166.78</v>
    <v>166.52</v>
    <v>166.88</v>
    <v>166.24</v>
    <v>166.42</v>
    <v>165.24</v>
    <v>163.16</v>
    <v>165.22</v>
    <v>167.32</v>
    <v>168.18</v>
    <v>168.12</v>
    <v>167.5</v>
    <v>168.22</v>
    <v>168.88</v>
    <v>170.88</v>
    <v>166.44</v>
    <v>170.16</v>
    <v>170.76</v>
    <v>169.1</v>
    <v>168.62</v>
    <v>167.94</v>
    <v>169.68</v>
    <v>168.7</v>
    <v>169</v>
    <v>170.34</v>
    <v>173.04</v>
    <v>173.16</v>
    <v>173.4</v>
    <v>172.24</v>
    <v>173.6</v>
    <v>173.58</v>
    <v>174.68</v>
  </a>
  <a r="1" c="256">
    <v>157.1635</v>
    <v>156.81800000000001</v>
    <v>156.6908</v>
    <v>158.05439999999999</v>
    <v>154.19980000000001</v>
    <v>155.03620000000001</v>
    <v>152.65440000000001</v>
    <v>152.50890000000001</v>
    <v>153.5453</v>
    <v>153.5453</v>
    <v>152.90889999999999</v>
    <v>153.9271</v>
    <v>154.30889999999999</v>
    <v>155.99979999999999</v>
    <v>156.6362</v>
    <v>157.45439999999999</v>
    <v>155.52709999999999</v>
    <v>154.18170000000001</v>
    <v>150.8544</v>
    <v>150.45439999999999</v>
    <v>150.6362</v>
    <v>150.8544</v>
    <v>149.4726</v>
    <v>149.4726</v>
    <v>149.99979999999999</v>
    <v>149.58170000000001</v>
    <v>150.10890000000001</v>
    <v>150.83619999999999</v>
    <v>149.34530000000001</v>
    <v>148.87260000000001</v>
    <v>148.36349999999999</v>
    <v>148.2362</v>
    <v>146.83619999999999</v>
    <v>144.10890000000001</v>
    <v>144.3271</v>
    <v>144.05439999999999</v>
    <v>144.18170000000001</v>
    <v>145.07259999999999</v>
    <v>144.90889999999999</v>
    <v>144.8544</v>
    <v>145.18170000000001</v>
    <v>144.9999</v>
    <v>145.45439999999999</v>
    <v>145.30889999999999</v>
    <v>145.4726</v>
    <v>145.87260000000001</v>
    <v>146.018</v>
    <v>145.6908</v>
    <v>144.5453</v>
    <v>142.72710000000001</v>
    <v>143.1635</v>
    <v>141.76349999999999</v>
    <v>141.5635</v>
    <v>144.36349999999999</v>
    <v>144.3817</v>
    <v>143.59989999999999</v>
    <v>146.87260000000001</v>
    <v>146.12710000000001</v>
    <v>144.74529999999999</v>
    <v>142.50890000000001</v>
    <v>141.52709999999999</v>
    <v>141.58170000000001</v>
    <v>142.90889999999999</v>
    <v>143.29079999999999</v>
    <v>143.05439999999999</v>
    <v>142.67259999999999</v>
    <v>142.6362</v>
    <v>143.79990000000001</v>
    <v>143.58170000000001</v>
    <v>144.9453</v>
    <v>144.98169999999999</v>
    <v>153.2544</v>
    <v>152.5453</v>
    <v>152.49080000000001</v>
    <v>151.98169999999999</v>
    <v>153.96350000000001</v>
    <v>152.6362</v>
    <v>153.5453</v>
    <v>153.99979999999999</v>
    <v>153.87260000000001</v>
    <v>154.7817</v>
    <v>152.45439999999999</v>
    <v>152.29079999999999</v>
    <v>159.59979999999999</v>
    <v>158.87260000000001</v>
    <v>161.18170000000001</v>
    <v>162.0907</v>
    <v>163.18170000000001</v>
    <v>162.03620000000001</v>
    <v>159.7089</v>
    <v>157.90889999999999</v>
    <v>156.6908</v>
    <v>154.81800000000001</v>
    <v>152.0908</v>
    <v>150.34530000000001</v>
    <v>152.14529999999999</v>
    <v>151.9453</v>
    <v>155.29079999999999</v>
    <v>155.34530000000001</v>
    <v>156.5453</v>
    <v>156.5635</v>
    <v>155.10890000000001</v>
    <v>152.98169999999999</v>
    <v>152.03620000000001</v>
    <v>150.50890000000001</v>
    <v>153.7817</v>
    <v>155.6908</v>
    <v>155.74529999999999</v>
    <v>157.21799999999999</v>
    <v>160.34530000000001</v>
    <v>161.74529999999999</v>
    <v>163.6362</v>
    <v>164.10890000000001</v>
    <v>164.99979999999999</v>
    <v>166.76349999999999</v>
    <v>170.1635</v>
    <v>171.3998</v>
    <v>170.45439999999999</v>
    <v>170.2544</v>
    <v>170.14529999999999</v>
    <v>169.43620000000001</v>
    <v>169.12710000000001</v>
    <v>169.43620000000001</v>
    <v>169.4907</v>
    <v>169.29069999999999</v>
    <v>170.7816</v>
    <v>171.2362</v>
    <v>170.5635</v>
    <v>165.10890000000001</v>
    <v>164.18170000000001</v>
    <v>166.43620000000001</v>
    <v>161.4907</v>
    <v>163.12710000000001</v>
    <v>163.89070000000001</v>
    <v>160.6362</v>
    <v>159.19980000000001</v>
    <v>159.99979999999999</v>
    <v>159.83619999999999</v>
    <v>160.9271</v>
    <v>162.69069999999999</v>
    <v>160.21799999999999</v>
    <v>158.6362</v>
    <v>158.27260000000001</v>
    <v>160.9271</v>
    <v>163.3817</v>
    <v>163.98169999999999</v>
    <v>167.41800000000001</v>
    <v>165.41800000000001</v>
    <v>166.30889999999999</v>
    <v>165.45439999999999</v>
    <v>161.89070000000001</v>
    <v>161.29069999999999</v>
    <v>160.4907</v>
    <v>163.5453</v>
    <v>165.1635</v>
    <v>166.72710000000001</v>
    <v>165.38</v>
    <v>168.42</v>
    <v>167.72</v>
    <v>165.02</v>
    <v>168.3</v>
    <v>165.86</v>
    <v>167.38</v>
    <v>166.9</v>
    <v>167.12</v>
    <v>164.16</v>
    <v>165.7</v>
    <v>166.44</v>
    <v>169.76</v>
    <v>171.4</v>
    <v>172.86</v>
    <v>172.72</v>
    <v>173.28</v>
    <v>176.3</v>
    <v>180.02</v>
    <v>180.3</v>
    <v>177.6</v>
    <v>178.18</v>
    <v>173.68</v>
    <v>172.96</v>
    <v>174.3</v>
    <v>176.74</v>
    <v>178.52</v>
    <v>175.14</v>
    <v>177.08</v>
    <v>176.46</v>
    <v>177.7</v>
    <v>176.52</v>
    <v>176.74</v>
    <v>175.58</v>
    <v>176.52</v>
    <v>177.18</v>
    <v>173.54</v>
    <v>171.48</v>
    <v>171.74</v>
    <v>170.72</v>
    <v>170.32</v>
    <v>172.06</v>
    <v>173.58</v>
    <v>173.22</v>
    <v>172.38</v>
    <v>171.44</v>
    <v>171.68</v>
    <v>170.34</v>
    <v>169.14</v>
    <v>168.26</v>
    <v>166.82</v>
    <v>167.04</v>
    <v>166.78</v>
    <v>167.38</v>
    <v>167.12</v>
    <v>167.7</v>
    <v>167.78</v>
    <v>168.72</v>
    <v>166.78</v>
    <v>169.8</v>
    <v>169.54</v>
    <v>173.18</v>
    <v>172.48</v>
    <v>172.76</v>
    <v>170.44</v>
    <v>170.76</v>
    <v>173.16</v>
    <v>168.32</v>
    <v>166.78</v>
    <v>166.52</v>
    <v>166.88</v>
    <v>166.24</v>
    <v>166.42</v>
    <v>165.24</v>
    <v>163.16</v>
    <v>165.22</v>
    <v>167.32</v>
    <v>168.18</v>
    <v>168.12</v>
    <v>167.5</v>
    <v>168.22</v>
    <v>168.88</v>
    <v>170.88</v>
    <v>166.44</v>
    <v>170.16</v>
    <v>170.76</v>
    <v>169.1</v>
    <v>168.62</v>
    <v>167.94</v>
    <v>169.68</v>
    <v>168.7</v>
    <v>169</v>
    <v>170.34</v>
    <v>173.04</v>
    <v>173.16</v>
    <v>173.4</v>
    <v>172.24</v>
    <v>173.6</v>
    <v>173.58</v>
    <v>174.68</v>
  </a>
  <a r="1" c="767">
    <v>126.37990000000001</v>
    <v>127.1237</v>
    <v>129.5369</v>
    <v>131.05760000000001</v>
    <v>132.42949999999999</v>
    <v>132.04929999999999</v>
    <v>133.61959999999999</v>
    <v>134.59479999999999</v>
    <v>136.36340000000001</v>
    <v>134.85919999999999</v>
    <v>135.07409999999999</v>
    <v>134.37989999999999</v>
    <v>135.05760000000001</v>
    <v>137.28899999999999</v>
    <v>137.6857</v>
    <v>138.5617</v>
    <v>139.66909999999999</v>
    <v>138.85919999999999</v>
    <v>139.5865</v>
    <v>140.7105</v>
    <v>140.8758</v>
    <v>141.8014</v>
    <v>142.84270000000001</v>
    <v>142.92529999999999</v>
    <v>143.5204</v>
    <v>143.61949999999999</v>
    <v>144.09889999999999</v>
    <v>143.60300000000001</v>
    <v>143.6361</v>
    <v>143.14019999999999</v>
    <v>142.37989999999999</v>
    <v>144.16499999999999</v>
    <v>143.35509999999999</v>
    <v>143.71870000000001</v>
    <v>144.89230000000001</v>
    <v>145.9667</v>
    <v>147.35509999999999</v>
    <v>147.9666</v>
    <v>144.7105</v>
    <v>145.43770000000001</v>
    <v>145.43770000000001</v>
    <v>145.88399999999999</v>
    <v>146.6609</v>
    <v>146.0658</v>
    <v>146.57820000000001</v>
    <v>146.1319</v>
    <v>145.61949999999999</v>
    <v>145.55340000000001</v>
    <v>144.54519999999999</v>
    <v>142.11539999999999</v>
    <v>142.19810000000001</v>
    <v>141.05760000000001</v>
    <v>141.5204</v>
    <v>141.30549999999999</v>
    <v>141.7022</v>
    <v>142.7766</v>
    <v>145.1567</v>
    <v>145.02449999999999</v>
    <v>145.1071</v>
    <v>143.61949999999999</v>
    <v>144.74350000000001</v>
    <v>142.9914</v>
    <v>142.7766</v>
    <v>140.2972</v>
    <v>142.52860000000001</v>
    <v>142.0162</v>
    <v>141.71870000000001</v>
    <v>142.37989999999999</v>
    <v>143.041</v>
    <v>143.5369</v>
    <v>143.14019999999999</v>
    <v>141.57</v>
    <v>138.727</v>
    <v>142.04929999999999</v>
    <v>140.92529999999999</v>
    <v>138.41290000000001</v>
    <v>138.41290000000001</v>
    <v>139.00800000000001</v>
    <v>139.17330000000001</v>
    <v>140.37989999999999</v>
    <v>139.851</v>
    <v>141.40469999999999</v>
    <v>141.88399999999999</v>
    <v>153.60300000000001</v>
    <v>153.22280000000001</v>
    <v>153.23939999999999</v>
    <v>156.6113</v>
    <v>156.80959999999999</v>
    <v>156.47900000000001</v>
    <v>155.9666</v>
    <v>155.28890000000001</v>
    <v>154.4956</v>
    <v>157.09059999999999</v>
    <v>156.62780000000001</v>
    <v>157.66909999999999</v>
    <v>159.8013</v>
    <v>160.04929999999999</v>
    <v>159.3716</v>
    <v>160.26410000000001</v>
    <v>160.9914</v>
    <v>161.40459999999999</v>
    <v>161.2724</v>
    <v>160.37979999999999</v>
    <v>161.35499999999999</v>
    <v>161.1567</v>
    <v>160.0823</v>
    <v>157.4212</v>
    <v>158.03270000000001</v>
    <v>159.0575</v>
    <v>159.76830000000001</v>
    <v>159.3716</v>
    <v>158.19800000000001</v>
    <v>158.52860000000001</v>
    <v>156.66079999999999</v>
    <v>154.95840000000001</v>
    <v>155.5865</v>
    <v>154.8261</v>
    <v>154.7765</v>
    <v>155.9666</v>
    <v>154.85919999999999</v>
    <v>155.61949999999999</v>
    <v>153.4873</v>
    <v>154.1319</v>
    <v>154.31370000000001</v>
    <v>155.17320000000001</v>
    <v>155.2724</v>
    <v>157.4873</v>
    <v>153.83439999999999</v>
    <v>151.7518</v>
    <v>153.041</v>
    <v>152.3964</v>
    <v>151.9666</v>
    <v>149.6361</v>
    <v>149.2724</v>
    <v>150.33029999999999</v>
    <v>152.04929999999999</v>
    <v>154.16499999999999</v>
    <v>154.5121</v>
    <v>154.24760000000001</v>
    <v>153.73519999999999</v>
    <v>154.16499999999999</v>
    <v>154.446</v>
    <v>152.95840000000001</v>
    <v>153.4212</v>
    <v>153.28890000000001</v>
    <v>152.6113</v>
    <v>151.07409999999999</v>
    <v>150.1815</v>
    <v>150.6113</v>
    <v>151.8013</v>
    <v>150.03280000000001</v>
    <v>148.0658</v>
    <v>149.1071</v>
    <v>149.14019999999999</v>
    <v>150.9914</v>
    <v>150.62780000000001</v>
    <v>152.62780000000001</v>
    <v>153.30549999999999</v>
    <v>154.7765</v>
    <v>152.83619999999999</v>
    <v>150.81800000000001</v>
    <v>153.83619999999999</v>
    <v>148.43620000000001</v>
    <v>144.79990000000001</v>
    <v>145.79990000000001</v>
    <v>147.50890000000001</v>
    <v>146.7089</v>
    <v>149.36349999999999</v>
    <v>148.07259999999999</v>
    <v>149.7817</v>
    <v>151.3817</v>
    <v>149.83619999999999</v>
    <v>148.61799999999999</v>
    <v>146.61799999999999</v>
    <v>147.83619999999999</v>
    <v>148.07259999999999</v>
    <v>149.27260000000001</v>
    <v>150.36349999999999</v>
    <v>148.59989999999999</v>
    <v>148.87260000000001</v>
    <v>146.18170000000001</v>
    <v>147.36349999999999</v>
    <v>148.58170000000001</v>
    <v>150.99979999999999</v>
    <v>148.3271</v>
    <v>147.90889999999999</v>
    <v>149.74529999999999</v>
    <v>150.12710000000001</v>
    <v>148.21799999999999</v>
    <v>150.18170000000001</v>
    <v>151.1635</v>
    <v>150.5453</v>
    <v>149.83619999999999</v>
    <v>152.10890000000001</v>
    <v>150.45439999999999</v>
    <v>152.36349999999999</v>
    <v>153.43620000000001</v>
    <v>150.81800000000001</v>
    <v>148.61799999999999</v>
    <v>148.18170000000001</v>
    <v>146.6362</v>
    <v>148.7089</v>
    <v>147.9453</v>
    <v>148.72710000000001</v>
    <v>147.5453</v>
    <v>147.9271</v>
    <v>148.6908</v>
    <v>150.10890000000001</v>
    <v>150.7998</v>
    <v>150.36349999999999</v>
    <v>150.19980000000001</v>
    <v>150.50890000000001</v>
    <v>149.99979999999999</v>
    <v>150.83619999999999</v>
    <v>151.07259999999999</v>
    <v>150.4726</v>
    <v>151.99979999999999</v>
    <v>153.9453</v>
    <v>153.3817</v>
    <v>153.5635</v>
    <v>153.98169999999999</v>
    <v>153.05439999999999</v>
    <v>148.27260000000001</v>
    <v>147.59989999999999</v>
    <v>151.0908</v>
    <v>153.61799999999999</v>
    <v>153.74529999999999</v>
    <v>154.29079999999999</v>
    <v>154.74529999999999</v>
    <v>154.10890000000001</v>
    <v>154.67259999999999</v>
    <v>152.5453</v>
    <v>155.50890000000001</v>
    <v>152.4726</v>
    <v>155.0908</v>
    <v>157.0908</v>
    <v>156.36349999999999</v>
    <v>158.36349999999999</v>
    <v>160.1635</v>
    <v>157.50890000000001</v>
    <v>155.3998</v>
    <v>155.45439999999999</v>
    <v>152.12710000000001</v>
    <v>152.36349999999999</v>
    <v>152.3998</v>
    <v>153.5453</v>
    <v>153.9271</v>
    <v>154.5635</v>
    <v>155.2544</v>
    <v>156.45439999999999</v>
    <v>156.19980000000001</v>
    <v>156.2544</v>
    <v>156.9271</v>
    <v>157.89080000000001</v>
    <v>156.2544</v>
    <v>155.3817</v>
    <v>153.90889999999999</v>
    <v>152.6362</v>
    <v>152.21799999999999</v>
    <v>154.6908</v>
    <v>153.43620000000001</v>
    <v>150.81800000000001</v>
    <v>149.6908</v>
    <v>151.18170000000001</v>
    <v>150.0908</v>
    <v>151.19980000000001</v>
    <v>148.10890000000001</v>
    <v>148.29079999999999</v>
    <v>146.81800000000001</v>
    <v>148.81800000000001</v>
    <v>145.07259999999999</v>
    <v>146.34530000000001</v>
    <v>147.67259999999999</v>
    <v>146.18170000000001</v>
    <v>145.67259999999999</v>
    <v>144.76349999999999</v>
    <v>143.6908</v>
    <v>144.7817</v>
    <v>145.67259999999999</v>
    <v>144.50890000000001</v>
    <v>142.7089</v>
    <v>142.07259999999999</v>
    <v>142.07259999999999</v>
    <v>142.98169999999999</v>
    <v>145.03620000000001</v>
    <v>145.4726</v>
    <v>146.50890000000001</v>
    <v>146.96350000000001</v>
    <v>147.3271</v>
    <v>146.96350000000001</v>
    <v>145.49080000000001</v>
    <v>145.41800000000001</v>
    <v>145.36349999999999</v>
    <v>145.18170000000001</v>
    <v>144.81800000000001</v>
    <v>144.45439999999999</v>
    <v>143.87260000000001</v>
    <v>141.36349999999999</v>
    <v>141.2544</v>
    <v>140.21799999999999</v>
    <v>140.309</v>
    <v>141.72710000000001</v>
    <v>140.5635</v>
    <v>142.65440000000001</v>
    <v>141.6908</v>
    <v>140.58170000000001</v>
    <v>143.79990000000001</v>
    <v>144.7817</v>
    <v>143.30889999999999</v>
    <v>143.9453</v>
    <v>141.89080000000001</v>
    <v>142.2544</v>
    <v>141.72710000000001</v>
    <v>142.18170000000001</v>
    <v>143.89080000000001</v>
    <v>146.81800000000001</v>
    <v>147.29079999999999</v>
    <v>146.2362</v>
    <v>147.6362</v>
    <v>147.018</v>
    <v>148.87260000000001</v>
    <v>150.8544</v>
    <v>151.5453</v>
    <v>152.1635</v>
    <v>153.76349999999999</v>
    <v>153.27260000000001</v>
    <v>152.5453</v>
    <v>152.98169999999999</v>
    <v>152.3998</v>
    <v>154.83619999999999</v>
    <v>153.74529999999999</v>
    <v>154.34530000000001</v>
    <v>155.12710000000001</v>
    <v>155.29079999999999</v>
    <v>157.34530000000001</v>
    <v>158.27260000000001</v>
    <v>158.18170000000001</v>
    <v>158.50890000000001</v>
    <v>156.72710000000001</v>
    <v>157.07259999999999</v>
    <v>162.18170000000001</v>
    <v>158.89080000000001</v>
    <v>159.5453</v>
    <v>159.9453</v>
    <v>158.67259999999999</v>
    <v>160.5635</v>
    <v>163.34530000000001</v>
    <v>161.69069999999999</v>
    <v>164.4726</v>
    <v>164.0907</v>
    <v>163.90889999999999</v>
    <v>166.59979999999999</v>
    <v>161.43620000000001</v>
    <v>163.36349999999999</v>
    <v>162.98169999999999</v>
    <v>163.89070000000001</v>
    <v>164.0907</v>
    <v>163.61799999999999</v>
    <v>163.76349999999999</v>
    <v>161.61799999999999</v>
    <v>161.3817</v>
    <v>161.21799999999999</v>
    <v>162.4726</v>
    <v>160.67259999999999</v>
    <v>160.3998</v>
    <v>160.29069999999999</v>
    <v>159.21799999999999</v>
    <v>161.018</v>
    <v>161.9271</v>
    <v>158.45439999999999</v>
    <v>157.45439999999999</v>
    <v>145.9999</v>
    <v>150.9271</v>
    <v>146.10890000000001</v>
    <v>151.81800000000001</v>
    <v>153.03620000000001</v>
    <v>155.0908</v>
    <v>158.41800000000001</v>
    <v>158.7998</v>
    <v>157.43620000000001</v>
    <v>158.98169999999999</v>
    <v>158.81800000000001</v>
    <v>162.34530000000001</v>
    <v>162.21799999999999</v>
    <v>161.99979999999999</v>
    <v>162.5635</v>
    <v>164.14529999999999</v>
    <v>168.3998</v>
    <v>167.19980000000001</v>
    <v>166.7998</v>
    <v>165.9271</v>
    <v>166.10890000000001</v>
    <v>167.18170000000001</v>
    <v>164.7998</v>
    <v>165.5635</v>
    <v>166.18170000000001</v>
    <v>168.50890000000001</v>
    <v>169.67259999999999</v>
    <v>168.2544</v>
    <v>168.99979999999999</v>
    <v>168.72710000000001</v>
    <v>168.4726</v>
    <v>167.19980000000001</v>
    <v>168.65440000000001</v>
    <v>168.52709999999999</v>
    <v>166.018</v>
    <v>165.43620000000001</v>
    <v>165.81800000000001</v>
    <v>166.34530000000001</v>
    <v>165.45439999999999</v>
    <v>167.5453</v>
    <v>167.5635</v>
    <v>166.7817</v>
    <v>166.1635</v>
    <v>167.10890000000001</v>
    <v>167.43620000000001</v>
    <v>167.45439999999999</v>
    <v>166.18170000000001</v>
    <v>166.83619999999999</v>
    <v>165.67259999999999</v>
    <v>164.67259999999999</v>
    <v>162.12710000000001</v>
    <v>162.50890000000001</v>
    <v>158.72710000000001</v>
    <v>160.29069999999999</v>
    <v>158.52709999999999</v>
    <v>158.2544</v>
    <v>160.52709999999999</v>
    <v>159.21799999999999</v>
    <v>159.76349999999999</v>
    <v>159.89070000000001</v>
    <v>159.9453</v>
    <v>159.10890000000001</v>
    <v>159.45439999999999</v>
    <v>159.0907</v>
    <v>160.83619999999999</v>
    <v>160.45439999999999</v>
    <v>159.18170000000001</v>
    <v>158.96350000000001</v>
    <v>157.99979999999999</v>
    <v>157.3998</v>
    <v>158.1635</v>
    <v>156.36349999999999</v>
    <v>156.49080000000001</v>
    <v>156.018</v>
    <v>156.58170000000001</v>
    <v>157.18170000000001</v>
    <v>156.07259999999999</v>
    <v>156.72710000000001</v>
    <v>159.3817</v>
    <v>158.4726</v>
    <v>157.0908</v>
    <v>154.74529999999999</v>
    <v>156.58170000000001</v>
    <v>157.27260000000001</v>
    <v>156.14529999999999</v>
    <v>157.7998</v>
    <v>157.98169999999999</v>
    <v>156.81800000000001</v>
    <v>157.89080000000001</v>
    <v>159.76349999999999</v>
    <v>162.3817</v>
    <v>163.83619999999999</v>
    <v>163.6362</v>
    <v>166.59979999999999</v>
    <v>168.18170000000001</v>
    <v>166.6362</v>
    <v>166.4726</v>
    <v>164.2544</v>
    <v>160.59979999999999</v>
    <v>161.87260000000001</v>
    <v>161.27260000000001</v>
    <v>160.19980000000001</v>
    <v>160.27260000000001</v>
    <v>158.99979999999999</v>
    <v>159.76349999999999</v>
    <v>160.18170000000001</v>
    <v>159.43620000000001</v>
    <v>160.83619999999999</v>
    <v>160.89070000000001</v>
    <v>158.61799999999999</v>
    <v>161.10890000000001</v>
    <v>161.12710000000001</v>
    <v>161.05439999999999</v>
    <v>158.61799999999999</v>
    <v>158.3271</v>
    <v>158.74529999999999</v>
    <v>159.7089</v>
    <v>158.72710000000001</v>
    <v>159.3998</v>
    <v>157.5635</v>
    <v>158.18170000000001</v>
    <v>159.50890000000001</v>
    <v>160.3817</v>
    <v>160.7817</v>
    <v>159.9271</v>
    <v>160.52709999999999</v>
    <v>156.07259999999999</v>
    <v>154.59979999999999</v>
    <v>154.05439999999999</v>
    <v>154.36349999999999</v>
    <v>155.87260000000001</v>
    <v>154.18170000000001</v>
    <v>155.6908</v>
    <v>155.83619999999999</v>
    <v>155.67259999999999</v>
    <v>158.18170000000001</v>
    <v>157.10890000000001</v>
    <v>157.49080000000001</v>
    <v>157.30889999999999</v>
    <v>156.72710000000001</v>
    <v>157.1635</v>
    <v>156.81800000000001</v>
    <v>156.6908</v>
    <v>158.05439999999999</v>
    <v>154.19980000000001</v>
    <v>155.03620000000001</v>
    <v>152.65440000000001</v>
    <v>152.50890000000001</v>
    <v>153.5453</v>
    <v>153.5453</v>
    <v>152.90889999999999</v>
    <v>153.9271</v>
    <v>154.30889999999999</v>
    <v>155.99979999999999</v>
    <v>156.6362</v>
    <v>157.45439999999999</v>
    <v>155.52709999999999</v>
    <v>154.18170000000001</v>
    <v>150.8544</v>
    <v>150.45439999999999</v>
    <v>150.6362</v>
    <v>150.8544</v>
    <v>149.4726</v>
    <v>149.4726</v>
    <v>149.99979999999999</v>
    <v>149.58170000000001</v>
    <v>150.10890000000001</v>
    <v>150.83619999999999</v>
    <v>149.34530000000001</v>
    <v>148.87260000000001</v>
    <v>148.36349999999999</v>
    <v>148.2362</v>
    <v>146.83619999999999</v>
    <v>144.10890000000001</v>
    <v>144.3271</v>
    <v>144.05439999999999</v>
    <v>144.18170000000001</v>
    <v>145.07259999999999</v>
    <v>144.90889999999999</v>
    <v>144.8544</v>
    <v>145.18170000000001</v>
    <v>144.9999</v>
    <v>145.45439999999999</v>
    <v>145.30889999999999</v>
    <v>145.4726</v>
    <v>145.87260000000001</v>
    <v>146.018</v>
    <v>145.6908</v>
    <v>144.5453</v>
    <v>142.72710000000001</v>
    <v>143.1635</v>
    <v>141.76349999999999</v>
    <v>141.5635</v>
    <v>144.36349999999999</v>
    <v>144.3817</v>
    <v>143.59989999999999</v>
    <v>146.87260000000001</v>
    <v>146.12710000000001</v>
    <v>144.74529999999999</v>
    <v>142.50890000000001</v>
    <v>141.52709999999999</v>
    <v>141.58170000000001</v>
    <v>142.90889999999999</v>
    <v>143.29079999999999</v>
    <v>143.05439999999999</v>
    <v>142.67259999999999</v>
    <v>142.6362</v>
    <v>143.79990000000001</v>
    <v>143.58170000000001</v>
    <v>144.9453</v>
    <v>144.98169999999999</v>
    <v>153.2544</v>
    <v>152.5453</v>
    <v>152.49080000000001</v>
    <v>151.98169999999999</v>
    <v>153.96350000000001</v>
    <v>152.6362</v>
    <v>153.5453</v>
    <v>153.99979999999999</v>
    <v>153.87260000000001</v>
    <v>154.7817</v>
    <v>152.45439999999999</v>
    <v>152.29079999999999</v>
    <v>159.59979999999999</v>
    <v>158.87260000000001</v>
    <v>161.18170000000001</v>
    <v>162.0907</v>
    <v>163.18170000000001</v>
    <v>162.03620000000001</v>
    <v>159.7089</v>
    <v>157.90889999999999</v>
    <v>156.6908</v>
    <v>154.81800000000001</v>
    <v>152.0908</v>
    <v>150.34530000000001</v>
    <v>152.14529999999999</v>
    <v>151.9453</v>
    <v>155.29079999999999</v>
    <v>155.34530000000001</v>
    <v>156.5453</v>
    <v>156.5635</v>
    <v>155.10890000000001</v>
    <v>152.98169999999999</v>
    <v>152.03620000000001</v>
    <v>150.50890000000001</v>
    <v>153.7817</v>
    <v>155.6908</v>
    <v>155.74529999999999</v>
    <v>157.21799999999999</v>
    <v>160.34530000000001</v>
    <v>161.74529999999999</v>
    <v>163.6362</v>
    <v>164.10890000000001</v>
    <v>164.99979999999999</v>
    <v>166.76349999999999</v>
    <v>170.1635</v>
    <v>171.3998</v>
    <v>170.45439999999999</v>
    <v>170.2544</v>
    <v>170.14529999999999</v>
    <v>169.43620000000001</v>
    <v>169.12710000000001</v>
    <v>169.43620000000001</v>
    <v>169.4907</v>
    <v>169.29069999999999</v>
    <v>170.7816</v>
    <v>171.2362</v>
    <v>170.5635</v>
    <v>165.10890000000001</v>
    <v>164.18170000000001</v>
    <v>166.43620000000001</v>
    <v>161.4907</v>
    <v>163.12710000000001</v>
    <v>163.89070000000001</v>
    <v>160.6362</v>
    <v>159.19980000000001</v>
    <v>159.99979999999999</v>
    <v>159.83619999999999</v>
    <v>160.9271</v>
    <v>162.69069999999999</v>
    <v>160.21799999999999</v>
    <v>158.6362</v>
    <v>158.27260000000001</v>
    <v>160.9271</v>
    <v>163.3817</v>
    <v>163.98169999999999</v>
    <v>167.41800000000001</v>
    <v>165.41800000000001</v>
    <v>166.30889999999999</v>
    <v>165.45439999999999</v>
    <v>161.89070000000001</v>
    <v>161.29069999999999</v>
    <v>160.4907</v>
    <v>163.5453</v>
    <v>165.1635</v>
    <v>166.72710000000001</v>
    <v>165.38</v>
    <v>168.42</v>
    <v>167.72</v>
    <v>165.02</v>
    <v>168.3</v>
    <v>165.86</v>
    <v>167.38</v>
    <v>166.9</v>
    <v>167.12</v>
    <v>164.16</v>
    <v>165.7</v>
    <v>166.44</v>
    <v>169.76</v>
    <v>171.4</v>
    <v>172.86</v>
    <v>172.72</v>
    <v>173.28</v>
    <v>176.3</v>
    <v>180.02</v>
    <v>180.3</v>
    <v>177.6</v>
    <v>178.18</v>
    <v>173.68</v>
    <v>172.96</v>
    <v>174.3</v>
    <v>176.74</v>
    <v>178.52</v>
    <v>175.14</v>
    <v>177.08</v>
    <v>176.46</v>
    <v>177.7</v>
    <v>176.52</v>
    <v>176.74</v>
    <v>175.58</v>
    <v>176.52</v>
    <v>177.18</v>
    <v>173.54</v>
    <v>171.48</v>
    <v>171.74</v>
    <v>170.72</v>
    <v>170.32</v>
    <v>172.06</v>
    <v>173.58</v>
    <v>173.22</v>
    <v>172.38</v>
    <v>171.44</v>
    <v>171.68</v>
    <v>170.34</v>
    <v>169.14</v>
    <v>168.26</v>
    <v>166.82</v>
    <v>167.04</v>
    <v>166.78</v>
    <v>167.38</v>
    <v>167.12</v>
    <v>167.7</v>
    <v>167.78</v>
    <v>168.72</v>
    <v>166.78</v>
    <v>169.8</v>
    <v>169.54</v>
    <v>173.18</v>
    <v>172.48</v>
    <v>172.76</v>
    <v>170.44</v>
    <v>170.76</v>
    <v>173.16</v>
    <v>168.32</v>
    <v>166.78</v>
    <v>166.52</v>
    <v>166.88</v>
    <v>166.24</v>
    <v>166.42</v>
    <v>165.24</v>
    <v>163.16</v>
    <v>165.22</v>
    <v>167.32</v>
    <v>168.18</v>
    <v>168.12</v>
    <v>167.5</v>
    <v>168.22</v>
    <v>168.88</v>
    <v>170.88</v>
    <v>166.44</v>
    <v>170.16</v>
    <v>170.76</v>
    <v>169.1</v>
    <v>168.62</v>
    <v>167.94</v>
    <v>169.68</v>
    <v>168.7</v>
    <v>169</v>
    <v>170.34</v>
    <v>173.04</v>
    <v>173.16</v>
    <v>173.4</v>
    <v>172.24</v>
    <v>173.6</v>
    <v>173.58</v>
    <v>174.68</v>
  </a>
  <a r="1" c="761">
    <v>6.26</v>
    <v>6.2320000000000002</v>
    <v>6.2</v>
    <v>6.22</v>
    <v>6.234</v>
    <v>6.16</v>
    <v>6.2060000000000004</v>
    <v>6.1870000000000003</v>
    <v>6.1660000000000004</v>
    <v>6.1790000000000003</v>
    <v>6.2149999999999999</v>
    <v>6.2240000000000002</v>
    <v>6.2750000000000004</v>
    <v>6.2329999999999997</v>
    <v>6.2039999999999997</v>
    <v>6.2859999999999996</v>
    <v>6.2190000000000003</v>
    <v>6.1980000000000004</v>
    <v>6.1509999999999998</v>
    <v>6.077</v>
    <v>6.0650000000000004</v>
    <v>6.1310000000000002</v>
    <v>6.1710000000000003</v>
    <v>6.11</v>
    <v>6.0250000000000004</v>
    <v>5.984</v>
    <v>6.0149999999999997</v>
    <v>6.0419999999999998</v>
    <v>6.0960000000000001</v>
    <v>6.0830000000000002</v>
    <v>6.1239999999999997</v>
    <v>6.0709999999999997</v>
    <v>6.0270000000000001</v>
    <v>6.0209999999999999</v>
    <v>6.0839999999999996</v>
    <v>6.03</v>
    <v>6.0419999999999998</v>
    <v>5.9749999999999996</v>
    <v>5.8780000000000001</v>
    <v>5.9089999999999998</v>
    <v>5.9279999999999999</v>
    <v>5.8739999999999997</v>
    <v>5.8419999999999996</v>
    <v>5.7750000000000004</v>
    <v>5.7869999999999999</v>
    <v>5.7690000000000001</v>
    <v>5.8550000000000004</v>
    <v>5.73</v>
    <v>5.7439999999999998</v>
    <v>5.7460000000000004</v>
    <v>5.7169999999999996</v>
    <v>5.6829999999999998</v>
    <v>5.62</v>
    <v>5.72</v>
    <v>5.6840000000000002</v>
    <v>5.69</v>
    <v>5.6390000000000002</v>
    <v>5.6189999999999998</v>
    <v>5.649</v>
    <v>5.641</v>
    <v>5.6159999999999997</v>
    <v>5.694</v>
    <v>5.7060000000000004</v>
    <v>5.7759999999999998</v>
    <v>5.782</v>
    <v>5.766</v>
    <v>5.7240000000000002</v>
    <v>5.6920000000000002</v>
    <v>5.7519999999999998</v>
    <v>5.7430000000000003</v>
    <v>5.7460000000000004</v>
    <v>5.7409999999999997</v>
    <v>5.766</v>
    <v>5.742</v>
    <v>5.7460000000000004</v>
    <v>5.7430000000000003</v>
    <v>5.74</v>
    <v>5.7549999999999999</v>
    <v>5.7530000000000001</v>
    <v>5.694</v>
    <v>5.6210000000000004</v>
    <v>5.5990000000000002</v>
    <v>5.5990000000000002</v>
    <v>5.5659999999999998</v>
    <v>5.5609999999999999</v>
    <v>5.5309999999999997</v>
    <v>5.45</v>
    <v>5.4219999999999997</v>
    <v>5.5380000000000003</v>
    <v>5.5670000000000002</v>
    <v>5.5540000000000003</v>
    <v>5.4770000000000003</v>
    <v>5.5069999999999997</v>
    <v>5.46</v>
    <v>5.4279999999999999</v>
    <v>5.5049999999999999</v>
    <v>5.4429999999999996</v>
    <v>5.55</v>
    <v>5.5759999999999996</v>
    <v>5.5609999999999999</v>
    <v>5.5510000000000002</v>
    <v>5.57</v>
    <v>5.5949999999999998</v>
    <v>5.5839999999999996</v>
    <v>5.5919999999999996</v>
    <v>5.6319999999999997</v>
    <v>5.6440000000000001</v>
    <v>5.6609999999999996</v>
    <v>5.6639999999999997</v>
    <v>5.6269999999999998</v>
    <v>5.6989999999999998</v>
    <v>5.6790000000000003</v>
    <v>5.6369999999999996</v>
    <v>5.641</v>
    <v>5.6980000000000004</v>
    <v>5.6779999999999999</v>
    <v>5.6790000000000003</v>
    <v>5.6970000000000001</v>
    <v>5.6890000000000001</v>
    <v>5.75</v>
    <v>5.7279999999999998</v>
    <v>5.7</v>
    <v>5.726</v>
    <v>5.65</v>
    <v>5.6639999999999997</v>
    <v>5.774</v>
    <v>5.7229999999999999</v>
    <v>5.7919999999999998</v>
    <v>5.7519999999999998</v>
    <v>5.7949999999999999</v>
    <v>5.76</v>
    <v>5.7039999999999997</v>
    <v>5.6769999999999996</v>
    <v>5.7329999999999997</v>
    <v>5.8019999999999996</v>
    <v>5.8620000000000001</v>
    <v>5.806</v>
    <v>5.7469999999999999</v>
    <v>5.7809999999999997</v>
    <v>5.8339999999999996</v>
    <v>5.7510000000000003</v>
    <v>5.742</v>
    <v>5.7</v>
    <v>5.7060000000000004</v>
    <v>5.8280000000000003</v>
    <v>5.85</v>
    <v>5.9039999999999999</v>
    <v>5.9130000000000003</v>
    <v>5.9139999999999997</v>
    <v>5.9539999999999997</v>
    <v>5.9429999999999996</v>
    <v>5.9640000000000004</v>
    <v>5.8520000000000003</v>
    <v>5.8070000000000004</v>
    <v>5.7380000000000004</v>
    <v>5.7539999999999996</v>
    <v>5.718</v>
    <v>5.8029999999999999</v>
    <v>5.7110000000000003</v>
    <v>5.7309999999999999</v>
    <v>5.7649999999999997</v>
    <v>5.6550000000000002</v>
    <v>5.7839999999999998</v>
    <v>5.7859999999999996</v>
    <v>5.6710000000000003</v>
    <v>5.6840000000000002</v>
    <v>5.6589999999999998</v>
    <v>5.6749999999999998</v>
    <v>5.6260000000000003</v>
    <v>5.6269999999999998</v>
    <v>5.5620000000000003</v>
    <v>5.5759999999999996</v>
    <v>5.5940000000000003</v>
    <v>5.5960000000000001</v>
    <v>5.5439999999999996</v>
    <v>5.5910000000000002</v>
    <v>5.5410000000000004</v>
    <v>5.5339999999999998</v>
    <v>5.5780000000000003</v>
    <v>5.47</v>
    <v>5.4950000000000001</v>
    <v>5.4470000000000001</v>
    <v>5.45</v>
    <v>5.3630000000000004</v>
    <v>5.3140000000000001</v>
    <v>5.319</v>
    <v>5.2969999999999997</v>
    <v>5.2770000000000001</v>
    <v>5.2789999999999999</v>
    <v>5.3470000000000004</v>
    <v>5.3949999999999996</v>
    <v>5.3579999999999997</v>
    <v>5.3620000000000001</v>
    <v>5.274</v>
    <v>5.2430000000000003</v>
    <v>5.2359999999999998</v>
    <v>5.1829999999999998</v>
    <v>5.1790000000000003</v>
    <v>5.1580000000000004</v>
    <v>5.1159999999999997</v>
    <v>5.173</v>
    <v>5.19</v>
    <v>5.2050000000000001</v>
    <v>5.1360000000000001</v>
    <v>5.1139999999999999</v>
    <v>5.016</v>
    <v>5.0069999999999997</v>
    <v>5.008</v>
    <v>5.0259999999999998</v>
    <v>5.0339999999999998</v>
    <v>5.0209999999999999</v>
    <v>4.9640000000000004</v>
    <v>4.9705000000000004</v>
    <v>4.9945000000000004</v>
    <v>5.0759999999999996</v>
    <v>5.077</v>
    <v>5.1159999999999997</v>
    <v>5.1619999999999999</v>
    <v>5.141</v>
    <v>5.1959999999999997</v>
    <v>5.2089999999999996</v>
    <v>5.2110000000000003</v>
    <v>5.1580000000000004</v>
    <v>5.1950000000000003</v>
    <v>5.1749999999999998</v>
    <v>5.1879999999999997</v>
    <v>5.2389999999999999</v>
    <v>5.258</v>
    <v>5.2460000000000004</v>
    <v>5.2770000000000001</v>
    <v>5.3049999999999997</v>
    <v>5.2869999999999999</v>
    <v>5.2530000000000001</v>
    <v>5.399</v>
    <v>5.44</v>
    <v>5.4550000000000001</v>
    <v>5.492</v>
    <v>5.4550000000000001</v>
    <v>5.4859999999999998</v>
    <v>5.5750000000000002</v>
    <v>5.5789999999999997</v>
    <v>5.5780000000000003</v>
    <v>5.5460000000000003</v>
    <v>5.5019999999999998</v>
    <v>5.4580000000000002</v>
    <v>5.4749999999999996</v>
    <v>5.49</v>
    <v>5.5090000000000003</v>
    <v>5.452</v>
    <v>5.4039999999999999</v>
    <v>5.4260000000000002</v>
    <v>5.4130000000000003</v>
    <v>5.4139999999999997</v>
    <v>5.42</v>
    <v>5.4560000000000004</v>
    <v>5.5039999999999996</v>
    <v>5.4790000000000001</v>
    <v>5.43</v>
    <v>5.4039999999999999</v>
    <v>5.407</v>
    <v>5.399</v>
    <v>5.4029999999999996</v>
    <v>5.3840000000000003</v>
    <v>5.3959999999999999</v>
    <v>5.3959999999999999</v>
    <v>5.5129999999999999</v>
    <v>5.5609999999999999</v>
    <v>5.5940000000000003</v>
    <v>5.5949999999999998</v>
    <v>5.61</v>
    <v>5.5750000000000002</v>
    <v>5.6120000000000001</v>
    <v>5.6529999999999996</v>
    <v>5.6529999999999996</v>
    <v>5.681</v>
    <v>5.6849999999999996</v>
    <v>5.6840000000000002</v>
    <v>5.7409999999999997</v>
    <v>5.681</v>
    <v>5.7160000000000002</v>
    <v>5.72</v>
    <v>5.71</v>
    <v>5.694</v>
    <v>5.6310000000000002</v>
    <v>5.641</v>
    <v>5.6280000000000001</v>
    <v>5.6840000000000002</v>
    <v>5.766</v>
    <v>5.7709999999999999</v>
    <v>5.8440000000000003</v>
    <v>5.8380000000000001</v>
    <v>5.7729999999999997</v>
    <v>5.7389999999999999</v>
    <v>5.7619999999999996</v>
    <v>5.6619999999999999</v>
    <v>5.665</v>
    <v>5.6710000000000003</v>
    <v>5.7160000000000002</v>
    <v>5.7439999999999998</v>
    <v>5.7610000000000001</v>
    <v>5.7670000000000003</v>
    <v>5.9619999999999997</v>
    <v>5.81</v>
    <v>5.8209999999999997</v>
    <v>5.8</v>
    <v>5.8289999999999997</v>
    <v>5.8129999999999997</v>
    <v>5.915</v>
    <v>6.0709999999999997</v>
    <v>6.0270000000000001</v>
    <v>6.032</v>
    <v>5.931</v>
    <v>5.9829999999999997</v>
    <v>5.9020000000000001</v>
    <v>5.9859999999999998</v>
    <v>6.0259999999999998</v>
    <v>6.0709999999999997</v>
    <v>5.9930000000000003</v>
    <v>5.91</v>
    <v>6.01</v>
    <v>6.1379999999999999</v>
    <v>6.1130000000000004</v>
    <v>6.1139999999999999</v>
    <v>6.2270000000000003</v>
    <v>6.2329999999999997</v>
    <v>6.2169999999999996</v>
    <v>6.2530000000000001</v>
    <v>6.2460000000000004</v>
    <v>6.306</v>
    <v>6.3150000000000004</v>
    <v>6.2290000000000001</v>
    <v>6.2210000000000001</v>
    <v>6.2709999999999999</v>
    <v>6.2549999999999999</v>
    <v>6.2969999999999997</v>
    <v>6.3659999999999997</v>
    <v>6.282</v>
    <v>6.2649999999999997</v>
    <v>6.165</v>
    <v>6.101</v>
    <v>6.0730000000000004</v>
    <v>6.0839999999999996</v>
    <v>5.9630000000000001</v>
    <v>5.85</v>
    <v>5.7320000000000002</v>
    <v>5.7160000000000002</v>
    <v>5.7080000000000002</v>
    <v>5.726</v>
    <v>5.7450000000000001</v>
    <v>5.7080000000000002</v>
    <v>5.6349999999999998</v>
    <v>5.734</v>
    <v>5.6680000000000001</v>
    <v>5.7160000000000002</v>
    <v>5.7210000000000001</v>
    <v>5.7190000000000003</v>
    <v>5.7690000000000001</v>
    <v>5.7469999999999999</v>
    <v>5.7469999999999999</v>
    <v>5.7140000000000004</v>
    <v>5.71</v>
    <v>5.6929999999999996</v>
    <v>5.6660000000000004</v>
    <v>5.7119999999999997</v>
    <v>5.8040000000000003</v>
    <v>5.774</v>
    <v>5.6180000000000003</v>
    <v>5.532</v>
    <v>5.5460000000000003</v>
    <v>5.5860000000000003</v>
    <v>5.4790000000000001</v>
    <v>5.5279999999999996</v>
    <v>5.5339999999999998</v>
    <v>5.4939999999999998</v>
    <v>5.5010000000000003</v>
    <v>5.5380000000000003</v>
    <v>5.5339999999999998</v>
    <v>5.4450000000000003</v>
    <v>5.5110000000000001</v>
    <v>5.5469999999999997</v>
    <v>5.59</v>
    <v>5.5519999999999996</v>
    <v>5.468</v>
    <v>5.5090000000000003</v>
    <v>5.492</v>
    <v>5.4859999999999998</v>
    <v>5.4459999999999997</v>
    <v>5.4050000000000002</v>
    <v>5.4269999999999996</v>
    <v>5.484</v>
    <v>5.5510000000000002</v>
    <v>5.5110000000000001</v>
    <v>5.5270000000000001</v>
    <v>5.4660000000000002</v>
    <v>5.4770000000000003</v>
    <v>5.45</v>
    <v>5.4530000000000003</v>
    <v>5.4909999999999997</v>
    <v>5.4880000000000004</v>
    <v>5.4359999999999999</v>
    <v>5.4279999999999999</v>
    <v>5.43</v>
    <v>5.3890000000000002</v>
    <v>5.3070000000000004</v>
    <v>5.3140000000000001</v>
    <v>5.2690000000000001</v>
    <v>5.2839999999999998</v>
    <v>5.2670000000000003</v>
    <v>5.2910000000000004</v>
    <v>5.3360000000000003</v>
    <v>5.3150000000000004</v>
    <v>5.2859999999999996</v>
    <v>5.2590000000000003</v>
    <v>5.19</v>
    <v>5.2629999999999999</v>
    <v>5.274</v>
    <v>5.3369999999999997</v>
    <v>5.3520000000000003</v>
    <v>5.375</v>
    <v>5.3460000000000001</v>
    <v>5.2590000000000003</v>
    <v>5.16</v>
    <v>5.0990000000000002</v>
    <v>5.0350000000000001</v>
    <v>5.032</v>
    <v>5.0549999999999997</v>
    <v>4.9865000000000004</v>
    <v>5.0119999999999996</v>
    <v>5.1139999999999999</v>
    <v>5.0830000000000002</v>
    <v>4.9915000000000003</v>
    <v>4.9984999999999999</v>
    <v>4.9855</v>
    <v>4.9980000000000002</v>
    <v>5.0090000000000003</v>
    <v>4.9965000000000002</v>
    <v>5.0780000000000003</v>
    <v>5.069</v>
    <v>5.12</v>
    <v>5.141</v>
    <v>5.0339999999999998</v>
    <v>5.0439999999999996</v>
    <v>5.048</v>
    <v>5.0380000000000003</v>
    <v>5.0259999999999998</v>
    <v>5.069</v>
    <v>5.0640000000000001</v>
    <v>5.0780000000000003</v>
    <v>5.077</v>
    <v>4.9980000000000002</v>
    <v>4.9980000000000002</v>
    <v>4.9725000000000001</v>
    <v>4.9044999999999996</v>
    <v>4.9580000000000002</v>
    <v>4.9695</v>
    <v>5.0540000000000003</v>
    <v>4.9734999999999996</v>
    <v>5.0140000000000002</v>
    <v>5.0209999999999999</v>
    <v>5.077</v>
    <v>5.05</v>
    <v>5.1029999999999998</v>
    <v>5.165</v>
    <v>5.1840000000000002</v>
    <v>5.2160000000000002</v>
    <v>5.157</v>
    <v>5.1840000000000002</v>
    <v>5.1260000000000003</v>
    <v>5.1390000000000002</v>
    <v>5.17</v>
    <v>5.1280000000000001</v>
    <v>5.1040000000000001</v>
    <v>5.09</v>
    <v>5.0579999999999998</v>
    <v>5.0679999999999996</v>
    <v>5.0919999999999996</v>
    <v>5.0750000000000002</v>
    <v>5.093</v>
    <v>5.15</v>
    <v>5.1790000000000003</v>
    <v>5.194</v>
    <v>5.0949999999999998</v>
    <v>5.0720000000000001</v>
    <v>5.0469999999999997</v>
    <v>4.9640000000000004</v>
    <v>4.9634999999999998</v>
    <v>5.008</v>
    <v>5.0419999999999998</v>
    <v>5.0549999999999997</v>
    <v>5.0250000000000004</v>
    <v>5.0090000000000003</v>
    <v>4.9664999999999999</v>
    <v>5.0359999999999996</v>
    <v>5.0629999999999997</v>
    <v>5.0469999999999997</v>
    <v>5.056</v>
    <v>5.101</v>
    <v>5.1219999999999999</v>
    <v>4.9915000000000003</v>
    <v>5.0330000000000004</v>
    <v>5.048</v>
    <v>5.0570000000000004</v>
    <v>5.0679999999999996</v>
    <v>5.0640000000000001</v>
    <v>5.1109999999999998</v>
    <v>5.1310000000000002</v>
    <v>5.1470000000000002</v>
    <v>5.1920000000000002</v>
    <v>5.1479999999999997</v>
    <v>5.1879999999999997</v>
    <v>5.202</v>
    <v>5.2039999999999997</v>
    <v>5.2510000000000003</v>
    <v>5.2670000000000003</v>
    <v>5.3319999999999999</v>
    <v>5.3339999999999996</v>
    <v>5.4</v>
    <v>5.2720000000000002</v>
    <v>5.2690000000000001</v>
    <v>5.3120000000000003</v>
    <v>5.3360000000000003</v>
    <v>5.3179999999999996</v>
    <v>5.3280000000000003</v>
    <v>5.3620000000000001</v>
    <v>5.3659999999999997</v>
    <v>5.4320000000000004</v>
    <v>5.3689999999999998</v>
    <v>5.319</v>
    <v>5.2969999999999997</v>
    <v>5.3040000000000003</v>
    <v>5.2839999999999998</v>
    <v>5.3170000000000002</v>
    <v>5.3289999999999997</v>
    <v>5.343</v>
    <v>5.3150000000000004</v>
    <v>5.3230000000000004</v>
    <v>5.2709999999999999</v>
    <v>5.282</v>
    <v>5.2610000000000001</v>
    <v>5.2149999999999999</v>
    <v>5.1909999999999998</v>
    <v>5.2</v>
    <v>5.16</v>
    <v>5.1260000000000003</v>
    <v>5.0549999999999997</v>
    <v>4.9995000000000003</v>
    <v>4.9850000000000003</v>
    <v>4.9980000000000002</v>
    <v>4.9909999999999997</v>
    <v>5.0129999999999999</v>
    <v>5.0259999999999998</v>
    <v>5.0439999999999996</v>
    <v>5.0250000000000004</v>
    <v>4.9654999999999996</v>
    <v>5.0529999999999999</v>
    <v>5.1139999999999999</v>
    <v>5.1310000000000002</v>
    <v>5.1529999999999996</v>
    <v>5.1260000000000003</v>
    <v>5.125</v>
    <v>5.0279999999999996</v>
    <v>4.9980000000000002</v>
    <v>5.0430000000000001</v>
    <v>5.077</v>
    <v>5.0590000000000002</v>
    <v>4.9749999999999996</v>
    <v>4.9835000000000003</v>
    <v>4.9945000000000004</v>
    <v>5.0060000000000002</v>
    <v>4.9459999999999997</v>
    <v>4.9444999999999997</v>
    <v>4.9649999999999999</v>
    <v>4.9279999999999999</v>
    <v>4.907</v>
    <v>4.9139999999999997</v>
    <v>4.9335000000000004</v>
    <v>4.9370000000000003</v>
    <v>4.9904999999999999</v>
    <v>4.9909999999999997</v>
    <v>4.9210000000000003</v>
    <v>4.9165000000000001</v>
    <v>4.8970000000000002</v>
    <v>4.9660000000000002</v>
    <v>4.9535</v>
    <v>4.9705000000000004</v>
    <v>4.9264999999999999</v>
    <v>4.9604999999999997</v>
    <v>4.9814999999999996</v>
    <v>5.0289999999999999</v>
    <v>5.0510000000000002</v>
    <v>5.0289999999999999</v>
    <v>5.0209999999999999</v>
    <v>5.0549999999999997</v>
    <v>5.0540000000000003</v>
    <v>5.1100000000000003</v>
    <v>5.1470000000000002</v>
    <v>5.1139999999999999</v>
    <v>5.2110000000000003</v>
    <v>5.3</v>
    <v>5.3440000000000003</v>
    <v>5.2939999999999996</v>
    <v>5.3890000000000002</v>
    <v>5.4290000000000003</v>
    <v>5.4850000000000003</v>
    <v>5.3630000000000004</v>
    <v>5.3230000000000004</v>
    <v>5.3929999999999998</v>
    <v>5.4509999999999996</v>
    <v>5.4210000000000003</v>
    <v>5.3719999999999999</v>
    <v>5.4</v>
    <v>5.4109999999999996</v>
    <v>5.4909999999999997</v>
    <v>5.4669999999999996</v>
    <v>5.4859999999999998</v>
    <v>5.4589999999999996</v>
    <v>5.3410000000000002</v>
    <v>5.4009999999999998</v>
    <v>5.3440000000000003</v>
    <v>5.2469999999999999</v>
    <v>5.2389999999999999</v>
    <v>5.2409999999999997</v>
    <v>5.2869999999999999</v>
    <v>5.25</v>
    <v>5.2569999999999997</v>
    <v>5.32</v>
    <v>5.2320000000000002</v>
    <v>5.2859999999999996</v>
    <v>5.3330000000000002</v>
    <v>5.3689999999999998</v>
    <v>5.3789999999999996</v>
    <v>5.3819999999999997</v>
    <v>5.4059999999999997</v>
    <v>5.48</v>
    <v>5.5369999999999999</v>
    <v>5.5209999999999999</v>
    <v>5.6360000000000001</v>
    <v>5.62</v>
    <v>5.4950000000000001</v>
    <v>5.4279999999999999</v>
    <v>5.476</v>
    <v>5.5720000000000001</v>
    <v>5.6520000000000001</v>
    <v>5.7380000000000004</v>
    <v>5.5720000000000001</v>
    <v>5.5039999999999996</v>
    <v>5.62</v>
    <v>5.6619999999999999</v>
    <v>5.5739999999999998</v>
    <v>5.6040000000000001</v>
    <v>5.5590000000000002</v>
    <v>5.5430000000000001</v>
    <v>5.5369999999999999</v>
    <v>5.484</v>
    <v>5.4740000000000002</v>
    <v>5.4420000000000002</v>
    <v>5.4569999999999999</v>
    <v>5.4219999999999997</v>
    <v>5.3929999999999998</v>
    <v>5.2469999999999999</v>
    <v>5.2640000000000002</v>
    <v>5.2389999999999999</v>
    <v>5.2190000000000003</v>
    <v>5.2210000000000001</v>
    <v>5.234</v>
    <v>5.1959999999999997</v>
    <v>5.1879999999999997</v>
    <v>5.2240000000000002</v>
    <v>5.2649999999999997</v>
    <v>5.266</v>
    <v>5.26</v>
    <v>5.2839999999999998</v>
    <v>5.3109999999999999</v>
    <v>5.3369999999999997</v>
    <v>5.3390000000000004</v>
    <v>5.3540000000000001</v>
    <v>5.2960000000000003</v>
    <v>5.2939999999999996</v>
    <v>5.391</v>
    <v>5.3979999999999997</v>
    <v>5.3730000000000002</v>
    <v>5.5869999999999997</v>
    <v>5.5830000000000002</v>
    <v>5.6340000000000003</v>
    <v>5.6639999999999997</v>
    <v>5.6909999999999998</v>
    <v>5.7</v>
    <v>5.69</v>
    <v>5.7649999999999997</v>
    <v>5.6980000000000004</v>
    <v>5.7489999999999997</v>
    <v>5.7939999999999996</v>
    <v>5.79</v>
    <v>5.8760000000000003</v>
    <v>5.9</v>
    <v>5.8520000000000003</v>
    <v>5.7789999999999999</v>
    <v>5.7869999999999999</v>
    <v>5.7240000000000002</v>
    <v>5.641</v>
    <v>5.609</v>
    <v>5.65</v>
    <v>5.6239999999999997</v>
    <v>5.6040000000000001</v>
    <v>5.6139999999999999</v>
    <v>5.6950000000000003</v>
    <v>5.6859999999999999</v>
    <v>5.6440000000000001</v>
    <v>5.7220000000000004</v>
    <v>5.7389999999999999</v>
    <v>5.7629999999999999</v>
    <v>5.8540000000000001</v>
    <v>5.8840000000000003</v>
    <v>5.9119999999999999</v>
    <v>5.9630000000000001</v>
    <v>5.9279999999999999</v>
    <v>5.93</v>
    <v>5.9240000000000004</v>
    <v>5.9720000000000004</v>
    <v>6.12</v>
    <v>6.2489999999999997</v>
    <v>6.2279999999999998</v>
    <v>6.335</v>
    <v>6.3250000000000002</v>
    <v>6.1589999999999998</v>
    <v>6.1660000000000004</v>
    <v>6.1429999999999998</v>
    <v>6.1230000000000002</v>
    <v>6.1239999999999997</v>
    <v>6.1870000000000003</v>
    <v>6.1059999999999999</v>
    <v>6.1479999999999997</v>
    <v>6.1589999999999998</v>
    <v>6.1470000000000002</v>
    <v>6.1289999999999996</v>
    <v>6.0540000000000003</v>
    <v>6.1479999999999997</v>
    <v>6.1550000000000002</v>
    <v>6.1340000000000003</v>
    <v>6.1609999999999996</v>
    <v>6.1070000000000002</v>
    <v>6.0819999999999999</v>
    <v>6.0810000000000004</v>
    <v>6.1079999999999997</v>
    <v>6.0270000000000001</v>
    <v>6.0940000000000003</v>
    <v>6.2050000000000001</v>
    <v>6.2249999999999996</v>
    <v>6.2350000000000003</v>
    <v>6.1890000000000001</v>
    <v>6.2060000000000004</v>
    <v>6.157</v>
    <v>6.2149999999999999</v>
    <v>6.18</v>
    <v>6.1589999999999998</v>
    <v>6.0529999999999999</v>
    <v>6.0720000000000001</v>
    <v>6.0289999999999999</v>
    <v>5.9930000000000003</v>
    <v>5.9980000000000002</v>
    <v>5.976</v>
  </a>
  <a r="1" c="254">
    <v>5.1920000000000002</v>
    <v>5.1479999999999997</v>
    <v>5.1879999999999997</v>
    <v>5.202</v>
    <v>5.2039999999999997</v>
    <v>5.2510000000000003</v>
    <v>5.2670000000000003</v>
    <v>5.3319999999999999</v>
    <v>5.3339999999999996</v>
    <v>5.4</v>
    <v>5.2720000000000002</v>
    <v>5.2690000000000001</v>
    <v>5.3120000000000003</v>
    <v>5.3360000000000003</v>
    <v>5.3179999999999996</v>
    <v>5.3280000000000003</v>
    <v>5.3620000000000001</v>
    <v>5.3659999999999997</v>
    <v>5.4320000000000004</v>
    <v>5.3689999999999998</v>
    <v>5.319</v>
    <v>5.2969999999999997</v>
    <v>5.3040000000000003</v>
    <v>5.2839999999999998</v>
    <v>5.3170000000000002</v>
    <v>5.3289999999999997</v>
    <v>5.343</v>
    <v>5.3150000000000004</v>
    <v>5.3230000000000004</v>
    <v>5.2709999999999999</v>
    <v>5.282</v>
    <v>5.2610000000000001</v>
    <v>5.2149999999999999</v>
    <v>5.1909999999999998</v>
    <v>5.2</v>
    <v>5.16</v>
    <v>5.1260000000000003</v>
    <v>5.0549999999999997</v>
    <v>4.9995000000000003</v>
    <v>4.9850000000000003</v>
    <v>4.9980000000000002</v>
    <v>4.9909999999999997</v>
    <v>5.0129999999999999</v>
    <v>5.0259999999999998</v>
    <v>5.0439999999999996</v>
    <v>5.0250000000000004</v>
    <v>4.9654999999999996</v>
    <v>5.0529999999999999</v>
    <v>5.1139999999999999</v>
    <v>5.1310000000000002</v>
    <v>5.1529999999999996</v>
    <v>5.1260000000000003</v>
    <v>5.125</v>
    <v>5.0279999999999996</v>
    <v>4.9980000000000002</v>
    <v>5.0430000000000001</v>
    <v>5.077</v>
    <v>5.0590000000000002</v>
    <v>4.9749999999999996</v>
    <v>4.9835000000000003</v>
    <v>4.9945000000000004</v>
    <v>5.0060000000000002</v>
    <v>4.9459999999999997</v>
    <v>4.9444999999999997</v>
    <v>4.9649999999999999</v>
    <v>4.9279999999999999</v>
    <v>4.907</v>
    <v>4.9139999999999997</v>
    <v>4.9335000000000004</v>
    <v>4.9370000000000003</v>
    <v>4.9904999999999999</v>
    <v>4.9909999999999997</v>
    <v>4.9210000000000003</v>
    <v>4.9165000000000001</v>
    <v>4.8970000000000002</v>
    <v>4.9660000000000002</v>
    <v>4.9535</v>
    <v>4.9705000000000004</v>
    <v>4.9264999999999999</v>
    <v>4.9604999999999997</v>
    <v>4.9814999999999996</v>
    <v>5.0289999999999999</v>
    <v>5.0510000000000002</v>
    <v>5.0289999999999999</v>
    <v>5.0209999999999999</v>
    <v>5.0549999999999997</v>
    <v>5.0540000000000003</v>
    <v>5.1100000000000003</v>
    <v>5.1470000000000002</v>
    <v>5.1139999999999999</v>
    <v>5.2110000000000003</v>
    <v>5.3</v>
    <v>5.3440000000000003</v>
    <v>5.2939999999999996</v>
    <v>5.3890000000000002</v>
    <v>5.4290000000000003</v>
    <v>5.4850000000000003</v>
    <v>5.3630000000000004</v>
    <v>5.3230000000000004</v>
    <v>5.3929999999999998</v>
    <v>5.4509999999999996</v>
    <v>5.4210000000000003</v>
    <v>5.3719999999999999</v>
    <v>5.4</v>
    <v>5.4109999999999996</v>
    <v>5.4909999999999997</v>
    <v>5.4669999999999996</v>
    <v>5.4859999999999998</v>
    <v>5.4589999999999996</v>
    <v>5.3410000000000002</v>
    <v>5.4009999999999998</v>
    <v>5.3440000000000003</v>
    <v>5.2469999999999999</v>
    <v>5.2389999999999999</v>
    <v>5.2409999999999997</v>
    <v>5.2869999999999999</v>
    <v>5.25</v>
    <v>5.2569999999999997</v>
    <v>5.32</v>
    <v>5.2320000000000002</v>
    <v>5.2859999999999996</v>
    <v>5.3330000000000002</v>
    <v>5.3689999999999998</v>
    <v>5.3789999999999996</v>
    <v>5.3819999999999997</v>
    <v>5.4059999999999997</v>
    <v>5.48</v>
    <v>5.5369999999999999</v>
    <v>5.5209999999999999</v>
    <v>5.6360000000000001</v>
    <v>5.62</v>
    <v>5.4950000000000001</v>
    <v>5.4279999999999999</v>
    <v>5.476</v>
    <v>5.5720000000000001</v>
    <v>5.6520000000000001</v>
    <v>5.7380000000000004</v>
    <v>5.5720000000000001</v>
    <v>5.5039999999999996</v>
    <v>5.62</v>
    <v>5.6619999999999999</v>
    <v>5.5739999999999998</v>
    <v>5.6040000000000001</v>
    <v>5.5590000000000002</v>
    <v>5.5430000000000001</v>
    <v>5.5369999999999999</v>
    <v>5.484</v>
    <v>5.4740000000000002</v>
    <v>5.4420000000000002</v>
    <v>5.4569999999999999</v>
    <v>5.4219999999999997</v>
    <v>5.3929999999999998</v>
    <v>5.2469999999999999</v>
    <v>5.2640000000000002</v>
    <v>5.2389999999999999</v>
    <v>5.2190000000000003</v>
    <v>5.2210000000000001</v>
    <v>5.234</v>
    <v>5.1959999999999997</v>
    <v>5.1879999999999997</v>
    <v>5.2240000000000002</v>
    <v>5.2649999999999997</v>
    <v>5.266</v>
    <v>5.26</v>
    <v>5.2839999999999998</v>
    <v>5.3109999999999999</v>
    <v>5.3369999999999997</v>
    <v>5.3390000000000004</v>
    <v>5.3540000000000001</v>
    <v>5.2960000000000003</v>
    <v>5.2939999999999996</v>
    <v>5.391</v>
    <v>5.3979999999999997</v>
    <v>5.3730000000000002</v>
    <v>5.5869999999999997</v>
    <v>5.5830000000000002</v>
    <v>5.6340000000000003</v>
    <v>5.6639999999999997</v>
    <v>5.6909999999999998</v>
    <v>5.7</v>
    <v>5.69</v>
    <v>5.7649999999999997</v>
    <v>5.6980000000000004</v>
    <v>5.7489999999999997</v>
    <v>5.7939999999999996</v>
    <v>5.79</v>
    <v>5.8760000000000003</v>
    <v>5.9</v>
    <v>5.8520000000000003</v>
    <v>5.7789999999999999</v>
    <v>5.7869999999999999</v>
    <v>5.7240000000000002</v>
    <v>5.641</v>
    <v>5.609</v>
    <v>5.65</v>
    <v>5.6239999999999997</v>
    <v>5.6040000000000001</v>
    <v>5.6139999999999999</v>
    <v>5.6950000000000003</v>
    <v>5.6859999999999999</v>
    <v>5.6440000000000001</v>
    <v>5.7220000000000004</v>
    <v>5.7389999999999999</v>
    <v>5.7629999999999999</v>
    <v>5.8540000000000001</v>
    <v>5.8840000000000003</v>
    <v>5.9119999999999999</v>
    <v>5.9630000000000001</v>
    <v>5.9279999999999999</v>
    <v>5.93</v>
    <v>5.9240000000000004</v>
    <v>5.9720000000000004</v>
    <v>6.12</v>
    <v>6.2489999999999997</v>
    <v>6.2279999999999998</v>
    <v>6.335</v>
    <v>6.3250000000000002</v>
    <v>6.1589999999999998</v>
    <v>6.1660000000000004</v>
    <v>6.1429999999999998</v>
    <v>6.1230000000000002</v>
    <v>6.1239999999999997</v>
    <v>6.1870000000000003</v>
    <v>6.1059999999999999</v>
    <v>6.1479999999999997</v>
    <v>6.1589999999999998</v>
    <v>6.1470000000000002</v>
    <v>6.1289999999999996</v>
    <v>6.0540000000000003</v>
    <v>6.1479999999999997</v>
    <v>6.1550000000000002</v>
    <v>6.1340000000000003</v>
    <v>6.1609999999999996</v>
    <v>6.1070000000000002</v>
    <v>6.0819999999999999</v>
    <v>6.0810000000000004</v>
    <v>6.1079999999999997</v>
    <v>6.0270000000000001</v>
    <v>6.0940000000000003</v>
    <v>6.2050000000000001</v>
    <v>6.2249999999999996</v>
    <v>6.2350000000000003</v>
    <v>6.1890000000000001</v>
    <v>6.2060000000000004</v>
    <v>6.157</v>
    <v>6.2149999999999999</v>
    <v>6.18</v>
    <v>6.1589999999999998</v>
    <v>6.0529999999999999</v>
    <v>6.0720000000000001</v>
    <v>6.0289999999999999</v>
    <v>5.9930000000000003</v>
    <v>5.9980000000000002</v>
    <v>5.976</v>
  </a>
  <a r="1" c="208">
    <v>4.9654999999999996</v>
    <v>5.0529999999999999</v>
    <v>5.1139999999999999</v>
    <v>5.1310000000000002</v>
    <v>5.1529999999999996</v>
    <v>5.1260000000000003</v>
    <v>5.125</v>
    <v>5.0279999999999996</v>
    <v>4.9980000000000002</v>
    <v>5.0430000000000001</v>
    <v>5.077</v>
    <v>5.0590000000000002</v>
    <v>4.9749999999999996</v>
    <v>4.9835000000000003</v>
    <v>4.9945000000000004</v>
    <v>5.0060000000000002</v>
    <v>4.9459999999999997</v>
    <v>4.9444999999999997</v>
    <v>4.9649999999999999</v>
    <v>4.9279999999999999</v>
    <v>4.907</v>
    <v>4.9139999999999997</v>
    <v>4.9335000000000004</v>
    <v>4.9370000000000003</v>
    <v>4.9904999999999999</v>
    <v>4.9909999999999997</v>
    <v>4.9210000000000003</v>
    <v>4.9165000000000001</v>
    <v>4.8970000000000002</v>
    <v>4.9660000000000002</v>
    <v>4.9535</v>
    <v>4.9705000000000004</v>
    <v>4.9264999999999999</v>
    <v>4.9604999999999997</v>
    <v>4.9814999999999996</v>
    <v>5.0289999999999999</v>
    <v>5.0510000000000002</v>
    <v>5.0289999999999999</v>
    <v>5.0209999999999999</v>
    <v>5.0549999999999997</v>
    <v>5.0540000000000003</v>
    <v>5.1100000000000003</v>
    <v>5.1470000000000002</v>
    <v>5.1139999999999999</v>
    <v>5.2110000000000003</v>
    <v>5.3</v>
    <v>5.3440000000000003</v>
    <v>5.2939999999999996</v>
    <v>5.3890000000000002</v>
    <v>5.4290000000000003</v>
    <v>5.4850000000000003</v>
    <v>5.3630000000000004</v>
    <v>5.3230000000000004</v>
    <v>5.3929999999999998</v>
    <v>5.4509999999999996</v>
    <v>5.4210000000000003</v>
    <v>5.3719999999999999</v>
    <v>5.4</v>
    <v>5.4109999999999996</v>
    <v>5.4909999999999997</v>
    <v>5.4669999999999996</v>
    <v>5.4859999999999998</v>
    <v>5.4589999999999996</v>
    <v>5.3410000000000002</v>
    <v>5.4009999999999998</v>
    <v>5.3440000000000003</v>
    <v>5.2469999999999999</v>
    <v>5.2389999999999999</v>
    <v>5.2409999999999997</v>
    <v>5.2869999999999999</v>
    <v>5.25</v>
    <v>5.2569999999999997</v>
    <v>5.32</v>
    <v>5.2320000000000002</v>
    <v>5.2859999999999996</v>
    <v>5.3330000000000002</v>
    <v>5.3689999999999998</v>
    <v>5.3789999999999996</v>
    <v>5.3819999999999997</v>
    <v>5.4059999999999997</v>
    <v>5.48</v>
    <v>5.5369999999999999</v>
    <v>5.5209999999999999</v>
    <v>5.6360000000000001</v>
    <v>5.62</v>
    <v>5.4950000000000001</v>
    <v>5.4279999999999999</v>
    <v>5.476</v>
    <v>5.5720000000000001</v>
    <v>5.6520000000000001</v>
    <v>5.7380000000000004</v>
    <v>5.5720000000000001</v>
    <v>5.5039999999999996</v>
    <v>5.62</v>
    <v>5.6619999999999999</v>
    <v>5.5739999999999998</v>
    <v>5.6040000000000001</v>
    <v>5.5590000000000002</v>
    <v>5.5430000000000001</v>
    <v>5.5369999999999999</v>
    <v>5.484</v>
    <v>5.4740000000000002</v>
    <v>5.4420000000000002</v>
    <v>5.4569999999999999</v>
    <v>5.4219999999999997</v>
    <v>5.3929999999999998</v>
    <v>5.2469999999999999</v>
    <v>5.2640000000000002</v>
    <v>5.2389999999999999</v>
    <v>5.2190000000000003</v>
    <v>5.2210000000000001</v>
    <v>5.234</v>
    <v>5.1959999999999997</v>
    <v>5.1879999999999997</v>
    <v>5.2240000000000002</v>
    <v>5.2649999999999997</v>
    <v>5.266</v>
    <v>5.26</v>
    <v>5.2839999999999998</v>
    <v>5.3109999999999999</v>
    <v>5.3369999999999997</v>
    <v>5.3390000000000004</v>
    <v>5.3540000000000001</v>
    <v>5.2960000000000003</v>
    <v>5.2939999999999996</v>
    <v>5.391</v>
    <v>5.3979999999999997</v>
    <v>5.3730000000000002</v>
    <v>5.5869999999999997</v>
    <v>5.5830000000000002</v>
    <v>5.6340000000000003</v>
    <v>5.6639999999999997</v>
    <v>5.6909999999999998</v>
    <v>5.7</v>
    <v>5.69</v>
    <v>5.7649999999999997</v>
    <v>5.6980000000000004</v>
    <v>5.7489999999999997</v>
    <v>5.7939999999999996</v>
    <v>5.79</v>
    <v>5.8760000000000003</v>
    <v>5.9</v>
    <v>5.8520000000000003</v>
    <v>5.7789999999999999</v>
    <v>5.7869999999999999</v>
    <v>5.7240000000000002</v>
    <v>5.641</v>
    <v>5.609</v>
    <v>5.65</v>
    <v>5.6239999999999997</v>
    <v>5.6040000000000001</v>
    <v>5.6139999999999999</v>
    <v>5.6950000000000003</v>
    <v>5.6859999999999999</v>
    <v>5.6440000000000001</v>
    <v>5.7220000000000004</v>
    <v>5.7389999999999999</v>
    <v>5.7629999999999999</v>
    <v>5.8540000000000001</v>
    <v>5.8840000000000003</v>
    <v>5.9119999999999999</v>
    <v>5.9630000000000001</v>
    <v>5.9279999999999999</v>
    <v>5.93</v>
    <v>5.9240000000000004</v>
    <v>5.9720000000000004</v>
    <v>6.12</v>
    <v>6.2489999999999997</v>
    <v>6.2279999999999998</v>
    <v>6.335</v>
    <v>6.3250000000000002</v>
    <v>6.1589999999999998</v>
    <v>6.1660000000000004</v>
    <v>6.1429999999999998</v>
    <v>6.1230000000000002</v>
    <v>6.1239999999999997</v>
    <v>6.1870000000000003</v>
    <v>6.1059999999999999</v>
    <v>6.1479999999999997</v>
    <v>6.1589999999999998</v>
    <v>6.1470000000000002</v>
    <v>6.1289999999999996</v>
    <v>6.0540000000000003</v>
    <v>6.1479999999999997</v>
    <v>6.1550000000000002</v>
    <v>6.1340000000000003</v>
    <v>6.1609999999999996</v>
    <v>6.1070000000000002</v>
    <v>6.0819999999999999</v>
    <v>6.0810000000000004</v>
    <v>6.1079999999999997</v>
    <v>6.0270000000000001</v>
    <v>6.0940000000000003</v>
    <v>6.2050000000000001</v>
    <v>6.2249999999999996</v>
    <v>6.2350000000000003</v>
    <v>6.1890000000000001</v>
    <v>6.2060000000000004</v>
    <v>6.157</v>
    <v>6.2149999999999999</v>
    <v>6.18</v>
    <v>6.1589999999999998</v>
    <v>6.0529999999999999</v>
    <v>6.0720000000000001</v>
    <v>6.0289999999999999</v>
    <v>5.9930000000000003</v>
    <v>5.9980000000000002</v>
    <v>5.976</v>
  </a>
  <a r="1" c="210">
    <v>126.08</v>
    <v>125.99</v>
    <v>126.175</v>
    <v>126.545</v>
    <v>126.87</v>
    <v>126.52</v>
    <v>126.71</v>
    <v>126.86</v>
    <v>126.79</v>
    <v>126.83499999999999</v>
    <v>126.93</v>
    <v>126.80500000000001</v>
    <v>127.04</v>
    <v>127.095</v>
    <v>127.22</v>
    <v>127.91</v>
    <v>128.255</v>
    <v>128.70500000000001</v>
    <v>129.29</v>
    <v>129.345</v>
    <v>129.5</v>
    <v>128.77000000000001</v>
    <v>128.91999999999999</v>
    <v>129.70500000000001</v>
    <v>129.55000000000001</v>
    <v>129.24</v>
    <v>129.6</v>
    <v>130.22499999999999</v>
    <v>130</v>
    <v>130.19</v>
    <v>130.38499999999999</v>
    <v>130.45500000000001</v>
    <v>130.16</v>
    <v>130.21</v>
    <v>130.13999999999999</v>
    <v>129.82</v>
    <v>130.27000000000001</v>
    <v>130.52000000000001</v>
    <v>130.44</v>
    <v>131.08500000000001</v>
    <v>130.935</v>
    <v>131.11000000000001</v>
    <v>129.595</v>
    <v>127.48</v>
    <v>128.83500000000001</v>
    <v>127.78</v>
    <v>127.23</v>
    <v>125.97</v>
    <v>128.81</v>
    <v>127.84</v>
    <v>126.86</v>
    <v>125.94</v>
    <v>125.935</v>
    <v>126.52</v>
    <v>125.985</v>
    <v>125.41500000000001</v>
    <v>124.77500000000001</v>
    <v>125.37</v>
    <v>124.765</v>
    <v>125.285</v>
    <v>124.88500000000001</v>
    <v>124.07</v>
    <v>123.91500000000001</v>
    <v>124.595</v>
    <v>125.88500000000001</v>
    <v>125.83</v>
    <v>126.2</v>
    <v>128.435</v>
    <v>128.745</v>
    <v>129.53</v>
    <v>128.66999999999999</v>
    <v>129.72</v>
    <v>129.49</v>
    <v>129.66</v>
    <v>131.12</v>
    <v>130.21</v>
    <v>129.94</v>
    <v>129.83000000000001</v>
    <v>129.52500000000001</v>
    <v>128.38499999999999</v>
    <v>129.06</v>
    <v>128.21</v>
    <v>128.08000000000001</v>
    <v>127.9</v>
    <v>127.84</v>
    <v>-99999901</v>
    <v>127.87</v>
    <v>129.07</v>
    <v>129.49</v>
    <v>129.41999999999999</v>
    <v>128.96</v>
    <v>128.005</v>
    <v>128.30000000000001</v>
    <v>128.02000000000001</v>
    <v>126.995</v>
    <v>126.89</v>
    <v>126.325</v>
    <v>126.64</v>
    <v>126.935</v>
    <v>127.54</v>
    <v>-99999901</v>
    <v>127.85</v>
    <v>127.41</v>
    <v>127.72</v>
    <v>128.22499999999999</v>
    <v>128.16</v>
    <v>128.41</v>
    <v>127.995</v>
    <v>127.765</v>
    <v>126.77</v>
    <v>126.6</v>
    <v>126.76</v>
    <v>126.895</v>
    <v>127.075</v>
    <v>128.55000000000001</v>
    <v>129.69999999999999</v>
    <v>129.69</v>
    <v>130.01</v>
    <v>128.81</v>
    <v>128.99</v>
    <v>128.81</v>
    <v>128.19</v>
    <v>128.05500000000001</v>
    <v>128.745</v>
    <v>129.13999999999999</v>
    <v>129.41</v>
    <v>129.1</v>
    <v>128.76</v>
    <v>129.76</v>
    <v>129.25</v>
    <v>129.49</v>
    <v>129.69</v>
    <v>128.53</v>
    <v>129.27500000000001</v>
    <v>129.55500000000001</v>
    <v>129.13</v>
    <v>129.41999999999999</v>
    <v>129.43</v>
    <v>129.41499999999999</v>
    <v>129.29</v>
    <v>129.25</v>
    <v>129.24</v>
    <v>129.07499999999999</v>
    <v>128.34</v>
    <v>128.68</v>
    <v>128.83000000000001</v>
    <v>128.94</v>
    <v>128.66</v>
    <v>129.55500000000001</v>
    <v>129.69499999999999</v>
    <v>129.9</v>
    <v>130.47499999999999</v>
    <v>130.72499999999999</v>
    <v>130.70500000000001</v>
    <v>131.18</v>
    <v>130.97999999999999</v>
    <v>130.70500000000001</v>
    <v>130.69999999999999</v>
    <v>130.785</v>
    <v>130.44</v>
    <v>130.80000000000001</v>
    <v>130.66999999999999</v>
    <v>131.31</v>
    <v>131.16</v>
    <v>131.63499999999999</v>
    <v>131.935</v>
    <v>132.34</v>
    <v>132.21</v>
    <v>131.74</v>
    <v>131.16499999999999</v>
    <v>-99999901</v>
    <v>131.16999999999999</v>
    <v>131.86000000000001</v>
    <v>132.05000000000001</v>
    <v>132.24</v>
    <v>132.26</v>
    <v>132.255</v>
    <v>132.13499999999999</v>
    <v>131.73500000000001</v>
    <v>131.29</v>
    <v>130.1</v>
    <v>130.47999999999999</v>
    <v>130.63999999999999</v>
    <v>130.85</v>
    <v>130.29</v>
    <v>130.91999999999999</v>
    <v>131.16999999999999</v>
    <v>130.19999999999999</v>
    <v>129.47</v>
    <v>129.47999999999999</v>
    <v>129.02500000000001</v>
    <v>128.65</v>
    <v>128.97999999999999</v>
    <v>128.43</v>
    <v>128.71</v>
    <v>129.65</v>
    <v>130.69999999999999</v>
    <v>130.22</v>
    <v>130.24</v>
    <v>130.595</v>
    <v>131.005</v>
    <v>131.34</v>
    <v>130.47</v>
    <v>131.22999999999999</v>
    <v>130.82</v>
    <v>130.4</v>
    <v>131.13</v>
    <v>130.88999999999999</v>
    <v>130.75</v>
    <v>130.36500000000001</v>
  </a>
  <a r="1" c="257">
    <v>123.63500000000001</v>
    <v>123.905</v>
    <v>124.05</v>
    <v>124.13</v>
    <v>124.235</v>
    <v>123.59</v>
    <v>123.465</v>
    <v>123.5</v>
    <v>123.46</v>
    <v>123.47499999999999</v>
    <v>123.47</v>
    <v>123.815</v>
    <v>124.07</v>
    <v>124.58499999999999</v>
    <v>124.785</v>
    <v>125.03</v>
    <v>124.87</v>
    <v>124.62</v>
    <v>124.36</v>
    <v>124.9</v>
    <v>124.57</v>
    <v>124.015</v>
    <v>124.11499999999999</v>
    <v>124.33499999999999</v>
    <v>124.88500000000001</v>
    <v>125</v>
    <v>125.04</v>
    <v>125.03</v>
    <v>125.08</v>
    <v>125.38</v>
    <v>125.4</v>
    <v>125.375</v>
    <v>125</v>
    <v>124.85</v>
    <v>124.51</v>
    <v>125.08499999999999</v>
    <v>125.035</v>
    <v>125.2</v>
    <v>124.96</v>
    <v>124.86</v>
    <v>124.84</v>
    <v>125.105</v>
    <v>125.44</v>
    <v>125.425</v>
    <v>125.69</v>
    <v>125.41</v>
    <v>125.505</v>
    <v>126.08</v>
    <v>125.99</v>
    <v>126.175</v>
    <v>126.545</v>
    <v>126.87</v>
    <v>126.52</v>
    <v>126.71</v>
    <v>126.86</v>
    <v>126.79</v>
    <v>126.83499999999999</v>
    <v>126.93</v>
    <v>126.80500000000001</v>
    <v>127.04</v>
    <v>127.095</v>
    <v>127.22</v>
    <v>127.91</v>
    <v>128.255</v>
    <v>128.70500000000001</v>
    <v>129.29</v>
    <v>129.345</v>
    <v>129.5</v>
    <v>128.77000000000001</v>
    <v>128.91999999999999</v>
    <v>129.70500000000001</v>
    <v>129.55000000000001</v>
    <v>129.24</v>
    <v>129.6</v>
    <v>130.22499999999999</v>
    <v>130</v>
    <v>130.19</v>
    <v>130.38499999999999</v>
    <v>130.45500000000001</v>
    <v>130.16</v>
    <v>130.21</v>
    <v>130.13999999999999</v>
    <v>129.82</v>
    <v>130.27000000000001</v>
    <v>130.52000000000001</v>
    <v>130.44</v>
    <v>131.08500000000001</v>
    <v>130.935</v>
    <v>131.11000000000001</v>
    <v>129.595</v>
    <v>127.48</v>
    <v>128.83500000000001</v>
    <v>127.78</v>
    <v>127.23</v>
    <v>125.97</v>
    <v>128.81</v>
    <v>127.84</v>
    <v>126.86</v>
    <v>125.94</v>
    <v>125.935</v>
    <v>126.52</v>
    <v>125.985</v>
    <v>125.41500000000001</v>
    <v>124.77500000000001</v>
    <v>125.37</v>
    <v>124.765</v>
    <v>125.285</v>
    <v>124.88500000000001</v>
    <v>124.07</v>
    <v>123.91500000000001</v>
    <v>124.595</v>
    <v>125.88500000000001</v>
    <v>125.83</v>
    <v>126.2</v>
    <v>128.435</v>
    <v>128.745</v>
    <v>129.53</v>
    <v>128.66999999999999</v>
    <v>129.72</v>
    <v>129.49</v>
    <v>129.66</v>
    <v>131.12</v>
    <v>130.21</v>
    <v>129.94</v>
    <v>129.83000000000001</v>
    <v>129.52500000000001</v>
    <v>128.38499999999999</v>
    <v>129.06</v>
    <v>128.21</v>
    <v>128.08000000000001</v>
    <v>127.9</v>
    <v>127.84</v>
    <v>-99999901</v>
    <v>127.87</v>
    <v>129.07</v>
    <v>129.49</v>
    <v>129.41999999999999</v>
    <v>128.96</v>
    <v>128.005</v>
    <v>128.30000000000001</v>
    <v>128.02000000000001</v>
    <v>126.995</v>
    <v>126.89</v>
    <v>126.325</v>
    <v>126.64</v>
    <v>126.935</v>
    <v>127.54</v>
    <v>-99999901</v>
    <v>127.85</v>
    <v>127.41</v>
    <v>127.72</v>
    <v>128.22499999999999</v>
    <v>128.16</v>
    <v>128.41</v>
    <v>127.995</v>
    <v>127.765</v>
    <v>126.77</v>
    <v>126.6</v>
    <v>126.76</v>
    <v>126.895</v>
    <v>127.075</v>
    <v>128.55000000000001</v>
    <v>129.69999999999999</v>
    <v>129.69</v>
    <v>130.01</v>
    <v>128.81</v>
    <v>128.99</v>
    <v>128.81</v>
    <v>128.19</v>
    <v>128.05500000000001</v>
    <v>128.745</v>
    <v>129.13999999999999</v>
    <v>129.41</v>
    <v>129.1</v>
    <v>128.76</v>
    <v>129.76</v>
    <v>129.25</v>
    <v>129.49</v>
    <v>129.69</v>
    <v>128.53</v>
    <v>129.27500000000001</v>
    <v>129.55500000000001</v>
    <v>129.13</v>
    <v>129.41999999999999</v>
    <v>129.43</v>
    <v>129.41499999999999</v>
    <v>129.29</v>
    <v>129.25</v>
    <v>129.24</v>
    <v>129.07499999999999</v>
    <v>128.34</v>
    <v>128.68</v>
    <v>128.83000000000001</v>
    <v>128.94</v>
    <v>128.66</v>
    <v>129.55500000000001</v>
    <v>129.69499999999999</v>
    <v>129.9</v>
    <v>130.47499999999999</v>
    <v>130.72499999999999</v>
    <v>130.70500000000001</v>
    <v>131.18</v>
    <v>130.97999999999999</v>
    <v>130.70500000000001</v>
    <v>130.69999999999999</v>
    <v>130.785</v>
    <v>130.44</v>
    <v>130.80000000000001</v>
    <v>130.66999999999999</v>
    <v>131.31</v>
    <v>131.16</v>
    <v>131.63499999999999</v>
    <v>131.935</v>
    <v>132.34</v>
    <v>132.21</v>
    <v>131.74</v>
    <v>131.16499999999999</v>
    <v>-99999901</v>
    <v>131.16999999999999</v>
    <v>131.86000000000001</v>
    <v>132.05000000000001</v>
    <v>132.24</v>
    <v>132.26</v>
    <v>132.255</v>
    <v>132.13499999999999</v>
    <v>131.73500000000001</v>
    <v>131.29</v>
    <v>130.1</v>
    <v>130.47999999999999</v>
    <v>130.63999999999999</v>
    <v>130.85</v>
    <v>130.29</v>
    <v>130.91999999999999</v>
    <v>131.16999999999999</v>
    <v>130.19999999999999</v>
    <v>129.47</v>
    <v>129.47999999999999</v>
    <v>129.02500000000001</v>
    <v>128.65</v>
    <v>128.97999999999999</v>
    <v>128.43</v>
    <v>128.71</v>
    <v>129.65</v>
    <v>130.69999999999999</v>
    <v>130.22</v>
    <v>130.24</v>
    <v>130.595</v>
    <v>131.005</v>
    <v>131.34</v>
    <v>130.47</v>
    <v>131.22999999999999</v>
    <v>130.82</v>
    <v>130.4</v>
    <v>131.13</v>
    <v>130.88999999999999</v>
    <v>130.75</v>
    <v>130.36500000000001</v>
  </a>
  <a r="1" c="772">
    <v>103.175</v>
    <v>103.56</v>
    <v>103.11499999999999</v>
    <v>102.76</v>
    <v>103.84</v>
    <v>103.66500000000001</v>
    <v>103.84</v>
    <v>103.965</v>
    <v>105.095</v>
    <v>106.11499999999999</v>
    <v>106.24</v>
    <v>106.16500000000001</v>
    <v>106.26</v>
    <v>106.235</v>
    <v>105.55</v>
    <v>105.65</v>
    <v>107.325</v>
    <v>107.515</v>
    <v>107.64</v>
    <v>108.03</v>
    <v>108.47499999999999</v>
    <v>108.38</v>
    <v>107.91500000000001</v>
    <v>107.985</v>
    <v>108.045</v>
    <v>108.11499999999999</v>
    <v>108.575</v>
    <v>109.095</v>
    <v>108.30500000000001</v>
    <v>108.83</v>
    <v>108.25</v>
    <v>108.14</v>
    <v>108.825</v>
    <v>108.94499999999999</v>
    <v>108.52500000000001</v>
    <v>108.295</v>
    <v>108.42</v>
    <v>108.21</v>
    <v>110.22499999999999</v>
    <v>109.99</v>
    <v>109.93</v>
    <v>110.375</v>
    <v>110.59</v>
    <v>110.31</v>
    <v>110.855</v>
    <v>-99999901</v>
    <v>111.46</v>
    <v>111.47499999999999</v>
    <v>111.31</v>
    <v>110.42</v>
    <v>110.19</v>
    <v>110.41</v>
    <v>110.965</v>
    <v>111.005</v>
    <v>110.58</v>
    <v>110.3</v>
    <v>110.75</v>
    <v>111.46</v>
    <v>110.925</v>
    <v>110.205</v>
    <v>109.495</v>
    <v>109.94499999999999</v>
    <v>110.075</v>
    <v>110.13500000000001</v>
    <v>109.52</v>
    <v>110.29</v>
    <v>110.41</v>
    <v>110.35</v>
    <v>110.27500000000001</v>
    <v>110.265</v>
    <v>110.685</v>
    <v>111.15</v>
    <v>110.38500000000001</v>
    <v>109.935</v>
    <v>110.425</v>
    <v>110.565</v>
    <v>110.215</v>
    <v>110.30500000000001</v>
    <v>110.61</v>
    <v>110.27</v>
    <v>110.08499999999999</v>
    <v>110.43</v>
    <v>110.57</v>
    <v>110.33</v>
    <v>110.62</v>
    <v>110.67</v>
    <v>110.76</v>
    <v>110.53</v>
    <v>110.41500000000001</v>
    <v>110.36</v>
    <v>110.515</v>
    <v>110.82</v>
    <v>111.06</v>
    <v>110.96</v>
    <v>110.935</v>
    <v>110.995</v>
    <v>111.235</v>
    <v>111.37</v>
    <v>111.355</v>
    <v>111.55</v>
    <v>111.27</v>
    <v>111.41500000000001</v>
    <v>110.985</v>
    <v>111.54</v>
    <v>110.965</v>
    <v>111.2</v>
    <v>111.32</v>
    <v>110.9</v>
    <v>110.99</v>
    <v>110.825</v>
    <v>110.985</v>
    <v>111.05500000000001</v>
    <v>110.86</v>
    <v>110.925</v>
    <v>111.58</v>
    <v>111.32</v>
    <v>111.25</v>
    <v>111.6</v>
    <v>110.69499999999999</v>
    <v>110.595</v>
    <v>109.875</v>
    <v>109.12</v>
    <v>107.94</v>
    <v>108.25</v>
    <v>108.485</v>
    <v>108.59</v>
    <v>108.4</v>
    <v>108.89</v>
    <v>108.5</v>
    <v>108.01</v>
    <v>108.51</v>
    <v>108.685</v>
    <v>108.7</v>
    <v>108.295</v>
    <v>108.55</v>
    <v>109.77</v>
    <v>-99999901</v>
    <v>109.7</v>
    <v>109.63</v>
    <v>109.6</v>
    <v>109.52500000000001</v>
    <v>109.54</v>
    <v>109.69499999999999</v>
    <v>110.13</v>
    <v>110.81</v>
    <v>110.815</v>
    <v>111.29</v>
    <v>111.125</v>
    <v>110.765</v>
    <v>110.69</v>
    <v>110.515</v>
    <v>-99999901</v>
    <v>110.55500000000001</v>
    <v>109.95</v>
    <v>109.92</v>
    <v>109.73</v>
    <v>109.735</v>
    <v>109.205</v>
    <v>108.755</v>
    <v>109.25</v>
    <v>108.355</v>
    <v>107.28</v>
    <v>107.515</v>
    <v>107.925</v>
    <v>107.44</v>
    <v>107.455</v>
    <v>107.4</v>
    <v>107.86</v>
    <v>107.8</v>
    <v>107.655</v>
    <v>107.9</v>
    <v>108.505</v>
    <v>108.58499999999999</v>
    <v>107.7</v>
    <v>107.77</v>
    <v>107.80500000000001</v>
    <v>107.61499999999999</v>
    <v>107.375</v>
    <v>108.1</v>
    <v>108.35</v>
    <v>108.435</v>
    <v>109</v>
    <v>109.11499999999999</v>
    <v>109.91</v>
    <v>110.3</v>
    <v>110.38500000000001</v>
    <v>110.295</v>
    <v>110.545</v>
    <v>110.655</v>
    <v>110.17</v>
    <v>109.65</v>
    <v>109.565</v>
    <v>109.375</v>
    <v>109.15</v>
    <v>109.08499999999999</v>
    <v>109.045</v>
    <v>108.87</v>
    <v>108.98</v>
    <v>109.52</v>
    <v>109.41</v>
    <v>109.94</v>
    <v>109.41500000000001</v>
    <v>109.63500000000001</v>
    <v>109.69</v>
    <v>109.99</v>
    <v>110.755</v>
    <v>110.985</v>
    <v>111.39</v>
    <v>112.23</v>
    <v>111.89</v>
    <v>112.16</v>
    <v>112.78</v>
    <v>112.77500000000001</v>
    <v>112.745</v>
    <v>111.86499999999999</v>
    <v>112.72</v>
    <v>-99999901</v>
    <v>112.49</v>
    <v>112.18</v>
    <v>111.99</v>
    <v>111.84</v>
    <v>111.75</v>
    <v>111.55500000000001</v>
    <v>112.035</v>
    <v>112.28</v>
    <v>112.465</v>
    <v>112.11499999999999</v>
    <v>111.8</v>
    <v>112.1</v>
    <v>112.425</v>
    <v>113.61499999999999</v>
    <v>113.985</v>
    <v>114.04</v>
    <v>114.495</v>
    <v>115.08499999999999</v>
    <v>114.88</v>
    <v>115.04</v>
    <v>115.265</v>
    <v>115.12</v>
    <v>115.48</v>
    <v>115.25</v>
    <v>115.45</v>
    <v>114.69499999999999</v>
    <v>114.495</v>
    <v>114.08499999999999</v>
    <v>113.94499999999999</v>
    <v>113.73</v>
    <v>113.175</v>
    <v>113.30500000000001</v>
    <v>113.08</v>
    <v>113.25</v>
    <v>113.26</v>
    <v>112.735</v>
    <v>112.36499999999999</v>
    <v>112.23</v>
    <v>112.38500000000001</v>
    <v>112.13</v>
    <v>111.675</v>
    <v>111.24</v>
    <v>111.55</v>
    <v>111.515</v>
    <v>111.08499999999999</v>
    <v>110.8</v>
    <v>110.77</v>
    <v>110.69</v>
    <v>110.4</v>
    <v>110.85</v>
    <v>110.97499999999999</v>
    <v>110.15</v>
    <v>111.265</v>
    <v>110.985</v>
    <v>110.08499999999999</v>
    <v>109.61499999999999</v>
    <v>109.3</v>
    <v>109.545</v>
    <v>109.6</v>
    <v>110.075</v>
    <v>110.145</v>
    <v>110.04</v>
    <v>109.71</v>
    <v>109.53</v>
    <v>109.79</v>
    <v>109.735</v>
    <v>109.71</v>
    <v>109.66</v>
    <v>109.91</v>
    <v>108.88</v>
    <v>109.33</v>
    <v>109.46</v>
    <v>110.05500000000001</v>
    <v>109.80500000000001</v>
    <v>109.705</v>
    <v>109.605</v>
    <v>109.98</v>
    <v>109.83499999999999</v>
    <v>109.65</v>
    <v>109.19499999999999</v>
    <v>108.77500000000001</v>
    <v>108.53</v>
    <v>107.97499999999999</v>
    <v>108.12</v>
    <v>108.39</v>
    <v>108.49</v>
    <v>-99999901</v>
    <v>108.32</v>
    <v>107.8</v>
    <v>107.685</v>
    <v>107.94</v>
    <v>107.845</v>
    <v>108.58</v>
    <v>108.28</v>
    <v>107.83</v>
    <v>108.125</v>
    <v>107.33</v>
    <v>106.815</v>
    <v>107.47</v>
    <v>108.08</v>
    <v>107.845</v>
    <v>108.11</v>
    <v>108.52</v>
    <v>108.485</v>
    <v>109.58</v>
    <v>109.535</v>
    <v>110.42</v>
    <v>109.79</v>
    <v>109.81</v>
    <v>110.035</v>
    <v>110.16500000000001</v>
    <v>110.02</v>
    <v>109.12</v>
    <v>110.495</v>
    <v>110.425</v>
    <v>110.39</v>
    <v>110.685</v>
    <v>110.16</v>
    <v>110.495</v>
    <v>110.35</v>
    <v>110.85</v>
    <v>111.27500000000001</v>
    <v>111.71</v>
    <v>111.98</v>
    <v>111.46</v>
    <v>111.57</v>
    <v>111.65</v>
    <v>111.6</v>
    <v>111.45</v>
    <v>111.425</v>
    <v>110.80500000000001</v>
    <v>110.49</v>
    <v>110.97499999999999</v>
    <v>110.97499999999999</v>
    <v>112.03</v>
    <v>112.2</v>
    <v>112.125</v>
    <v>111.795</v>
    <v>111.83499999999999</v>
    <v>111.895</v>
    <v>111.995</v>
    <v>112.44</v>
    <v>112.79</v>
    <v>112.80500000000001</v>
    <v>112.95</v>
    <v>112.68</v>
    <v>112.48</v>
    <v>112.455</v>
    <v>112.24</v>
    <v>112.15</v>
    <v>112.33</v>
    <v>112.17</v>
    <v>111.925</v>
    <v>112.485</v>
    <v>112.51</v>
    <v>113.47</v>
    <v>111.94</v>
    <v>110.795</v>
    <v>110.565</v>
    <v>109.64</v>
    <v>111.435</v>
    <v>111.32</v>
    <v>112.62</v>
    <v>112.51</v>
    <v>112.815</v>
    <v>113.13500000000001</v>
    <v>113.9</v>
    <v>114.4</v>
    <v>114.63</v>
    <v>114.72</v>
    <v>115.005</v>
    <v>115.37</v>
    <v>115.44</v>
    <v>115.345</v>
    <v>115.985</v>
    <v>-99999901</v>
    <v>115.81</v>
    <v>115.645</v>
    <v>116.02</v>
    <v>115.97</v>
    <v>115.435</v>
    <v>115.97</v>
    <v>116</v>
    <v>115.955</v>
    <v>115.38</v>
    <v>116.30500000000001</v>
    <v>116.51</v>
    <v>116.65</v>
    <v>116.32</v>
    <v>116.655</v>
    <v>-99999901</v>
    <v>117.03</v>
    <v>116.83499999999999</v>
    <v>117.375</v>
    <v>116.84</v>
    <v>117.23</v>
    <v>117.245</v>
    <v>117.66</v>
    <v>118.03</v>
    <v>117.96</v>
    <v>117.91</v>
    <v>118.145</v>
    <v>118.41</v>
    <v>118.72499999999999</v>
    <v>118.455</v>
    <v>118.66</v>
    <v>118.53</v>
    <v>118.355</v>
    <v>118.14</v>
    <v>118.13</v>
    <v>117.85</v>
    <v>118.9</v>
    <v>118.95</v>
    <v>119.59</v>
    <v>119.43</v>
    <v>119.78</v>
    <v>120.24</v>
    <v>120.39</v>
    <v>120.755</v>
    <v>120.80500000000001</v>
    <v>120.51</v>
    <v>120.035</v>
    <v>120.255</v>
    <v>119.87</v>
    <v>119.92</v>
    <v>119.51</v>
    <v>119.4</v>
    <v>119.63</v>
    <v>119.265</v>
    <v>119.73</v>
    <v>119.92</v>
    <v>120.28</v>
    <v>120.42</v>
    <v>120.58</v>
    <v>120.24</v>
    <v>119.5</v>
    <v>118.92</v>
    <v>118.66</v>
    <v>118.605</v>
    <v>119.375</v>
    <v>119.47</v>
    <v>119.81</v>
    <v>120.5</v>
    <v>120.94</v>
    <v>121.23</v>
    <v>120.73</v>
    <v>121</v>
    <v>121.56</v>
    <v>121.18</v>
    <v>121.545</v>
    <v>120.92</v>
    <v>120.94499999999999</v>
    <v>120.9</v>
    <v>120.435</v>
    <v>121.795</v>
    <v>-99999901</v>
    <v>121.155</v>
    <v>120.905</v>
    <v>121.33499999999999</v>
    <v>121.04</v>
    <v>121.37</v>
    <v>120.875</v>
    <v>121.14</v>
    <v>121.16</v>
    <v>122.045</v>
    <v>121.94</v>
    <v>121.97499999999999</v>
    <v>122.18</v>
    <v>122.69</v>
    <v>122.765</v>
    <v>123.095</v>
    <v>123.54</v>
    <v>123.73</v>
    <v>123.55</v>
    <v>123.265</v>
    <v>123.35</v>
    <v>123.37</v>
    <v>123.27</v>
    <v>122.455</v>
    <v>122.58</v>
    <v>122.94499999999999</v>
    <v>123.06</v>
    <v>123.37</v>
    <v>123.19</v>
    <v>123.04</v>
    <v>123.16</v>
    <v>123.25</v>
    <v>123.17</v>
    <v>122.91</v>
    <v>122.5</v>
    <v>122.91500000000001</v>
    <v>122.05</v>
    <v>122.935</v>
    <v>123.395</v>
    <v>123.255</v>
    <v>123.74</v>
    <v>123.61499999999999</v>
    <v>123.63500000000001</v>
    <v>123.63500000000001</v>
    <v>123.905</v>
    <v>124.05</v>
    <v>124.13</v>
    <v>124.235</v>
    <v>123.59</v>
    <v>123.465</v>
    <v>123.5</v>
    <v>123.46</v>
    <v>123.47499999999999</v>
    <v>123.47</v>
    <v>123.815</v>
    <v>124.07</v>
    <v>124.58499999999999</v>
    <v>124.785</v>
    <v>125.03</v>
    <v>124.87</v>
    <v>124.62</v>
    <v>124.36</v>
    <v>124.9</v>
    <v>124.57</v>
    <v>124.015</v>
    <v>124.11499999999999</v>
    <v>124.33499999999999</v>
    <v>124.88500000000001</v>
    <v>125</v>
    <v>125.04</v>
    <v>125.03</v>
    <v>125.08</v>
    <v>125.38</v>
    <v>125.4</v>
    <v>125.375</v>
    <v>125</v>
    <v>124.85</v>
    <v>124.51</v>
    <v>125.08499999999999</v>
    <v>125.035</v>
    <v>125.2</v>
    <v>124.96</v>
    <v>124.86</v>
    <v>124.84</v>
    <v>125.105</v>
    <v>125.44</v>
    <v>125.425</v>
    <v>125.69</v>
    <v>125.41</v>
    <v>125.505</v>
    <v>126.08</v>
    <v>125.99</v>
    <v>126.175</v>
    <v>126.545</v>
    <v>126.87</v>
    <v>126.52</v>
    <v>126.71</v>
    <v>126.86</v>
    <v>126.79</v>
    <v>126.83499999999999</v>
    <v>126.93</v>
    <v>126.80500000000001</v>
    <v>127.04</v>
    <v>127.095</v>
    <v>127.22</v>
    <v>127.91</v>
    <v>128.255</v>
    <v>128.70500000000001</v>
    <v>129.29</v>
    <v>129.345</v>
    <v>129.5</v>
    <v>128.77000000000001</v>
    <v>128.91999999999999</v>
    <v>129.70500000000001</v>
    <v>129.55000000000001</v>
    <v>129.24</v>
    <v>129.6</v>
    <v>130.22499999999999</v>
    <v>130</v>
    <v>130.19</v>
    <v>130.38499999999999</v>
    <v>130.45500000000001</v>
    <v>130.16</v>
    <v>130.21</v>
    <v>130.13999999999999</v>
    <v>129.82</v>
    <v>130.27000000000001</v>
    <v>130.52000000000001</v>
    <v>130.44</v>
    <v>131.08500000000001</v>
    <v>130.935</v>
    <v>131.11000000000001</v>
    <v>129.595</v>
    <v>127.48</v>
    <v>128.83500000000001</v>
    <v>127.78</v>
    <v>127.23</v>
    <v>125.97</v>
    <v>128.81</v>
    <v>127.84</v>
    <v>126.86</v>
    <v>125.94</v>
    <v>125.935</v>
    <v>126.52</v>
    <v>125.985</v>
    <v>125.41500000000001</v>
    <v>124.77500000000001</v>
    <v>125.37</v>
    <v>124.765</v>
    <v>125.285</v>
    <v>124.88500000000001</v>
    <v>124.07</v>
    <v>123.91500000000001</v>
    <v>124.595</v>
    <v>125.88500000000001</v>
    <v>125.83</v>
    <v>126.2</v>
    <v>128.435</v>
    <v>128.745</v>
    <v>129.53</v>
    <v>128.66999999999999</v>
    <v>129.72</v>
    <v>129.49</v>
    <v>129.66</v>
    <v>131.12</v>
    <v>130.21</v>
    <v>129.94</v>
    <v>129.83000000000001</v>
    <v>129.52500000000001</v>
    <v>128.38499999999999</v>
    <v>129.06</v>
    <v>128.21</v>
    <v>128.08000000000001</v>
    <v>127.9</v>
    <v>127.84</v>
    <v>-99999901</v>
    <v>127.87</v>
    <v>129.07</v>
    <v>129.49</v>
    <v>129.41999999999999</v>
    <v>128.96</v>
    <v>128.005</v>
    <v>128.30000000000001</v>
    <v>128.02000000000001</v>
    <v>126.995</v>
    <v>126.89</v>
    <v>126.325</v>
    <v>126.64</v>
    <v>126.935</v>
    <v>127.54</v>
    <v>-99999901</v>
    <v>127.85</v>
    <v>127.41</v>
    <v>127.72</v>
    <v>128.22499999999999</v>
    <v>128.16</v>
    <v>128.41</v>
    <v>127.995</v>
    <v>127.765</v>
    <v>126.77</v>
    <v>126.6</v>
    <v>126.76</v>
    <v>126.895</v>
    <v>127.075</v>
    <v>128.55000000000001</v>
    <v>129.69999999999999</v>
    <v>129.69</v>
    <v>130.01</v>
    <v>128.81</v>
    <v>128.99</v>
    <v>128.81</v>
    <v>128.19</v>
    <v>128.05500000000001</v>
    <v>128.745</v>
    <v>129.13999999999999</v>
    <v>129.41</v>
    <v>129.1</v>
    <v>128.76</v>
    <v>129.76</v>
    <v>129.25</v>
    <v>129.49</v>
    <v>129.69</v>
    <v>128.53</v>
    <v>129.27500000000001</v>
    <v>129.55500000000001</v>
    <v>129.13</v>
    <v>129.41999999999999</v>
    <v>129.43</v>
    <v>129.41499999999999</v>
    <v>129.29</v>
    <v>129.25</v>
    <v>129.24</v>
    <v>129.07499999999999</v>
    <v>128.34</v>
    <v>128.68</v>
    <v>128.83000000000001</v>
    <v>128.94</v>
    <v>128.66</v>
    <v>129.55500000000001</v>
    <v>129.69499999999999</v>
    <v>129.9</v>
    <v>130.47499999999999</v>
    <v>130.72499999999999</v>
    <v>130.70500000000001</v>
    <v>131.18</v>
    <v>130.97999999999999</v>
    <v>130.70500000000001</v>
    <v>130.69999999999999</v>
    <v>130.785</v>
    <v>130.44</v>
    <v>130.80000000000001</v>
    <v>130.66999999999999</v>
    <v>131.31</v>
    <v>131.16</v>
    <v>131.63499999999999</v>
    <v>131.935</v>
    <v>132.34</v>
    <v>132.21</v>
    <v>131.74</v>
    <v>131.16499999999999</v>
    <v>-99999901</v>
    <v>131.16999999999999</v>
    <v>131.86000000000001</v>
    <v>132.05000000000001</v>
    <v>132.24</v>
    <v>132.26</v>
    <v>132.255</v>
    <v>132.13499999999999</v>
    <v>131.73500000000001</v>
    <v>131.29</v>
    <v>130.1</v>
    <v>130.47999999999999</v>
    <v>130.63999999999999</v>
    <v>130.85</v>
    <v>130.29</v>
    <v>130.91999999999999</v>
    <v>131.16999999999999</v>
    <v>130.19999999999999</v>
    <v>129.47</v>
    <v>129.47999999999999</v>
    <v>129.02500000000001</v>
    <v>128.65</v>
    <v>128.97999999999999</v>
    <v>128.43</v>
    <v>128.71</v>
    <v>129.65</v>
    <v>130.69999999999999</v>
    <v>130.22</v>
    <v>130.24</v>
    <v>130.595</v>
    <v>131.005</v>
    <v>131.34</v>
    <v>130.47</v>
    <v>131.22999999999999</v>
    <v>130.82</v>
    <v>130.4</v>
    <v>131.13</v>
    <v>130.88999999999999</v>
    <v>130.75</v>
    <v>130.36500000000001</v>
  </a>
  <a r="1" c="535">
    <v t="i">325</v>
    <v t="i">326</v>
    <v t="i">329</v>
    <v t="i">330</v>
    <v t="i">331</v>
    <v t="i">332</v>
    <v t="i">333</v>
    <v t="i">336</v>
    <v t="i">337</v>
    <v t="i">338</v>
    <v t="i">339</v>
    <v t="i">340</v>
    <v t="i">343</v>
    <v t="i">344</v>
    <v t="i">345</v>
    <v t="i">346</v>
    <v t="i">347</v>
    <v t="i">350</v>
    <v t="i">351</v>
    <v t="i">352</v>
    <v t="i">353</v>
    <v t="i">354</v>
    <v t="i">357</v>
    <v t="i">358</v>
    <v t="i">359</v>
    <v t="i">360</v>
    <v t="i">361</v>
    <v t="i">364</v>
    <v t="i">365</v>
    <v t="i">366</v>
    <v t="i">367</v>
    <v t="i">368</v>
    <v t="i">371</v>
    <v t="i">372</v>
    <v t="i">373</v>
    <v t="i">374</v>
    <v t="i">375</v>
    <v t="i">378</v>
    <v t="i">379</v>
    <v t="i">380</v>
    <v t="i">381</v>
    <v t="i">382</v>
    <v t="i">385</v>
    <v t="i">386</v>
    <v t="i">387</v>
    <v t="i">388</v>
    <v t="i">389</v>
    <v t="i">392</v>
    <v t="i">393</v>
    <v t="i">394</v>
    <v t="i">395</v>
    <v t="i">396</v>
    <v t="i">399</v>
    <v t="i">400</v>
    <v t="i">401</v>
    <v t="i">402</v>
    <v t="i">403</v>
    <v t="i">406</v>
    <v t="i">407</v>
    <v t="i">408</v>
    <v t="i">409</v>
    <v t="i">410</v>
    <v t="i">413</v>
    <v t="i">414</v>
    <v t="i">415</v>
    <v t="i">416</v>
    <v t="i">417</v>
    <v t="i">420</v>
    <v t="i">421</v>
    <v t="i">422</v>
    <v t="i">423</v>
    <v t="i">424</v>
    <v t="i">427</v>
    <v t="i">431</v>
    <v t="i">434</v>
    <v t="i">437</v>
    <v t="i">438</v>
    <v t="i">441</v>
    <v t="i">442</v>
    <v t="i">443</v>
    <v t="i">444</v>
    <v t="i">445</v>
    <v t="i">448</v>
    <v t="i">449</v>
    <v t="i">450</v>
    <v t="i">451</v>
    <v t="i">452</v>
    <v t="i">455</v>
    <v t="i">456</v>
    <v t="i">457</v>
    <v t="i">458</v>
    <v t="i">459</v>
    <v t="i">462</v>
    <v t="i">463</v>
    <v t="i">464</v>
    <v t="i">465</v>
    <v t="i">466</v>
    <v t="i">469</v>
    <v t="i">470</v>
    <v t="i">471</v>
    <v t="i">472</v>
    <v t="i">473</v>
    <v t="i">476</v>
    <v t="i">477</v>
    <v t="i">478</v>
    <v t="i">479</v>
    <v t="i">480</v>
    <v t="i">483</v>
    <v t="i">484</v>
    <v t="i">485</v>
    <v t="i">486</v>
    <v t="i">487</v>
    <v t="i">490</v>
    <v t="i">491</v>
    <v t="i">492</v>
    <v t="i">493</v>
    <v t="i">494</v>
    <v t="i">497</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547</v>
    <v t="i">548</v>
    <v t="i">549</v>
    <v t="i">550</v>
    <v t="i">553</v>
    <v t="i">554</v>
    <v t="i">555</v>
    <v t="i">557</v>
    <v t="i">560</v>
    <v t="i">561</v>
    <v t="i">562</v>
    <v t="i">563</v>
    <v t="i">564</v>
    <v t="i">567</v>
    <v t="i">568</v>
    <v t="i">569</v>
    <v t="i">570</v>
    <v t="i">571</v>
    <v t="i">574</v>
    <v t="i">575</v>
    <v t="i">576</v>
    <v t="i">577</v>
    <v t="i">578</v>
    <v t="i">581</v>
    <v t="i">582</v>
    <v t="i">583</v>
    <v t="i">584</v>
    <v t="i">585</v>
    <v t="i">588</v>
    <v t="i">589</v>
    <v t="i">590</v>
    <v t="i">591</v>
    <v t="i">592</v>
    <v t="i">595</v>
    <v t="i">596</v>
    <v t="i">597</v>
    <v t="i">598</v>
    <v t="i">599</v>
    <v t="i">602</v>
    <v t="i">603</v>
    <v t="i">604</v>
    <v t="i">605</v>
    <v t="i">606</v>
    <v t="i">609</v>
    <v t="i">610</v>
    <v t="i">611</v>
    <v t="i">612</v>
    <v t="i">613</v>
    <v t="i">616</v>
    <v t="i">617</v>
    <v t="i">618</v>
    <v t="i">619</v>
    <v t="i">620</v>
    <v t="i">623</v>
    <v t="i">624</v>
    <v t="i">625</v>
    <v t="i">626</v>
    <v t="i">627</v>
    <v t="i">630</v>
    <v t="i">631</v>
    <v t="i">632</v>
    <v t="i">633</v>
    <v t="i">634</v>
    <v t="i">637</v>
    <v t="i">638</v>
    <v t="i">639</v>
    <v t="i">640</v>
    <v t="i">641</v>
    <v t="i">644</v>
    <v t="i">645</v>
    <v t="i">646</v>
    <v t="i">647</v>
    <v t="i">648</v>
    <v t="i">651</v>
    <v t="i">652</v>
    <v t="i">653</v>
    <v t="i">654</v>
    <v t="i">655</v>
    <v t="i">658</v>
    <v t="i">659</v>
    <v t="i">660</v>
    <v t="i">661</v>
    <v t="i">665</v>
    <v t="i">666</v>
    <v t="i">667</v>
    <v t="i">668</v>
    <v t="i">669</v>
    <v t="i">672</v>
    <v t="i">673</v>
    <v t="i">674</v>
    <v t="i">675</v>
    <v t="i">676</v>
    <v t="i">679</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750</v>
    <v t="i">751</v>
    <v t="i">752</v>
    <v t="i">753</v>
    <v t="i">756</v>
    <v t="i">757</v>
    <v t="i">758</v>
    <v t="i">759</v>
    <v t="i">760</v>
    <v t="i">763</v>
    <v t="i">764</v>
    <v t="i">765</v>
    <v t="i">766</v>
    <v t="i">767</v>
    <v t="i">770</v>
    <v t="i">771</v>
    <v t="i">772</v>
    <v t="i">773</v>
    <v t="i">774</v>
    <v t="i">777</v>
    <v t="i">778</v>
    <v t="i">779</v>
    <v t="i">780</v>
    <v t="i">781</v>
    <v t="i">784</v>
    <v t="i">785</v>
    <v t="i">786</v>
    <v t="i">787</v>
    <v t="i">788</v>
    <v t="i">791</v>
    <v t="i">792</v>
    <v t="i">798</v>
    <v t="i">799</v>
    <v t="i">802</v>
    <v t="i">805</v>
    <v t="i">806</v>
    <v t="i">807</v>
    <v t="i">808</v>
    <v t="i">809</v>
    <v t="i">812</v>
    <v t="i">813</v>
    <v t="i">814</v>
    <v t="i">815</v>
    <v t="i">816</v>
    <v t="i">819</v>
    <v t="i">820</v>
    <v t="i">821</v>
    <v t="i">822</v>
    <v t="i">823</v>
    <v t="i">826</v>
    <v t="i">827</v>
    <v t="i">828</v>
    <v t="i">829</v>
    <v t="i">830</v>
    <v t="i">833</v>
    <v t="i">834</v>
    <v t="i">835</v>
    <v t="i">836</v>
    <v t="i">837</v>
    <v t="i">840</v>
    <v t="i">841</v>
    <v t="i">842</v>
    <v t="i">843</v>
    <v t="i">844</v>
    <v t="i">847</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897</v>
    <v t="i">898</v>
    <v t="i">899</v>
    <v t="i">900</v>
    <v t="i">903</v>
    <v t="i">904</v>
    <v t="i">905</v>
    <v t="i">906</v>
    <v t="i">907</v>
    <v t="i">910</v>
    <v t="i">911</v>
    <v t="i">912</v>
    <v t="i">913</v>
    <v t="i">914</v>
    <v t="i">917</v>
    <v t="i">918</v>
    <v t="i">919</v>
    <v t="i">920</v>
    <v t="i">924</v>
    <v t="i">925</v>
    <v t="i">926</v>
    <v t="i">927</v>
    <v t="i">928</v>
    <v t="i">931</v>
    <v t="i">932</v>
    <v t="i">933</v>
    <v t="i">934</v>
    <v t="i">935</v>
    <v t="i">938</v>
    <v t="i">939</v>
    <v t="i">940</v>
    <v t="i">941</v>
    <v t="i">942</v>
    <v t="i">945</v>
    <v t="i">946</v>
    <v t="i">947</v>
    <v t="i">948</v>
    <v t="i">949</v>
    <v t="i">952</v>
    <v t="i">953</v>
    <v t="i">954</v>
    <v t="i">955</v>
    <v t="i">956</v>
    <v t="i">959</v>
    <v t="i">960</v>
    <v t="i">961</v>
    <v t="i">962</v>
    <v t="i">963</v>
    <v t="i">966</v>
    <v t="i">967</v>
    <v t="i">968</v>
    <v t="i">969</v>
    <v t="i">970</v>
    <v t="i">973</v>
    <v t="i">974</v>
    <v t="i">975</v>
    <v t="i">976</v>
    <v t="i">977</v>
    <v t="i">980</v>
    <v t="i">981</v>
    <v t="i">982</v>
    <v t="i">983</v>
    <v t="i">984</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1050</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535">
    <v>14.114000000000001</v>
    <v>14.176</v>
    <v>14.112</v>
    <v>14.26</v>
    <v>14.134</v>
    <v>14.407999999999999</v>
    <v>14.311999999999999</v>
    <v>14.48</v>
    <v>14.608000000000001</v>
    <v>14.666</v>
    <v>14.827999999999999</v>
    <v>14.972</v>
    <v>14.83</v>
    <v>14.802</v>
    <v>15.034000000000001</v>
    <v>15.04</v>
    <v>15.254</v>
    <v>15.295999999999999</v>
    <v>15.25</v>
    <v>15.362</v>
    <v>15.45</v>
    <v>15.518000000000001</v>
    <v>15.602</v>
    <v>15.46</v>
    <v>15.426</v>
    <v>15.523999999999999</v>
    <v>15.592000000000001</v>
    <v>15.504</v>
    <v>15.55</v>
    <v>15.488</v>
    <v>15.433999999999999</v>
    <v>15.586</v>
    <v>15.561999999999999</v>
    <v>15.651999999999999</v>
    <v>15.548</v>
    <v>15.138</v>
    <v>15.305999999999999</v>
    <v>15.262</v>
    <v>15.31</v>
    <v>15.853999999999999</v>
    <v>16.117999999999999</v>
    <v>16.16</v>
    <v>16.396000000000001</v>
    <v>16.356000000000002</v>
    <v>16.431999999999999</v>
    <v>16.356000000000002</v>
    <v>16.052</v>
    <v>16.084</v>
    <v>16.026</v>
    <v>16.186</v>
    <v>16.309999999999999</v>
    <v>16.55</v>
    <v>16.634</v>
    <v>16.655999999999999</v>
    <v>16.327999999999999</v>
    <v>16.43</v>
    <v>16.533999999999999</v>
    <v>16.765999999999998</v>
    <v>16.686</v>
    <v>16.917999999999999</v>
    <v>16.91</v>
    <v>17.117999999999999</v>
    <v>17.013999999999999</v>
    <v>17.12</v>
    <v>17.236000000000001</v>
    <v>17.260000000000002</v>
    <v>17.11</v>
    <v>17.276</v>
    <v>17.34</v>
    <v>17.346</v>
    <v>16.948</v>
    <v>16.975999999999999</v>
    <v>16.931999999999999</v>
    <v>16.905999999999999</v>
    <v>16.78</v>
    <v>16.911999999999999</v>
    <v>16.893999999999998</v>
    <v>17.161999999999999</v>
    <v>16.954000000000001</v>
    <v>16.87</v>
    <v>16.891999999999999</v>
    <v>16.702000000000002</v>
    <v>16.597999999999999</v>
    <v>16.576000000000001</v>
    <v>16.920000000000002</v>
    <v>17.010000000000002</v>
    <v>17.079999999999998</v>
    <v>17.122</v>
    <v>17.158000000000001</v>
    <v>17.510000000000002</v>
    <v>17.478000000000002</v>
    <v>17.478000000000002</v>
    <v>16.968</v>
    <v>17.222000000000001</v>
    <v>17.295999999999999</v>
    <v>17.393999999999998</v>
    <v>17.687999999999999</v>
    <v>17.41</v>
    <v>17.596</v>
    <v>17.532</v>
    <v>17.757999999999999</v>
    <v>17.792000000000002</v>
    <v>18.062000000000001</v>
    <v>17.975999999999999</v>
    <v>17.776</v>
    <v>17.968</v>
    <v>17.975999999999999</v>
    <v>18.190000000000001</v>
    <v>18.257999999999999</v>
    <v>18.306000000000001</v>
    <v>17.968</v>
    <v>17.925999999999998</v>
    <v>17.324000000000002</v>
    <v>16.893999999999998</v>
    <v>17.457999999999998</v>
    <v>17.18</v>
    <v>16.678000000000001</v>
    <v>16.756</v>
    <v>16</v>
    <v>16.096</v>
    <v>16.11</v>
    <v>15.62</v>
    <v>15.28</v>
    <v>15.082000000000001</v>
    <v>15.414</v>
    <v>15.166</v>
    <v>15.456</v>
    <v>15.683999999999999</v>
    <v>15.438000000000001</v>
    <v>15.651999999999999</v>
    <v>15.622</v>
    <v>15.651999999999999</v>
    <v>15.997999999999999</v>
    <v>16.082000000000001</v>
    <v>15.82</v>
    <v>15.71</v>
    <v>15.148</v>
    <v>14.78</v>
    <v>15.183999999999999</v>
    <v>15.196</v>
    <v>14.125999999999999</v>
    <v>13.492000000000001</v>
    <v>12.948</v>
    <v>13.538</v>
    <v>12.85</v>
    <v>13.666</v>
    <v>13.288</v>
    <v>13.752000000000001</v>
    <v>13.933999999999999</v>
    <v>13.552</v>
    <v>13.41</v>
    <v>13.238</v>
    <v>13.917999999999999</v>
    <v>14.15</v>
    <v>14.368</v>
    <v>14.352</v>
    <v>14.478</v>
    <v>14.426</v>
    <v>15.054</v>
    <v>15.124000000000001</v>
    <v>15.02</v>
    <v>14.868</v>
    <v>15.24</v>
    <v>15.252000000000001</v>
    <v>16.012</v>
    <v>16.297999999999998</v>
    <v>16.391999999999999</v>
    <v>16.498000000000001</v>
    <v>16.378</v>
    <v>16.186</v>
    <v>16.21</v>
    <v>16.152000000000001</v>
    <v>16.044</v>
    <v>15.757999999999999</v>
    <v>15.862</v>
    <v>16.058</v>
    <v>16.12</v>
    <v>15.981999999999999</v>
    <v>15.891999999999999</v>
    <v>15.81</v>
    <v>16.079999999999998</v>
    <v>16.190000000000001</v>
    <v>16.335999999999999</v>
    <v>16.286000000000001</v>
    <v>16.436</v>
    <v>16.423999999999999</v>
    <v>16.532</v>
    <v>16.32</v>
    <v>16.212</v>
    <v>16.417999999999999</v>
    <v>16.47</v>
    <v>16.396000000000001</v>
    <v>16.196000000000002</v>
    <v>16.187999999999999</v>
    <v>16.202000000000002</v>
    <v>16.763999999999999</v>
    <v>16.608000000000001</v>
    <v>16.628</v>
    <v>16.686</v>
    <v>16.670000000000002</v>
    <v>16.510000000000002</v>
    <v>16.649999999999999</v>
    <v>16.815999999999999</v>
    <v>16.734000000000002</v>
    <v>16.716000000000001</v>
    <v>16.742000000000001</v>
    <v>16.713999999999999</v>
    <v>16.771999999999998</v>
    <v>16.646000000000001</v>
    <v>16.667999999999999</v>
    <v>16.931999999999999</v>
    <v>16.744</v>
    <v>17.111999999999998</v>
    <v>17.077999999999999</v>
    <v>17.149999999999999</v>
    <v>16.911999999999999</v>
    <v>17.058</v>
    <v>17.044</v>
    <v>17.079999999999998</v>
    <v>17.324000000000002</v>
    <v>17.55</v>
    <v>17.565999999999999</v>
    <v>17.64</v>
    <v>16.96</v>
    <v>17.146000000000001</v>
    <v>17.152000000000001</v>
    <v>17.102</v>
    <v>17.295999999999999</v>
    <v>17.242000000000001</v>
    <v>17.39</v>
    <v>17.327999999999999</v>
    <v>17.43</v>
    <v>17.399999999999999</v>
    <v>17.391999999999999</v>
    <v>17.238</v>
    <v>16.878</v>
    <v>16.988</v>
    <v>17.198</v>
    <v>17.231999999999999</v>
    <v>17.3</v>
    <v>17.356000000000002</v>
    <v>17.431999999999999</v>
    <v>17.312000000000001</v>
    <v>17.309999999999999</v>
    <v>17.084</v>
    <v>17.283999999999999</v>
    <v>17.32</v>
    <v>17.25</v>
    <v>17.577999999999999</v>
    <v>17.696000000000002</v>
    <v>18.065999999999999</v>
    <v>18.056000000000001</v>
    <v>18.085999999999999</v>
    <v>18.256</v>
    <v>18.212</v>
    <v>18.123999999999999</v>
    <v>18.635999999999999</v>
    <v>18.673999999999999</v>
    <v>18.861999999999998</v>
    <v>18.902000000000001</v>
    <v>18.864000000000001</v>
    <v>18.782</v>
    <v>18.664000000000001</v>
    <v>18.867999999999999</v>
    <v>18.809999999999999</v>
    <v>18.902000000000001</v>
    <v>19.251999999999999</v>
    <v>19.346</v>
    <v>19.582000000000001</v>
    <v>19.498000000000001</v>
    <v>19.757999999999999</v>
    <v>19.841999999999999</v>
    <v>19.2</v>
    <v>19.452000000000002</v>
    <v>19.256</v>
    <v>19.600000000000001</v>
    <v>19.564</v>
    <v>19.228000000000002</v>
    <v>19.751999999999999</v>
    <v>19.744</v>
    <v>19.398</v>
    <v>19.64</v>
    <v>20.059999999999999</v>
    <v>20.395</v>
    <v>20.445</v>
    <v>20.59</v>
    <v>20.614999999999998</v>
    <v>20.58</v>
    <v>20.76</v>
    <v>20.445</v>
    <v>20.295000000000002</v>
    <v>19.866</v>
    <v>19.274000000000001</v>
    <v>20.05</v>
    <v>19.908000000000001</v>
    <v>19.954000000000001</v>
    <v>19.495999999999999</v>
    <v>19.55</v>
    <v>19.350000000000001</v>
    <v>18.952000000000002</v>
    <v>18.989999999999998</v>
    <v>19.04</v>
    <v>18.37</v>
    <v>19.047999999999998</v>
    <v>18.923999999999999</v>
    <v>19.292000000000002</v>
    <v>19.225999999999999</v>
    <v>19.37</v>
    <v>19.306000000000001</v>
    <v>19.422000000000001</v>
    <v>19.428000000000001</v>
    <v>19.527999999999999</v>
    <v>19.79</v>
    <v>19.856000000000002</v>
    <v>19.902000000000001</v>
    <v>19.91</v>
    <v>19.521999999999998</v>
    <v>19.292000000000002</v>
    <v>19.234000000000002</v>
    <v>18.904</v>
    <v>18.923999999999999</v>
    <v>19.143999999999998</v>
    <v>19.373999999999999</v>
    <v>19.544</v>
    <v>19.498000000000001</v>
    <v>19.602</v>
    <v>19.762</v>
    <v>19.673999999999999</v>
    <v>20.07</v>
    <v>20.100000000000001</v>
    <v>20.285</v>
    <v>20.105</v>
    <v>20.295000000000002</v>
    <v>20.395</v>
    <v>20.399999999999999</v>
    <v>20.175000000000001</v>
    <v>20.475000000000001</v>
    <v>20.285</v>
    <v>19.962</v>
    <v>19.777999999999999</v>
    <v>19.986000000000001</v>
    <v>20.100000000000001</v>
    <v>20.079999999999998</v>
    <v>19.896000000000001</v>
    <v>19.948</v>
    <v>20.190000000000001</v>
    <v>19.768000000000001</v>
    <v>19.925999999999998</v>
    <v>20.04</v>
    <v>19.57</v>
    <v>18.992000000000001</v>
    <v>18.7</v>
    <v>18.893999999999998</v>
    <v>19.248000000000001</v>
    <v>19.3</v>
    <v>19.02</v>
    <v>18.574000000000002</v>
    <v>18.66</v>
    <v>18.626000000000001</v>
    <v>18.584</v>
    <v>18.917999999999999</v>
    <v>18.873999999999999</v>
    <v>19.006</v>
    <v>18.57</v>
    <v>18.867999999999999</v>
    <v>19.170000000000002</v>
    <v>19.198</v>
    <v>19.053999999999998</v>
    <v>19.085999999999999</v>
    <v>18.815999999999999</v>
    <v>19.262</v>
    <v>19.2</v>
    <v>19.172000000000001</v>
    <v>19.021999999999998</v>
    <v>19.376000000000001</v>
    <v>19.308</v>
    <v>19.122</v>
    <v>19.05</v>
    <v>19.292000000000002</v>
    <v>19.341999999999999</v>
    <v>19.276</v>
    <v>18.896000000000001</v>
    <v>18.63</v>
    <v>18.654</v>
    <v>18.527999999999999</v>
    <v>18.666</v>
    <v>18.260000000000002</v>
    <v>17.847999999999999</v>
    <v>17.774000000000001</v>
    <v>17.754000000000001</v>
    <v>18.474</v>
    <v>18.364000000000001</v>
    <v>18.346</v>
    <v>19.128</v>
    <v>18.841999999999999</v>
    <v>19.026</v>
    <v>19.193999999999999</v>
    <v>19.638000000000002</v>
    <v>20.04</v>
    <v>20.41</v>
    <v>20.704999999999998</v>
    <v>20.51</v>
    <v>20.745000000000001</v>
    <v>20.995000000000001</v>
    <v>20.835000000000001</v>
    <v>21.05</v>
    <v>21.19</v>
    <v>20.86</v>
    <v>21.14</v>
    <v>21.28</v>
    <v>22</v>
    <v>22.46</v>
    <v>22.92</v>
    <v>23.2</v>
    <v>23.504999999999999</v>
    <v>24</v>
    <v>23.155000000000001</v>
    <v>23.77</v>
    <v>24.215</v>
    <v>23.684999999999999</v>
    <v>23.38</v>
    <v>23.25</v>
    <v>23.765000000000001</v>
    <v>24</v>
    <v>24.535</v>
    <v>24.79</v>
    <v>25.105</v>
    <v>25.055</v>
    <v>25.524999999999999</v>
    <v>25.93</v>
    <v>26.72</v>
    <v>26.98</v>
    <v>26.805</v>
    <v>26.324999999999999</v>
    <v>25.16</v>
    <v>25.285</v>
    <v>24.324999999999999</v>
    <v>24.195</v>
    <v>24.135000000000002</v>
    <v>25.04</v>
    <v>25.774999999999999</v>
    <v>25.33</v>
    <v>25.475000000000001</v>
    <v>26.07</v>
    <v>26.125</v>
    <v>26.31</v>
    <v>25.23</v>
    <v>25.37</v>
    <v>25.265000000000001</v>
    <v>25.16</v>
    <v>24.91</v>
    <v>25.69</v>
    <v>25.535</v>
    <v>24.51</v>
    <v>25.024999999999999</v>
    <v>25.33</v>
    <v>24.33</v>
    <v>24.16</v>
    <v>25.145</v>
    <v>25.01</v>
    <v>24.59</v>
    <v>24.475000000000001</v>
    <v>24.03</v>
    <v>23.57</v>
    <v>22.95</v>
    <v>23.53</v>
    <v>24.015000000000001</v>
    <v>23.99</v>
    <v>23.33</v>
    <v>23.22</v>
    <v>22.885000000000002</v>
    <v>22.695</v>
    <v>22.315000000000001</v>
    <v>22.68</v>
    <v>22.925000000000001</v>
    <v>23.3</v>
    <v>24.385000000000002</v>
    <v>24.45</v>
    <v>24.31</v>
    <v>24.585000000000001</v>
    <v>24.785</v>
    <v>24.77</v>
    <v>24.835000000000001</v>
    <v>25.114999999999998</v>
    <v>24.995000000000001</v>
    <v>25.1</v>
    <v>24.405000000000001</v>
    <v>24.395</v>
    <v>24.28</v>
    <v>24.48</v>
    <v>24.14</v>
    <v>24.324999999999999</v>
    <v>24.355</v>
    <v>24.85</v>
    <v>25.21</v>
    <v>24.895</v>
    <v>24.655000000000001</v>
    <v>24.48</v>
    <v>24.864999999999998</v>
    <v>24.88</v>
    <v>24.91</v>
    <v>25</v>
    <v>24.824999999999999</v>
    <v>24.664999999999999</v>
    <v>24.885000000000002</v>
    <v>24.725000000000001</v>
    <v>24.684999999999999</v>
    <v>24.87</v>
    <v>25.23</v>
    <v>25.08</v>
    <v>25.914999999999999</v>
    <v>26.175000000000001</v>
    <v>26.21</v>
    <v>25.92</v>
    <v>26.105</v>
    <v>25.605</v>
    <v>25.805</v>
    <v>25.98</v>
    <v>26.145</v>
    <v>26.5</v>
    <v>26.81</v>
    <v>26.934999999999999</v>
    <v>26.74</v>
    <v>26.57</v>
    <v>26.73</v>
    <v>26.6</v>
    <v>26.425000000000001</v>
    <v>26.19</v>
    <v>25.574999999999999</v>
    <v>25.11</v>
    <v>25.504999999999999</v>
    <v>25.375</v>
    <v>25.655000000000001</v>
    <v>25.13</v>
    <v>25.17</v>
  </a>
  <a r="1" c="254">
    <v>19.64</v>
    <v>20.059999999999999</v>
    <v>20.395</v>
    <v>20.445</v>
    <v>20.59</v>
    <v>20.614999999999998</v>
    <v>20.58</v>
    <v>20.76</v>
    <v>20.445</v>
    <v>20.295000000000002</v>
    <v>19.866</v>
    <v>19.274000000000001</v>
    <v>20.05</v>
    <v>19.908000000000001</v>
    <v>19.954000000000001</v>
    <v>19.495999999999999</v>
    <v>19.55</v>
    <v>19.350000000000001</v>
    <v>18.952000000000002</v>
    <v>18.989999999999998</v>
    <v>19.04</v>
    <v>18.37</v>
    <v>19.047999999999998</v>
    <v>18.923999999999999</v>
    <v>19.292000000000002</v>
    <v>19.225999999999999</v>
    <v>19.37</v>
    <v>19.306000000000001</v>
    <v>19.422000000000001</v>
    <v>19.428000000000001</v>
    <v>19.527999999999999</v>
    <v>19.79</v>
    <v>19.856000000000002</v>
    <v>19.902000000000001</v>
    <v>19.91</v>
    <v>19.521999999999998</v>
    <v>19.292000000000002</v>
    <v>19.234000000000002</v>
    <v>18.904</v>
    <v>18.923999999999999</v>
    <v>19.143999999999998</v>
    <v>19.373999999999999</v>
    <v>19.544</v>
    <v>19.498000000000001</v>
    <v>19.602</v>
    <v>19.762</v>
    <v>19.673999999999999</v>
    <v>20.07</v>
    <v>20.100000000000001</v>
    <v>20.285</v>
    <v>20.105</v>
    <v>20.295000000000002</v>
    <v>20.395</v>
    <v>20.399999999999999</v>
    <v>20.175000000000001</v>
    <v>20.475000000000001</v>
    <v>20.285</v>
    <v>19.962</v>
    <v>19.777999999999999</v>
    <v>19.986000000000001</v>
    <v>20.100000000000001</v>
    <v>20.079999999999998</v>
    <v>19.896000000000001</v>
    <v>19.948</v>
    <v>20.190000000000001</v>
    <v>19.768000000000001</v>
    <v>19.925999999999998</v>
    <v>20.04</v>
    <v>19.57</v>
    <v>18.992000000000001</v>
    <v>18.7</v>
    <v>18.893999999999998</v>
    <v>19.248000000000001</v>
    <v>19.3</v>
    <v>19.02</v>
    <v>18.574000000000002</v>
    <v>18.66</v>
    <v>18.626000000000001</v>
    <v>18.584</v>
    <v>18.917999999999999</v>
    <v>18.873999999999999</v>
    <v>19.006</v>
    <v>18.57</v>
    <v>18.867999999999999</v>
    <v>19.170000000000002</v>
    <v>19.198</v>
    <v>19.053999999999998</v>
    <v>19.085999999999999</v>
    <v>18.815999999999999</v>
    <v>19.262</v>
    <v>19.2</v>
    <v>19.172000000000001</v>
    <v>19.021999999999998</v>
    <v>19.376000000000001</v>
    <v>19.308</v>
    <v>19.122</v>
    <v>19.05</v>
    <v>19.292000000000002</v>
    <v>19.341999999999999</v>
    <v>19.276</v>
    <v>18.896000000000001</v>
    <v>18.63</v>
    <v>18.654</v>
    <v>18.527999999999999</v>
    <v>18.666</v>
    <v>18.260000000000002</v>
    <v>17.847999999999999</v>
    <v>17.774000000000001</v>
    <v>17.754000000000001</v>
    <v>18.474</v>
    <v>18.364000000000001</v>
    <v>18.346</v>
    <v>19.128</v>
    <v>18.841999999999999</v>
    <v>19.026</v>
    <v>19.193999999999999</v>
    <v>19.638000000000002</v>
    <v>20.04</v>
    <v>20.41</v>
    <v>20.704999999999998</v>
    <v>20.51</v>
    <v>20.745000000000001</v>
    <v>20.995000000000001</v>
    <v>20.835000000000001</v>
    <v>21.05</v>
    <v>21.19</v>
    <v>20.86</v>
    <v>21.14</v>
    <v>21.28</v>
    <v>22</v>
    <v>22.46</v>
    <v>22.92</v>
    <v>23.2</v>
    <v>23.504999999999999</v>
    <v>24</v>
    <v>23.155000000000001</v>
    <v>23.77</v>
    <v>24.215</v>
    <v>23.684999999999999</v>
    <v>23.38</v>
    <v>23.25</v>
    <v>23.765000000000001</v>
    <v>24</v>
    <v>24.535</v>
    <v>24.79</v>
    <v>25.105</v>
    <v>25.055</v>
    <v>25.524999999999999</v>
    <v>25.93</v>
    <v>26.72</v>
    <v>26.98</v>
    <v>26.805</v>
    <v>26.324999999999999</v>
    <v>25.16</v>
    <v>25.285</v>
    <v>24.324999999999999</v>
    <v>24.195</v>
    <v>24.135000000000002</v>
    <v>25.04</v>
    <v>25.774999999999999</v>
    <v>25.33</v>
    <v>25.475000000000001</v>
    <v>26.07</v>
    <v>26.125</v>
    <v>26.31</v>
    <v>25.23</v>
    <v>25.37</v>
    <v>25.265000000000001</v>
    <v>25.16</v>
    <v>24.91</v>
    <v>25.69</v>
    <v>25.535</v>
    <v>24.51</v>
    <v>25.024999999999999</v>
    <v>25.33</v>
    <v>24.33</v>
    <v>24.16</v>
    <v>25.145</v>
    <v>25.01</v>
    <v>24.59</v>
    <v>24.475000000000001</v>
    <v>24.03</v>
    <v>23.57</v>
    <v>22.95</v>
    <v>23.53</v>
    <v>24.015000000000001</v>
    <v>23.99</v>
    <v>23.33</v>
    <v>23.22</v>
    <v>22.885000000000002</v>
    <v>22.695</v>
    <v>22.315000000000001</v>
    <v>22.68</v>
    <v>22.925000000000001</v>
    <v>23.3</v>
    <v>24.385000000000002</v>
    <v>24.45</v>
    <v>24.31</v>
    <v>24.585000000000001</v>
    <v>24.785</v>
    <v>24.77</v>
    <v>24.835000000000001</v>
    <v>25.114999999999998</v>
    <v>24.995000000000001</v>
    <v>25.1</v>
    <v>24.405000000000001</v>
    <v>24.395</v>
    <v>24.28</v>
    <v>24.48</v>
    <v>24.14</v>
    <v>24.324999999999999</v>
    <v>24.355</v>
    <v>24.85</v>
    <v>25.21</v>
    <v>24.895</v>
    <v>24.655000000000001</v>
    <v>24.48</v>
    <v>24.864999999999998</v>
    <v>24.88</v>
    <v>24.91</v>
    <v>25</v>
    <v>24.824999999999999</v>
    <v>24.664999999999999</v>
    <v>24.885000000000002</v>
    <v>24.725000000000001</v>
    <v>24.684999999999999</v>
    <v>24.87</v>
    <v>25.23</v>
    <v>25.08</v>
    <v>25.914999999999999</v>
    <v>26.175000000000001</v>
    <v>26.21</v>
    <v>25.92</v>
    <v>26.105</v>
    <v>25.605</v>
    <v>25.805</v>
    <v>25.98</v>
    <v>26.145</v>
    <v>26.5</v>
    <v>26.81</v>
    <v>26.934999999999999</v>
    <v>26.74</v>
    <v>26.57</v>
    <v>26.73</v>
    <v>26.6</v>
    <v>26.425000000000001</v>
    <v>26.19</v>
    <v>25.574999999999999</v>
    <v>25.11</v>
    <v>25.504999999999999</v>
    <v>25.375</v>
    <v>25.655000000000001</v>
    <v>25.13</v>
    <v>25.17</v>
  </a>
  <a r="1" c="208">
    <v>19.673999999999999</v>
    <v>20.07</v>
    <v>20.100000000000001</v>
    <v>20.285</v>
    <v>20.105</v>
    <v>20.295000000000002</v>
    <v>20.395</v>
    <v>20.399999999999999</v>
    <v>20.175000000000001</v>
    <v>20.475000000000001</v>
    <v>20.285</v>
    <v>19.962</v>
    <v>19.777999999999999</v>
    <v>19.986000000000001</v>
    <v>20.100000000000001</v>
    <v>20.079999999999998</v>
    <v>19.896000000000001</v>
    <v>19.948</v>
    <v>20.190000000000001</v>
    <v>19.768000000000001</v>
    <v>19.925999999999998</v>
    <v>20.04</v>
    <v>19.57</v>
    <v>18.992000000000001</v>
    <v>18.7</v>
    <v>18.893999999999998</v>
    <v>19.248000000000001</v>
    <v>19.3</v>
    <v>19.02</v>
    <v>18.574000000000002</v>
    <v>18.66</v>
    <v>18.626000000000001</v>
    <v>18.584</v>
    <v>18.917999999999999</v>
    <v>18.873999999999999</v>
    <v>19.006</v>
    <v>18.57</v>
    <v>18.867999999999999</v>
    <v>19.170000000000002</v>
    <v>19.198</v>
    <v>19.053999999999998</v>
    <v>19.085999999999999</v>
    <v>18.815999999999999</v>
    <v>19.262</v>
    <v>19.2</v>
    <v>19.172000000000001</v>
    <v>19.021999999999998</v>
    <v>19.376000000000001</v>
    <v>19.308</v>
    <v>19.122</v>
    <v>19.05</v>
    <v>19.292000000000002</v>
    <v>19.341999999999999</v>
    <v>19.276</v>
    <v>18.896000000000001</v>
    <v>18.63</v>
    <v>18.654</v>
    <v>18.527999999999999</v>
    <v>18.666</v>
    <v>18.260000000000002</v>
    <v>17.847999999999999</v>
    <v>17.774000000000001</v>
    <v>17.754000000000001</v>
    <v>18.474</v>
    <v>18.364000000000001</v>
    <v>18.346</v>
    <v>19.128</v>
    <v>18.841999999999999</v>
    <v>19.026</v>
    <v>19.193999999999999</v>
    <v>19.638000000000002</v>
    <v>20.04</v>
    <v>20.41</v>
    <v>20.704999999999998</v>
    <v>20.51</v>
    <v>20.745000000000001</v>
    <v>20.995000000000001</v>
    <v>20.835000000000001</v>
    <v>21.05</v>
    <v>21.19</v>
    <v>20.86</v>
    <v>21.14</v>
    <v>21.28</v>
    <v>22</v>
    <v>22.46</v>
    <v>22.92</v>
    <v>23.2</v>
    <v>23.504999999999999</v>
    <v>24</v>
    <v>23.155000000000001</v>
    <v>23.77</v>
    <v>24.215</v>
    <v>23.684999999999999</v>
    <v>23.38</v>
    <v>23.25</v>
    <v>23.765000000000001</v>
    <v>24</v>
    <v>24.535</v>
    <v>24.79</v>
    <v>25.105</v>
    <v>25.055</v>
    <v>25.524999999999999</v>
    <v>25.93</v>
    <v>26.72</v>
    <v>26.98</v>
    <v>26.805</v>
    <v>26.324999999999999</v>
    <v>25.16</v>
    <v>25.285</v>
    <v>24.324999999999999</v>
    <v>24.195</v>
    <v>24.135000000000002</v>
    <v>25.04</v>
    <v>25.774999999999999</v>
    <v>25.33</v>
    <v>25.475000000000001</v>
    <v>26.07</v>
    <v>26.125</v>
    <v>26.31</v>
    <v>25.23</v>
    <v>25.37</v>
    <v>25.265000000000001</v>
    <v>25.16</v>
    <v>24.91</v>
    <v>25.69</v>
    <v>25.535</v>
    <v>24.51</v>
    <v>25.024999999999999</v>
    <v>25.33</v>
    <v>24.33</v>
    <v>24.16</v>
    <v>25.145</v>
    <v>25.01</v>
    <v>24.59</v>
    <v>24.475000000000001</v>
    <v>24.03</v>
    <v>23.57</v>
    <v>22.95</v>
    <v>23.53</v>
    <v>24.015000000000001</v>
    <v>23.99</v>
    <v>23.33</v>
    <v>23.22</v>
    <v>22.885000000000002</v>
    <v>22.695</v>
    <v>22.315000000000001</v>
    <v>22.68</v>
    <v>22.925000000000001</v>
    <v>23.3</v>
    <v>24.385000000000002</v>
    <v>24.45</v>
    <v>24.31</v>
    <v>24.585000000000001</v>
    <v>24.785</v>
    <v>24.77</v>
    <v>24.835000000000001</v>
    <v>25.114999999999998</v>
    <v>24.995000000000001</v>
    <v>25.1</v>
    <v>24.405000000000001</v>
    <v>24.395</v>
    <v>24.28</v>
    <v>24.48</v>
    <v>24.14</v>
    <v>24.324999999999999</v>
    <v>24.355</v>
    <v>24.85</v>
    <v>25.21</v>
    <v>24.895</v>
    <v>24.655000000000001</v>
    <v>24.48</v>
    <v>24.864999999999998</v>
    <v>24.88</v>
    <v>24.91</v>
    <v>25</v>
    <v>24.824999999999999</v>
    <v>24.664999999999999</v>
    <v>24.885000000000002</v>
    <v>24.725000000000001</v>
    <v>24.684999999999999</v>
    <v>24.87</v>
    <v>25.23</v>
    <v>25.08</v>
    <v>25.914999999999999</v>
    <v>26.175000000000001</v>
    <v>26.21</v>
    <v>25.92</v>
    <v>26.105</v>
    <v>25.605</v>
    <v>25.805</v>
    <v>25.98</v>
    <v>26.145</v>
    <v>26.5</v>
    <v>26.81</v>
    <v>26.934999999999999</v>
    <v>26.74</v>
    <v>26.57</v>
    <v>26.73</v>
    <v>26.6</v>
    <v>26.425000000000001</v>
    <v>26.19</v>
    <v>25.574999999999999</v>
    <v>25.11</v>
    <v>25.504999999999999</v>
    <v>25.375</v>
    <v>25.655000000000001</v>
    <v>25.13</v>
    <v>25.17</v>
  </a>
  <a r="1" c="254">
    <v>5.2110000000000003</v>
    <v>5.2069999999999999</v>
    <v>5.2089999999999996</v>
    <v>5.2089999999999996</v>
    <v>5.2119999999999997</v>
    <v>5.2069999999999999</v>
    <v>5.2080000000000002</v>
    <v>5.1980000000000004</v>
    <v>5.2009999999999996</v>
    <v>5.1959999999999997</v>
    <v>5.1970000000000001</v>
    <v>5.1920000000000002</v>
    <v>5.1950000000000003</v>
    <v>5.1929999999999996</v>
    <v>5.2</v>
    <v>5.19</v>
    <v>5.19</v>
    <v>5.1879999999999997</v>
    <v>5.1879999999999997</v>
    <v>5.19</v>
    <v>5.1909999999999998</v>
    <v>5.194</v>
    <v>5.1950000000000003</v>
    <v>5.2</v>
    <v>5.1959999999999997</v>
    <v>5.202</v>
    <v>5.2009999999999996</v>
    <v>5.1950000000000003</v>
    <v>5.1980000000000004</v>
    <v>5.2</v>
    <v>5.1970000000000001</v>
    <v>5.1929999999999996</v>
    <v>5.1740000000000004</v>
    <v>5.1760000000000002</v>
    <v>5.1719999999999997</v>
    <v>5.1390000000000002</v>
    <v>5.1360000000000001</v>
    <v>5.1429999999999998</v>
    <v>5.1420000000000003</v>
    <v>5.14</v>
    <v>5.1459999999999999</v>
    <v>5.1390000000000002</v>
    <v>5.1379999999999999</v>
    <v>5.15</v>
    <v>5.157</v>
    <v>5.1550000000000002</v>
    <v>5.1470000000000002</v>
    <v>5.1520000000000001</v>
    <v>5.1589999999999998</v>
    <v>5.1619999999999999</v>
    <v>5.1639999999999997</v>
    <v>5.1660000000000004</v>
    <v>5.17</v>
    <v>5.1689999999999996</v>
    <v>5.173</v>
    <v>5.1779999999999999</v>
    <v>5.1710000000000003</v>
    <v>5.1710000000000003</v>
    <v>5.1710000000000003</v>
    <v>5.1689999999999996</v>
    <v>5.1710000000000003</v>
    <v>5.17</v>
    <v>5.1760000000000002</v>
    <v>5.18</v>
    <v>5.1849999999999996</v>
    <v>5.1879999999999997</v>
    <v>5.1909999999999998</v>
    <v>5.1870000000000003</v>
    <v>5.1849999999999996</v>
    <v>5.1890000000000001</v>
    <v>5.1890000000000001</v>
    <v>5.1959999999999997</v>
    <v>5.1950000000000003</v>
    <v>5.1989999999999998</v>
    <v>5.1959999999999997</v>
    <v>5.2009999999999996</v>
    <v>5.2009999999999996</v>
    <v>5.202</v>
    <v>5.202</v>
    <v>5.202</v>
    <v>5.2</v>
    <v>5.2039999999999997</v>
    <v>5.21</v>
    <v>5.2069999999999999</v>
    <v>5.2069999999999999</v>
    <v>5.2089999999999996</v>
    <v>5.2110000000000003</v>
    <v>5.2039999999999997</v>
    <v>5.173</v>
    <v>5.1909999999999998</v>
    <v>5.1689999999999996</v>
    <v>5.1529999999999996</v>
    <v>5.1479999999999997</v>
    <v>5.1669999999999998</v>
    <v>5.1369999999999996</v>
    <v>5.13</v>
    <v>5.1230000000000002</v>
    <v>5.1280000000000001</v>
    <v>5.1369999999999996</v>
    <v>5.1280000000000001</v>
    <v>5.069</v>
    <v>5.05</v>
    <v>5.0519999999999996</v>
    <v>5.0519999999999996</v>
    <v>5.0679999999999996</v>
    <v>5.0469999999999997</v>
    <v>5.0350000000000001</v>
    <v>5.0439999999999996</v>
    <v>5.0529999999999999</v>
    <v>5.0739999999999998</v>
    <v>5.077</v>
    <v>5.0529999999999999</v>
    <v>5.109</v>
    <v>5.0970000000000004</v>
    <v>5.0949999999999998</v>
    <v>5.0869999999999997</v>
    <v>5.1079999999999997</v>
    <v>5.1059999999999999</v>
    <v>5.1109999999999998</v>
    <v>5.1340000000000003</v>
    <v>5.1260000000000003</v>
    <v>5.1139999999999999</v>
    <v>5.1120000000000001</v>
    <v>5.1079999999999997</v>
    <v>5.1059999999999999</v>
    <v>5.1029999999999998</v>
    <v>5.0940000000000003</v>
    <v>5.0860000000000003</v>
    <v>5.1040000000000001</v>
    <v>5.0910000000000002</v>
    <v>5.0970000000000004</v>
    <v>5.117</v>
    <v>5.1150000000000002</v>
    <v>5.1130000000000004</v>
    <v>5.1120000000000001</v>
    <v>5.0949999999999998</v>
    <v>5.0979999999999999</v>
    <v>5.109</v>
    <v>5.0910000000000002</v>
    <v>5.0960000000000001</v>
    <v>5.0869999999999997</v>
    <v>5.1059999999999999</v>
    <v>5.1040000000000001</v>
    <v>5.1150000000000002</v>
    <v>5.1369999999999996</v>
    <v>5.1269999999999998</v>
    <v>5.1280000000000001</v>
    <v>5.1369999999999996</v>
    <v>5.1440000000000001</v>
    <v>5.125</v>
    <v>5.1360000000000001</v>
    <v>5.1219999999999999</v>
    <v>5.1280000000000001</v>
    <v>5.1230000000000002</v>
    <v>5.12</v>
    <v>5.1210000000000004</v>
    <v>5.1159999999999997</v>
    <v>5.125</v>
    <v>5.1369999999999996</v>
    <v>5.1479999999999997</v>
    <v>5.1539999999999999</v>
    <v>5.1449999999999996</v>
    <v>5.1059999999999999</v>
    <v>5.0990000000000002</v>
    <v>5.1050000000000004</v>
    <v>5.1109999999999998</v>
    <v>5.117</v>
    <v>5.117</v>
    <v>5.1219999999999999</v>
    <v>5.1189999999999998</v>
    <v>5.1210000000000004</v>
    <v>5.1210000000000004</v>
    <v>5.125</v>
    <v>5.1189999999999998</v>
    <v>5.1210000000000004</v>
    <v>5.1120000000000001</v>
    <v>5.0880000000000001</v>
    <v>5.101</v>
    <v>5.1029999999999998</v>
    <v>5.093</v>
    <v>5.09</v>
    <v>5.0880000000000001</v>
    <v>5.0860000000000003</v>
    <v>5.085</v>
    <v>5.0830000000000002</v>
    <v>5.085</v>
    <v>5.0730000000000004</v>
    <v>5.0629999999999997</v>
    <v>5.0750000000000002</v>
    <v>5.0830000000000002</v>
    <v>5.09</v>
    <v>5.077</v>
    <v>5.0839999999999996</v>
    <v>5.0789999999999997</v>
    <v>5.0919999999999996</v>
    <v>5.0999999999999996</v>
    <v>5.101</v>
    <v>5.0990000000000002</v>
    <v>5.1020000000000003</v>
    <v>5.093</v>
    <v>5.0970000000000004</v>
    <v>5.0960000000000001</v>
    <v>5.0999999999999996</v>
    <v>5.0940000000000003</v>
    <v>5.093</v>
    <v>5.0810000000000004</v>
    <v>5.0810000000000004</v>
    <v>5.085</v>
    <v>5.085</v>
    <v>5.0830000000000002</v>
    <v>5.093</v>
    <v>5.09</v>
    <v>5.0860000000000003</v>
    <v>5.0789999999999997</v>
    <v>5.0739999999999998</v>
    <v>5.0679999999999996</v>
    <v>5.0590000000000002</v>
    <v>5.0679999999999996</v>
    <v>5.0709999999999997</v>
    <v>5.0629999999999997</v>
    <v>5.0659999999999998</v>
    <v>5.05</v>
    <v>5.0289999999999999</v>
    <v>5.032</v>
    <v>5.0110000000000001</v>
    <v>5.0170000000000003</v>
    <v>5.0220000000000002</v>
    <v>4.9894999999999996</v>
    <v>4.9770000000000003</v>
    <v>4.9909999999999997</v>
    <v>4.9885000000000002</v>
    <v>4.9660000000000002</v>
    <v>4.9610000000000003</v>
    <v>4.9630000000000001</v>
    <v>4.9560000000000004</v>
    <v>4.9615</v>
    <v>4.9755000000000003</v>
    <v>4.9874999999999998</v>
    <v>4.984</v>
    <v>4.9829999999999997</v>
    <v>4.9969999999999999</v>
    <v>4.9969999999999999</v>
    <v>4.9945000000000004</v>
    <v>4.9945000000000004</v>
    <v>4.9939999999999998</v>
    <v>4.9995000000000003</v>
    <v>5.0010000000000003</v>
    <v>5.0069999999999997</v>
    <v>5.0129999999999999</v>
    <v>4.9989999999999997</v>
    <v>5.0060000000000002</v>
    <v>4.9969999999999999</v>
    <v>5.0060000000000002</v>
    <v>4.992</v>
  </a>
  <a r="1" c="208">
    <v>5.1470000000000002</v>
    <v>5.1520000000000001</v>
    <v>5.1589999999999998</v>
    <v>5.1619999999999999</v>
    <v>5.1639999999999997</v>
    <v>5.1660000000000004</v>
    <v>5.17</v>
    <v>5.1689999999999996</v>
    <v>5.173</v>
    <v>5.1779999999999999</v>
    <v>5.1710000000000003</v>
    <v>5.1710000000000003</v>
    <v>5.1710000000000003</v>
    <v>5.1689999999999996</v>
    <v>5.1710000000000003</v>
    <v>5.17</v>
    <v>5.1760000000000002</v>
    <v>5.18</v>
    <v>5.1849999999999996</v>
    <v>5.1879999999999997</v>
    <v>5.1909999999999998</v>
    <v>5.1870000000000003</v>
    <v>5.1849999999999996</v>
    <v>5.1890000000000001</v>
    <v>5.1890000000000001</v>
    <v>5.1959999999999997</v>
    <v>5.1950000000000003</v>
    <v>5.1989999999999998</v>
    <v>5.1959999999999997</v>
    <v>5.2009999999999996</v>
    <v>5.2009999999999996</v>
    <v>5.202</v>
    <v>5.202</v>
    <v>5.202</v>
    <v>5.2</v>
    <v>5.2039999999999997</v>
    <v>5.21</v>
    <v>5.2069999999999999</v>
    <v>5.2069999999999999</v>
    <v>5.2089999999999996</v>
    <v>5.2110000000000003</v>
    <v>5.2039999999999997</v>
    <v>5.173</v>
    <v>5.1909999999999998</v>
    <v>5.1689999999999996</v>
    <v>5.1529999999999996</v>
    <v>5.1479999999999997</v>
    <v>5.1669999999999998</v>
    <v>5.1369999999999996</v>
    <v>5.13</v>
    <v>5.1230000000000002</v>
    <v>5.1280000000000001</v>
    <v>5.1369999999999996</v>
    <v>5.1280000000000001</v>
    <v>5.069</v>
    <v>5.05</v>
    <v>5.0519999999999996</v>
    <v>5.0519999999999996</v>
    <v>5.0679999999999996</v>
    <v>5.0469999999999997</v>
    <v>5.0350000000000001</v>
    <v>5.0439999999999996</v>
    <v>5.0529999999999999</v>
    <v>5.0739999999999998</v>
    <v>5.077</v>
    <v>5.0529999999999999</v>
    <v>5.109</v>
    <v>5.0970000000000004</v>
    <v>5.0949999999999998</v>
    <v>5.0869999999999997</v>
    <v>5.1079999999999997</v>
    <v>5.1059999999999999</v>
    <v>5.1109999999999998</v>
    <v>5.1340000000000003</v>
    <v>5.1260000000000003</v>
    <v>5.1139999999999999</v>
    <v>5.1120000000000001</v>
    <v>5.1079999999999997</v>
    <v>5.1059999999999999</v>
    <v>5.1029999999999998</v>
    <v>5.0940000000000003</v>
    <v>5.0860000000000003</v>
    <v>5.1040000000000001</v>
    <v>5.0910000000000002</v>
    <v>5.0970000000000004</v>
    <v>5.117</v>
    <v>5.1150000000000002</v>
    <v>5.1130000000000004</v>
    <v>5.1120000000000001</v>
    <v>5.0949999999999998</v>
    <v>5.0979999999999999</v>
    <v>5.109</v>
    <v>5.0910000000000002</v>
    <v>5.0960000000000001</v>
    <v>5.0869999999999997</v>
    <v>5.1059999999999999</v>
    <v>5.1040000000000001</v>
    <v>5.1150000000000002</v>
    <v>5.1369999999999996</v>
    <v>5.1269999999999998</v>
    <v>5.1280000000000001</v>
    <v>5.1369999999999996</v>
    <v>5.1440000000000001</v>
    <v>5.125</v>
    <v>5.1360000000000001</v>
    <v>5.1219999999999999</v>
    <v>5.1280000000000001</v>
    <v>5.1230000000000002</v>
    <v>5.12</v>
    <v>5.1210000000000004</v>
    <v>5.1159999999999997</v>
    <v>5.125</v>
    <v>5.1369999999999996</v>
    <v>5.1479999999999997</v>
    <v>5.1539999999999999</v>
    <v>5.1449999999999996</v>
    <v>5.1059999999999999</v>
    <v>5.0990000000000002</v>
    <v>5.1050000000000004</v>
    <v>5.1109999999999998</v>
    <v>5.117</v>
    <v>5.117</v>
    <v>5.1219999999999999</v>
    <v>5.1189999999999998</v>
    <v>5.1210000000000004</v>
    <v>5.1210000000000004</v>
    <v>5.125</v>
    <v>5.1189999999999998</v>
    <v>5.1210000000000004</v>
    <v>5.1120000000000001</v>
    <v>5.0880000000000001</v>
    <v>5.101</v>
    <v>5.1029999999999998</v>
    <v>5.093</v>
    <v>5.09</v>
    <v>5.0880000000000001</v>
    <v>5.0860000000000003</v>
    <v>5.085</v>
    <v>5.0830000000000002</v>
    <v>5.085</v>
    <v>5.0730000000000004</v>
    <v>5.0629999999999997</v>
    <v>5.0750000000000002</v>
    <v>5.0830000000000002</v>
    <v>5.09</v>
    <v>5.077</v>
    <v>5.0839999999999996</v>
    <v>5.0789999999999997</v>
    <v>5.0919999999999996</v>
    <v>5.0999999999999996</v>
    <v>5.101</v>
    <v>5.0990000000000002</v>
    <v>5.1020000000000003</v>
    <v>5.093</v>
    <v>5.0970000000000004</v>
    <v>5.0960000000000001</v>
    <v>5.0999999999999996</v>
    <v>5.0940000000000003</v>
    <v>5.093</v>
    <v>5.0810000000000004</v>
    <v>5.0810000000000004</v>
    <v>5.085</v>
    <v>5.085</v>
    <v>5.0830000000000002</v>
    <v>5.093</v>
    <v>5.09</v>
    <v>5.0860000000000003</v>
    <v>5.0789999999999997</v>
    <v>5.0739999999999998</v>
    <v>5.0679999999999996</v>
    <v>5.0590000000000002</v>
    <v>5.0679999999999996</v>
    <v>5.0709999999999997</v>
    <v>5.0629999999999997</v>
    <v>5.0659999999999998</v>
    <v>5.05</v>
    <v>5.0289999999999999</v>
    <v>5.032</v>
    <v>5.0110000000000001</v>
    <v>5.0170000000000003</v>
    <v>5.0220000000000002</v>
    <v>4.9894999999999996</v>
    <v>4.9770000000000003</v>
    <v>4.9909999999999997</v>
    <v>4.9885000000000002</v>
    <v>4.9660000000000002</v>
    <v>4.9610000000000003</v>
    <v>4.9630000000000001</v>
    <v>4.9560000000000004</v>
    <v>4.9615</v>
    <v>4.9755000000000003</v>
    <v>4.9874999999999998</v>
    <v>4.984</v>
    <v>4.9829999999999997</v>
    <v>4.9969999999999999</v>
    <v>4.9969999999999999</v>
    <v>4.9945000000000004</v>
    <v>4.9945000000000004</v>
    <v>4.9939999999999998</v>
    <v>4.9995000000000003</v>
    <v>5.0010000000000003</v>
    <v>5.0069999999999997</v>
    <v>5.0129999999999999</v>
    <v>4.9989999999999997</v>
    <v>5.0060000000000002</v>
    <v>4.9969999999999999</v>
    <v>5.0060000000000002</v>
    <v>4.992</v>
  </a>
  <a r="1" c="568">
    <v>5.08</v>
    <v>5.0880000000000001</v>
    <v>5.0999999999999996</v>
    <v>5.1059999999999999</v>
    <v>5.1180000000000003</v>
    <v>5.1230000000000002</v>
    <v>5.101</v>
    <v>5.109</v>
    <v>5.1050000000000004</v>
    <v>5.1059999999999999</v>
    <v>5.1139999999999999</v>
    <v>5.109</v>
    <v>5.1180000000000003</v>
    <v>5.1219999999999999</v>
    <v>5.1150000000000002</v>
    <v>5.1189999999999998</v>
    <v>5.1239999999999997</v>
    <v>5.13</v>
    <v>5.1239999999999997</v>
    <v>5.13</v>
    <v>5.1230000000000002</v>
    <v>5.1189999999999998</v>
    <v>5.1210000000000004</v>
    <v>5.1210000000000004</v>
    <v>5.12</v>
    <v>5.1079999999999997</v>
    <v>5.12</v>
    <v>5.1390000000000002</v>
    <v>5.1379999999999999</v>
    <v>5.1539999999999999</v>
    <v>5.1559999999999997</v>
    <v>5.1589999999999998</v>
    <v>5.1609999999999996</v>
    <v>5.109</v>
    <v>5.1120000000000001</v>
    <v>5.1189999999999998</v>
    <v>5.12</v>
    <v>5.1109999999999998</v>
    <v>5.1280000000000001</v>
    <v>5.1180000000000003</v>
    <v>5.1310000000000002</v>
    <v>5.149</v>
    <v>5.1280000000000001</v>
    <v>5.1369999999999996</v>
    <v>5.141</v>
    <v>5.1459999999999999</v>
    <v>5.1660000000000004</v>
    <v>5.1609999999999996</v>
    <v>5.1550000000000002</v>
    <v>5.1390000000000002</v>
    <v>5.1319999999999997</v>
    <v>5.1310000000000002</v>
    <v>5.1310000000000002</v>
    <v>5.13</v>
    <v>5.133</v>
    <v>5.13</v>
    <v>5.1470000000000002</v>
    <v>5.1619999999999999</v>
    <v>5.1639999999999997</v>
    <v>5.1740000000000004</v>
    <v>5.15</v>
    <v>5.1420000000000003</v>
    <v>5.1470000000000002</v>
    <v>5.1619999999999999</v>
    <v>5.1520000000000001</v>
    <v>5.157</v>
    <v>5.1459999999999999</v>
    <v>5.12</v>
    <v>5.1150000000000002</v>
    <v>5.1230000000000002</v>
    <v>5.1260000000000003</v>
    <v>5.12</v>
    <v>5.1459999999999999</v>
    <v>5.1349999999999998</v>
    <v>5.1509999999999998</v>
    <v>5.1639999999999997</v>
    <v>5.16</v>
    <v>5.149</v>
    <v>5.1639999999999997</v>
    <v>5.16</v>
    <v>5.1509999999999998</v>
    <v>5.1539999999999999</v>
    <v>5.149</v>
    <v>5.1559999999999997</v>
    <v>5.1689999999999996</v>
    <v>5.1849999999999996</v>
    <v>5.1829999999999998</v>
    <v>5.1920000000000002</v>
    <v>5.2080000000000002</v>
    <v>5.2220000000000004</v>
    <v>5.2380000000000004</v>
    <v>5.2359999999999998</v>
    <v>5.2380000000000004</v>
    <v>5.2320000000000002</v>
    <v>5.2389999999999999</v>
    <v>5.24</v>
    <v>5.24</v>
    <v>5.2430000000000003</v>
    <v>5.1849999999999996</v>
    <v>5.1710000000000003</v>
    <v>5.17</v>
    <v>5.173</v>
    <v>5.1689999999999996</v>
    <v>5.1459999999999999</v>
    <v>5.157</v>
    <v>5.1479999999999997</v>
    <v>5.1420000000000003</v>
    <v>5.1470000000000002</v>
    <v>5.1529999999999996</v>
    <v>5.1289999999999996</v>
    <v>5.1219999999999999</v>
    <v>5.1150000000000002</v>
    <v>5.1109999999999998</v>
    <v>5.1100000000000003</v>
    <v>5.0970000000000004</v>
    <v>5.09</v>
    <v>5.085</v>
    <v>5.1130000000000004</v>
    <v>5.1180000000000003</v>
    <v>5.1239999999999997</v>
    <v>5.1280000000000001</v>
    <v>5.1379999999999999</v>
    <v>5.133</v>
    <v>5.1219999999999999</v>
    <v>5.1180000000000003</v>
    <v>5.1310000000000002</v>
    <v>5.125</v>
    <v>5.1260000000000003</v>
    <v>5.1459999999999999</v>
    <v>5.173</v>
    <v>5.1820000000000004</v>
    <v>5.1849999999999996</v>
    <v>5.1909999999999998</v>
    <v>5.19</v>
    <v>5.181</v>
    <v>5.1890000000000001</v>
    <v>5.1719999999999997</v>
    <v>5.1669999999999998</v>
    <v>5.1890000000000001</v>
    <v>5.1820000000000004</v>
    <v>5.1749999999999998</v>
    <v>5.1749999999999998</v>
    <v>5.1609999999999996</v>
    <v>5.173</v>
    <v>5.1859999999999999</v>
    <v>5.1840000000000002</v>
    <v>5.1849999999999996</v>
    <v>5.1920000000000002</v>
    <v>5.1959999999999997</v>
    <v>5.1980000000000004</v>
    <v>5.1870000000000003</v>
    <v>5.19</v>
    <v>5.13</v>
    <v>5.1079999999999997</v>
    <v>5.1289999999999996</v>
    <v>5.1349999999999998</v>
    <v>5.1150000000000002</v>
    <v>5.1210000000000004</v>
    <v>5.0650000000000004</v>
    <v>5.07</v>
    <v>5.0860000000000003</v>
    <v>5.08</v>
    <v>5.0860000000000003</v>
    <v>5.093</v>
    <v>5.0960000000000001</v>
    <v>5.1059999999999999</v>
    <v>5.0979999999999999</v>
    <v>5.0970000000000004</v>
    <v>5.1020000000000003</v>
    <v>5.1159999999999997</v>
    <v>5.1079999999999997</v>
    <v>5.1180000000000003</v>
    <v>5.1100000000000003</v>
    <v>5.1180000000000003</v>
    <v>5.1079999999999997</v>
    <v>5.0940000000000003</v>
    <v>5.1100000000000003</v>
    <v>5.09</v>
    <v>5.1150000000000002</v>
    <v>5.1150000000000002</v>
    <v>5.1150000000000002</v>
    <v>5.1319999999999997</v>
    <v>5.14</v>
    <v>5.1630000000000003</v>
    <v>5.17</v>
    <v>5.1689999999999996</v>
    <v>5.1829999999999998</v>
    <v>5.1710000000000003</v>
    <v>5.165</v>
    <v>5.1609999999999996</v>
    <v>5.165</v>
    <v>5.1619999999999999</v>
    <v>5.1639999999999997</v>
    <v>5.1639999999999997</v>
    <v>5.173</v>
    <v>5.1710000000000003</v>
    <v>5.1660000000000004</v>
    <v>5.1509999999999998</v>
    <v>5.1539999999999999</v>
    <v>5.1449999999999996</v>
    <v>5.1559999999999997</v>
    <v>5.1660000000000004</v>
    <v>5.1680000000000001</v>
    <v>5.173</v>
    <v>5.165</v>
    <v>5.1639999999999997</v>
    <v>5.1760000000000002</v>
    <v>5.1840000000000002</v>
    <v>5.1890000000000001</v>
    <v>5.1829999999999998</v>
    <v>5.1989999999999998</v>
    <v>5.194</v>
    <v>5.1959999999999997</v>
    <v>5.2060000000000004</v>
    <v>5.1989999999999998</v>
    <v>5.18</v>
    <v>5.19</v>
    <v>5.1929999999999996</v>
    <v>5.202</v>
    <v>5.2089999999999996</v>
    <v>5.17</v>
    <v>5.1550000000000002</v>
    <v>5.1630000000000003</v>
    <v>5.1660000000000004</v>
    <v>5.1630000000000003</v>
    <v>5.1580000000000004</v>
    <v>5.1630000000000003</v>
    <v>5.1689999999999996</v>
    <v>5.173</v>
    <v>5.1680000000000001</v>
    <v>5.1689999999999996</v>
    <v>5.1660000000000004</v>
    <v>5.17</v>
    <v>5.1790000000000003</v>
    <v>5.1779999999999999</v>
    <v>5.1920000000000002</v>
    <v>5.1970000000000001</v>
    <v>5.1909999999999998</v>
    <v>5.1829999999999998</v>
    <v>5.1879999999999997</v>
    <v>5.181</v>
    <v>5.1749999999999998</v>
    <v>5.1769999999999996</v>
    <v>5.1820000000000004</v>
    <v>5.1859999999999999</v>
    <v>5.1920000000000002</v>
    <v>5.1859999999999999</v>
    <v>5.2009999999999996</v>
    <v>5.2060000000000004</v>
    <v>5.2110000000000003</v>
    <v>5.1929999999999996</v>
    <v>5.1879999999999997</v>
    <v>5.1970000000000001</v>
    <v>5.1980000000000004</v>
    <v>5.1920000000000002</v>
    <v>5.1920000000000002</v>
    <v>5.1920000000000002</v>
    <v>5.2039999999999997</v>
    <v>5.2050000000000001</v>
    <v>5.2030000000000003</v>
    <v>5.2060000000000004</v>
    <v>5.1980000000000004</v>
    <v>5.1959999999999997</v>
    <v>5.1909999999999998</v>
    <v>5.2080000000000002</v>
    <v>5.2130000000000001</v>
    <v>5.194</v>
    <v>5.1989999999999998</v>
    <v>5.202</v>
    <v>5.1879999999999997</v>
    <v>5.2</v>
    <v>5.1909999999999998</v>
    <v>5.1989999999999998</v>
    <v>5.202</v>
    <v>5.1989999999999998</v>
    <v>5.2</v>
    <v>5.1929999999999996</v>
    <v>5.18</v>
    <v>5.19</v>
    <v>5.2</v>
    <v>5.2160000000000002</v>
    <v>5.218</v>
    <v>5.2160000000000002</v>
    <v>5.2169999999999996</v>
    <v>5.1779999999999999</v>
    <v>5.17</v>
    <v>5.1719999999999997</v>
    <v>5.1710000000000003</v>
    <v>5.1680000000000001</v>
    <v>5.1719999999999997</v>
    <v>5.1710000000000003</v>
    <v>5.173</v>
    <v>5.17</v>
    <v>5.1719999999999997</v>
    <v>5.157</v>
    <v>5.1669999999999998</v>
    <v>5.1710000000000003</v>
    <v>5.1710000000000003</v>
    <v>5.1760000000000002</v>
    <v>5.1829999999999998</v>
    <v>5.1840000000000002</v>
    <v>5.1790000000000003</v>
    <v>5.18</v>
    <v>5.1879999999999997</v>
    <v>5.1840000000000002</v>
    <v>5.1909999999999998</v>
    <v>5.1929999999999996</v>
    <v>5.2030000000000003</v>
    <v>5.2130000000000001</v>
    <v>5.21</v>
    <v>5.2060000000000004</v>
    <v>5.2080000000000002</v>
    <v>5.2140000000000004</v>
    <v>5.22</v>
    <v>5.2110000000000003</v>
    <v>5.2069999999999999</v>
    <v>5.2089999999999996</v>
    <v>5.2089999999999996</v>
    <v>5.2119999999999997</v>
    <v>5.2069999999999999</v>
    <v>5.2080000000000002</v>
    <v>5.1980000000000004</v>
    <v>5.2009999999999996</v>
    <v>5.1959999999999997</v>
    <v>5.1970000000000001</v>
    <v>5.1920000000000002</v>
    <v>5.1950000000000003</v>
    <v>5.1929999999999996</v>
    <v>5.2</v>
    <v>5.19</v>
    <v>5.19</v>
    <v>5.1879999999999997</v>
    <v>5.1879999999999997</v>
    <v>5.19</v>
    <v>5.1909999999999998</v>
    <v>5.194</v>
    <v>5.1950000000000003</v>
    <v>5.2</v>
    <v>5.1959999999999997</v>
    <v>5.202</v>
    <v>5.2009999999999996</v>
    <v>5.1950000000000003</v>
    <v>5.1980000000000004</v>
    <v>5.2</v>
    <v>5.1970000000000001</v>
    <v>5.1929999999999996</v>
    <v>5.1740000000000004</v>
    <v>5.1760000000000002</v>
    <v>5.1719999999999997</v>
    <v>5.1390000000000002</v>
    <v>5.1360000000000001</v>
    <v>5.1429999999999998</v>
    <v>5.1420000000000003</v>
    <v>5.14</v>
    <v>5.1459999999999999</v>
    <v>5.1390000000000002</v>
    <v>5.1379999999999999</v>
    <v>5.15</v>
    <v>5.157</v>
    <v>5.1550000000000002</v>
    <v>5.1470000000000002</v>
    <v>5.1520000000000001</v>
    <v>5.1589999999999998</v>
    <v>5.1619999999999999</v>
    <v>5.1639999999999997</v>
    <v>5.1660000000000004</v>
    <v>5.17</v>
    <v>5.1689999999999996</v>
    <v>5.173</v>
    <v>5.1779999999999999</v>
    <v>5.1710000000000003</v>
    <v>5.1710000000000003</v>
    <v>5.1710000000000003</v>
    <v>5.1689999999999996</v>
    <v>5.1710000000000003</v>
    <v>5.17</v>
    <v>5.1760000000000002</v>
    <v>5.18</v>
    <v>5.1849999999999996</v>
    <v>5.1879999999999997</v>
    <v>5.1909999999999998</v>
    <v>5.1870000000000003</v>
    <v>5.1849999999999996</v>
    <v>5.1890000000000001</v>
    <v>5.1890000000000001</v>
    <v>5.1959999999999997</v>
    <v>5.1950000000000003</v>
    <v>5.1989999999999998</v>
    <v>5.1959999999999997</v>
    <v>5.2009999999999996</v>
    <v>5.2009999999999996</v>
    <v>5.202</v>
    <v>5.202</v>
    <v>5.202</v>
    <v>5.2</v>
    <v>5.2039999999999997</v>
    <v>5.21</v>
    <v>5.2069999999999999</v>
    <v>5.2069999999999999</v>
    <v>5.2089999999999996</v>
    <v>5.2110000000000003</v>
    <v>5.2039999999999997</v>
    <v>5.173</v>
    <v>5.1909999999999998</v>
    <v>5.1689999999999996</v>
    <v>5.1529999999999996</v>
    <v>5.1479999999999997</v>
    <v>5.1669999999999998</v>
    <v>5.1369999999999996</v>
    <v>5.13</v>
    <v>5.1230000000000002</v>
    <v>5.1280000000000001</v>
    <v>5.1369999999999996</v>
    <v>5.1280000000000001</v>
    <v>5.069</v>
    <v>5.05</v>
    <v>5.0519999999999996</v>
    <v>5.0519999999999996</v>
    <v>5.0679999999999996</v>
    <v>5.0469999999999997</v>
    <v>5.0350000000000001</v>
    <v>5.0439999999999996</v>
    <v>5.0529999999999999</v>
    <v>5.0739999999999998</v>
    <v>5.077</v>
    <v>5.0529999999999999</v>
    <v>5.109</v>
    <v>5.0970000000000004</v>
    <v>5.0949999999999998</v>
    <v>5.0869999999999997</v>
    <v>5.1079999999999997</v>
    <v>5.1059999999999999</v>
    <v>5.1109999999999998</v>
    <v>5.1340000000000003</v>
    <v>5.1260000000000003</v>
    <v>5.1139999999999999</v>
    <v>5.1120000000000001</v>
    <v>5.1079999999999997</v>
    <v>5.1059999999999999</v>
    <v>5.1029999999999998</v>
    <v>5.0940000000000003</v>
    <v>5.0860000000000003</v>
    <v>5.1040000000000001</v>
    <v>5.0910000000000002</v>
    <v>5.0970000000000004</v>
    <v>5.117</v>
    <v>5.1150000000000002</v>
    <v>5.1130000000000004</v>
    <v>5.1120000000000001</v>
    <v>5.0949999999999998</v>
    <v>5.0979999999999999</v>
    <v>5.109</v>
    <v>5.0910000000000002</v>
    <v>5.0960000000000001</v>
    <v>5.0869999999999997</v>
    <v>5.1059999999999999</v>
    <v>5.1040000000000001</v>
    <v>5.1150000000000002</v>
    <v>5.1369999999999996</v>
    <v>5.1269999999999998</v>
    <v>5.1280000000000001</v>
    <v>5.1369999999999996</v>
    <v>5.1440000000000001</v>
    <v>5.125</v>
    <v>5.1360000000000001</v>
    <v>5.1219999999999999</v>
    <v>5.1280000000000001</v>
    <v>5.1230000000000002</v>
    <v>5.12</v>
    <v>5.1210000000000004</v>
    <v>5.1159999999999997</v>
    <v>5.125</v>
    <v>5.1369999999999996</v>
    <v>5.1479999999999997</v>
    <v>5.1539999999999999</v>
    <v>5.1449999999999996</v>
    <v>5.1059999999999999</v>
    <v>5.0990000000000002</v>
    <v>5.1050000000000004</v>
    <v>5.1109999999999998</v>
    <v>5.117</v>
    <v>5.117</v>
    <v>5.1219999999999999</v>
    <v>5.1189999999999998</v>
    <v>5.1210000000000004</v>
    <v>5.1210000000000004</v>
    <v>5.125</v>
    <v>5.1189999999999998</v>
    <v>5.1210000000000004</v>
    <v>5.1120000000000001</v>
    <v>5.0880000000000001</v>
    <v>5.101</v>
    <v>5.1029999999999998</v>
    <v>5.093</v>
    <v>5.09</v>
    <v>5.0880000000000001</v>
    <v>5.0860000000000003</v>
    <v>5.085</v>
    <v>5.0830000000000002</v>
    <v>5.085</v>
    <v>5.0730000000000004</v>
    <v>5.0629999999999997</v>
    <v>5.0750000000000002</v>
    <v>5.0830000000000002</v>
    <v>5.09</v>
    <v>5.077</v>
    <v>5.0839999999999996</v>
    <v>5.0789999999999997</v>
    <v>5.0919999999999996</v>
    <v>5.0999999999999996</v>
    <v>5.101</v>
    <v>5.0990000000000002</v>
    <v>5.1020000000000003</v>
    <v>5.093</v>
    <v>5.0970000000000004</v>
    <v>5.0960000000000001</v>
    <v>5.0999999999999996</v>
    <v>5.0940000000000003</v>
    <v>5.093</v>
    <v>5.0810000000000004</v>
    <v>5.0810000000000004</v>
    <v>5.085</v>
    <v>5.085</v>
    <v>5.0830000000000002</v>
    <v>5.093</v>
    <v>5.09</v>
    <v>5.0860000000000003</v>
    <v>5.0789999999999997</v>
    <v>5.0739999999999998</v>
    <v>5.0679999999999996</v>
    <v>5.0590000000000002</v>
    <v>5.0679999999999996</v>
    <v>5.0709999999999997</v>
    <v>5.0629999999999997</v>
    <v>5.0659999999999998</v>
    <v>5.05</v>
    <v>5.0289999999999999</v>
    <v>5.032</v>
    <v>5.0110000000000001</v>
    <v>5.0170000000000003</v>
    <v>5.0220000000000002</v>
    <v>4.9894999999999996</v>
    <v>4.9770000000000003</v>
    <v>4.9909999999999997</v>
    <v>4.9885000000000002</v>
    <v>4.9660000000000002</v>
    <v>4.9610000000000003</v>
    <v>4.9630000000000001</v>
    <v>4.9560000000000004</v>
    <v>4.9615</v>
    <v>4.9755000000000003</v>
    <v>4.9874999999999998</v>
    <v>4.984</v>
    <v>4.9829999999999997</v>
    <v>4.9969999999999999</v>
    <v>4.9969999999999999</v>
    <v>4.9945000000000004</v>
    <v>4.9945000000000004</v>
    <v>4.9939999999999998</v>
    <v>4.9995000000000003</v>
    <v>5.0010000000000003</v>
    <v>5.0069999999999997</v>
    <v>5.0129999999999999</v>
    <v>4.9989999999999997</v>
    <v>5.0060000000000002</v>
    <v>4.9969999999999999</v>
    <v>5.0060000000000002</v>
    <v>4.992</v>
  </a>
  <a r="1" c="208">
    <v>25.867999999999999</v>
    <v>25.88</v>
    <v>25.882000000000001</v>
    <v>25.887</v>
    <v>25.888000000000002</v>
    <v>25.870999999999999</v>
    <v>25.88</v>
    <v>25.875</v>
    <v>25.879000000000001</v>
    <v>25.852</v>
    <v>25.896000000000001</v>
    <v>25.911999999999999</v>
    <v>25.907</v>
    <v>25.890999999999998</v>
    <v>25.901</v>
    <v>25.893999999999998</v>
    <v>25.905000000000001</v>
    <v>25.899000000000001</v>
    <v>25.928999999999998</v>
    <v>25.905000000000001</v>
    <v>25.914999999999999</v>
    <v>25.914999999999999</v>
    <v>25.92</v>
    <v>25.911000000000001</v>
    <v>25.922999999999998</v>
    <v>25.922000000000001</v>
    <v>25.925000000000001</v>
    <v>25.917999999999999</v>
    <v>25.931999999999999</v>
    <v>25.927</v>
    <v>25.943000000000001</v>
    <v>25.957000000000001</v>
    <v>25.951000000000001</v>
    <v>25.946000000000002</v>
    <v>25.951000000000001</v>
    <v>25.954999999999998</v>
    <v>25.962</v>
    <v>25.966999999999999</v>
    <v>25.960999999999999</v>
    <v>25.98</v>
    <v>25.971</v>
    <v>25.969000000000001</v>
    <v>25.936</v>
    <v>25.936</v>
    <v>25.969000000000001</v>
    <v>25.943000000000001</v>
    <v>25.949000000000002</v>
    <v>25.951000000000001</v>
    <v>25.928999999999998</v>
    <v>25.922999999999998</v>
    <v>25.920999999999999</v>
    <v>25.931000000000001</v>
    <v>25.952999999999999</v>
    <v>25.934999999999999</v>
    <v>25.91</v>
    <v>25.91</v>
    <v>25.946999999999999</v>
    <v>25.954000000000001</v>
    <v>25.923999999999999</v>
    <v>25.927</v>
    <v>25.888999999999999</v>
    <v>25.914000000000001</v>
    <v>25.928999999999998</v>
    <v>25.957000000000001</v>
    <v>25.942</v>
    <v>25.901</v>
    <v>25.991</v>
    <v>25.981000000000002</v>
    <v>26.006</v>
    <v>25.975999999999999</v>
    <v>26.001000000000001</v>
    <v>26.015000000000001</v>
    <v>26.001000000000001</v>
    <v>26.021000000000001</v>
    <v>26.016999999999999</v>
    <v>26.015000000000001</v>
    <v>26.004999999999999</v>
    <v>26.015999999999998</v>
    <v>26.010999999999999</v>
    <v>26.023</v>
    <v>26.013000000000002</v>
    <v>26.001999999999999</v>
    <v>26.015999999999998</v>
    <v>26.004999999999999</v>
    <v>26.024000000000001</v>
    <v>26.03</v>
    <v>26.048999999999999</v>
    <v>26.036999999999999</v>
    <v>26.044</v>
    <v>26.042000000000002</v>
    <v>26.03</v>
    <v>26.030999999999999</v>
    <v>26.036000000000001</v>
    <v>26.026</v>
    <v>26.033999999999999</v>
    <v>26.024000000000001</v>
    <v>26.050999999999998</v>
    <v>26.042000000000002</v>
    <v>26.035</v>
    <v>26.042000000000002</v>
    <v>26.05</v>
    <v>26.050999999999998</v>
    <v>26.056000000000001</v>
    <v>26.045999999999999</v>
    <v>26.050999999999998</v>
    <v>26.053000000000001</v>
    <v>26.059000000000001</v>
    <v>26.056999999999999</v>
    <v>26.061</v>
    <v>26.05</v>
    <v>26.056000000000001</v>
    <v>25.565000000000001</v>
    <v>25.600999999999999</v>
    <v>25.606000000000002</v>
    <v>25.593</v>
    <v>25.6</v>
    <v>25.602</v>
    <v>25.594999999999999</v>
    <v>25.591999999999999</v>
    <v>25.62</v>
    <v>25.613</v>
    <v>25.614000000000001</v>
    <v>25.617000000000001</v>
    <v>25.606000000000002</v>
    <v>25.59</v>
    <v>25.62</v>
    <v>25.635999999999999</v>
    <v>25.628</v>
    <v>25.65</v>
    <v>25.625</v>
    <v>25.61</v>
    <v>25.616</v>
    <v>25.641999999999999</v>
    <v>25.582000000000001</v>
    <v>25.594000000000001</v>
    <v>25.611000000000001</v>
    <v>25.597999999999999</v>
    <v>25.617000000000001</v>
    <v>25.605</v>
    <v>25.597999999999999</v>
    <v>25.594999999999999</v>
    <v>25.603000000000002</v>
    <v>25.591999999999999</v>
    <v>25.611999999999998</v>
    <v>25.623999999999999</v>
    <v>25.619</v>
    <v>25.606999999999999</v>
    <v>25.648</v>
    <v>25.643999999999998</v>
    <v>25.64</v>
    <v>25.652000000000001</v>
    <v>25.654</v>
    <v>25.663</v>
    <v>25.672000000000001</v>
    <v>25.655000000000001</v>
    <v>25.661000000000001</v>
    <v>25.667000000000002</v>
    <v>25.672000000000001</v>
    <v>25.675000000000001</v>
    <v>25.655999999999999</v>
    <v>25.661999999999999</v>
    <v>25.658999999999999</v>
    <v>25.664000000000001</v>
    <v>25.678999999999998</v>
    <v>25.664000000000001</v>
    <v>25.666</v>
    <v>25.664999999999999</v>
    <v>25.66</v>
    <v>25.649000000000001</v>
    <v>25.648</v>
    <v>25.637</v>
    <v>25.648</v>
    <v>25.661999999999999</v>
    <v>25.658000000000001</v>
    <v>25.672999999999998</v>
    <v>25.655999999999999</v>
    <v>25.640999999999998</v>
    <v>25.65</v>
    <v>25.585999999999999</v>
    <v>25.603999999999999</v>
    <v>25.634</v>
    <v>25.641999999999999</v>
    <v>25.622</v>
    <v>25.646999999999998</v>
    <v>25.634</v>
    <v>25.603999999999999</v>
    <v>25.611000000000001</v>
    <v>25.623999999999999</v>
    <v>25.594999999999999</v>
    <v>25.606999999999999</v>
    <v>25.619</v>
    <v>25.641999999999999</v>
    <v>25.594000000000001</v>
    <v>25.606999999999999</v>
    <v>25.635000000000002</v>
    <v>25.646999999999998</v>
    <v>25.651</v>
    <v>25.631</v>
    <v>25.63</v>
    <v>25.661000000000001</v>
    <v>25.649000000000001</v>
    <v>25.672999999999998</v>
    <v>25.658000000000001</v>
    <v>25.68</v>
    <v>25.667999999999999</v>
    <v>25.66</v>
    <v>25.684000000000001</v>
    <v>25.634</v>
  </a>
  <a r="1" c="761">
    <v>25.291</v>
    <v>25.291</v>
    <v>25.286000000000001</v>
    <v>25.277999999999999</v>
    <v>25.29</v>
    <v>25.286999999999999</v>
    <v>25.303999999999998</v>
    <v>25.309000000000001</v>
    <v>25.32</v>
    <v>25.305</v>
    <v>25.314</v>
    <v>25.309000000000001</v>
    <v>25.312000000000001</v>
    <v>25.317</v>
    <v>25.312000000000001</v>
    <v>25.318000000000001</v>
    <v>25.308</v>
    <v>25.338000000000001</v>
    <v>25.344000000000001</v>
    <v>25.353999999999999</v>
    <v>25.355</v>
    <v>25.352</v>
    <v>25.356000000000002</v>
    <v>25.355</v>
    <v>25.355</v>
    <v>25.369</v>
    <v>25.369</v>
    <v>25.388000000000002</v>
    <v>25.385999999999999</v>
    <v>25.396000000000001</v>
    <v>25.417000000000002</v>
    <v>25.417999999999999</v>
    <v>25.428000000000001</v>
    <v>25.445</v>
    <v>25.439</v>
    <v>25.443000000000001</v>
    <v>25.451000000000001</v>
    <v>25.443000000000001</v>
    <v>25.475000000000001</v>
    <v>25.471</v>
    <v>25.498999999999999</v>
    <v>25.495000000000001</v>
    <v>25.507999999999999</v>
    <v>25.515000000000001</v>
    <v>25.547999999999998</v>
    <v>25.548999999999999</v>
    <v>25.547999999999998</v>
    <v>25.535</v>
    <v>25.548999999999999</v>
    <v>25.541</v>
    <v>25.548999999999999</v>
    <v>25.567</v>
    <v>25.556000000000001</v>
    <v>25.57</v>
    <v>25.582000000000001</v>
    <v>25.594000000000001</v>
    <v>25.603000000000002</v>
    <v>25.605</v>
    <v>25.603000000000002</v>
    <v>25.602</v>
    <v>25.614999999999998</v>
    <v>25.620999999999999</v>
    <v>25.629000000000001</v>
    <v>25.623000000000001</v>
    <v>25.62</v>
    <v>25.638999999999999</v>
    <v>25.648</v>
    <v>25.65</v>
    <v>25.66</v>
    <v>25.664000000000001</v>
    <v>25.657</v>
    <v>25.648</v>
    <v>25.658999999999999</v>
    <v>25.66</v>
    <v>25.667000000000002</v>
    <v>25.669</v>
    <v>25.672999999999998</v>
    <v>25.678999999999998</v>
    <v>25.678999999999998</v>
    <v>25.683</v>
    <v>25.68</v>
    <v>25.689</v>
    <v>25.687999999999999</v>
    <v>25.687999999999999</v>
    <v>25.693999999999999</v>
    <v>25.702999999999999</v>
    <v>25.710999999999999</v>
    <v>25.716000000000001</v>
    <v>25.722000000000001</v>
    <v>25.722000000000001</v>
    <v>25.725000000000001</v>
    <v>25.733000000000001</v>
    <v>25.731999999999999</v>
    <v>25.74</v>
    <v>25.742999999999999</v>
    <v>25.747</v>
    <v>25.757999999999999</v>
    <v>25.768000000000001</v>
    <v>25.765999999999998</v>
    <v>25.763000000000002</v>
    <v>25.771000000000001</v>
    <v>25.774999999999999</v>
    <v>25.783000000000001</v>
    <v>25.783999999999999</v>
    <v>25.788</v>
    <v>25.792999999999999</v>
    <v>25.806000000000001</v>
    <v>25.817</v>
    <v>25.824999999999999</v>
    <v>25.812999999999999</v>
    <v>25.838999999999999</v>
    <v>25.838000000000001</v>
    <v>25.853999999999999</v>
    <v>25.86</v>
    <v>25.867999999999999</v>
    <v>25.876000000000001</v>
    <v>25.875</v>
    <v>25.876000000000001</v>
    <v>25.88</v>
    <v>25.878</v>
    <v>25.896000000000001</v>
    <v>25.899000000000001</v>
    <v>25.888999999999999</v>
    <v>25.895</v>
    <v>25.9</v>
    <v>25.905000000000001</v>
    <v>25.901</v>
    <v>25.896999999999998</v>
    <v>25.882000000000001</v>
    <v>25.884</v>
    <v>25.890999999999998</v>
    <v>25.907</v>
    <v>25.913</v>
    <v>25.925999999999998</v>
    <v>25.927</v>
    <v>25.928000000000001</v>
    <v>25.937000000000001</v>
    <v>25.94</v>
    <v>25.93</v>
    <v>25.937999999999999</v>
    <v>25.946000000000002</v>
    <v>25.946000000000002</v>
    <v>25.952000000000002</v>
    <v>25.956</v>
    <v>25.952999999999999</v>
    <v>25.957000000000001</v>
    <v>25.962</v>
    <v>25.96</v>
    <v>25.954000000000001</v>
    <v>25.97</v>
    <v>25.977</v>
    <v>25.975999999999999</v>
    <v>25.975000000000001</v>
    <v>25.975000000000001</v>
    <v>25.998999999999999</v>
    <v>26.018000000000001</v>
    <v>26.001999999999999</v>
    <v>26.007999999999999</v>
    <v>26</v>
    <v>25.998000000000001</v>
    <v>25.991</v>
    <v>25.361000000000001</v>
    <v>25.37</v>
    <v>25.38</v>
    <v>25.387</v>
    <v>25.393000000000001</v>
    <v>25.387</v>
    <v>25.393000000000001</v>
    <v>25.41</v>
    <v>25.405000000000001</v>
    <v>25.411000000000001</v>
    <v>25.419</v>
    <v>25.417999999999999</v>
    <v>25.425999999999998</v>
    <v>25.427</v>
    <v>25.41</v>
    <v>25.414000000000001</v>
    <v>25.423999999999999</v>
    <v>25.425999999999998</v>
    <v>25.436</v>
    <v>25.442</v>
    <v>25.451000000000001</v>
    <v>25.463000000000001</v>
    <v>25.468</v>
    <v>25.475000000000001</v>
    <v>25.472000000000001</v>
    <v>25.474</v>
    <v>25.486000000000001</v>
    <v>25.5</v>
    <v>25.488</v>
    <v>25.492000000000001</v>
    <v>25.492000000000001</v>
    <v>25.501000000000001</v>
    <v>25.521000000000001</v>
    <v>25.530999999999999</v>
    <v>25.533000000000001</v>
    <v>25.544</v>
    <v>25.552</v>
    <v>25.611999999999998</v>
    <v>25.571000000000002</v>
    <v>25.57</v>
    <v>25.555</v>
    <v>25.577000000000002</v>
    <v>25.587</v>
    <v>25.587</v>
    <v>25.581</v>
    <v>25.588000000000001</v>
    <v>25.585000000000001</v>
    <v>25.591999999999999</v>
    <v>25.603999999999999</v>
    <v>25.61</v>
    <v>25.611999999999998</v>
    <v>25.614000000000001</v>
    <v>25.635000000000002</v>
    <v>25.638999999999999</v>
    <v>25.645</v>
    <v>25.635000000000002</v>
    <v>25.64</v>
    <v>25.635000000000002</v>
    <v>25.634</v>
    <v>25.646000000000001</v>
    <v>25.649000000000001</v>
    <v>25.66</v>
    <v>25.666</v>
    <v>25.654</v>
    <v>25.649000000000001</v>
    <v>25.649000000000001</v>
    <v>25.661000000000001</v>
    <v>25.670999999999999</v>
    <v>25.684999999999999</v>
    <v>25.681000000000001</v>
    <v>25.693000000000001</v>
    <v>25.69</v>
    <v>25.699000000000002</v>
    <v>25.704000000000001</v>
    <v>25.709</v>
    <v>25.716000000000001</v>
    <v>25.721</v>
    <v>25.713000000000001</v>
    <v>25.724</v>
    <v>25.73</v>
    <v>25.74</v>
    <v>25.744</v>
    <v>25.73</v>
    <v>25.721</v>
    <v>25.725999999999999</v>
    <v>25.712</v>
    <v>25.722000000000001</v>
    <v>25.745000000000001</v>
    <v>25.728000000000002</v>
    <v>25.745999999999999</v>
    <v>25.754000000000001</v>
    <v>25.765000000000001</v>
    <v>25.777999999999999</v>
    <v>25.782</v>
    <v>25.795999999999999</v>
    <v>25.814</v>
    <v>25.809000000000001</v>
    <v>25.809000000000001</v>
    <v>25.806000000000001</v>
    <v>25.806999999999999</v>
    <v>25.789000000000001</v>
    <v>25.792999999999999</v>
    <v>25.794</v>
    <v>25.808</v>
    <v>25.797000000000001</v>
    <v>25.812000000000001</v>
    <v>25.831</v>
    <v>25.824999999999999</v>
    <v>25.841999999999999</v>
    <v>25.835000000000001</v>
    <v>25.844000000000001</v>
    <v>25.844999999999999</v>
    <v>25.846</v>
    <v>25.847000000000001</v>
    <v>25.856000000000002</v>
    <v>25.847999999999999</v>
    <v>25.856000000000002</v>
    <v>25.873999999999999</v>
    <v>25.884</v>
    <v>25.881</v>
    <v>25.885999999999999</v>
    <v>25.901</v>
    <v>25.914999999999999</v>
    <v>25.916</v>
    <v>25.919</v>
    <v>25.925000000000001</v>
    <v>25.925000000000001</v>
    <v>25.93</v>
    <v>25.934999999999999</v>
    <v>25.937999999999999</v>
    <v>25.931999999999999</v>
    <v>25.925000000000001</v>
    <v>25.928000000000001</v>
    <v>25.946000000000002</v>
    <v>25.940999999999999</v>
    <v>25.94</v>
    <v>25.96</v>
    <v>25.974</v>
    <v>25.93</v>
    <v>25.956</v>
    <v>25.974</v>
    <v>25.963000000000001</v>
    <v>25.954999999999998</v>
    <v>25.954999999999998</v>
    <v>25.959</v>
    <v>25.956</v>
    <v>25.949000000000002</v>
    <v>25.951000000000001</v>
    <v>25.956</v>
    <v>25.959</v>
    <v>25.942</v>
    <v>25.957000000000001</v>
    <v>25.94</v>
    <v>25.966999999999999</v>
    <v>25.960999999999999</v>
    <v>25.989000000000001</v>
    <v>25.972000000000001</v>
    <v>25.960999999999999</v>
    <v>25.966999999999999</v>
    <v>25.975000000000001</v>
    <v>25.984000000000002</v>
    <v>25.99</v>
    <v>26.007000000000001</v>
    <v>26.01</v>
    <v>26.010999999999999</v>
    <v>26.015999999999998</v>
    <v>26.013999999999999</v>
    <v>26.01</v>
    <v>26.016999999999999</v>
    <v>26.027999999999999</v>
    <v>26.039000000000001</v>
    <v>26.047000000000001</v>
    <v>26.07</v>
    <v>26.030999999999999</v>
    <v>26.033999999999999</v>
    <v>26.030999999999999</v>
    <v>26.05</v>
    <v>26.059000000000001</v>
    <v>26.068000000000001</v>
    <v>26.047999999999998</v>
    <v>26.068999999999999</v>
    <v>26.08</v>
    <v>26.103999999999999</v>
    <v>26.088000000000001</v>
    <v>26.079000000000001</v>
    <v>26.035</v>
    <v>26.041</v>
    <v>26.085000000000001</v>
    <v>26.061</v>
    <v>26.053000000000001</v>
    <v>26.064</v>
    <v>26.056999999999999</v>
    <v>26.074999999999999</v>
    <v>26.062999999999999</v>
    <v>26.091000000000001</v>
    <v>26.087</v>
    <v>26.09</v>
    <v>26.094999999999999</v>
    <v>26.084</v>
    <v>26.102</v>
    <v>26.1</v>
    <v>26.116</v>
    <v>26.126000000000001</v>
    <v>26.129000000000001</v>
    <v>26.12</v>
    <v>26.123999999999999</v>
    <v>26.132000000000001</v>
    <v>26.116</v>
    <v>26.117999999999999</v>
    <v>26.096</v>
    <v>26.161000000000001</v>
    <v>26.126000000000001</v>
    <v>26.151</v>
    <v>26.169</v>
    <v>26.158000000000001</v>
    <v>26.161999999999999</v>
    <v>26.178000000000001</v>
    <v>26.189</v>
    <v>26.218</v>
    <v>26.195</v>
    <v>26.190999999999999</v>
    <v>26.192</v>
    <v>26.206</v>
    <v>26.219000000000001</v>
    <v>26.198</v>
    <v>26.202999999999999</v>
    <v>26.199000000000002</v>
    <v>26.204000000000001</v>
    <v>26.196000000000002</v>
    <v>26.187000000000001</v>
    <v>26.201000000000001</v>
    <v>26.199000000000002</v>
    <v>26.202000000000002</v>
    <v>26.207000000000001</v>
    <v>26.202999999999999</v>
    <v>26.213000000000001</v>
    <v>26.209</v>
    <v>26.216000000000001</v>
    <v>26.253</v>
    <v>26.225999999999999</v>
    <v>26.234000000000002</v>
    <v>26.242999999999999</v>
    <v>26.242000000000001</v>
    <v>26.239000000000001</v>
    <v>26.256</v>
    <v>26.245999999999999</v>
    <v>26.242999999999999</v>
    <v>26.233000000000001</v>
    <v>26.248000000000001</v>
    <v>26.263000000000002</v>
    <v>26.257000000000001</v>
    <v>25.597000000000001</v>
    <v>25.597999999999999</v>
    <v>25.599</v>
    <v>25.591999999999999</v>
    <v>25.594999999999999</v>
    <v>25.591000000000001</v>
    <v>25.609000000000002</v>
    <v>25.626000000000001</v>
    <v>25.619</v>
    <v>25.606999999999999</v>
    <v>25.606999999999999</v>
    <v>25.611000000000001</v>
    <v>25.603999999999999</v>
    <v>25.626000000000001</v>
    <v>25.634</v>
    <v>25.638999999999999</v>
    <v>25.64</v>
    <v>25.654</v>
    <v>25.640999999999998</v>
    <v>25.652000000000001</v>
    <v>25.632999999999999</v>
    <v>25.637</v>
    <v>25.629000000000001</v>
    <v>25.622</v>
    <v>25.649000000000001</v>
    <v>25.635999999999999</v>
    <v>25.65</v>
    <v>25.641999999999999</v>
    <v>25.646000000000001</v>
    <v>25.655000000000001</v>
    <v>25.673999999999999</v>
    <v>25.65</v>
    <v>25.673999999999999</v>
    <v>25.683</v>
    <v>25.675000000000001</v>
    <v>25.675000000000001</v>
    <v>25.684999999999999</v>
    <v>25.699000000000002</v>
    <v>25.689</v>
    <v>25.670999999999999</v>
    <v>25.669</v>
    <v>25.686</v>
    <v>25.693000000000001</v>
    <v>25.684999999999999</v>
    <v>25.687000000000001</v>
    <v>25.698</v>
    <v>25.702000000000002</v>
    <v>25.702000000000002</v>
    <v>25.683</v>
    <v>25.687999999999999</v>
    <v>25.684999999999999</v>
    <v>25.69</v>
    <v>25.687999999999999</v>
    <v>25.684000000000001</v>
    <v>25.7</v>
    <v>25.693000000000001</v>
    <v>25.702999999999999</v>
    <v>25.713999999999999</v>
    <v>25.713000000000001</v>
    <v>25.7</v>
    <v>25.707999999999998</v>
    <v>25.721</v>
    <v>25.716999999999999</v>
    <v>25.716999999999999</v>
    <v>25.702999999999999</v>
    <v>25.702999999999999</v>
    <v>25.707000000000001</v>
    <v>25.728999999999999</v>
    <v>25.722000000000001</v>
    <v>25.725999999999999</v>
    <v>25.733000000000001</v>
    <v>25.731999999999999</v>
    <v>25.74</v>
    <v>25.734999999999999</v>
    <v>25.728000000000002</v>
    <v>25.734000000000002</v>
    <v>25.741</v>
    <v>25.734000000000002</v>
    <v>25.741</v>
    <v>25.753</v>
    <v>25.757000000000001</v>
    <v>25.74</v>
    <v>25.751000000000001</v>
    <v>25.748000000000001</v>
    <v>25.763999999999999</v>
    <v>25.773</v>
    <v>25.76</v>
    <v>25.765000000000001</v>
    <v>25.779</v>
    <v>25.776</v>
    <v>25.786000000000001</v>
    <v>25.776</v>
    <v>25.786999999999999</v>
    <v>25.79</v>
    <v>25.800999999999998</v>
    <v>25.803000000000001</v>
    <v>25.815000000000001</v>
    <v>25.818000000000001</v>
    <v>25.838999999999999</v>
    <v>25.846</v>
    <v>25.876000000000001</v>
    <v>25.896999999999998</v>
    <v>25.83</v>
    <v>25.823</v>
    <v>25.823</v>
    <v>25.814</v>
    <v>25.814</v>
    <v>25.824000000000002</v>
    <v>25.817</v>
    <v>25.815000000000001</v>
    <v>25.812000000000001</v>
    <v>25.81</v>
    <v>25.814</v>
    <v>25.812000000000001</v>
    <v>25.824999999999999</v>
    <v>25.805</v>
    <v>25.838999999999999</v>
    <v>25.835000000000001</v>
    <v>25.832000000000001</v>
    <v>25.821000000000002</v>
    <v>25.815000000000001</v>
    <v>25.834</v>
    <v>25.843</v>
    <v>25.835000000000001</v>
    <v>25.823</v>
    <v>25.876000000000001</v>
    <v>25.832000000000001</v>
    <v>25.834</v>
    <v>25.844000000000001</v>
    <v>25.83</v>
    <v>25.823</v>
    <v>25.832999999999998</v>
    <v>25.829000000000001</v>
    <v>25.855</v>
    <v>25.834</v>
    <v>25.85</v>
    <v>25.856000000000002</v>
    <v>25.844999999999999</v>
    <v>25.864999999999998</v>
    <v>25.846</v>
    <v>25.873999999999999</v>
    <v>25.867999999999999</v>
    <v>25.88</v>
    <v>25.882000000000001</v>
    <v>25.887</v>
    <v>25.888000000000002</v>
    <v>25.870999999999999</v>
    <v>25.88</v>
    <v>25.875</v>
    <v>25.879000000000001</v>
    <v>25.852</v>
    <v>25.896000000000001</v>
    <v>25.911999999999999</v>
    <v>25.907</v>
    <v>25.890999999999998</v>
    <v>25.901</v>
    <v>25.893999999999998</v>
    <v>25.905000000000001</v>
    <v>25.899000000000001</v>
    <v>25.928999999999998</v>
    <v>25.905000000000001</v>
    <v>25.914999999999999</v>
    <v>25.914999999999999</v>
    <v>25.92</v>
    <v>25.911000000000001</v>
    <v>25.922999999999998</v>
    <v>25.922000000000001</v>
    <v>25.925000000000001</v>
    <v>25.917999999999999</v>
    <v>25.931999999999999</v>
    <v>25.927</v>
    <v>25.943000000000001</v>
    <v>25.957000000000001</v>
    <v>25.951000000000001</v>
    <v>25.946000000000002</v>
    <v>25.951000000000001</v>
    <v>25.954999999999998</v>
    <v>25.962</v>
    <v>25.966999999999999</v>
    <v>25.960999999999999</v>
    <v>25.98</v>
    <v>25.971</v>
    <v>25.969000000000001</v>
    <v>25.936</v>
    <v>25.936</v>
    <v>25.969000000000001</v>
    <v>25.943000000000001</v>
    <v>25.949000000000002</v>
    <v>25.951000000000001</v>
    <v>25.928999999999998</v>
    <v>25.922999999999998</v>
    <v>25.920999999999999</v>
    <v>25.931000000000001</v>
    <v>25.952999999999999</v>
    <v>25.934999999999999</v>
    <v>25.91</v>
    <v>25.91</v>
    <v>25.946999999999999</v>
    <v>25.954000000000001</v>
    <v>25.923999999999999</v>
    <v>25.927</v>
    <v>25.888999999999999</v>
    <v>25.914000000000001</v>
    <v>25.928999999999998</v>
    <v>25.957000000000001</v>
    <v>25.942</v>
    <v>25.901</v>
    <v>25.991</v>
    <v>25.981000000000002</v>
    <v>26.006</v>
    <v>25.975999999999999</v>
    <v>26.001000000000001</v>
    <v>26.015000000000001</v>
    <v>26.001000000000001</v>
    <v>26.021000000000001</v>
    <v>26.016999999999999</v>
    <v>26.015000000000001</v>
    <v>26.004999999999999</v>
    <v>26.015999999999998</v>
    <v>26.010999999999999</v>
    <v>26.023</v>
    <v>26.013000000000002</v>
    <v>26.001999999999999</v>
    <v>26.015999999999998</v>
    <v>26.004999999999999</v>
    <v>26.024000000000001</v>
    <v>26.03</v>
    <v>26.048999999999999</v>
    <v>26.036999999999999</v>
    <v>26.044</v>
    <v>26.042000000000002</v>
    <v>26.03</v>
    <v>26.030999999999999</v>
    <v>26.036000000000001</v>
    <v>26.026</v>
    <v>26.033999999999999</v>
    <v>26.024000000000001</v>
    <v>26.050999999999998</v>
    <v>26.042000000000002</v>
    <v>26.035</v>
    <v>26.042000000000002</v>
    <v>26.05</v>
    <v>26.050999999999998</v>
    <v>26.056000000000001</v>
    <v>26.045999999999999</v>
    <v>26.050999999999998</v>
    <v>26.053000000000001</v>
    <v>26.059000000000001</v>
    <v>26.056999999999999</v>
    <v>26.061</v>
    <v>26.05</v>
    <v>26.056000000000001</v>
    <v>25.565000000000001</v>
    <v>25.600999999999999</v>
    <v>25.606000000000002</v>
    <v>25.593</v>
    <v>25.6</v>
    <v>25.602</v>
    <v>25.594999999999999</v>
    <v>25.591999999999999</v>
    <v>25.62</v>
    <v>25.613</v>
    <v>25.614000000000001</v>
    <v>25.617000000000001</v>
    <v>25.606000000000002</v>
    <v>25.59</v>
    <v>25.62</v>
    <v>25.635999999999999</v>
    <v>25.628</v>
    <v>25.65</v>
    <v>25.625</v>
    <v>25.61</v>
    <v>25.616</v>
    <v>25.641999999999999</v>
    <v>25.582000000000001</v>
    <v>25.594000000000001</v>
    <v>25.611000000000001</v>
    <v>25.597999999999999</v>
    <v>25.617000000000001</v>
    <v>25.605</v>
    <v>25.597999999999999</v>
    <v>25.594999999999999</v>
    <v>25.603000000000002</v>
    <v>25.591999999999999</v>
    <v>25.611999999999998</v>
    <v>25.623999999999999</v>
    <v>25.619</v>
    <v>25.606999999999999</v>
    <v>25.648</v>
    <v>25.643999999999998</v>
    <v>25.64</v>
    <v>25.652000000000001</v>
    <v>25.654</v>
    <v>25.663</v>
    <v>25.672000000000001</v>
    <v>25.655000000000001</v>
    <v>25.661000000000001</v>
    <v>25.667000000000002</v>
    <v>25.672000000000001</v>
    <v>25.675000000000001</v>
    <v>25.655999999999999</v>
    <v>25.661999999999999</v>
    <v>25.658999999999999</v>
    <v>25.664000000000001</v>
    <v>25.678999999999998</v>
    <v>25.664000000000001</v>
    <v>25.666</v>
    <v>25.664999999999999</v>
    <v>25.66</v>
    <v>25.649000000000001</v>
    <v>25.648</v>
    <v>25.637</v>
    <v>25.648</v>
    <v>25.661999999999999</v>
    <v>25.658000000000001</v>
    <v>25.672999999999998</v>
    <v>25.655999999999999</v>
    <v>25.640999999999998</v>
    <v>25.65</v>
    <v>25.585999999999999</v>
    <v>25.603999999999999</v>
    <v>25.634</v>
    <v>25.641999999999999</v>
    <v>25.622</v>
    <v>25.646999999999998</v>
    <v>25.634</v>
    <v>25.603999999999999</v>
    <v>25.611000000000001</v>
    <v>25.623999999999999</v>
    <v>25.594999999999999</v>
    <v>25.606999999999999</v>
    <v>25.619</v>
    <v>25.641999999999999</v>
    <v>25.594000000000001</v>
    <v>25.606999999999999</v>
    <v>25.635000000000002</v>
    <v>25.646999999999998</v>
    <v>25.651</v>
    <v>25.631</v>
    <v>25.63</v>
    <v>25.661000000000001</v>
    <v>25.649000000000001</v>
    <v>25.672999999999998</v>
    <v>25.658000000000001</v>
    <v>25.68</v>
    <v>25.667999999999999</v>
    <v>25.66</v>
    <v>25.684000000000001</v>
    <v>25.634</v>
  </a>
  <a r="1" c="254">
    <v>25.803000000000001</v>
    <v>25.815000000000001</v>
    <v>25.818000000000001</v>
    <v>25.838999999999999</v>
    <v>25.846</v>
    <v>25.876000000000001</v>
    <v>25.896999999999998</v>
    <v>25.83</v>
    <v>25.823</v>
    <v>25.823</v>
    <v>25.814</v>
    <v>25.814</v>
    <v>25.824000000000002</v>
    <v>25.817</v>
    <v>25.815000000000001</v>
    <v>25.812000000000001</v>
    <v>25.81</v>
    <v>25.814</v>
    <v>25.812000000000001</v>
    <v>25.824999999999999</v>
    <v>25.805</v>
    <v>25.838999999999999</v>
    <v>25.835000000000001</v>
    <v>25.832000000000001</v>
    <v>25.821000000000002</v>
    <v>25.815000000000001</v>
    <v>25.834</v>
    <v>25.843</v>
    <v>25.835000000000001</v>
    <v>25.823</v>
    <v>25.876000000000001</v>
    <v>25.832000000000001</v>
    <v>25.834</v>
    <v>25.844000000000001</v>
    <v>25.83</v>
    <v>25.823</v>
    <v>25.832999999999998</v>
    <v>25.829000000000001</v>
    <v>25.855</v>
    <v>25.834</v>
    <v>25.85</v>
    <v>25.856000000000002</v>
    <v>25.844999999999999</v>
    <v>25.864999999999998</v>
    <v>25.846</v>
    <v>25.873999999999999</v>
    <v>25.867999999999999</v>
    <v>25.88</v>
    <v>25.882000000000001</v>
    <v>25.887</v>
    <v>25.888000000000002</v>
    <v>25.870999999999999</v>
    <v>25.88</v>
    <v>25.875</v>
    <v>25.879000000000001</v>
    <v>25.852</v>
    <v>25.896000000000001</v>
    <v>25.911999999999999</v>
    <v>25.907</v>
    <v>25.890999999999998</v>
    <v>25.901</v>
    <v>25.893999999999998</v>
    <v>25.905000000000001</v>
    <v>25.899000000000001</v>
    <v>25.928999999999998</v>
    <v>25.905000000000001</v>
    <v>25.914999999999999</v>
    <v>25.914999999999999</v>
    <v>25.92</v>
    <v>25.911000000000001</v>
    <v>25.922999999999998</v>
    <v>25.922000000000001</v>
    <v>25.925000000000001</v>
    <v>25.917999999999999</v>
    <v>25.931999999999999</v>
    <v>25.927</v>
    <v>25.943000000000001</v>
    <v>25.957000000000001</v>
    <v>25.951000000000001</v>
    <v>25.946000000000002</v>
    <v>25.951000000000001</v>
    <v>25.954999999999998</v>
    <v>25.962</v>
    <v>25.966999999999999</v>
    <v>25.960999999999999</v>
    <v>25.98</v>
    <v>25.971</v>
    <v>25.969000000000001</v>
    <v>25.936</v>
    <v>25.936</v>
    <v>25.969000000000001</v>
    <v>25.943000000000001</v>
    <v>25.949000000000002</v>
    <v>25.951000000000001</v>
    <v>25.928999999999998</v>
    <v>25.922999999999998</v>
    <v>25.920999999999999</v>
    <v>25.931000000000001</v>
    <v>25.952999999999999</v>
    <v>25.934999999999999</v>
    <v>25.91</v>
    <v>25.91</v>
    <v>25.946999999999999</v>
    <v>25.954000000000001</v>
    <v>25.923999999999999</v>
    <v>25.927</v>
    <v>25.888999999999999</v>
    <v>25.914000000000001</v>
    <v>25.928999999999998</v>
    <v>25.957000000000001</v>
    <v>25.942</v>
    <v>25.901</v>
    <v>25.991</v>
    <v>25.981000000000002</v>
    <v>26.006</v>
    <v>25.975999999999999</v>
    <v>26.001000000000001</v>
    <v>26.015000000000001</v>
    <v>26.001000000000001</v>
    <v>26.021000000000001</v>
    <v>26.016999999999999</v>
    <v>26.015000000000001</v>
    <v>26.004999999999999</v>
    <v>26.015999999999998</v>
    <v>26.010999999999999</v>
    <v>26.023</v>
    <v>26.013000000000002</v>
    <v>26.001999999999999</v>
    <v>26.015999999999998</v>
    <v>26.004999999999999</v>
    <v>26.024000000000001</v>
    <v>26.03</v>
    <v>26.048999999999999</v>
    <v>26.036999999999999</v>
    <v>26.044</v>
    <v>26.042000000000002</v>
    <v>26.03</v>
    <v>26.030999999999999</v>
    <v>26.036000000000001</v>
    <v>26.026</v>
    <v>26.033999999999999</v>
    <v>26.024000000000001</v>
    <v>26.050999999999998</v>
    <v>26.042000000000002</v>
    <v>26.035</v>
    <v>26.042000000000002</v>
    <v>26.05</v>
    <v>26.050999999999998</v>
    <v>26.056000000000001</v>
    <v>26.045999999999999</v>
    <v>26.050999999999998</v>
    <v>26.053000000000001</v>
    <v>26.059000000000001</v>
    <v>26.056999999999999</v>
    <v>26.061</v>
    <v>26.05</v>
    <v>26.056000000000001</v>
    <v>25.565000000000001</v>
    <v>25.600999999999999</v>
    <v>25.606000000000002</v>
    <v>25.593</v>
    <v>25.6</v>
    <v>25.602</v>
    <v>25.594999999999999</v>
    <v>25.591999999999999</v>
    <v>25.62</v>
    <v>25.613</v>
    <v>25.614000000000001</v>
    <v>25.617000000000001</v>
    <v>25.606000000000002</v>
    <v>25.59</v>
    <v>25.62</v>
    <v>25.635999999999999</v>
    <v>25.628</v>
    <v>25.65</v>
    <v>25.625</v>
    <v>25.61</v>
    <v>25.616</v>
    <v>25.641999999999999</v>
    <v>25.582000000000001</v>
    <v>25.594000000000001</v>
    <v>25.611000000000001</v>
    <v>25.597999999999999</v>
    <v>25.617000000000001</v>
    <v>25.605</v>
    <v>25.597999999999999</v>
    <v>25.594999999999999</v>
    <v>25.603000000000002</v>
    <v>25.591999999999999</v>
    <v>25.611999999999998</v>
    <v>25.623999999999999</v>
    <v>25.619</v>
    <v>25.606999999999999</v>
    <v>25.648</v>
    <v>25.643999999999998</v>
    <v>25.64</v>
    <v>25.652000000000001</v>
    <v>25.654</v>
    <v>25.663</v>
    <v>25.672000000000001</v>
    <v>25.655000000000001</v>
    <v>25.661000000000001</v>
    <v>25.667000000000002</v>
    <v>25.672000000000001</v>
    <v>25.675000000000001</v>
    <v>25.655999999999999</v>
    <v>25.661999999999999</v>
    <v>25.658999999999999</v>
    <v>25.664000000000001</v>
    <v>25.678999999999998</v>
    <v>25.664000000000001</v>
    <v>25.666</v>
    <v>25.664999999999999</v>
    <v>25.66</v>
    <v>25.649000000000001</v>
    <v>25.648</v>
    <v>25.637</v>
    <v>25.648</v>
    <v>25.661999999999999</v>
    <v>25.658000000000001</v>
    <v>25.672999999999998</v>
    <v>25.655999999999999</v>
    <v>25.640999999999998</v>
    <v>25.65</v>
    <v>25.585999999999999</v>
    <v>25.603999999999999</v>
    <v>25.634</v>
    <v>25.641999999999999</v>
    <v>25.622</v>
    <v>25.646999999999998</v>
    <v>25.634</v>
    <v>25.603999999999999</v>
    <v>25.611000000000001</v>
    <v>25.623999999999999</v>
    <v>25.594999999999999</v>
    <v>25.606999999999999</v>
    <v>25.619</v>
    <v>25.641999999999999</v>
    <v>25.594000000000001</v>
    <v>25.606999999999999</v>
    <v>25.635000000000002</v>
    <v>25.646999999999998</v>
    <v>25.651</v>
    <v>25.631</v>
    <v>25.63</v>
    <v>25.661000000000001</v>
    <v>25.649000000000001</v>
    <v>25.672999999999998</v>
    <v>25.658000000000001</v>
    <v>25.68</v>
    <v>25.667999999999999</v>
    <v>25.66</v>
    <v>25.684000000000001</v>
    <v>25.634</v>
  </a>
  <a r="1" c="205">
    <v>275.39</v>
    <v>287.54000000000002</v>
    <v>289.83</v>
    <v>330.42</v>
    <v>308.26</v>
    <v>284.47000000000003</v>
    <v>304.01</v>
    <v>321.48</v>
    <v>318.44</v>
    <v>312.27999999999997</v>
    <v>320.32</v>
    <v>326.23</v>
    <v>325.99</v>
    <v>344.22</v>
    <v>346.53</v>
    <v>346.1</v>
    <v>358.29</v>
    <v>371.76</v>
    <v>442.93</v>
    <v>446.57</v>
    <v>407.69</v>
    <v>432.95</v>
    <v>444.45</v>
    <v>418.63</v>
    <v>405.45</v>
    <v>429.32</v>
    <v>425</v>
    <v>396.23</v>
    <v>407.25</v>
    <v>431.17</v>
    <v>425.99</v>
    <v>415.94</v>
    <v>424.14</v>
    <v>408.97</v>
    <v>411.11</v>
    <v>407.4</v>
    <v>396.02</v>
    <v>421.85</v>
    <v>409.67</v>
    <v>407.84</v>
    <v>379.52</v>
    <v>357.62</v>
    <v>375.01</v>
    <v>367.34</v>
    <v>352.8</v>
    <v>374.33</v>
    <v>384.29</v>
    <v>385.97</v>
    <v>373.98</v>
    <v>383.71</v>
    <v>398.78</v>
    <v>421.09</v>
    <v>406.77</v>
    <v>434.6</v>
    <v>411.23</v>
    <v>404.02</v>
    <v>424.96</v>
    <v>413.22</v>
    <v>378.79</v>
    <v>380.07</v>
    <v>362.43</v>
    <v>391.76</v>
    <v>423.12</v>
    <v>429.36</v>
    <v>453.3</v>
    <v>468.72</v>
    <v>496.3</v>
    <v>500.77</v>
    <v>503.13</v>
    <v>513.28</v>
    <v>533.44000000000005</v>
    <v>519.6</v>
    <v>531.80999999999995</v>
    <v>547.75</v>
    <v>539.75</v>
    <v>559.9</v>
    <v>579.88</v>
    <v>587.62</v>
    <v>586.25</v>
    <v>595.86</v>
    <v>579.03</v>
    <v>643.29999999999995</v>
    <v>673.64</v>
    <v>726.93</v>
    <v>738.54</v>
    <v>771.01</v>
    <v>786.42</v>
    <v>766.44</v>
    <v>782.64</v>
    <v>834.01</v>
    <v>808.79499999999996</v>
    <v>817.35</v>
    <v>804.76</v>
    <v>795.47</v>
    <v>740.84</v>
    <v>733.35</v>
    <v>751.07</v>
    <v>810.46</v>
    <v>812.73</v>
    <v>845.76</v>
    <v>870.66</v>
    <v>880.72</v>
    <v>879.8</v>
    <v>921.26</v>
    <v>926.61</v>
    <v>940.69</v>
    <v>925.99</v>
    <v>847.47</v>
    <v>876.77</v>
    <v>846.01</v>
    <v>815.99</v>
    <v>868.09</v>
    <v>931.04</v>
    <v>1018.8</v>
    <v>1031.3399999999999</v>
    <v>1066.07</v>
    <v>1070.23</v>
    <v>1094.04</v>
    <v>1038.5899999999999</v>
    <v>993.25</v>
    <v>1025.3599999999999</v>
    <v>899.9</v>
    <v>968.53</v>
    <v>965</v>
    <v>915.19</v>
    <v>820.16</v>
    <v>868.26</v>
    <v>827.64</v>
    <v>860.02</v>
    <v>890.09</v>
    <v>910.34</v>
    <v>860.66</v>
    <v>878.31</v>
    <v>828.3</v>
    <v>745.49</v>
    <v>787.66</v>
    <v>802.45</v>
    <v>891.83</v>
    <v>908.1</v>
    <v>913.36</v>
    <v>851.69</v>
    <v>816.99</v>
    <v>747.3</v>
    <v>764.43</v>
    <v>851.68</v>
    <v>856.13</v>
    <v>831.06</v>
    <v>845.35</v>
    <v>837.66</v>
    <v>852.95</v>
    <v>812.76</v>
    <v>800.99</v>
    <v>820.52</v>
    <v>878.21</v>
    <v>921.37</v>
    <v>973.44</v>
    <v>994.79</v>
    <v>903.68</v>
    <v>832.56</v>
    <v>850.24</v>
    <v>850</v>
    <v>794.65</v>
    <v>821.67</v>
    <v>846.37</v>
    <v>847.2</v>
    <v>829.76</v>
    <v>828.38</v>
    <v>816.64</v>
    <v>808.54</v>
    <v>798.61</v>
    <v>849.28</v>
    <v>904.38</v>
    <v>885.92</v>
    <v>862.33</v>
    <v>830.17</v>
    <v>805.55</v>
    <v>771.81</v>
    <v>783.18</v>
    <v>803.13</v>
    <v>858.79</v>
    <v>877.32500000000005</v>
    <v>919.84</v>
    <v>923.86</v>
    <v>905.92</v>
    <v>916.83</v>
    <v>921.51</v>
    <v>913.45</v>
    <v>922.34</v>
    <v>945.57</v>
    <v>848.99</v>
    <v>887.09</v>
    <v>805.63</v>
    <v>807.57</v>
    <v>774.82500000000005</v>
    <v>783</v>
    <v>753.25</v>
    <v>747.2</v>
    <v>713.54</v>
    <v>690.81</v>
    <v>639.01</v>
    <v>660.81</v>
    <v>675.13</v>
    <v>696.89</v>
    <v>642.14</v>
    <v>630.49</v>
  </a>
  <a r="1" c="252">
    <v>226.41</v>
    <v>234.12</v>
    <v>230.32</v>
    <v>223</v>
    <v>265.62</v>
    <v>268.33499999999998</v>
    <v>255.88</v>
    <v>265.55</v>
    <v>250.38</v>
    <v>275.77</v>
    <v>278.47000000000003</v>
    <v>279.35000000000002</v>
    <v>293.99</v>
    <v>288</v>
    <v>283.26</v>
    <v>262.56</v>
    <v>258.20999999999998</v>
    <v>261.38</v>
    <v>253.86</v>
    <v>259.13499999999999</v>
    <v>240.5</v>
    <v>237.49</v>
    <v>253.38</v>
    <v>261.89</v>
    <v>272.27999999999997</v>
    <v>276.69</v>
    <v>270.10000000000002</v>
    <v>266.87</v>
    <v>258.67</v>
    <v>265.63</v>
    <v>278.79000000000002</v>
    <v>285.41000000000003</v>
    <v>282.86</v>
    <v>298.92</v>
    <v>307.84500000000003</v>
    <v>287.64</v>
    <v>285.58</v>
    <v>288.13</v>
    <v>277.64999999999998</v>
    <v>292</v>
    <v>296.36</v>
    <v>282.85000000000002</v>
    <v>282.8</v>
    <v>285.27</v>
    <v>286.22000000000003</v>
    <v>281.3</v>
    <v>280.08</v>
    <v>275.39</v>
    <v>287.54000000000002</v>
    <v>289.83</v>
    <v>330.42</v>
    <v>308.26</v>
    <v>284.47000000000003</v>
    <v>304.01</v>
    <v>321.48</v>
    <v>318.44</v>
    <v>312.27999999999997</v>
    <v>320.32</v>
    <v>326.23</v>
    <v>325.99</v>
    <v>344.22</v>
    <v>346.53</v>
    <v>346.1</v>
    <v>358.29</v>
    <v>371.76</v>
    <v>442.93</v>
    <v>446.57</v>
    <v>407.69</v>
    <v>432.95</v>
    <v>444.45</v>
    <v>418.63</v>
    <v>405.45</v>
    <v>429.32</v>
    <v>425</v>
    <v>396.23</v>
    <v>407.25</v>
    <v>431.17</v>
    <v>425.99</v>
    <v>415.94</v>
    <v>424.14</v>
    <v>408.97</v>
    <v>411.11</v>
    <v>407.4</v>
    <v>396.02</v>
    <v>421.85</v>
    <v>409.67</v>
    <v>407.84</v>
    <v>379.52</v>
    <v>357.62</v>
    <v>375.01</v>
    <v>367.34</v>
    <v>352.8</v>
    <v>374.33</v>
    <v>384.29</v>
    <v>385.97</v>
    <v>373.98</v>
    <v>383.71</v>
    <v>398.78</v>
    <v>421.09</v>
    <v>406.77</v>
    <v>434.6</v>
    <v>411.23</v>
    <v>404.02</v>
    <v>424.96</v>
    <v>413.22</v>
    <v>378.79</v>
    <v>380.07</v>
    <v>362.43</v>
    <v>391.76</v>
    <v>423.12</v>
    <v>429.36</v>
    <v>453.3</v>
    <v>468.72</v>
    <v>496.3</v>
    <v>500.77</v>
    <v>503.13</v>
    <v>513.28</v>
    <v>533.44000000000005</v>
    <v>519.6</v>
    <v>531.80999999999995</v>
    <v>547.75</v>
    <v>539.75</v>
    <v>559.9</v>
    <v>579.88</v>
    <v>587.62</v>
    <v>586.25</v>
    <v>595.86</v>
    <v>579.03</v>
    <v>643.29999999999995</v>
    <v>673.64</v>
    <v>726.93</v>
    <v>738.54</v>
    <v>771.01</v>
    <v>786.42</v>
    <v>766.44</v>
    <v>782.64</v>
    <v>834.01</v>
    <v>808.79499999999996</v>
    <v>817.35</v>
    <v>804.76</v>
    <v>795.47</v>
    <v>740.84</v>
    <v>733.35</v>
    <v>751.07</v>
    <v>810.46</v>
    <v>812.73</v>
    <v>845.76</v>
    <v>870.66</v>
    <v>880.72</v>
    <v>879.8</v>
    <v>921.26</v>
    <v>926.61</v>
    <v>940.69</v>
    <v>925.99</v>
    <v>847.47</v>
    <v>876.77</v>
    <v>846.01</v>
    <v>815.99</v>
    <v>868.09</v>
    <v>931.04</v>
    <v>1018.8</v>
    <v>1031.3399999999999</v>
    <v>1066.07</v>
    <v>1070.23</v>
    <v>1094.04</v>
    <v>1038.5899999999999</v>
    <v>993.25</v>
    <v>1025.3599999999999</v>
    <v>899.9</v>
    <v>968.53</v>
    <v>965</v>
    <v>915.19</v>
    <v>820.16</v>
    <v>868.26</v>
    <v>827.64</v>
    <v>860.02</v>
    <v>890.09</v>
    <v>910.34</v>
    <v>860.66</v>
    <v>878.31</v>
    <v>828.3</v>
    <v>745.49</v>
    <v>787.66</v>
    <v>802.45</v>
    <v>891.83</v>
    <v>908.1</v>
    <v>913.36</v>
    <v>851.69</v>
    <v>816.99</v>
    <v>747.3</v>
    <v>764.43</v>
    <v>851.68</v>
    <v>856.13</v>
    <v>831.06</v>
    <v>845.35</v>
    <v>837.66</v>
    <v>852.95</v>
    <v>812.76</v>
    <v>800.99</v>
    <v>820.52</v>
    <v>878.21</v>
    <v>921.37</v>
    <v>973.44</v>
    <v>994.79</v>
    <v>903.68</v>
    <v>832.56</v>
    <v>850.24</v>
    <v>850</v>
    <v>794.65</v>
    <v>821.67</v>
    <v>846.37</v>
    <v>847.2</v>
    <v>829.76</v>
    <v>828.38</v>
    <v>816.64</v>
    <v>808.54</v>
    <v>798.61</v>
    <v>849.28</v>
    <v>904.38</v>
    <v>885.92</v>
    <v>862.33</v>
    <v>830.17</v>
    <v>805.55</v>
    <v>771.81</v>
    <v>783.18</v>
    <v>803.13</v>
    <v>858.79</v>
    <v>877.32500000000005</v>
    <v>919.84</v>
    <v>923.86</v>
    <v>905.92</v>
    <v>916.83</v>
    <v>921.51</v>
    <v>913.45</v>
    <v>922.34</v>
    <v>945.57</v>
    <v>848.99</v>
    <v>887.09</v>
    <v>805.63</v>
    <v>807.57</v>
    <v>774.82500000000005</v>
    <v>783</v>
    <v>753.25</v>
    <v>747.2</v>
    <v>713.54</v>
    <v>690.81</v>
    <v>639.01</v>
    <v>660.81</v>
    <v>675.13</v>
    <v>696.89</v>
    <v>642.14</v>
    <v>630.49</v>
  </a>
  <a r="1" c="754">
    <v>65.25</v>
    <v>68.099999999999994</v>
    <v>67.099999999999994</v>
    <v>65.84</v>
    <v>68.2</v>
    <v>68.42</v>
    <v>68.25</v>
    <v>71.239999999999995</v>
    <v>71.81</v>
    <v>72.28</v>
    <v>71.13</v>
    <v>70.84</v>
    <v>71.86</v>
    <v>72</v>
    <v>72.42</v>
    <v>72.47</v>
    <v>74.61</v>
    <v>74.55</v>
    <v>75.59</v>
    <v>75.88</v>
    <v>77.06</v>
    <v>76.06</v>
    <v>76.55</v>
    <v>76.08</v>
    <v>77.56</v>
    <v>76.95</v>
    <v>78.48</v>
    <v>79.099999999999994</v>
    <v>79.180000000000007</v>
    <v>78.59</v>
    <v>76.959999999999994</v>
    <v>77.81</v>
    <v>78.78</v>
    <v>80.59</v>
    <v>81.99</v>
    <v>82.63</v>
    <v>85.43</v>
    <v>85.33</v>
    <v>84.28</v>
    <v>83.97</v>
    <v>83.9</v>
    <v>81.849999999999994</v>
    <v>85.3</v>
    <v>85.16</v>
    <v>85.87</v>
    <v>85.68</v>
    <v>86.79</v>
    <v>85.37</v>
    <v>82.69</v>
    <v>80.430000000000007</v>
    <v>80.77</v>
    <v>80.28</v>
    <v>80.98</v>
    <v>80.11</v>
    <v>82.66</v>
    <v>81.739999999999995</v>
    <v>82.78</v>
    <v>84.81</v>
    <v>83.33</v>
    <v>83.97</v>
    <v>85.42</v>
    <v>87.1</v>
    <v>89.23</v>
    <v>89.17</v>
    <v>90.99</v>
    <v>90.44</v>
    <v>88.63</v>
    <v>87.59</v>
    <v>85.68</v>
    <v>86.8</v>
    <v>87.52</v>
    <v>85.5</v>
    <v>86.2</v>
    <v>86.76</v>
    <v>87.68</v>
    <v>89.41</v>
    <v>89.1</v>
    <v>87.16</v>
    <v>86.81</v>
    <v>88.16</v>
    <v>87.52</v>
    <v>86.77</v>
    <v>84.9</v>
    <v>88.02</v>
    <v>87.98</v>
    <v>88.66</v>
    <v>90.7</v>
    <v>91.61</v>
    <v>93.05</v>
    <v>97.16</v>
    <v>98.38</v>
    <v>98.63</v>
    <v>94.14</v>
    <v>93.81</v>
    <v>92.69</v>
    <v>91.74</v>
    <v>91.11</v>
    <v>88.67</v>
    <v>85.76</v>
    <v>86.01</v>
    <v>85.39</v>
    <v>86.57</v>
    <v>87.42</v>
    <v>88.45</v>
    <v>89.01</v>
    <v>88.21</v>
    <v>94.72</v>
    <v>94.58</v>
    <v>93.05</v>
    <v>91.78</v>
    <v>90.23</v>
    <v>91.63</v>
    <v>90.76</v>
    <v>89.99</v>
    <v>89.15</v>
    <v>89.53</v>
    <v>87.99</v>
    <v>88.78</v>
    <v>85.19</v>
    <v>83.88</v>
    <v>83.68</v>
    <v>84.2</v>
    <v>83.44</v>
    <v>82.46</v>
    <v>85.18</v>
    <v>86.53</v>
    <v>87.11</v>
    <v>87.26</v>
    <v>86.04</v>
    <v>86.08</v>
    <v>85.91</v>
    <v>85.81</v>
    <v>86.29</v>
    <v>87.5</v>
    <v>89.85</v>
    <v>89.51</v>
    <v>90.05</v>
    <v>91.67</v>
    <v>94.01</v>
    <v>93.15</v>
    <v>96.22</v>
    <v>98.72</v>
    <v>98.24</v>
    <v>95.27</v>
    <v>96.81</v>
    <v>93.6</v>
    <v>94.67</v>
    <v>93.46</v>
    <v>94.19</v>
    <v>96.84</v>
    <v>94.26</v>
    <v>93.71</v>
    <v>93.24</v>
    <v>91.33</v>
    <v>91.85</v>
    <v>96.6</v>
    <v>96</v>
    <v>96.11</v>
    <v>99.52</v>
    <v>101.64</v>
    <v>102.85</v>
    <v>104.76</v>
    <v>103.86</v>
    <v>105.98</v>
    <v>105.99</v>
    <v>102.62</v>
    <v>103.08</v>
    <v>103.33</v>
    <v>103.74</v>
    <v>102.75</v>
    <v>104.1</v>
    <v>103.27</v>
    <v>102.44</v>
    <v>103.13</v>
    <v>101.37</v>
    <v>102.04</v>
    <v>103.43</v>
    <v>104.35</v>
    <v>106.73</v>
    <v>106.11</v>
    <v>107.1</v>
    <v>108.94</v>
    <v>108.71</v>
    <v>104.91</v>
    <v>103.47</v>
    <v>102.63</v>
    <v>106.18</v>
    <v>105.3</v>
    <v>109.53</v>
    <v>103.96</v>
    <v>103.68</v>
    <v>103.38</v>
    <v>99.1</v>
    <v>102.17</v>
    <v>99.01</v>
    <v>94.57</v>
    <v>92.54</v>
    <v>93.68</v>
    <v>92.1</v>
    <v>95.45</v>
    <v>96.28</v>
    <v>95.83</v>
    <v>98.2</v>
    <v>97.06</v>
    <v>99.61</v>
    <v>101.73</v>
    <v>103.96</v>
    <v>103.55</v>
    <v>104.44</v>
    <v>103.23</v>
    <v>104.41</v>
    <v>104.76</v>
    <v>100.71</v>
    <v>99.25</v>
    <v>97.54</v>
    <v>99.55</v>
    <v>96.78</v>
    <v>100.73</v>
    <v>100.81</v>
    <v>97.98</v>
    <v>101.34</v>
    <v>102.26</v>
    <v>102.53</v>
    <v>100.62</v>
    <v>102.13</v>
    <v>101.44</v>
    <v>102.07</v>
    <v>100.93</v>
    <v>104.12</v>
    <v>104.74</v>
    <v>105.88</v>
    <v>106.63</v>
    <v>107.76</v>
    <v>110.76</v>
    <v>108.74</v>
    <v>109.53</v>
    <v>107.82</v>
    <v>108.56</v>
    <v>108.8</v>
    <v>107.24</v>
    <v>106.13</v>
    <v>108.65</v>
    <v>109.29</v>
    <v>108.12</v>
    <v>109.81</v>
    <v>111.06</v>
    <v>111.79</v>
    <v>111.73</v>
    <v>112.45</v>
    <v>112.12</v>
    <v>112.41</v>
    <v>112.64</v>
    <v>103.52</v>
    <v>103.98</v>
    <v>103.01</v>
    <v>101.32</v>
    <v>101.33</v>
    <v>99.79</v>
    <v>100.37</v>
    <v>99.11</v>
    <v>99.89</v>
    <v>101.65</v>
    <v>102.98</v>
    <v>105.11</v>
    <v>104.78</v>
    <v>101.84</v>
    <v>99.8</v>
    <v>98.27</v>
    <v>97.46</v>
    <v>96.79</v>
    <v>97.02</v>
    <v>97.8</v>
    <v>98.02</v>
    <v>99.92</v>
    <v>99.62</v>
    <v>101.36</v>
    <v>101.66</v>
    <v>100</v>
    <v>101.33</v>
    <v>103.16</v>
    <v>98.8</v>
    <v>97.63</v>
    <v>98.18</v>
    <v>98.51</v>
    <v>98.97</v>
    <v>97.59</v>
    <v>98.39</v>
    <v>97.64</v>
    <v>95.75</v>
    <v>95.58</v>
    <v>94.49</v>
    <v>91.6</v>
    <v>87.54</v>
    <v>87.31</v>
    <v>88.53</v>
    <v>88.49</v>
    <v>88.4</v>
    <v>87.39</v>
    <v>86.53</v>
    <v>86.31</v>
    <v>86.39</v>
    <v>89.15</v>
    <v>89.11</v>
    <v>89.6</v>
    <v>88.69</v>
    <v>88.87</v>
    <v>88.93</v>
    <v>91.23</v>
    <v>94.34</v>
    <v>95.07</v>
    <v>97.67</v>
    <v>101.25</v>
    <v>108.18</v>
    <v>108.42</v>
    <v>108.19</v>
    <v>103.48</v>
    <v>100.27</v>
    <v>99.38</v>
    <v>98.28</v>
    <v>96.36</v>
    <v>93.48</v>
    <v>94.51</v>
    <v>95.43</v>
    <v>96.54</v>
    <v>96.15</v>
    <v>97.8</v>
    <v>97.83</v>
    <v>99.21</v>
    <v>101.48</v>
    <v>101.47</v>
    <v>103.1</v>
    <v>103</v>
    <v>102.64</v>
    <v>100.85</v>
    <v>100.08</v>
    <v>99.72</v>
    <v>100.27</v>
    <v>100.67</v>
    <v>101.91</v>
    <v>100.06</v>
    <v>94.08</v>
    <v>92.43</v>
    <v>86.64</v>
    <v>88</v>
    <v>86.41</v>
    <v>86.97</v>
    <v>86.73</v>
    <v>85.62</v>
    <v>87.9</v>
    <v>90.51</v>
    <v>88.64</v>
    <v>88.93</v>
    <v>88.38</v>
    <v>88.27</v>
    <v>88.79</v>
    <v>87.96</v>
    <v>87.63</v>
    <v>87.5</v>
    <v>84.92</v>
    <v>84.95</v>
    <v>84.54</v>
    <v>85.52</v>
    <v>71.53</v>
    <v>66.73</v>
    <v>68.66</v>
    <v>66.540000000000006</v>
    <v>74.290000000000006</v>
    <v>69.739999999999995</v>
    <v>70.150000000000006</v>
    <v>72.67</v>
    <v>72</v>
    <v>72.819999999999993</v>
    <v>75.78</v>
    <v>73.930000000000007</v>
    <v>75.36</v>
    <v>78.09</v>
    <v>83.04</v>
    <v>82.7</v>
    <v>82.16</v>
    <v>81.599999999999994</v>
    <v>91.03</v>
    <v>90.01</v>
    <v>93.07</v>
    <v>93.58</v>
    <v>93.9</v>
    <v>95.45</v>
    <v>96.3</v>
    <v>95.71</v>
    <v>101.95</v>
    <v>105.47</v>
    <v>105.19</v>
    <v>107.43</v>
    <v>107.79</v>
    <v>109.04</v>
    <v>106.97</v>
    <v>104.43</v>
    <v>108.86</v>
    <v>112.74</v>
    <v>117.05</v>
    <v>117.34</v>
    <v>118.14</v>
    <v>117.94</v>
    <v>119.15</v>
    <v>123.23</v>
    <v>127.64</v>
    <v>127.7</v>
    <v>126.97</v>
    <v>130.16999999999999</v>
    <v>127.99</v>
    <v>126.49</v>
    <v>126.07</v>
    <v>127.27</v>
    <v>131.04</v>
    <v>130.87</v>
    <v>131.30000000000001</v>
    <v>130.96</v>
    <v>133.08000000000001</v>
    <v>136.31</v>
    <v>138.54</v>
    <v>140.69</v>
    <v>141.44</v>
    <v>144.33000000000001</v>
    <v>145.04</v>
    <v>151.94</v>
    <v>149.44</v>
    <v>148.38999999999999</v>
    <v>144.47</v>
    <v>142.01</v>
    <v>144.5</v>
    <v>147.18</v>
    <v>149.08000000000001</v>
    <v>149.05000000000001</v>
    <v>147.12</v>
    <v>146.72</v>
    <v>149.07499999999999</v>
    <v>149.63</v>
    <v>146.59</v>
    <v>152.76</v>
    <v>152.72999999999999</v>
    <v>150.88999999999999</v>
    <v>150.46</v>
    <v>152.68</v>
    <v>147.41999999999999</v>
    <v>157.01</v>
    <v>154.81</v>
    <v>154.81</v>
    <v>151.74</v>
    <v>147.27000000000001</v>
    <v>148.1</v>
    <v>150.44999999999999</v>
    <v>151.69</v>
    <v>155.59</v>
    <v>156.91999999999999</v>
    <v>155.72999999999999</v>
    <v>154.43</v>
    <v>158.69999999999999</v>
    <v>157.93</v>
    <v>158.4</v>
    <v>154.6</v>
    <v>159.21</v>
    <v>164</v>
    <v>165.24</v>
    <v>167.24</v>
    <v>172.38</v>
    <v>167.4</v>
    <v>170.5</v>
    <v>176.32</v>
    <v>183.98</v>
    <v>188.16</v>
    <v>189.24</v>
    <v>191.59</v>
    <v>193.04</v>
    <v>196.81</v>
    <v>195.99</v>
    <v>211.12</v>
    <v>211.13</v>
    <v>213.36</v>
    <v>216.64</v>
    <v>221.23</v>
    <v>229.33</v>
    <v>228.13</v>
    <v>223.7</v>
    <v>219.85</v>
    <v>217.51</v>
    <v>229.14</v>
    <v>236.06</v>
    <v>256.83999999999997</v>
    <v>254.74</v>
    <v>252.79</v>
    <v>242.83</v>
    <v>225.01</v>
    <v>224.35</v>
    <v>221.7</v>
    <v>214.38</v>
    <v>219.51</v>
    <v>211.63</v>
    <v>219.38</v>
    <v>226.03</v>
    <v>225.4</v>
    <v>214.4</v>
    <v>214.57</v>
    <v>215.05</v>
    <v>226.41</v>
    <v>234.12</v>
    <v>230.32</v>
    <v>223</v>
    <v>265.62</v>
    <v>268.33499999999998</v>
    <v>255.88</v>
    <v>265.55</v>
    <v>250.38</v>
    <v>275.77</v>
    <v>278.47000000000003</v>
    <v>279.35000000000002</v>
    <v>293.99</v>
    <v>288</v>
    <v>283.26</v>
    <v>262.56</v>
    <v>258.20999999999998</v>
    <v>261.38</v>
    <v>253.86</v>
    <v>259.13499999999999</v>
    <v>240.5</v>
    <v>237.49</v>
    <v>253.38</v>
    <v>261.89</v>
    <v>272.27999999999997</v>
    <v>276.69</v>
    <v>270.10000000000002</v>
    <v>266.87</v>
    <v>258.67</v>
    <v>265.63</v>
    <v>278.79000000000002</v>
    <v>285.41000000000003</v>
    <v>282.86</v>
    <v>298.92</v>
    <v>307.84500000000003</v>
    <v>287.64</v>
    <v>285.58</v>
    <v>288.13</v>
    <v>277.64999999999998</v>
    <v>292</v>
    <v>296.36</v>
    <v>282.85000000000002</v>
    <v>282.8</v>
    <v>285.27</v>
    <v>286.22000000000003</v>
    <v>281.3</v>
    <v>280.08</v>
    <v>275.39</v>
    <v>287.54000000000002</v>
    <v>289.83</v>
    <v>330.42</v>
    <v>308.26</v>
    <v>284.47000000000003</v>
    <v>304.01</v>
    <v>321.48</v>
    <v>318.44</v>
    <v>312.27999999999997</v>
    <v>320.32</v>
    <v>326.23</v>
    <v>325.99</v>
    <v>344.22</v>
    <v>346.53</v>
    <v>346.1</v>
    <v>358.29</v>
    <v>371.76</v>
    <v>442.93</v>
    <v>446.57</v>
    <v>407.69</v>
    <v>432.95</v>
    <v>444.45</v>
    <v>418.63</v>
    <v>405.45</v>
    <v>429.32</v>
    <v>425</v>
    <v>396.23</v>
    <v>407.25</v>
    <v>431.17</v>
    <v>425.99</v>
    <v>415.94</v>
    <v>424.14</v>
    <v>408.97</v>
    <v>411.11</v>
    <v>407.4</v>
    <v>396.02</v>
    <v>421.85</v>
    <v>409.67</v>
    <v>407.84</v>
    <v>379.52</v>
    <v>357.62</v>
    <v>375.01</v>
    <v>367.34</v>
    <v>352.8</v>
    <v>374.33</v>
    <v>384.29</v>
    <v>385.97</v>
    <v>373.98</v>
    <v>383.71</v>
    <v>398.78</v>
    <v>421.09</v>
    <v>406.77</v>
    <v>434.6</v>
    <v>411.23</v>
    <v>404.02</v>
    <v>424.96</v>
    <v>413.22</v>
    <v>378.79</v>
    <v>380.07</v>
    <v>362.43</v>
    <v>391.76</v>
    <v>423.12</v>
    <v>429.36</v>
    <v>453.3</v>
    <v>468.72</v>
    <v>496.3</v>
    <v>500.77</v>
    <v>503.13</v>
    <v>513.28</v>
    <v>533.44000000000005</v>
    <v>519.6</v>
    <v>531.80999999999995</v>
    <v>547.75</v>
    <v>539.75</v>
    <v>559.9</v>
    <v>579.88</v>
    <v>587.62</v>
    <v>586.25</v>
    <v>595.86</v>
    <v>579.03</v>
    <v>643.29999999999995</v>
    <v>673.64</v>
    <v>726.93</v>
    <v>738.54</v>
    <v>771.01</v>
    <v>786.42</v>
    <v>766.44</v>
    <v>782.64</v>
    <v>834.01</v>
    <v>808.79499999999996</v>
    <v>817.35</v>
    <v>804.76</v>
    <v>795.47</v>
    <v>740.84</v>
    <v>733.35</v>
    <v>751.07</v>
    <v>810.46</v>
    <v>812.73</v>
    <v>845.76</v>
    <v>870.66</v>
    <v>880.72</v>
    <v>879.8</v>
    <v>921.26</v>
    <v>926.61</v>
    <v>940.69</v>
    <v>925.99</v>
    <v>847.47</v>
    <v>876.77</v>
    <v>846.01</v>
    <v>815.99</v>
    <v>868.09</v>
    <v>931.04</v>
    <v>1018.8</v>
    <v>1031.3399999999999</v>
    <v>1066.07</v>
    <v>1070.23</v>
    <v>1094.04</v>
    <v>1038.5899999999999</v>
    <v>993.25</v>
    <v>1025.3599999999999</v>
    <v>899.9</v>
    <v>968.53</v>
    <v>965</v>
    <v>915.19</v>
    <v>820.16</v>
    <v>868.26</v>
    <v>827.64</v>
    <v>860.02</v>
    <v>890.09</v>
    <v>910.34</v>
    <v>860.66</v>
    <v>878.31</v>
    <v>828.3</v>
    <v>745.49</v>
    <v>787.66</v>
    <v>802.45</v>
    <v>891.83</v>
    <v>908.1</v>
    <v>913.36</v>
    <v>851.69</v>
    <v>816.99</v>
    <v>747.3</v>
    <v>764.43</v>
    <v>851.68</v>
    <v>856.13</v>
    <v>831.06</v>
    <v>845.35</v>
    <v>837.66</v>
    <v>852.95</v>
    <v>812.76</v>
    <v>800.99</v>
    <v>820.52</v>
    <v>878.21</v>
    <v>921.37</v>
    <v>973.44</v>
    <v>994.79</v>
    <v>903.68</v>
    <v>832.56</v>
    <v>850.24</v>
    <v>850</v>
    <v>794.65</v>
    <v>821.67</v>
    <v>846.37</v>
    <v>847.2</v>
    <v>829.76</v>
    <v>828.38</v>
    <v>816.64</v>
    <v>808.54</v>
    <v>798.61</v>
    <v>849.28</v>
    <v>904.38</v>
    <v>885.92</v>
    <v>862.33</v>
    <v>830.17</v>
    <v>805.55</v>
    <v>771.81</v>
    <v>783.18</v>
    <v>803.13</v>
    <v>858.79</v>
    <v>877.32500000000005</v>
    <v>919.84</v>
    <v>923.86</v>
    <v>905.92</v>
    <v>916.83</v>
    <v>921.51</v>
    <v>913.45</v>
    <v>922.34</v>
    <v>945.57</v>
    <v>848.99</v>
    <v>887.09</v>
    <v>805.63</v>
    <v>807.57</v>
    <v>774.82500000000005</v>
    <v>783</v>
    <v>753.25</v>
    <v>747.2</v>
    <v>713.54</v>
    <v>690.81</v>
    <v>639.01</v>
    <v>660.81</v>
    <v>675.13</v>
    <v>696.89</v>
    <v>642.14</v>
    <v>630.49</v>
  </a>
  <a r="1" c="761">
    <v>88.3</v>
    <v>88.58</v>
    <v>88.57</v>
    <v>88.5</v>
    <v>88.59</v>
    <v>88.76</v>
    <v>89.06</v>
    <v>89.41</v>
    <v>89.9</v>
    <v>90.1</v>
    <v>89.98</v>
    <v>90.14</v>
    <v>90.27</v>
    <v>90.27</v>
    <v>89.97</v>
    <v>90.11</v>
    <v>90.68</v>
    <v>90.53</v>
    <v>90.53</v>
    <v>90.72</v>
    <v>90.67</v>
    <v>90.76</v>
    <v>90.93</v>
    <v>90.95</v>
    <v>91.03</v>
    <v>91.14</v>
    <v>91.14</v>
    <v>91.65</v>
    <v>91.74</v>
    <v>92.03</v>
    <v>91.96</v>
    <v>92.2</v>
    <v>92.19</v>
    <v>92.27</v>
    <v>92.23</v>
    <v>92.22</v>
    <v>92.25</v>
    <v>92.44</v>
    <v>93.46</v>
    <v>93.58</v>
    <v>93.37</v>
    <v>93.6</v>
    <v>93.82</v>
    <v>93.85</v>
    <v>94.29</v>
    <v>94.32</v>
    <v>94.38</v>
    <v>94.28</v>
    <v>94.05</v>
    <v>93.42</v>
    <v>93.48</v>
    <v>93.46</v>
    <v>93.69</v>
    <v>93.64</v>
    <v>93.8</v>
    <v>93.9</v>
    <v>94.26</v>
    <v>94.08</v>
    <v>93.95</v>
    <v>93.57</v>
    <v>93.77</v>
    <v>93.93</v>
    <v>94.22</v>
    <v>94.16</v>
    <v>94.34</v>
    <v>94.53</v>
    <v>94.58</v>
    <v>94.47</v>
    <v>94.35</v>
    <v>94.15</v>
    <v>94.09</v>
    <v>94.14</v>
    <v>93.85</v>
    <v>94.02</v>
    <v>93.99</v>
    <v>94.02</v>
    <v>94.05</v>
    <v>94.22</v>
    <v>94.06</v>
    <v>94.13</v>
    <v>94.25</v>
    <v>94.27</v>
    <v>94.32</v>
    <v>94.37</v>
    <v>94.32</v>
    <v>94.6</v>
    <v>94.68</v>
    <v>94.53</v>
    <v>94.51</v>
    <v>94.46</v>
    <v>94.54</v>
    <v>94.69</v>
    <v>94.77</v>
    <v>94.73</v>
    <v>94.65</v>
    <v>94.82</v>
    <v>94.89</v>
    <v>94.91</v>
    <v>95.15</v>
    <v>95.08</v>
    <v>91.99</v>
    <v>91.95</v>
    <v>92.05</v>
    <v>92.11</v>
    <v>91.75</v>
    <v>91.79</v>
    <v>91.39</v>
    <v>91.71</v>
    <v>91.65</v>
    <v>91.59</v>
    <v>91.73</v>
    <v>91.51</v>
    <v>91.63</v>
    <v>91.87</v>
    <v>91.8</v>
    <v>91.85</v>
    <v>91.87</v>
    <v>91.68</v>
    <v>91.41</v>
    <v>91.46</v>
    <v>91.18</v>
    <v>90.89</v>
    <v>91.02</v>
    <v>91.23</v>
    <v>91.24</v>
    <v>91.51</v>
    <v>91.89</v>
    <v>91.51</v>
    <v>91.31</v>
    <v>91.69</v>
    <v>91.71</v>
    <v>91.54</v>
    <v>91.59</v>
    <v>91.89</v>
    <v>92</v>
    <v>92.16</v>
    <v>92.15</v>
    <v>92.1</v>
    <v>91.95</v>
    <v>91.95</v>
    <v>91.83</v>
    <v>92.25</v>
    <v>92.12</v>
    <v>92.15</v>
    <v>92.26</v>
    <v>92.26</v>
    <v>92.25</v>
    <v>92.17</v>
    <v>92.16</v>
    <v>92.39</v>
    <v>92.26</v>
    <v>92.04</v>
    <v>92.18</v>
    <v>92.08</v>
    <v>92.42</v>
    <v>92.39</v>
    <v>92.6</v>
    <v>92.57</v>
    <v>92.52</v>
    <v>92.28</v>
    <v>92.2</v>
    <v>92.59</v>
    <v>92.48</v>
    <v>92.03</v>
    <v>91.94</v>
    <v>92.25</v>
    <v>92.12</v>
    <v>92.21</v>
    <v>92.13</v>
    <v>92.38</v>
    <v>92.33</v>
    <v>92.26</v>
    <v>92.32</v>
    <v>92.37</v>
    <v>92.45</v>
    <v>92.63</v>
    <v>92.82</v>
    <v>92.89</v>
    <v>92.9</v>
    <v>92.99</v>
    <v>92.78</v>
    <v>92.97</v>
    <v>93.25</v>
    <v>93.37</v>
    <v>93.29</v>
    <v>93.3</v>
    <v>93.24</v>
    <v>93.34</v>
    <v>93.28</v>
    <v>93.37</v>
    <v>93.44</v>
    <v>93.31</v>
    <v>93.25</v>
    <v>93.42</v>
    <v>93.35</v>
    <v>93.48</v>
    <v>93.65</v>
    <v>93.5</v>
    <v>93.16</v>
    <v>92.8</v>
    <v>92.82</v>
    <v>93.44</v>
    <v>93.48</v>
    <v>93.53</v>
    <v>93.56</v>
    <v>93.78</v>
    <v>93.86</v>
    <v>94.1</v>
    <v>94.24</v>
    <v>94.15</v>
    <v>94.24</v>
    <v>94.24</v>
    <v>94.5</v>
    <v>94.46</v>
    <v>94.46</v>
    <v>94.43</v>
    <v>94.5</v>
    <v>94.5</v>
    <v>94.5</v>
    <v>94.36</v>
    <v>94.37</v>
    <v>94.23</v>
    <v>94.23</v>
    <v>94.31</v>
    <v>94.25</v>
    <v>94.15</v>
    <v>91.63</v>
    <v>91.92</v>
    <v>91.92</v>
    <v>91.96</v>
    <v>91.79</v>
    <v>92.44</v>
    <v>92.14</v>
    <v>92.25</v>
    <v>92.25</v>
    <v>92.22</v>
    <v>92.45</v>
    <v>92.55</v>
    <v>92.36</v>
    <v>92.38</v>
    <v>92.34</v>
    <v>92.48</v>
    <v>92.55</v>
    <v>92.34</v>
    <v>92.25</v>
    <v>92.33</v>
    <v>92.47</v>
    <v>92.55</v>
    <v>92.69</v>
    <v>92.7</v>
    <v>92.75</v>
    <v>92.82</v>
    <v>92.94</v>
    <v>92.7</v>
    <v>92.65</v>
    <v>92.67</v>
    <v>92.93</v>
    <v>92.8</v>
    <v>92.93</v>
    <v>92.88</v>
    <v>92.77</v>
    <v>92.64</v>
    <v>92.81</v>
    <v>92.64</v>
    <v>92.73</v>
    <v>92.84</v>
    <v>92.98</v>
    <v>93.05</v>
    <v>93.2</v>
    <v>92.98</v>
    <v>92.97</v>
    <v>93.18</v>
    <v>93.15</v>
    <v>93.14</v>
    <v>93.16</v>
    <v>93.08</v>
    <v>92.99</v>
    <v>93.17</v>
    <v>93.29</v>
    <v>93.17</v>
    <v>93.2</v>
    <v>93.24</v>
    <v>93.47</v>
    <v>93.5</v>
    <v>93.58</v>
    <v>93.61</v>
    <v>93.78</v>
    <v>93.87</v>
    <v>93.87</v>
    <v>93.87</v>
    <v>93.94</v>
    <v>94</v>
    <v>93.88</v>
    <v>93.7</v>
    <v>93.74</v>
    <v>93.67</v>
    <v>93.35</v>
    <v>93.68</v>
    <v>93.74</v>
    <v>93.98</v>
    <v>93.96</v>
    <v>93.95</v>
    <v>93.92</v>
    <v>94</v>
    <v>93.89</v>
    <v>93.67</v>
    <v>93.5</v>
    <v>93.39</v>
    <v>93.15</v>
    <v>93.29</v>
    <v>93.74</v>
    <v>93.8</v>
    <v>93.72</v>
    <v>93.76</v>
    <v>93.85</v>
    <v>94.04</v>
    <v>94.09</v>
    <v>94.07</v>
    <v>94.07</v>
    <v>94.17</v>
    <v>94.22</v>
    <v>94.48</v>
    <v>94.62</v>
    <v>94.6</v>
    <v>94.76</v>
    <v>94.85</v>
    <v>94.78</v>
    <v>94.7</v>
    <v>94.84</v>
    <v>94.77</v>
    <v>94.73</v>
    <v>94.98</v>
    <v>95.02</v>
    <v>95.13</v>
    <v>95.22</v>
    <v>95.04</v>
    <v>95.19</v>
    <v>95.19</v>
    <v>95.3</v>
    <v>95.22</v>
    <v>95.29</v>
    <v>95.29</v>
    <v>95.36</v>
    <v>95.46</v>
    <v>95.14</v>
    <v>95.16</v>
    <v>94.83</v>
    <v>94.8</v>
    <v>94.61</v>
    <v>94.44</v>
    <v>94.54</v>
    <v>91.61</v>
    <v>91.74</v>
    <v>91.86</v>
    <v>92.08</v>
    <v>92.11</v>
    <v>92.29</v>
    <v>92.08</v>
    <v>92.16</v>
    <v>92.13</v>
    <v>92.01</v>
    <v>91.95</v>
    <v>91.78</v>
    <v>91.63</v>
    <v>91.87</v>
    <v>91.77</v>
    <v>91.15</v>
    <v>90.26</v>
    <v>89.12</v>
    <v>89.98</v>
    <v>89.48</v>
    <v>90.19</v>
    <v>90.11</v>
    <v>90.59</v>
    <v>91.13</v>
    <v>91.3</v>
    <v>91.43</v>
    <v>91.4</v>
    <v>92.17</v>
    <v>92.33</v>
    <v>92.42</v>
    <v>92.27</v>
    <v>92.2</v>
    <v>91.86</v>
    <v>92.27</v>
    <v>92.26</v>
    <v>92.22</v>
    <v>92.34</v>
    <v>92.55</v>
    <v>92.56</v>
    <v>92.82</v>
    <v>93.04</v>
    <v>92.85</v>
    <v>92.79</v>
    <v>92.89</v>
    <v>92.92</v>
    <v>93.04</v>
    <v>92.96</v>
    <v>92.81</v>
    <v>92.61</v>
    <v>92.84</v>
    <v>93.06</v>
    <v>93.14</v>
    <v>93.33</v>
    <v>93.43</v>
    <v>93.51</v>
    <v>93.61</v>
    <v>93.63</v>
    <v>93.5</v>
    <v>93.65</v>
    <v>93.61</v>
    <v>93.69</v>
    <v>93.75</v>
    <v>93.68</v>
    <v>93.43</v>
    <v>93.64</v>
    <v>93.42</v>
    <v>93.39</v>
    <v>93.15</v>
    <v>93.35</v>
    <v>93.38</v>
    <v>93.6</v>
    <v>93.56</v>
    <v>93.45</v>
    <v>93.56</v>
    <v>93.64</v>
    <v>93.6</v>
    <v>93.73</v>
    <v>94.01</v>
    <v>93.78</v>
    <v>93.88</v>
    <v>93.96</v>
    <v>94.18</v>
    <v>94.25</v>
    <v>94.12</v>
    <v>94.12</v>
    <v>94.09</v>
    <v>93.99</v>
    <v>94.04</v>
    <v>94.07</v>
    <v>94.19</v>
    <v>94.1</v>
    <v>94.28</v>
    <v>94.3</v>
    <v>94.31</v>
    <v>94.34</v>
    <v>94.37</v>
    <v>94.46</v>
    <v>94.47</v>
    <v>94.2</v>
    <v>94.44</v>
    <v>94.5</v>
    <v>94.53</v>
    <v>94.66</v>
    <v>94.72</v>
    <v>94.69</v>
    <v>94.83</v>
    <v>94.92</v>
    <v>94.93</v>
    <v>94.78</v>
    <v>94.78</v>
    <v>94.64</v>
    <v>94.52</v>
    <v>94.77</v>
    <v>94.66</v>
    <v>94.61</v>
    <v>94.54</v>
    <v>94.44</v>
    <v>94.45</v>
    <v>94.51</v>
    <v>94.27</v>
    <v>94.36</v>
    <v>94.48</v>
    <v>94.6</v>
    <v>94.69</v>
    <v>94.5</v>
    <v>94.49</v>
    <v>92.32</v>
    <v>92.4</v>
    <v>92.46</v>
    <v>92.24</v>
    <v>92.43</v>
    <v>92.68</v>
    <v>92.62</v>
    <v>92.59</v>
    <v>92.57</v>
    <v>92.65</v>
    <v>92.38</v>
    <v>92.57</v>
    <v>92.54</v>
    <v>92.49</v>
    <v>92.5</v>
    <v>92.63</v>
    <v>92.58</v>
    <v>92.48</v>
    <v>92.26</v>
    <v>92.11</v>
    <v>91.93</v>
    <v>91.83</v>
    <v>91.8</v>
    <v>91.88</v>
    <v>92.37</v>
    <v>92.21</v>
    <v>92.05</v>
    <v>92.38</v>
    <v>92.38</v>
    <v>92.47</v>
    <v>92.48</v>
    <v>92.59</v>
    <v>92.78</v>
    <v>92.77</v>
    <v>92.72</v>
    <v>92.65</v>
    <v>92.64</v>
    <v>92.68</v>
    <v>92.46</v>
    <v>92.5</v>
    <v>92.47</v>
    <v>92.34</v>
    <v>92.54</v>
    <v>92.59</v>
    <v>92.67</v>
    <v>92.51</v>
    <v>92.4</v>
    <v>92.36</v>
    <v>92.18</v>
    <v>92.25</v>
    <v>92.4</v>
    <v>92.21</v>
    <v>92.49</v>
    <v>92.6</v>
    <v>92.73</v>
    <v>92.78</v>
    <v>92.92</v>
    <v>92.79</v>
    <v>92.8</v>
    <v>92.79</v>
    <v>92.77</v>
    <v>92.83</v>
    <v>92.79</v>
    <v>92.74</v>
    <v>92.64</v>
    <v>92.75</v>
    <v>92.75</v>
    <v>92.82</v>
    <v>92.82</v>
    <v>92.85</v>
    <v>93.03</v>
    <v>93.06</v>
    <v>92.97</v>
    <v>93.12</v>
    <v>93.21</v>
    <v>93.34</v>
    <v>93.27</v>
    <v>93.46</v>
    <v>93.5</v>
    <v>93.61</v>
    <v>93.57</v>
    <v>93.63</v>
    <v>93.59</v>
    <v>93.59</v>
    <v>93.46</v>
    <v>93.44</v>
    <v>93.41</v>
    <v>93.26</v>
    <v>93.22</v>
    <v>93.37</v>
    <v>93.5</v>
    <v>93.55</v>
    <v>93.59</v>
    <v>93.75</v>
    <v>93.69</v>
    <v>93.46</v>
    <v>93.54</v>
    <v>93.57</v>
    <v>93.68</v>
    <v>93.55</v>
    <v>93.52</v>
    <v>93.64</v>
    <v>93.72</v>
    <v>93.69</v>
    <v>93.73</v>
    <v>93.56</v>
    <v>93.44</v>
    <v>93.65</v>
    <v>93.55</v>
    <v>93.72</v>
    <v>93.58</v>
    <v>93.77</v>
    <v>93.77</v>
    <v>93.67</v>
    <v>93.79</v>
    <v>93.71</v>
    <v>93.55</v>
    <v>93.28</v>
    <v>92.62</v>
    <v>93.17</v>
    <v>93.03</v>
    <v>92.45</v>
    <v>92.3</v>
    <v>92.8</v>
    <v>92.53</v>
    <v>92.18</v>
    <v>91.91</v>
    <v>91.92</v>
    <v>92.29</v>
    <v>92.2</v>
    <v>89.47</v>
    <v>89.03</v>
    <v>89.56</v>
    <v>89.32</v>
    <v>89.74</v>
    <v>89.12</v>
    <v>88.96</v>
    <v>88.93</v>
    <v>89.08</v>
    <v>89.87</v>
    <v>90.03</v>
    <v>89.61</v>
    <v>90.72</v>
    <v>90.5</v>
    <v>90.73</v>
    <v>90.35</v>
    <v>90.83</v>
    <v>90.79</v>
    <v>90.9</v>
    <v>91.38</v>
    <v>91.15</v>
    <v>90.97</v>
    <v>90.9</v>
    <v>90.99</v>
    <v>90.92</v>
    <v>90.95</v>
    <v>90.79</v>
    <v>90.64</v>
    <v>90.81</v>
    <v>90.89</v>
    <v>91.01</v>
    <v>91.37</v>
    <v>91.34</v>
    <v>91.42</v>
    <v>91.42</v>
    <v>91.24</v>
    <v>91.33</v>
    <v>91.46</v>
    <v>91.17</v>
    <v>91.16</v>
    <v>90.83</v>
    <v>91.25</v>
    <v>91.2</v>
    <v>91.27</v>
    <v>91.54</v>
    <v>91.4</v>
    <v>91.53</v>
    <v>91.64</v>
    <v>91.85</v>
    <v>91.74</v>
    <v>91.89</v>
    <v>91.68</v>
    <v>91.74</v>
    <v>91.6</v>
    <v>91.57</v>
    <v>91.53</v>
    <v>91.62</v>
    <v>91.65</v>
    <v>91.87</v>
    <v>92.17</v>
    <v>92.11</v>
    <v>92.16</v>
    <v>91.02</v>
    <v>91.01</v>
    <v>91.14</v>
    <v>91</v>
    <v>91.08</v>
    <v>91.17</v>
    <v>91.07</v>
    <v>91.08</v>
    <v>91.24</v>
    <v>91.07</v>
    <v>91.18</v>
    <v>91.26</v>
    <v>91.35</v>
    <v>91.2</v>
    <v>91.04</v>
    <v>91.14</v>
    <v>91.21</v>
    <v>91.13</v>
    <v>91.12</v>
    <v>91.09</v>
    <v>91.07</v>
    <v>90.84</v>
    <v>90.91</v>
    <v>90.97</v>
    <v>90.93</v>
    <v>90.57</v>
    <v>90.66</v>
    <v>90.69</v>
    <v>90.81</v>
    <v>90.57</v>
    <v>90.82</v>
    <v>90.74</v>
    <v>91.07</v>
    <v>91.1</v>
    <v>91.08</v>
    <v>91.22</v>
    <v>91.31</v>
    <v>91.31</v>
    <v>91.24</v>
    <v>91.27</v>
    <v>91.34</v>
    <v>91.32</v>
    <v>91.24</v>
    <v>91.09</v>
    <v>91.08</v>
    <v>91.09</v>
    <v>91.15</v>
    <v>91.14</v>
    <v>91.24</v>
    <v>91.22</v>
    <v>91.24</v>
    <v>91.26</v>
    <v>91.09</v>
    <v>91.1</v>
    <v>90.94</v>
    <v>90.97</v>
    <v>90.96</v>
    <v>91</v>
    <v>91</v>
    <v>90.75</v>
    <v>90.29</v>
    <v>90.39</v>
    <v>90.22</v>
    <v>90.17</v>
    <v>90.25</v>
    <v>89.41</v>
    <v>89.26</v>
    <v>89.43</v>
    <v>89.45</v>
    <v>89.39</v>
    <v>88.75</v>
    <v>88.88</v>
    <v>88.5</v>
    <v>88.56</v>
    <v>88.6</v>
    <v>88.14</v>
    <v>87.87</v>
    <v>88.15</v>
    <v>88.9</v>
    <v>88.65</v>
    <v>88.41</v>
    <v>88.35</v>
    <v>88.33</v>
    <v>88.1</v>
    <v>88.1</v>
    <v>88.16</v>
    <v>88.36</v>
    <v>88.03</v>
    <v>88.18</v>
    <v>87.93</v>
    <v>87.75</v>
    <v>87.21</v>
  </a>
  <a r="1" c="208">
    <v>93.27</v>
    <v>93.46</v>
    <v>93.5</v>
    <v>93.61</v>
    <v>93.57</v>
    <v>93.63</v>
    <v>93.59</v>
    <v>93.59</v>
    <v>93.46</v>
    <v>93.44</v>
    <v>93.41</v>
    <v>93.26</v>
    <v>93.22</v>
    <v>93.37</v>
    <v>93.5</v>
    <v>93.55</v>
    <v>93.59</v>
    <v>93.75</v>
    <v>93.69</v>
    <v>93.46</v>
    <v>93.54</v>
    <v>93.57</v>
    <v>93.68</v>
    <v>93.55</v>
    <v>93.52</v>
    <v>93.64</v>
    <v>93.72</v>
    <v>93.69</v>
    <v>93.73</v>
    <v>93.56</v>
    <v>93.44</v>
    <v>93.65</v>
    <v>93.55</v>
    <v>93.72</v>
    <v>93.58</v>
    <v>93.77</v>
    <v>93.77</v>
    <v>93.67</v>
    <v>93.79</v>
    <v>93.71</v>
    <v>93.55</v>
    <v>93.28</v>
    <v>92.62</v>
    <v>93.17</v>
    <v>93.03</v>
    <v>92.45</v>
    <v>92.3</v>
    <v>92.8</v>
    <v>92.53</v>
    <v>92.18</v>
    <v>91.91</v>
    <v>91.92</v>
    <v>92.29</v>
    <v>92.2</v>
    <v>89.47</v>
    <v>89.03</v>
    <v>89.56</v>
    <v>89.32</v>
    <v>89.74</v>
    <v>89.12</v>
    <v>88.96</v>
    <v>88.93</v>
    <v>89.08</v>
    <v>89.87</v>
    <v>90.03</v>
    <v>89.61</v>
    <v>90.72</v>
    <v>90.5</v>
    <v>90.73</v>
    <v>90.35</v>
    <v>90.83</v>
    <v>90.79</v>
    <v>90.9</v>
    <v>91.38</v>
    <v>91.15</v>
    <v>90.97</v>
    <v>90.9</v>
    <v>90.99</v>
    <v>90.92</v>
    <v>90.95</v>
    <v>90.79</v>
    <v>90.64</v>
    <v>90.81</v>
    <v>90.89</v>
    <v>91.01</v>
    <v>91.37</v>
    <v>91.34</v>
    <v>91.42</v>
    <v>91.42</v>
    <v>91.24</v>
    <v>91.33</v>
    <v>91.46</v>
    <v>91.17</v>
    <v>91.16</v>
    <v>90.83</v>
    <v>91.25</v>
    <v>91.2</v>
    <v>91.27</v>
    <v>91.54</v>
    <v>91.4</v>
    <v>91.53</v>
    <v>91.64</v>
    <v>91.85</v>
    <v>91.74</v>
    <v>91.89</v>
    <v>91.68</v>
    <v>91.74</v>
    <v>91.6</v>
    <v>91.57</v>
    <v>91.53</v>
    <v>91.62</v>
    <v>91.65</v>
    <v>91.87</v>
    <v>92.17</v>
    <v>92.11</v>
    <v>92.16</v>
    <v>91.02</v>
    <v>91.01</v>
    <v>91.14</v>
    <v>91</v>
    <v>91.08</v>
    <v>91.17</v>
    <v>91.07</v>
    <v>91.08</v>
    <v>91.24</v>
    <v>91.07</v>
    <v>91.18</v>
    <v>91.26</v>
    <v>91.35</v>
    <v>91.2</v>
    <v>91.04</v>
    <v>91.14</v>
    <v>91.21</v>
    <v>91.13</v>
    <v>91.12</v>
    <v>91.09</v>
    <v>91.07</v>
    <v>90.84</v>
    <v>90.91</v>
    <v>90.97</v>
    <v>90.93</v>
    <v>90.57</v>
    <v>90.66</v>
    <v>90.69</v>
    <v>90.81</v>
    <v>90.57</v>
    <v>90.82</v>
    <v>90.74</v>
    <v>91.07</v>
    <v>91.1</v>
    <v>91.08</v>
    <v>91.22</v>
    <v>91.31</v>
    <v>91.31</v>
    <v>91.24</v>
    <v>91.27</v>
    <v>91.34</v>
    <v>91.32</v>
    <v>91.24</v>
    <v>91.09</v>
    <v>91.08</v>
    <v>91.09</v>
    <v>91.15</v>
    <v>91.14</v>
    <v>91.24</v>
    <v>91.22</v>
    <v>91.24</v>
    <v>91.26</v>
    <v>91.09</v>
    <v>91.1</v>
    <v>90.94</v>
    <v>90.97</v>
    <v>90.96</v>
    <v>91</v>
    <v>91</v>
    <v>90.75</v>
    <v>90.29</v>
    <v>90.39</v>
    <v>90.22</v>
    <v>90.17</v>
    <v>90.25</v>
    <v>89.41</v>
    <v>89.26</v>
    <v>89.43</v>
    <v>89.45</v>
    <v>89.39</v>
    <v>88.75</v>
    <v>88.88</v>
    <v>88.5</v>
    <v>88.56</v>
    <v>88.6</v>
    <v>88.14</v>
    <v>87.87</v>
    <v>88.15</v>
    <v>88.9</v>
    <v>88.65</v>
    <v>88.41</v>
    <v>88.35</v>
    <v>88.33</v>
    <v>88.1</v>
    <v>88.1</v>
    <v>88.16</v>
    <v>88.36</v>
    <v>88.03</v>
    <v>88.18</v>
    <v>87.93</v>
    <v>87.75</v>
    <v>87.21</v>
  </a>
  <a r="1" c="254">
    <v>92.48</v>
    <v>92.59</v>
    <v>92.78</v>
    <v>92.77</v>
    <v>92.72</v>
    <v>92.65</v>
    <v>92.64</v>
    <v>92.68</v>
    <v>92.46</v>
    <v>92.5</v>
    <v>92.47</v>
    <v>92.34</v>
    <v>92.54</v>
    <v>92.59</v>
    <v>92.67</v>
    <v>92.51</v>
    <v>92.4</v>
    <v>92.36</v>
    <v>92.18</v>
    <v>92.25</v>
    <v>92.4</v>
    <v>92.21</v>
    <v>92.49</v>
    <v>92.6</v>
    <v>92.73</v>
    <v>92.78</v>
    <v>92.92</v>
    <v>92.79</v>
    <v>92.8</v>
    <v>92.79</v>
    <v>92.77</v>
    <v>92.83</v>
    <v>92.79</v>
    <v>92.74</v>
    <v>92.64</v>
    <v>92.75</v>
    <v>92.75</v>
    <v>92.82</v>
    <v>92.82</v>
    <v>92.85</v>
    <v>93.03</v>
    <v>93.06</v>
    <v>92.97</v>
    <v>93.12</v>
    <v>93.21</v>
    <v>93.34</v>
    <v>93.27</v>
    <v>93.46</v>
    <v>93.5</v>
    <v>93.61</v>
    <v>93.57</v>
    <v>93.63</v>
    <v>93.59</v>
    <v>93.59</v>
    <v>93.46</v>
    <v>93.44</v>
    <v>93.41</v>
    <v>93.26</v>
    <v>93.22</v>
    <v>93.37</v>
    <v>93.5</v>
    <v>93.55</v>
    <v>93.59</v>
    <v>93.75</v>
    <v>93.69</v>
    <v>93.46</v>
    <v>93.54</v>
    <v>93.57</v>
    <v>93.68</v>
    <v>93.55</v>
    <v>93.52</v>
    <v>93.64</v>
    <v>93.72</v>
    <v>93.69</v>
    <v>93.73</v>
    <v>93.56</v>
    <v>93.44</v>
    <v>93.65</v>
    <v>93.55</v>
    <v>93.72</v>
    <v>93.58</v>
    <v>93.77</v>
    <v>93.77</v>
    <v>93.67</v>
    <v>93.79</v>
    <v>93.71</v>
    <v>93.55</v>
    <v>93.28</v>
    <v>92.62</v>
    <v>93.17</v>
    <v>93.03</v>
    <v>92.45</v>
    <v>92.3</v>
    <v>92.8</v>
    <v>92.53</v>
    <v>92.18</v>
    <v>91.91</v>
    <v>91.92</v>
    <v>92.29</v>
    <v>92.2</v>
    <v>89.47</v>
    <v>89.03</v>
    <v>89.56</v>
    <v>89.32</v>
    <v>89.74</v>
    <v>89.12</v>
    <v>88.96</v>
    <v>88.93</v>
    <v>89.08</v>
    <v>89.87</v>
    <v>90.03</v>
    <v>89.61</v>
    <v>90.72</v>
    <v>90.5</v>
    <v>90.73</v>
    <v>90.35</v>
    <v>90.83</v>
    <v>90.79</v>
    <v>90.9</v>
    <v>91.38</v>
    <v>91.15</v>
    <v>90.97</v>
    <v>90.9</v>
    <v>90.99</v>
    <v>90.92</v>
    <v>90.95</v>
    <v>90.79</v>
    <v>90.64</v>
    <v>90.81</v>
    <v>90.89</v>
    <v>91.01</v>
    <v>91.37</v>
    <v>91.34</v>
    <v>91.42</v>
    <v>91.42</v>
    <v>91.24</v>
    <v>91.33</v>
    <v>91.46</v>
    <v>91.17</v>
    <v>91.16</v>
    <v>90.83</v>
    <v>91.25</v>
    <v>91.2</v>
    <v>91.27</v>
    <v>91.54</v>
    <v>91.4</v>
    <v>91.53</v>
    <v>91.64</v>
    <v>91.85</v>
    <v>91.74</v>
    <v>91.89</v>
    <v>91.68</v>
    <v>91.74</v>
    <v>91.6</v>
    <v>91.57</v>
    <v>91.53</v>
    <v>91.62</v>
    <v>91.65</v>
    <v>91.87</v>
    <v>92.17</v>
    <v>92.11</v>
    <v>92.16</v>
    <v>91.02</v>
    <v>91.01</v>
    <v>91.14</v>
    <v>91</v>
    <v>91.08</v>
    <v>91.17</v>
    <v>91.07</v>
    <v>91.08</v>
    <v>91.24</v>
    <v>91.07</v>
    <v>91.18</v>
    <v>91.26</v>
    <v>91.35</v>
    <v>91.2</v>
    <v>91.04</v>
    <v>91.14</v>
    <v>91.21</v>
    <v>91.13</v>
    <v>91.12</v>
    <v>91.09</v>
    <v>91.07</v>
    <v>90.84</v>
    <v>90.91</v>
    <v>90.97</v>
    <v>90.93</v>
    <v>90.57</v>
    <v>90.66</v>
    <v>90.69</v>
    <v>90.81</v>
    <v>90.57</v>
    <v>90.82</v>
    <v>90.74</v>
    <v>91.07</v>
    <v>91.1</v>
    <v>91.08</v>
    <v>91.22</v>
    <v>91.31</v>
    <v>91.31</v>
    <v>91.24</v>
    <v>91.27</v>
    <v>91.34</v>
    <v>91.32</v>
    <v>91.24</v>
    <v>91.09</v>
    <v>91.08</v>
    <v>91.09</v>
    <v>91.15</v>
    <v>91.14</v>
    <v>91.24</v>
    <v>91.22</v>
    <v>91.24</v>
    <v>91.26</v>
    <v>91.09</v>
    <v>91.1</v>
    <v>90.94</v>
    <v>90.97</v>
    <v>90.96</v>
    <v>91</v>
    <v>91</v>
    <v>90.75</v>
    <v>90.29</v>
    <v>90.39</v>
    <v>90.22</v>
    <v>90.17</v>
    <v>90.25</v>
    <v>89.41</v>
    <v>89.26</v>
    <v>89.43</v>
    <v>89.45</v>
    <v>89.39</v>
    <v>88.75</v>
    <v>88.88</v>
    <v>88.5</v>
    <v>88.56</v>
    <v>88.6</v>
    <v>88.14</v>
    <v>87.87</v>
    <v>88.15</v>
    <v>88.9</v>
    <v>88.65</v>
    <v>88.41</v>
    <v>88.35</v>
    <v>88.33</v>
    <v>88.1</v>
    <v>88.1</v>
    <v>88.16</v>
    <v>88.36</v>
    <v>88.03</v>
    <v>88.18</v>
    <v>87.93</v>
    <v>87.75</v>
    <v>87.21</v>
  </a>
  <a r="1" c="761">
    <v>117.43</v>
    <v>117.81</v>
    <v>117.64</v>
    <v>117.82</v>
    <v>117.98</v>
    <v>118.15</v>
    <v>118.39</v>
    <v>118.81</v>
    <v>119.18</v>
    <v>119.58</v>
    <v>119.04</v>
    <v>119.23</v>
    <v>119.52</v>
    <v>119.56</v>
    <v>119.25</v>
    <v>119.23</v>
    <v>120.18</v>
    <v>119.99</v>
    <v>120.17</v>
    <v>120.16</v>
    <v>119.97</v>
    <v>120.25</v>
    <v>120.19</v>
    <v>120</v>
    <v>119.89</v>
    <v>120.42</v>
    <v>120.85</v>
    <v>121.43</v>
    <v>121.43</v>
    <v>122.22</v>
    <v>122.16</v>
    <v>122.69</v>
    <v>122.87</v>
    <v>122.88</v>
    <v>122.51</v>
    <v>122.49</v>
    <v>122.51</v>
    <v>123.09</v>
    <v>123.09</v>
    <v>123.57</v>
    <v>123.13</v>
    <v>123.46</v>
    <v>123.78</v>
    <v>124.02</v>
    <v>124.28</v>
    <v>124.42</v>
    <v>124.34</v>
    <v>123.96</v>
    <v>123.46</v>
    <v>123.3</v>
    <v>122.86</v>
    <v>122.65</v>
    <v>122.83</v>
    <v>122.56</v>
    <v>122.47</v>
    <v>122.51</v>
    <v>123.11</v>
    <v>122.85</v>
    <v>122.74</v>
    <v>122.16</v>
    <v>122.26</v>
    <v>122.28</v>
    <v>122.66</v>
    <v>122.39</v>
    <v>122.52</v>
    <v>122.96</v>
    <v>123.02</v>
    <v>123.38</v>
    <v>123.07</v>
    <v>123.62</v>
    <v>123.72</v>
    <v>123.13</v>
    <v>122.63</v>
    <v>122.89</v>
    <v>122.74</v>
    <v>122.43</v>
    <v>122.35</v>
    <v>122.52</v>
    <v>122.3</v>
    <v>122.58</v>
    <v>122.79</v>
    <v>122.48</v>
    <v>122.49</v>
    <v>122.72</v>
    <v>122.44</v>
    <v>122.53</v>
    <v>122.92</v>
    <v>122.62</v>
    <v>122.2</v>
    <v>122.19</v>
    <v>122.5</v>
    <v>122.6</v>
    <v>122.7</v>
    <v>122.99</v>
    <v>122.88</v>
    <v>123.35</v>
    <v>123.69</v>
    <v>123.54</v>
    <v>123.51</v>
    <v>123.54</v>
    <v>122.38</v>
    <v>122.2</v>
    <v>122.12</v>
    <v>122.25</v>
    <v>122.23</v>
    <v>122.6</v>
    <v>122.89</v>
    <v>122.64</v>
    <v>122.79</v>
    <v>123.14</v>
    <v>123.35</v>
    <v>122.9</v>
    <v>123.05</v>
    <v>123.36</v>
    <v>123.16</v>
    <v>123</v>
    <v>123.28</v>
    <v>122.86</v>
    <v>122.52</v>
    <v>123.05</v>
    <v>122.55</v>
    <v>122.13</v>
    <v>122.25</v>
    <v>122.31</v>
    <v>122.12</v>
    <v>122.49</v>
    <v>122.53</v>
    <v>121.97</v>
    <v>121.77</v>
    <v>122.14</v>
    <v>122.46</v>
    <v>122.02</v>
    <v>122.31</v>
    <v>122.69</v>
    <v>122.87</v>
    <v>123.12</v>
    <v>122.93</v>
    <v>122.76</v>
    <v>122.62</v>
    <v>122.71</v>
    <v>122.34</v>
    <v>123.21</v>
    <v>122.99</v>
    <v>122.69</v>
    <v>122.61</v>
    <v>122.72</v>
    <v>122.62</v>
    <v>122.22</v>
    <v>122.24</v>
    <v>122.62</v>
    <v>122.42</v>
    <v>121.96</v>
    <v>122.06</v>
    <v>122.04</v>
    <v>122.61</v>
    <v>122.77</v>
    <v>122.93</v>
    <v>122.74</v>
    <v>122.16</v>
    <v>122.01</v>
    <v>122.24</v>
    <v>123.01</v>
    <v>122.07</v>
    <v>122.27</v>
    <v>122.11</v>
    <v>122.21</v>
    <v>122.18</v>
    <v>122.15</v>
    <v>122.13</v>
    <v>122.24</v>
    <v>122.33</v>
    <v>122.11</v>
    <v>122.16</v>
    <v>122.13</v>
    <v>121.95</v>
    <v>122.01</v>
    <v>122.41</v>
    <v>122.35</v>
    <v>122.65</v>
    <v>122.8</v>
    <v>122.47</v>
    <v>122.76</v>
    <v>123.18</v>
    <v>123.03</v>
    <v>123.13</v>
    <v>123.34</v>
    <v>123.24</v>
    <v>123.4</v>
    <v>123.24</v>
    <v>123.14</v>
    <v>123.46</v>
    <v>123.48</v>
    <v>123.67</v>
    <v>123.62</v>
    <v>123.9</v>
    <v>124.08</v>
    <v>124.28</v>
    <v>124.63</v>
    <v>124.51</v>
    <v>123.89</v>
    <v>124.15</v>
    <v>124.28</v>
    <v>124.22</v>
    <v>124.37</v>
    <v>124.32</v>
    <v>124.49</v>
    <v>124.6</v>
    <v>124.49</v>
    <v>124.56</v>
    <v>124.72</v>
    <v>124.8</v>
    <v>124.61</v>
    <v>124.83</v>
    <v>124.69</v>
    <v>124.48</v>
    <v>124.61</v>
    <v>124.58</v>
    <v>124.55</v>
    <v>124.36</v>
    <v>124.58</v>
    <v>124.93</v>
    <v>125</v>
    <v>125.26</v>
    <v>125.31</v>
    <v>125.31</v>
    <v>125.48</v>
    <v>124.25</v>
    <v>124.57</v>
    <v>124.73</v>
    <v>124.59</v>
    <v>124.36</v>
    <v>124.77</v>
    <v>124.51</v>
    <v>124.82</v>
    <v>125.06</v>
    <v>124.75</v>
    <v>124.91</v>
    <v>125.16</v>
    <v>125.22</v>
    <v>125.7</v>
    <v>125.47</v>
    <v>125.38</v>
    <v>125.08</v>
    <v>124.97</v>
    <v>124.95</v>
    <v>124.85</v>
    <v>124.92</v>
    <v>124.93</v>
    <v>124.93</v>
    <v>125.21</v>
    <v>125.53</v>
    <v>125.58</v>
    <v>125.9</v>
    <v>125.26</v>
    <v>125.07</v>
    <v>125.19</v>
    <v>125.47</v>
    <v>125.4</v>
    <v>125.4</v>
    <v>125.13</v>
    <v>124.71</v>
    <v>124.6</v>
    <v>124.77</v>
    <v>124.79</v>
    <v>124.69</v>
    <v>125.18</v>
    <v>125.02</v>
    <v>125.33</v>
    <v>125.76</v>
    <v>125.57</v>
    <v>125.37</v>
    <v>125.67</v>
    <v>125.63</v>
    <v>125.38</v>
    <v>125.43</v>
    <v>125.29</v>
    <v>125.46</v>
    <v>125.77</v>
    <v>126.11</v>
    <v>126.07</v>
    <v>126.24</v>
    <v>126.54</v>
    <v>126.84</v>
    <v>127.29</v>
    <v>127.1</v>
    <v>127.19</v>
    <v>127.1</v>
    <v>127.18</v>
    <v>127.23</v>
    <v>127.28</v>
    <v>127.24</v>
    <v>126.02</v>
    <v>125.75</v>
    <v>125.82</v>
    <v>125.65</v>
    <v>125.64</v>
    <v>125.16</v>
    <v>125.37</v>
    <v>125.27</v>
    <v>125.08</v>
    <v>125.18</v>
    <v>125.31</v>
    <v>124.82</v>
    <v>124.55</v>
    <v>124.42</v>
    <v>124.42</v>
    <v>124.29</v>
    <v>124.04</v>
    <v>123.86</v>
    <v>123.77</v>
    <v>124.4</v>
    <v>124.56</v>
    <v>124.73</v>
    <v>124.8</v>
    <v>124.87</v>
    <v>124.93</v>
    <v>124.66</v>
    <v>124.54</v>
    <v>124.78</v>
    <v>124.77</v>
    <v>124.82</v>
    <v>125.27</v>
    <v>125.77</v>
    <v>126.15</v>
    <v>126.07</v>
    <v>126.25</v>
    <v>126.28</v>
    <v>126</v>
    <v>126.31</v>
    <v>125.84</v>
    <v>125.59</v>
    <v>126.19</v>
    <v>126.09</v>
    <v>125.92</v>
    <v>125.98</v>
    <v>125.62</v>
    <v>125.73</v>
    <v>126.11</v>
    <v>126.1</v>
    <v>126.07</v>
    <v>126.26</v>
    <v>126.41</v>
    <v>126.34</v>
    <v>126.08</v>
    <v>125.95</v>
    <v>124.72</v>
    <v>124.27</v>
    <v>124.68</v>
    <v>124.84</v>
    <v>124.34</v>
    <v>124.31</v>
    <v>123.14</v>
    <v>123.27</v>
    <v>123.8</v>
    <v>123.54</v>
    <v>123.68</v>
    <v>123.84</v>
    <v>123.87</v>
    <v>123.91</v>
    <v>123.93</v>
    <v>123.9</v>
    <v>124.01</v>
    <v>124.14</v>
    <v>124.02</v>
    <v>124.32</v>
    <v>124.09</v>
    <v>124.25</v>
    <v>123.99</v>
    <v>123.01</v>
    <v>124.02</v>
    <v>123.6</v>
    <v>124</v>
    <v>124.08</v>
    <v>124.42</v>
    <v>124.68</v>
    <v>124.94</v>
    <v>125.36</v>
    <v>125.55</v>
    <v>125.49</v>
    <v>125.85</v>
    <v>125.56</v>
    <v>125.35</v>
    <v>125.28</v>
    <v>125.47</v>
    <v>125.33</v>
    <v>125.22</v>
    <v>125.25</v>
    <v>125.54</v>
    <v>125.55</v>
    <v>125.42</v>
    <v>125.05</v>
    <v>125.06</v>
    <v>124.95</v>
    <v>125.21</v>
    <v>125.49</v>
    <v>125.46</v>
    <v>125.53</v>
    <v>125.28</v>
    <v>125.25</v>
    <v>125.7</v>
    <v>125.72</v>
    <v>125.95</v>
    <v>125.85</v>
    <v>126.15</v>
    <v>126.04</v>
    <v>126.12</v>
    <v>126.24</v>
    <v>126.18</v>
    <v>125.77</v>
    <v>126.01</v>
    <v>126.19</v>
    <v>126.38</v>
    <v>126.36</v>
    <v>125.54</v>
    <v>125.14</v>
    <v>125.46</v>
    <v>125.24</v>
    <v>125.38</v>
    <v>125.07</v>
    <v>125.39</v>
    <v>125.45</v>
    <v>125.52</v>
    <v>125.41</v>
    <v>125.44</v>
    <v>125.38</v>
    <v>125.49</v>
    <v>125.7</v>
    <v>125.73</v>
    <v>126</v>
    <v>126.05</v>
    <v>125.87</v>
    <v>125.8</v>
    <v>125.85</v>
    <v>125.68</v>
    <v>125.49</v>
    <v>125.54</v>
    <v>125.71</v>
    <v>125.7</v>
    <v>125.84</v>
    <v>125.82</v>
    <v>126.13</v>
    <v>126.29</v>
    <v>126.41</v>
    <v>125.9</v>
    <v>125.85</v>
    <v>126.07</v>
    <v>126.11</v>
    <v>125.98</v>
    <v>126.01</v>
    <v>125.95</v>
    <v>126.24</v>
    <v>126.29</v>
    <v>126.22</v>
    <v>126.32</v>
    <v>126.14</v>
    <v>125.99</v>
    <v>125.93</v>
    <v>126.33</v>
    <v>126.34</v>
    <v>126</v>
    <v>126.01</v>
    <v>126.13</v>
    <v>125.85</v>
    <v>126.1</v>
    <v>125.85</v>
    <v>125.99</v>
    <v>126.14</v>
    <v>125.96</v>
    <v>125.9</v>
    <v>125.92</v>
    <v>125.43</v>
    <v>125.78</v>
    <v>125.99</v>
    <v>126.41</v>
    <v>126.59</v>
    <v>126.39</v>
    <v>126.5</v>
    <v>125.6</v>
    <v>125.43</v>
    <v>125.58</v>
    <v>125.54</v>
    <v>125.48</v>
    <v>125.53</v>
    <v>125.34</v>
    <v>125.43</v>
    <v>125.45</v>
    <v>125.4</v>
    <v>125.25</v>
    <v>125.37</v>
    <v>125.54</v>
    <v>125.56</v>
    <v>125.55</v>
    <v>125.78</v>
    <v>125.77</v>
    <v>125.83</v>
    <v>125.67</v>
    <v>126</v>
    <v>125.79</v>
    <v>125.86</v>
    <v>125.95</v>
    <v>126.2</v>
    <v>126.53</v>
    <v>126.4</v>
    <v>126.35</v>
    <v>126.52</v>
    <v>126.54</v>
    <v>126.57</v>
    <v>126.55</v>
    <v>126.31</v>
    <v>126.48</v>
    <v>126.45</v>
    <v>126.52</v>
    <v>126.35</v>
    <v>126.47</v>
    <v>126.13</v>
    <v>126.19</v>
    <v>126.08</v>
    <v>126.05</v>
    <v>125.93</v>
    <v>126.14</v>
    <v>126.15</v>
    <v>126.19</v>
    <v>125.93</v>
    <v>125.87</v>
    <v>125.93</v>
    <v>125.74</v>
    <v>125.78</v>
    <v>125.84</v>
    <v>125.86</v>
    <v>126.09</v>
    <v>126.09</v>
    <v>126.09</v>
    <v>126.17</v>
    <v>126.14</v>
    <v>126.06</v>
    <v>126.03</v>
    <v>126.12</v>
    <v>126.06</v>
    <v>125.9</v>
    <v>125.56</v>
    <v>125.51</v>
    <v>125.48</v>
    <v>124.52</v>
    <v>124.6</v>
    <v>124.83</v>
    <v>124.72</v>
    <v>124.59</v>
    <v>124.7</v>
    <v>124.51</v>
    <v>124.41</v>
    <v>124.69</v>
    <v>124.94</v>
    <v>124.89</v>
    <v>124.78</v>
    <v>124.88</v>
    <v>125.1</v>
    <v>125.18</v>
    <v>125.26</v>
    <v>125.25</v>
    <v>125.36</v>
    <v>125.32</v>
    <v>125.44</v>
    <v>125.52</v>
    <v>125.39</v>
    <v>125.37</v>
    <v>125.35</v>
    <v>125.36</v>
    <v>125.44</v>
    <v>125.39</v>
    <v>125.59</v>
    <v>125.71</v>
    <v>125.76</v>
    <v>125.85</v>
    <v>125.9</v>
    <v>125.8</v>
    <v>125.74</v>
    <v>125.84</v>
    <v>125.84</v>
    <v>125.85</v>
    <v>125.99</v>
    <v>126.09</v>
    <v>126.06</v>
    <v>126.16</v>
    <v>126.18</v>
    <v>126.19</v>
    <v>126.18</v>
    <v>126.25</v>
    <v>126.19</v>
    <v>126.24</v>
    <v>126.49</v>
    <v>126.38</v>
    <v>126.37</v>
    <v>126.42</v>
    <v>126.46</v>
    <v>126.01</v>
    <v>125.6</v>
    <v>126.01</v>
    <v>125.35</v>
    <v>125.03</v>
    <v>124.98</v>
    <v>125.37</v>
    <v>124.69</v>
    <v>124.38</v>
    <v>124.16</v>
    <v>124.37</v>
    <v>124.67</v>
    <v>124.47</v>
    <v>123.14</v>
    <v>122.47</v>
    <v>122.67</v>
    <v>122.7</v>
    <v>123.08</v>
    <v>122.36</v>
    <v>122.12</v>
    <v>122.38</v>
    <v>122.81</v>
    <v>123.34</v>
    <v>123.29</v>
    <v>122.74</v>
    <v>124.27</v>
    <v>123.77</v>
    <v>123.58</v>
    <v>123.48</v>
    <v>123.97</v>
    <v>123.97</v>
    <v>124.03</v>
    <v>124.59</v>
    <v>124.47</v>
    <v>124.14</v>
    <v>124.12</v>
    <v>124.06</v>
    <v>124.03</v>
    <v>123.84</v>
    <v>123.68</v>
    <v>123.43</v>
    <v>123.96</v>
    <v>123.58</v>
    <v>123.8</v>
    <v>124.24</v>
    <v>124.2</v>
    <v>124.2</v>
    <v>123.99</v>
    <v>123.59</v>
    <v>123.67</v>
    <v>124.07</v>
    <v>123.58</v>
    <v>123.65</v>
    <v>123.48</v>
    <v>123.93</v>
    <v>123.92</v>
    <v>124.3</v>
    <v>124.98</v>
    <v>124.67</v>
    <v>124.7</v>
    <v>124.85</v>
    <v>125.09</v>
    <v>124.57</v>
    <v>124.87</v>
    <v>124.5</v>
    <v>124.64</v>
    <v>124.54</v>
    <v>124.45</v>
    <v>124.44</v>
    <v>124.31</v>
    <v>124.57</v>
    <v>124.83</v>
    <v>125.28</v>
    <v>125.19</v>
    <v>125.13</v>
    <v>124.13</v>
    <v>123.86</v>
    <v>124.1</v>
    <v>124.27</v>
    <v>124.45</v>
    <v>124.57</v>
    <v>124.61</v>
    <v>124.53</v>
    <v>124.61</v>
    <v>124.59</v>
    <v>124.59</v>
    <v>124.51</v>
    <v>124.52</v>
    <v>124.23</v>
    <v>123.59</v>
    <v>123.94</v>
    <v>124.06</v>
    <v>123.73</v>
    <v>123.7</v>
    <v>123.66</v>
    <v>123.62</v>
    <v>123.5</v>
    <v>123.44</v>
    <v>123.35</v>
    <v>123.2</v>
    <v>122.97</v>
    <v>123.22</v>
    <v>123.43</v>
    <v>123.58</v>
    <v>123.28</v>
    <v>123.41</v>
    <v>123.26</v>
    <v>123.63</v>
    <v>123.85</v>
    <v>124.02</v>
    <v>123.82</v>
    <v>123.87</v>
    <v>123.61</v>
    <v>123.71</v>
    <v>123.69</v>
    <v>123.81</v>
    <v>123.76</v>
    <v>123.7</v>
    <v>123.33</v>
    <v>123.22</v>
    <v>123.46</v>
    <v>123.36</v>
    <v>123.42</v>
    <v>123.55</v>
    <v>123.46</v>
    <v>123.25</v>
    <v>123.14</v>
    <v>122.87</v>
    <v>122.76</v>
    <v>122.52</v>
    <v>122.77</v>
    <v>122.89</v>
    <v>122.65</v>
    <v>122.84</v>
    <v>122.27</v>
    <v>121.71</v>
    <v>121.71</v>
    <v>121.31</v>
    <v>121.37</v>
    <v>121.61</v>
    <v>120.81</v>
    <v>120.49</v>
    <v>120.89</v>
    <v>120.86</v>
    <v>120.29</v>
    <v>119.96</v>
    <v>119.96</v>
    <v>119.77</v>
    <v>119.91</v>
    <v>120.23</v>
    <v>120.52</v>
    <v>120.44</v>
    <v>120.37</v>
    <v>120.83</v>
    <v>120.82</v>
    <v>120.61</v>
    <v>120.74</v>
    <v>120.76</v>
    <v>120.81</v>
    <v>120.9</v>
    <v>121.22</v>
    <v>121.27</v>
    <v>120.91</v>
    <v>120.99</v>
    <v>120.94</v>
    <v>120.94</v>
    <v>120.66</v>
  </a>
  <a r="1" c="208">
    <v>124.78</v>
    <v>124.88</v>
    <v>125.1</v>
    <v>125.18</v>
    <v>125.26</v>
    <v>125.25</v>
    <v>125.36</v>
    <v>125.32</v>
    <v>125.44</v>
    <v>125.52</v>
    <v>125.39</v>
    <v>125.37</v>
    <v>125.35</v>
    <v>125.36</v>
    <v>125.44</v>
    <v>125.39</v>
    <v>125.59</v>
    <v>125.71</v>
    <v>125.76</v>
    <v>125.85</v>
    <v>125.9</v>
    <v>125.8</v>
    <v>125.74</v>
    <v>125.84</v>
    <v>125.84</v>
    <v>125.85</v>
    <v>125.99</v>
    <v>126.09</v>
    <v>126.06</v>
    <v>126.16</v>
    <v>126.18</v>
    <v>126.19</v>
    <v>126.18</v>
    <v>126.25</v>
    <v>126.19</v>
    <v>126.24</v>
    <v>126.49</v>
    <v>126.38</v>
    <v>126.37</v>
    <v>126.42</v>
    <v>126.46</v>
    <v>126.01</v>
    <v>125.6</v>
    <v>126.01</v>
    <v>125.35</v>
    <v>125.03</v>
    <v>124.98</v>
    <v>125.37</v>
    <v>124.69</v>
    <v>124.38</v>
    <v>124.16</v>
    <v>124.37</v>
    <v>124.67</v>
    <v>124.47</v>
    <v>123.14</v>
    <v>122.47</v>
    <v>122.67</v>
    <v>122.7</v>
    <v>123.08</v>
    <v>122.36</v>
    <v>122.12</v>
    <v>122.38</v>
    <v>122.81</v>
    <v>123.34</v>
    <v>123.29</v>
    <v>122.74</v>
    <v>124.27</v>
    <v>123.77</v>
    <v>123.58</v>
    <v>123.48</v>
    <v>123.97</v>
    <v>123.97</v>
    <v>124.03</v>
    <v>124.59</v>
    <v>124.47</v>
    <v>124.14</v>
    <v>124.12</v>
    <v>124.06</v>
    <v>124.03</v>
    <v>123.84</v>
    <v>123.68</v>
    <v>123.43</v>
    <v>123.96</v>
    <v>123.58</v>
    <v>123.8</v>
    <v>124.24</v>
    <v>124.2</v>
    <v>124.2</v>
    <v>123.99</v>
    <v>123.59</v>
    <v>123.67</v>
    <v>124.07</v>
    <v>123.58</v>
    <v>123.65</v>
    <v>123.48</v>
    <v>123.93</v>
    <v>123.92</v>
    <v>124.3</v>
    <v>124.98</v>
    <v>124.67</v>
    <v>124.7</v>
    <v>124.85</v>
    <v>125.09</v>
    <v>124.57</v>
    <v>124.87</v>
    <v>124.5</v>
    <v>124.64</v>
    <v>124.54</v>
    <v>124.45</v>
    <v>124.44</v>
    <v>124.31</v>
    <v>124.57</v>
    <v>124.83</v>
    <v>125.28</v>
    <v>125.19</v>
    <v>125.13</v>
    <v>124.13</v>
    <v>123.86</v>
    <v>124.1</v>
    <v>124.27</v>
    <v>124.45</v>
    <v>124.57</v>
    <v>124.61</v>
    <v>124.53</v>
    <v>124.61</v>
    <v>124.59</v>
    <v>124.59</v>
    <v>124.51</v>
    <v>124.52</v>
    <v>124.23</v>
    <v>123.59</v>
    <v>123.94</v>
    <v>124.06</v>
    <v>123.73</v>
    <v>123.7</v>
    <v>123.66</v>
    <v>123.62</v>
    <v>123.5</v>
    <v>123.44</v>
    <v>123.35</v>
    <v>123.2</v>
    <v>122.97</v>
    <v>123.22</v>
    <v>123.43</v>
    <v>123.58</v>
    <v>123.28</v>
    <v>123.41</v>
    <v>123.26</v>
    <v>123.63</v>
    <v>123.85</v>
    <v>124.02</v>
    <v>123.82</v>
    <v>123.87</v>
    <v>123.61</v>
    <v>123.71</v>
    <v>123.69</v>
    <v>123.81</v>
    <v>123.76</v>
    <v>123.7</v>
    <v>123.33</v>
    <v>123.22</v>
    <v>123.46</v>
    <v>123.36</v>
    <v>123.42</v>
    <v>123.55</v>
    <v>123.46</v>
    <v>123.25</v>
    <v>123.14</v>
    <v>122.87</v>
    <v>122.76</v>
    <v>122.52</v>
    <v>122.77</v>
    <v>122.89</v>
    <v>122.65</v>
    <v>122.84</v>
    <v>122.27</v>
    <v>121.71</v>
    <v>121.71</v>
    <v>121.31</v>
    <v>121.37</v>
    <v>121.61</v>
    <v>120.81</v>
    <v>120.49</v>
    <v>120.89</v>
    <v>120.86</v>
    <v>120.29</v>
    <v>119.96</v>
    <v>119.96</v>
    <v>119.77</v>
    <v>119.91</v>
    <v>120.23</v>
    <v>120.52</v>
    <v>120.44</v>
    <v>120.37</v>
    <v>120.83</v>
    <v>120.82</v>
    <v>120.61</v>
    <v>120.74</v>
    <v>120.76</v>
    <v>120.81</v>
    <v>120.9</v>
    <v>121.22</v>
    <v>121.27</v>
    <v>120.91</v>
    <v>120.99</v>
    <v>120.94</v>
    <v>120.94</v>
    <v>120.66</v>
  </a>
  <a r="1" c="254">
    <v>126.55</v>
    <v>126.31</v>
    <v>126.48</v>
    <v>126.45</v>
    <v>126.52</v>
    <v>126.35</v>
    <v>126.47</v>
    <v>126.13</v>
    <v>126.19</v>
    <v>126.08</v>
    <v>126.05</v>
    <v>125.93</v>
    <v>126.14</v>
    <v>126.15</v>
    <v>126.19</v>
    <v>125.93</v>
    <v>125.87</v>
    <v>125.93</v>
    <v>125.74</v>
    <v>125.78</v>
    <v>125.84</v>
    <v>125.86</v>
    <v>126.09</v>
    <v>126.09</v>
    <v>126.09</v>
    <v>126.17</v>
    <v>126.14</v>
    <v>126.06</v>
    <v>126.03</v>
    <v>126.12</v>
    <v>126.06</v>
    <v>125.9</v>
    <v>125.56</v>
    <v>125.51</v>
    <v>125.48</v>
    <v>124.52</v>
    <v>124.6</v>
    <v>124.83</v>
    <v>124.72</v>
    <v>124.59</v>
    <v>124.7</v>
    <v>124.51</v>
    <v>124.41</v>
    <v>124.69</v>
    <v>124.94</v>
    <v>124.89</v>
    <v>124.78</v>
    <v>124.88</v>
    <v>125.1</v>
    <v>125.18</v>
    <v>125.26</v>
    <v>125.25</v>
    <v>125.36</v>
    <v>125.32</v>
    <v>125.44</v>
    <v>125.52</v>
    <v>125.39</v>
    <v>125.37</v>
    <v>125.35</v>
    <v>125.36</v>
    <v>125.44</v>
    <v>125.39</v>
    <v>125.59</v>
    <v>125.71</v>
    <v>125.76</v>
    <v>125.85</v>
    <v>125.9</v>
    <v>125.8</v>
    <v>125.74</v>
    <v>125.84</v>
    <v>125.84</v>
    <v>125.85</v>
    <v>125.99</v>
    <v>126.09</v>
    <v>126.06</v>
    <v>126.16</v>
    <v>126.18</v>
    <v>126.19</v>
    <v>126.18</v>
    <v>126.25</v>
    <v>126.19</v>
    <v>126.24</v>
    <v>126.49</v>
    <v>126.38</v>
    <v>126.37</v>
    <v>126.42</v>
    <v>126.46</v>
    <v>126.01</v>
    <v>125.6</v>
    <v>126.01</v>
    <v>125.35</v>
    <v>125.03</v>
    <v>124.98</v>
    <v>125.37</v>
    <v>124.69</v>
    <v>124.38</v>
    <v>124.16</v>
    <v>124.37</v>
    <v>124.67</v>
    <v>124.47</v>
    <v>123.14</v>
    <v>122.47</v>
    <v>122.67</v>
    <v>122.7</v>
    <v>123.08</v>
    <v>122.36</v>
    <v>122.12</v>
    <v>122.38</v>
    <v>122.81</v>
    <v>123.34</v>
    <v>123.29</v>
    <v>122.74</v>
    <v>124.27</v>
    <v>123.77</v>
    <v>123.58</v>
    <v>123.48</v>
    <v>123.97</v>
    <v>123.97</v>
    <v>124.03</v>
    <v>124.59</v>
    <v>124.47</v>
    <v>124.14</v>
    <v>124.12</v>
    <v>124.06</v>
    <v>124.03</v>
    <v>123.84</v>
    <v>123.68</v>
    <v>123.43</v>
    <v>123.96</v>
    <v>123.58</v>
    <v>123.8</v>
    <v>124.24</v>
    <v>124.2</v>
    <v>124.2</v>
    <v>123.99</v>
    <v>123.59</v>
    <v>123.67</v>
    <v>124.07</v>
    <v>123.58</v>
    <v>123.65</v>
    <v>123.48</v>
    <v>123.93</v>
    <v>123.92</v>
    <v>124.3</v>
    <v>124.98</v>
    <v>124.67</v>
    <v>124.7</v>
    <v>124.85</v>
    <v>125.09</v>
    <v>124.57</v>
    <v>124.87</v>
    <v>124.5</v>
    <v>124.64</v>
    <v>124.54</v>
    <v>124.45</v>
    <v>124.44</v>
    <v>124.31</v>
    <v>124.57</v>
    <v>124.83</v>
    <v>125.28</v>
    <v>125.19</v>
    <v>125.13</v>
    <v>124.13</v>
    <v>123.86</v>
    <v>124.1</v>
    <v>124.27</v>
    <v>124.45</v>
    <v>124.57</v>
    <v>124.61</v>
    <v>124.53</v>
    <v>124.61</v>
    <v>124.59</v>
    <v>124.59</v>
    <v>124.51</v>
    <v>124.52</v>
    <v>124.23</v>
    <v>123.59</v>
    <v>123.94</v>
    <v>124.06</v>
    <v>123.73</v>
    <v>123.7</v>
    <v>123.66</v>
    <v>123.62</v>
    <v>123.5</v>
    <v>123.44</v>
    <v>123.35</v>
    <v>123.2</v>
    <v>122.97</v>
    <v>123.22</v>
    <v>123.43</v>
    <v>123.58</v>
    <v>123.28</v>
    <v>123.41</v>
    <v>123.26</v>
    <v>123.63</v>
    <v>123.85</v>
    <v>124.02</v>
    <v>123.82</v>
    <v>123.87</v>
    <v>123.61</v>
    <v>123.71</v>
    <v>123.69</v>
    <v>123.81</v>
    <v>123.76</v>
    <v>123.7</v>
    <v>123.33</v>
    <v>123.22</v>
    <v>123.46</v>
    <v>123.36</v>
    <v>123.42</v>
    <v>123.55</v>
    <v>123.46</v>
    <v>123.25</v>
    <v>123.14</v>
    <v>122.87</v>
    <v>122.76</v>
    <v>122.52</v>
    <v>122.77</v>
    <v>122.89</v>
    <v>122.65</v>
    <v>122.84</v>
    <v>122.27</v>
    <v>121.71</v>
    <v>121.71</v>
    <v>121.31</v>
    <v>121.37</v>
    <v>121.61</v>
    <v>120.81</v>
    <v>120.49</v>
    <v>120.89</v>
    <v>120.86</v>
    <v>120.29</v>
    <v>119.96</v>
    <v>119.96</v>
    <v>119.77</v>
    <v>119.91</v>
    <v>120.23</v>
    <v>120.52</v>
    <v>120.44</v>
    <v>120.37</v>
    <v>120.83</v>
    <v>120.82</v>
    <v>120.61</v>
    <v>120.74</v>
    <v>120.76</v>
    <v>120.81</v>
    <v>120.9</v>
    <v>121.22</v>
    <v>121.27</v>
    <v>120.91</v>
    <v>120.99</v>
    <v>120.94</v>
    <v>120.94</v>
    <v>120.66</v>
  </a>
  <a r="1" c="761">
    <v>25.02</v>
    <v>25.18</v>
    <v>24.8</v>
    <v>24.36</v>
    <v>24.58</v>
    <v>24.11</v>
    <v>24.45</v>
    <v>25.004999999999999</v>
    <v>25.645</v>
    <v>25.99</v>
    <v>25.934999999999999</v>
    <v>26.37</v>
    <v>26.285</v>
    <v>26.695</v>
    <v>27.074999999999999</v>
    <v>27.164999999999999</v>
    <v>27.56</v>
    <v>27.795000000000002</v>
    <v>27.62</v>
    <v>27.74</v>
    <v>27.91</v>
    <v>27.69</v>
    <v>27.96</v>
    <v>27.82</v>
    <v>27.675000000000001</v>
    <v>27.734999999999999</v>
    <v>27.41</v>
    <v>27.765000000000001</v>
    <v>27.445</v>
    <v>27.745000000000001</v>
    <v>27.32</v>
    <v>27.425000000000001</v>
    <v>27.635000000000002</v>
    <v>27.79</v>
    <v>28.184999999999999</v>
    <v>28.95</v>
    <v>29.33</v>
    <v>29.475000000000001</v>
    <v>29.72</v>
    <v>30.48</v>
    <v>30.065000000000001</v>
    <v>30.01</v>
    <v>30.04</v>
    <v>29.925000000000001</v>
    <v>30.074999999999999</v>
    <v>30.21</v>
    <v>30.36</v>
    <v>30.065000000000001</v>
    <v>29.65</v>
    <v>29.004999999999999</v>
    <v>28.875</v>
    <v>28.94</v>
    <v>29.484999999999999</v>
    <v>29.72</v>
    <v>29.6</v>
    <v>29.54</v>
    <v>29.64</v>
    <v>29.855</v>
    <v>30.46</v>
    <v>30.105</v>
    <v>31.324999999999999</v>
    <v>31.86</v>
    <v>32.590000000000003</v>
    <v>32.695</v>
    <v>33.685000000000002</v>
    <v>34.159999999999997</v>
    <v>33.090000000000003</v>
    <v>32.975000000000001</v>
    <v>33.055</v>
    <v>32.234999999999999</v>
    <v>32.28</v>
    <v>33.15</v>
    <v>33.630000000000003</v>
    <v>33.475000000000001</v>
    <v>33.86</v>
    <v>34.685000000000002</v>
    <v>35.01</v>
    <v>35.700000000000003</v>
    <v>34.79</v>
    <v>34.984999999999999</v>
    <v>35.08</v>
    <v>35.36</v>
    <v>35.024999999999999</v>
    <v>33.93</v>
    <v>33.85</v>
    <v>35.954999999999998</v>
    <v>35.64</v>
    <v>35.9</v>
    <v>35.884999999999998</v>
    <v>35.555</v>
    <v>35.979999999999997</v>
    <v>37.44</v>
    <v>38.28</v>
    <v>37.51</v>
    <v>38.25</v>
    <v>39.33</v>
    <v>38.575000000000003</v>
    <v>37.340000000000003</v>
    <v>37.85</v>
    <v>37.045000000000002</v>
    <v>37</v>
    <v>36.634999999999998</v>
    <v>36.85</v>
    <v>36.35</v>
    <v>36.42</v>
    <v>38.49</v>
    <v>38.125</v>
    <v>38.090000000000003</v>
    <v>37.965000000000003</v>
    <v>37.594999999999999</v>
    <v>37.895000000000003</v>
    <v>37.924999999999997</v>
    <v>38.15</v>
    <v>38.005000000000003</v>
    <v>37.494999999999997</v>
    <v>37.494999999999997</v>
    <v>37.225000000000001</v>
    <v>37.725000000000001</v>
    <v>37.865000000000002</v>
    <v>37.844999999999999</v>
    <v>37.875</v>
    <v>37.4</v>
    <v>36.604999999999997</v>
    <v>35.854999999999997</v>
    <v>34.634999999999998</v>
    <v>34.244999999999997</v>
    <v>35.090000000000003</v>
    <v>35.54</v>
    <v>35.555</v>
    <v>36.625</v>
    <v>36.49</v>
    <v>36.585000000000001</v>
    <v>35.375</v>
    <v>36.229999999999997</v>
    <v>36.81</v>
    <v>37.1</v>
    <v>36.704999999999998</v>
    <v>36.79</v>
    <v>37.25</v>
    <v>37.195</v>
    <v>37.375</v>
    <v>38.21</v>
    <v>38.784999999999997</v>
    <v>38.340000000000003</v>
    <v>38.869999999999997</v>
    <v>38.734999999999999</v>
    <v>39.225000000000001</v>
    <v>39.82</v>
    <v>40.005000000000003</v>
    <v>40.314999999999998</v>
    <v>40.545000000000002</v>
    <v>39.96</v>
    <v>39.619999999999997</v>
    <v>38.505000000000003</v>
    <v>39.064999999999998</v>
    <v>38.840000000000003</v>
    <v>40.655000000000001</v>
    <v>40.784999999999997</v>
    <v>40.98</v>
    <v>41.755000000000003</v>
    <v>41.515000000000001</v>
    <v>42.5</v>
    <v>43.265000000000001</v>
    <v>43.365000000000002</v>
    <v>43.844999999999999</v>
    <v>44.78</v>
    <v>45.295000000000002</v>
    <v>44.83</v>
    <v>43.58</v>
    <v>42.414999999999999</v>
    <v>42.56</v>
    <v>42.325000000000003</v>
    <v>42.24</v>
    <v>42.895000000000003</v>
    <v>42.274999999999999</v>
    <v>42.655000000000001</v>
    <v>43.48</v>
    <v>43.6</v>
    <v>43.674999999999997</v>
    <v>44.46</v>
    <v>44.314999999999998</v>
    <v>45</v>
    <v>44</v>
    <v>44.45</v>
    <v>44.335000000000001</v>
    <v>43.95</v>
    <v>41.825000000000003</v>
    <v>40.024999999999999</v>
    <v>39.994999999999997</v>
    <v>40.265000000000001</v>
    <v>41.1</v>
    <v>39.475000000000001</v>
    <v>38.42</v>
    <v>38.375</v>
    <v>38.4</v>
    <v>37.704999999999998</v>
    <v>39.409999999999997</v>
    <v>38.344999999999999</v>
    <v>35.049999999999997</v>
    <v>34.49</v>
    <v>34.935000000000002</v>
    <v>35.594999999999999</v>
    <v>35.594999999999999</v>
    <v>35.734999999999999</v>
    <v>36.064999999999998</v>
    <v>36.905000000000001</v>
    <v>37.104999999999997</v>
    <v>38.585000000000001</v>
    <v>38.625</v>
    <v>38.734999999999999</v>
    <v>38.76</v>
    <v>38.6</v>
    <v>38.344999999999999</v>
    <v>37.594999999999999</v>
    <v>37.594999999999999</v>
    <v>37.195</v>
    <v>38.195</v>
    <v>37.799999999999997</v>
    <v>38.555</v>
    <v>36.314999999999998</v>
    <v>35.534999999999997</v>
    <v>35.134999999999998</v>
    <v>33.744999999999997</v>
    <v>34.11</v>
    <v>34.520000000000003</v>
    <v>34.924999999999997</v>
    <v>36.465000000000003</v>
    <v>36.875</v>
    <v>36.284999999999997</v>
    <v>36.765000000000001</v>
    <v>36.340000000000003</v>
    <v>37.655000000000001</v>
    <v>36.700000000000003</v>
    <v>37.15</v>
    <v>37.619999999999997</v>
    <v>38.015000000000001</v>
    <v>38.58</v>
    <v>38.575000000000003</v>
    <v>38.195</v>
    <v>37.515000000000001</v>
    <v>38.49</v>
    <v>38.4</v>
    <v>38.884999999999998</v>
    <v>39.08</v>
    <v>39.494999999999997</v>
    <v>39.984999999999999</v>
    <v>40.200000000000003</v>
    <v>40.164999999999999</v>
    <v>40.825000000000003</v>
    <v>39.185000000000002</v>
    <v>38.68</v>
    <v>39.74</v>
    <v>39.28</v>
    <v>38.96</v>
    <v>39.1</v>
    <v>39.08</v>
    <v>39.07</v>
    <v>39.924999999999997</v>
    <v>39.340000000000003</v>
    <v>39.945</v>
    <v>39.090000000000003</v>
    <v>37.65</v>
    <v>38.344999999999999</v>
    <v>38.115000000000002</v>
    <v>38.284999999999997</v>
    <v>39.424999999999997</v>
    <v>40.424999999999997</v>
    <v>40.575000000000003</v>
    <v>39.805</v>
    <v>39.67</v>
    <v>39.31</v>
    <v>39.590000000000003</v>
    <v>38.29</v>
    <v>38.365000000000002</v>
    <v>38.295000000000002</v>
    <v>38.045000000000002</v>
    <v>38.9</v>
    <v>39.085000000000001</v>
    <v>39.29</v>
    <v>38.725000000000001</v>
    <v>37.47</v>
    <v>38.475000000000001</v>
    <v>38.76</v>
    <v>39.755000000000003</v>
    <v>39.664999999999999</v>
    <v>40.159999999999997</v>
    <v>39.61</v>
    <v>39.36</v>
    <v>39.155000000000001</v>
    <v>38.56</v>
    <v>39.159999999999997</v>
    <v>38.945</v>
    <v>39.979999999999997</v>
    <v>40.765000000000001</v>
    <v>40.655000000000001</v>
    <v>41.085000000000001</v>
    <v>39.384999999999998</v>
    <v>39.61</v>
    <v>40.22</v>
    <v>40.335000000000001</v>
    <v>39.954999999999998</v>
    <v>40.744999999999997</v>
    <v>40.954999999999998</v>
    <v>42.634999999999998</v>
    <v>42.14</v>
    <v>41.594999999999999</v>
    <v>41.57</v>
    <v>40.85</v>
    <v>40.484999999999999</v>
    <v>40.405000000000001</v>
    <v>41.38</v>
    <v>42.234999999999999</v>
    <v>42.575000000000003</v>
    <v>42.71</v>
    <v>42.664999999999999</v>
    <v>43.73</v>
    <v>43.01</v>
    <v>42.494999999999997</v>
    <v>38.575000000000003</v>
    <v>38.4</v>
    <v>39.125</v>
    <v>39.965000000000003</v>
    <v>41.164999999999999</v>
    <v>40.125</v>
    <v>40.090000000000003</v>
    <v>40.204999999999998</v>
    <v>40.61</v>
    <v>40.369999999999997</v>
    <v>41.045000000000002</v>
    <v>41.2</v>
    <v>40.505000000000003</v>
    <v>41.02</v>
    <v>40.795000000000002</v>
    <v>41.07</v>
    <v>41.29</v>
    <v>41.814999999999998</v>
    <v>41.534999999999997</v>
    <v>41.314999999999998</v>
    <v>40.299999999999997</v>
    <v>38.68</v>
    <v>39.659999999999997</v>
    <v>39.005000000000003</v>
    <v>37.81</v>
    <v>37.659999999999997</v>
    <v>35.9</v>
    <v>35.61</v>
    <v>35.49</v>
    <v>34.805</v>
    <v>34.46</v>
    <v>33.744999999999997</v>
    <v>34.869999999999997</v>
    <v>34.74</v>
    <v>35.405000000000001</v>
    <v>35.545000000000002</v>
    <v>35.479999999999997</v>
    <v>35.805</v>
    <v>35.814999999999998</v>
    <v>35.590000000000003</v>
    <v>36.744999999999997</v>
    <v>36.42</v>
    <v>35.395000000000003</v>
    <v>34.664999999999999</v>
    <v>33.625</v>
    <v>33.03</v>
    <v>33.61</v>
    <v>33.72</v>
    <v>30.875</v>
    <v>28.75</v>
    <v>28.5</v>
    <v>29.965</v>
    <v>28.155000000000001</v>
    <v>29.844999999999999</v>
    <v>29.5</v>
    <v>30.315000000000001</v>
    <v>30.765000000000001</v>
    <v>29.55</v>
    <v>29.004999999999999</v>
    <v>28.614999999999998</v>
    <v>30.23</v>
    <v>31.245000000000001</v>
    <v>31.54</v>
    <v>31.274999999999999</v>
    <v>31.495000000000001</v>
    <v>31.44</v>
    <v>32.975000000000001</v>
    <v>32.89</v>
    <v>32.5</v>
    <v>32.51</v>
    <v>33.659999999999997</v>
    <v>33.83</v>
    <v>36.354999999999997</v>
    <v>37.405000000000001</v>
    <v>37.575000000000003</v>
    <v>37.505000000000003</v>
    <v>37.424999999999997</v>
    <v>36.86</v>
    <v>36.85</v>
    <v>36.979999999999997</v>
    <v>36.265000000000001</v>
    <v>35.314999999999998</v>
    <v>35.94</v>
    <v>36.58</v>
    <v>36.664999999999999</v>
    <v>36.494999999999997</v>
    <v>35.765000000000001</v>
    <v>35.67</v>
    <v>36.85</v>
    <v>37.19</v>
    <v>37.68</v>
    <v>37.74</v>
    <v>38.159999999999997</v>
    <v>38.409999999999997</v>
    <v>38.97</v>
    <v>38.424999999999997</v>
    <v>37.950000000000003</v>
    <v>38.58</v>
    <v>38.725000000000001</v>
    <v>38.725000000000001</v>
    <v>38.1</v>
    <v>38.195</v>
    <v>38.335000000000001</v>
    <v>39.520000000000003</v>
    <v>39.755000000000003</v>
    <v>39.935000000000002</v>
    <v>40.335000000000001</v>
    <v>40.06</v>
    <v>39.445</v>
    <v>40.234999999999999</v>
    <v>40.770000000000003</v>
    <v>40.295000000000002</v>
    <v>40.255000000000003</v>
    <v>40.869999999999997</v>
    <v>40.869999999999997</v>
    <v>41.494999999999997</v>
    <v>41.4</v>
    <v>41.085000000000001</v>
    <v>42.28</v>
    <v>40.615000000000002</v>
    <v>42.06</v>
    <v>41.674999999999997</v>
    <v>41.77</v>
    <v>40.765000000000001</v>
    <v>40.454999999999998</v>
    <v>40.645000000000003</v>
    <v>40.715000000000003</v>
    <v>41.72</v>
    <v>42.39</v>
    <v>42.87</v>
    <v>42.3</v>
    <v>40.765000000000001</v>
    <v>41.454999999999998</v>
    <v>41.03</v>
    <v>40.505000000000003</v>
    <v>41.48</v>
    <v>41.615000000000002</v>
    <v>42.375</v>
    <v>42.49</v>
    <v>42.695</v>
    <v>42.92</v>
    <v>42.19</v>
    <v>42.015000000000001</v>
    <v>41.06</v>
    <v>41.38</v>
    <v>42.08</v>
    <v>42.075000000000003</v>
    <v>42.284999999999997</v>
    <v>42.53</v>
    <v>42.695</v>
    <v>41.524999999999999</v>
    <v>41.5</v>
    <v>40.655000000000001</v>
    <v>40.795000000000002</v>
    <v>41.295000000000002</v>
    <v>41.634999999999998</v>
    <v>42.4</v>
    <v>42.45</v>
    <v>42.984999999999999</v>
    <v>43.405000000000001</v>
    <v>43.4</v>
    <v>43.575000000000003</v>
    <v>43.465000000000003</v>
    <v>43.37</v>
    <v>45.414999999999999</v>
    <v>44.92</v>
    <v>45.73</v>
    <v>46.354999999999997</v>
    <v>46.15</v>
    <v>46.16</v>
    <v>46.015000000000001</v>
    <v>46.6</v>
    <v>46.43</v>
    <v>47.2</v>
    <v>48.57</v>
    <v>48.805</v>
    <v>50.32</v>
    <v>49.414999999999999</v>
    <v>50.37</v>
    <v>50.58</v>
    <v>48.354999999999997</v>
    <v>49.72</v>
    <v>49.21</v>
    <v>50.23</v>
    <v>50.74</v>
    <v>49.73</v>
    <v>51.34</v>
    <v>51.05</v>
    <v>49.67</v>
    <v>50.73</v>
    <v>51.84</v>
    <v>52.9</v>
    <v>53.12</v>
    <v>53.99</v>
    <v>53.99</v>
    <v>53.59</v>
    <v>54.11</v>
    <v>53.26</v>
    <v>53.41</v>
    <v>51.99</v>
    <v>50.17</v>
    <v>52.39</v>
    <v>51.68</v>
    <v>52.64</v>
    <v>51.03</v>
    <v>51.27</v>
    <v>50.74</v>
    <v>49.36</v>
    <v>49.945</v>
    <v>50.21</v>
    <v>47.68</v>
    <v>50.02</v>
    <v>49.274999999999999</v>
    <v>51.35</v>
    <v>51.21</v>
    <v>51.76</v>
    <v>51.96</v>
    <v>52.29</v>
    <v>53</v>
    <v>53.23</v>
    <v>53.7</v>
    <v>53.98</v>
    <v>54.24</v>
    <v>54.21</v>
    <v>53.25</v>
    <v>51.99</v>
    <v>51.94</v>
    <v>50.95</v>
    <v>49.55</v>
    <v>50.99</v>
    <v>52.06</v>
    <v>52.37</v>
    <v>52.59</v>
    <v>52.94</v>
    <v>53.28</v>
    <v>54.69</v>
    <v>56.51</v>
    <v>57.52</v>
    <v>57.21</v>
    <v>55.78</v>
    <v>57.82</v>
    <v>58.04</v>
    <v>58.94</v>
    <v>57.85</v>
    <v>60.58</v>
    <v>60.54</v>
    <v>59.18</v>
    <v>59.48</v>
    <v>60.68</v>
    <v>60.85</v>
    <v>60.22</v>
    <v>59.34</v>
    <v>60.46</v>
    <v>61.51</v>
    <v>60.73</v>
    <v>61.14</v>
    <v>61.62</v>
    <v>60.12</v>
    <v>56.98</v>
    <v>57.19</v>
    <v>59.42</v>
    <v>60.07</v>
    <v>59.75</v>
    <v>60.91</v>
    <v>60.18</v>
    <v>60.51</v>
    <v>60.16</v>
    <v>60.46</v>
    <v>62</v>
    <v>61.3</v>
    <v>61.89</v>
    <v>61.36</v>
    <v>62.62</v>
    <v>63.31</v>
    <v>61.44</v>
    <v>60.82</v>
    <v>60.68</v>
    <v>59.16</v>
    <v>60.15</v>
    <v>60.16</v>
    <v>58.87</v>
    <v>58.41</v>
    <v>60.5</v>
    <v>60.95</v>
    <v>59.6</v>
    <v>59.63</v>
    <v>60.69</v>
    <v>60.4</v>
    <v>60.93</v>
    <v>59.87</v>
    <v>59.11</v>
    <v>59.53</v>
    <v>59.98</v>
    <v>60.77</v>
    <v>58.63</v>
    <v>57.39</v>
    <v>56.09</v>
    <v>56.33</v>
    <v>59.7</v>
    <v>59.29</v>
    <v>59.55</v>
    <v>63.45</v>
    <v>64.7</v>
    <v>66.52</v>
    <v>66.260000000000005</v>
    <v>67.2</v>
    <v>67.430000000000007</v>
    <v>68.64</v>
    <v>69.489999999999995</v>
    <v>69.11</v>
    <v>69.72</v>
    <v>71.38</v>
    <v>73.58</v>
    <v>76.489999999999995</v>
    <v>75.64</v>
    <v>72.86</v>
    <v>75.11</v>
    <v>76.45</v>
    <v>77.14</v>
    <v>80.489999999999995</v>
    <v>84.14</v>
    <v>84.16</v>
    <v>86.4</v>
    <v>89.09</v>
    <v>85.44</v>
    <v>88.43</v>
    <v>90.13</v>
    <v>87.33</v>
    <v>84.5</v>
    <v>83.33</v>
    <v>87.61</v>
    <v>87.67</v>
    <v>91.03</v>
    <v>92.5</v>
    <v>94.28</v>
    <v>93.45</v>
    <v>95.7</v>
    <v>95.22</v>
    <v>96.73</v>
    <v>99.55</v>
    <v>101.75</v>
    <v>99.01</v>
    <v>94.2</v>
    <v>96.07</v>
    <v>92.45</v>
    <v>92.38</v>
    <v>95.1</v>
    <v>100.48</v>
    <v>104.09</v>
    <v>101.4</v>
    <v>102.57</v>
    <v>107.38</v>
    <v>108.23</v>
    <v>109.11</v>
    <v>103.39</v>
    <v>102.94</v>
    <v>104.89</v>
    <v>102.92</v>
    <v>103.28</v>
    <v>109.22</v>
    <v>105.17</v>
    <v>99.81</v>
    <v>101.62</v>
    <v>102.13</v>
    <v>94.26</v>
    <v>95.84</v>
    <v>101.69</v>
    <v>100.38</v>
    <v>98.41</v>
    <v>99.51</v>
    <v>96.14</v>
    <v>94.38</v>
    <v>90.89</v>
    <v>93.26</v>
    <v>96.81</v>
    <v>98.04</v>
    <v>96.45</v>
    <v>94.52</v>
    <v>88.66</v>
    <v>87.08</v>
    <v>83.77</v>
    <v>88.25</v>
    <v>88.68</v>
    <v>88.09</v>
    <v>93.59</v>
    <v>93.37</v>
    <v>93.93</v>
    <v>93.95</v>
    <v>93.06</v>
    <v>93.05</v>
    <v>95.5</v>
    <v>97.19</v>
    <v>94.75</v>
    <v>97.51</v>
    <v>91.91</v>
    <v>89.89</v>
    <v>89.69</v>
    <v>89.91</v>
    <v>87.46</v>
    <v>89.09</v>
    <v>89.17</v>
    <v>90.6</v>
    <v>90.57</v>
    <v>88.96</v>
    <v>88.24</v>
    <v>88.57</v>
    <v>87.76</v>
    <v>90.38</v>
    <v>92.05</v>
    <v>93.62</v>
    <v>93.06</v>
    <v>91.42</v>
    <v>92.66</v>
    <v>88.29</v>
    <v>88.03</v>
    <v>89.55</v>
    <v>91.81</v>
    <v>92.97</v>
    <v>97.43</v>
    <v>99.4</v>
    <v>99.31</v>
    <v>98.29</v>
    <v>100.14</v>
    <v>98.31</v>
    <v>101.17</v>
    <v>100.77</v>
    <v>101.71</v>
    <v>105.07</v>
    <v>105.36</v>
    <v>105.41</v>
    <v>104.17</v>
    <v>103.13</v>
    <v>100.53</v>
    <v>98.24</v>
    <v>95.36</v>
    <v>95.22</v>
    <v>90.89</v>
    <v>89.97</v>
    <v>91.84</v>
    <v>89.99</v>
    <v>91</v>
    <v>86.59</v>
    <v>87.26</v>
  </a>
  <a r="1" c="254">
    <v>50.73</v>
    <v>51.84</v>
    <v>52.9</v>
    <v>53.12</v>
    <v>53.99</v>
    <v>53.99</v>
    <v>53.59</v>
    <v>54.11</v>
    <v>53.26</v>
    <v>53.41</v>
    <v>51.99</v>
    <v>50.17</v>
    <v>52.39</v>
    <v>51.68</v>
    <v>52.64</v>
    <v>51.03</v>
    <v>51.27</v>
    <v>50.74</v>
    <v>49.36</v>
    <v>49.945</v>
    <v>50.21</v>
    <v>47.68</v>
    <v>50.02</v>
    <v>49.274999999999999</v>
    <v>51.35</v>
    <v>51.21</v>
    <v>51.76</v>
    <v>51.96</v>
    <v>52.29</v>
    <v>53</v>
    <v>53.23</v>
    <v>53.7</v>
    <v>53.98</v>
    <v>54.24</v>
    <v>54.21</v>
    <v>53.25</v>
    <v>51.99</v>
    <v>51.94</v>
    <v>50.95</v>
    <v>49.55</v>
    <v>50.99</v>
    <v>52.06</v>
    <v>52.37</v>
    <v>52.59</v>
    <v>52.94</v>
    <v>53.28</v>
    <v>54.69</v>
    <v>56.51</v>
    <v>57.52</v>
    <v>57.21</v>
    <v>55.78</v>
    <v>57.82</v>
    <v>58.04</v>
    <v>58.94</v>
    <v>57.85</v>
    <v>60.58</v>
    <v>60.54</v>
    <v>59.18</v>
    <v>59.48</v>
    <v>60.68</v>
    <v>60.85</v>
    <v>60.22</v>
    <v>59.34</v>
    <v>60.46</v>
    <v>61.51</v>
    <v>60.73</v>
    <v>61.14</v>
    <v>61.62</v>
    <v>60.12</v>
    <v>56.98</v>
    <v>57.19</v>
    <v>59.42</v>
    <v>60.07</v>
    <v>59.75</v>
    <v>60.91</v>
    <v>60.18</v>
    <v>60.51</v>
    <v>60.16</v>
    <v>60.46</v>
    <v>62</v>
    <v>61.3</v>
    <v>61.89</v>
    <v>61.36</v>
    <v>62.62</v>
    <v>63.31</v>
    <v>61.44</v>
    <v>60.82</v>
    <v>60.68</v>
    <v>59.16</v>
    <v>60.15</v>
    <v>60.16</v>
    <v>58.87</v>
    <v>58.41</v>
    <v>60.5</v>
    <v>60.95</v>
    <v>59.6</v>
    <v>59.63</v>
    <v>60.69</v>
    <v>60.4</v>
    <v>60.93</v>
    <v>59.87</v>
    <v>59.11</v>
    <v>59.53</v>
    <v>59.98</v>
    <v>60.77</v>
    <v>58.63</v>
    <v>57.39</v>
    <v>56.09</v>
    <v>56.33</v>
    <v>59.7</v>
    <v>59.29</v>
    <v>59.55</v>
    <v>63.45</v>
    <v>64.7</v>
    <v>66.52</v>
    <v>66.260000000000005</v>
    <v>67.2</v>
    <v>67.430000000000007</v>
    <v>68.64</v>
    <v>69.489999999999995</v>
    <v>69.11</v>
    <v>69.72</v>
    <v>71.38</v>
    <v>73.58</v>
    <v>76.489999999999995</v>
    <v>75.64</v>
    <v>72.86</v>
    <v>75.11</v>
    <v>76.45</v>
    <v>77.14</v>
    <v>80.489999999999995</v>
    <v>84.14</v>
    <v>84.16</v>
    <v>86.4</v>
    <v>89.09</v>
    <v>85.44</v>
    <v>88.43</v>
    <v>90.13</v>
    <v>87.33</v>
    <v>84.5</v>
    <v>83.33</v>
    <v>87.61</v>
    <v>87.67</v>
    <v>91.03</v>
    <v>92.5</v>
    <v>94.28</v>
    <v>93.45</v>
    <v>95.7</v>
    <v>95.22</v>
    <v>96.73</v>
    <v>99.55</v>
    <v>101.75</v>
    <v>99.01</v>
    <v>94.2</v>
    <v>96.07</v>
    <v>92.45</v>
    <v>92.38</v>
    <v>95.1</v>
    <v>100.48</v>
    <v>104.09</v>
    <v>101.4</v>
    <v>102.57</v>
    <v>107.38</v>
    <v>108.23</v>
    <v>109.11</v>
    <v>103.39</v>
    <v>102.94</v>
    <v>104.89</v>
    <v>102.92</v>
    <v>103.28</v>
    <v>109.22</v>
    <v>105.17</v>
    <v>99.81</v>
    <v>101.62</v>
    <v>102.13</v>
    <v>94.26</v>
    <v>95.84</v>
    <v>101.69</v>
    <v>100.38</v>
    <v>98.41</v>
    <v>99.51</v>
    <v>96.14</v>
    <v>94.38</v>
    <v>90.89</v>
    <v>93.26</v>
    <v>96.81</v>
    <v>98.04</v>
    <v>96.45</v>
    <v>94.52</v>
    <v>88.66</v>
    <v>87.08</v>
    <v>83.77</v>
    <v>88.25</v>
    <v>88.68</v>
    <v>88.09</v>
    <v>93.59</v>
    <v>93.37</v>
    <v>93.93</v>
    <v>93.95</v>
    <v>93.06</v>
    <v>93.05</v>
    <v>95.5</v>
    <v>97.19</v>
    <v>94.75</v>
    <v>97.51</v>
    <v>91.91</v>
    <v>89.89</v>
    <v>89.69</v>
    <v>89.91</v>
    <v>87.46</v>
    <v>89.09</v>
    <v>89.17</v>
    <v>90.6</v>
    <v>90.57</v>
    <v>88.96</v>
    <v>88.24</v>
    <v>88.57</v>
    <v>87.76</v>
    <v>90.38</v>
    <v>92.05</v>
    <v>93.62</v>
    <v>93.06</v>
    <v>91.42</v>
    <v>92.66</v>
    <v>88.29</v>
    <v>88.03</v>
    <v>89.55</v>
    <v>91.81</v>
    <v>92.97</v>
    <v>97.43</v>
    <v>99.4</v>
    <v>99.31</v>
    <v>98.29</v>
    <v>100.14</v>
    <v>98.31</v>
    <v>101.17</v>
    <v>100.77</v>
    <v>101.71</v>
    <v>105.07</v>
    <v>105.36</v>
    <v>105.41</v>
    <v>104.17</v>
    <v>103.13</v>
    <v>100.53</v>
    <v>98.24</v>
    <v>95.36</v>
    <v>95.22</v>
    <v>90.89</v>
    <v>89.97</v>
    <v>91.84</v>
    <v>89.99</v>
    <v>91</v>
    <v>86.59</v>
    <v>87.26</v>
  </a>
  <a r="1" c="208">
    <v>54.69</v>
    <v>56.51</v>
    <v>57.52</v>
    <v>57.21</v>
    <v>55.78</v>
    <v>57.82</v>
    <v>58.04</v>
    <v>58.94</v>
    <v>57.85</v>
    <v>60.58</v>
    <v>60.54</v>
    <v>59.18</v>
    <v>59.48</v>
    <v>60.68</v>
    <v>60.85</v>
    <v>60.22</v>
    <v>59.34</v>
    <v>60.46</v>
    <v>61.51</v>
    <v>60.73</v>
    <v>61.14</v>
    <v>61.62</v>
    <v>60.12</v>
    <v>56.98</v>
    <v>57.19</v>
    <v>59.42</v>
    <v>60.07</v>
    <v>59.75</v>
    <v>60.91</v>
    <v>60.18</v>
    <v>60.51</v>
    <v>60.16</v>
    <v>60.46</v>
    <v>62</v>
    <v>61.3</v>
    <v>61.89</v>
    <v>61.36</v>
    <v>62.62</v>
    <v>63.31</v>
    <v>61.44</v>
    <v>60.82</v>
    <v>60.68</v>
    <v>59.16</v>
    <v>60.15</v>
    <v>60.16</v>
    <v>58.87</v>
    <v>58.41</v>
    <v>60.5</v>
    <v>60.95</v>
    <v>59.6</v>
    <v>59.63</v>
    <v>60.69</v>
    <v>60.4</v>
    <v>60.93</v>
    <v>59.87</v>
    <v>59.11</v>
    <v>59.53</v>
    <v>59.98</v>
    <v>60.77</v>
    <v>58.63</v>
    <v>57.39</v>
    <v>56.09</v>
    <v>56.33</v>
    <v>59.7</v>
    <v>59.29</v>
    <v>59.55</v>
    <v>63.45</v>
    <v>64.7</v>
    <v>66.52</v>
    <v>66.260000000000005</v>
    <v>67.2</v>
    <v>67.430000000000007</v>
    <v>68.64</v>
    <v>69.489999999999995</v>
    <v>69.11</v>
    <v>69.72</v>
    <v>71.38</v>
    <v>73.58</v>
    <v>76.489999999999995</v>
    <v>75.64</v>
    <v>72.86</v>
    <v>75.11</v>
    <v>76.45</v>
    <v>77.14</v>
    <v>80.489999999999995</v>
    <v>84.14</v>
    <v>84.16</v>
    <v>86.4</v>
    <v>89.09</v>
    <v>85.44</v>
    <v>88.43</v>
    <v>90.13</v>
    <v>87.33</v>
    <v>84.5</v>
    <v>83.33</v>
    <v>87.61</v>
    <v>87.67</v>
    <v>91.03</v>
    <v>92.5</v>
    <v>94.28</v>
    <v>93.45</v>
    <v>95.7</v>
    <v>95.22</v>
    <v>96.73</v>
    <v>99.55</v>
    <v>101.75</v>
    <v>99.01</v>
    <v>94.2</v>
    <v>96.07</v>
    <v>92.45</v>
    <v>92.38</v>
    <v>95.1</v>
    <v>100.48</v>
    <v>104.09</v>
    <v>101.4</v>
    <v>102.57</v>
    <v>107.38</v>
    <v>108.23</v>
    <v>109.11</v>
    <v>103.39</v>
    <v>102.94</v>
    <v>104.89</v>
    <v>102.92</v>
    <v>103.28</v>
    <v>109.22</v>
    <v>105.17</v>
    <v>99.81</v>
    <v>101.62</v>
    <v>102.13</v>
    <v>94.26</v>
    <v>95.84</v>
    <v>101.69</v>
    <v>100.38</v>
    <v>98.41</v>
    <v>99.51</v>
    <v>96.14</v>
    <v>94.38</v>
    <v>90.89</v>
    <v>93.26</v>
    <v>96.81</v>
    <v>98.04</v>
    <v>96.45</v>
    <v>94.52</v>
    <v>88.66</v>
    <v>87.08</v>
    <v>83.77</v>
    <v>88.25</v>
    <v>88.68</v>
    <v>88.09</v>
    <v>93.59</v>
    <v>93.37</v>
    <v>93.93</v>
    <v>93.95</v>
    <v>93.06</v>
    <v>93.05</v>
    <v>95.5</v>
    <v>97.19</v>
    <v>94.75</v>
    <v>97.51</v>
    <v>91.91</v>
    <v>89.89</v>
    <v>89.69</v>
    <v>89.91</v>
    <v>87.46</v>
    <v>89.09</v>
    <v>89.17</v>
    <v>90.6</v>
    <v>90.57</v>
    <v>88.96</v>
    <v>88.24</v>
    <v>88.57</v>
    <v>87.76</v>
    <v>90.38</v>
    <v>92.05</v>
    <v>93.62</v>
    <v>93.06</v>
    <v>91.42</v>
    <v>92.66</v>
    <v>88.29</v>
    <v>88.03</v>
    <v>89.55</v>
    <v>91.81</v>
    <v>92.97</v>
    <v>97.43</v>
    <v>99.4</v>
    <v>99.31</v>
    <v>98.29</v>
    <v>100.14</v>
    <v>98.31</v>
    <v>101.17</v>
    <v>100.77</v>
    <v>101.71</v>
    <v>105.07</v>
    <v>105.36</v>
    <v>105.41</v>
    <v>104.17</v>
    <v>103.13</v>
    <v>100.53</v>
    <v>98.24</v>
    <v>95.36</v>
    <v>95.22</v>
    <v>90.89</v>
    <v>89.97</v>
    <v>91.84</v>
    <v>89.99</v>
    <v>91</v>
    <v>86.59</v>
    <v>87.26</v>
  </a>
  <a r="1" c="205">
    <v>81.03</v>
    <v>80.95</v>
    <v>81.040000000000006</v>
    <v>75.83</v>
    <v>76.42</v>
    <v>73.89</v>
    <v>73.27</v>
    <v>76.72</v>
    <v>84.8</v>
    <v>82.87</v>
    <v>84.65</v>
    <v>87.28</v>
    <v>78.84</v>
    <v>75.680000000000007</v>
    <v>74.7</v>
    <v>74.12</v>
    <v>74.010000000000005</v>
    <v>72.14</v>
    <v>75.27</v>
    <v>75.73</v>
    <v>65.760000000000005</v>
    <v>67.48</v>
    <v>65.400000000000006</v>
    <v>63.07</v>
    <v>60.57</v>
    <v>66.42</v>
    <v>73.45</v>
    <v>71.94</v>
    <v>68.989999999999995</v>
    <v>63.15</v>
    <v>63.17</v>
    <v>63</v>
    <v>63.06</v>
    <v>64.44</v>
    <v>62</v>
    <v>62.43</v>
    <v>67.09</v>
    <v>68.069999999999993</v>
    <v>71.400000000000006</v>
    <v>68.66</v>
    <v>67.44</v>
    <v>66.97</v>
    <v>67.400000000000006</v>
    <v>66.08</v>
    <v>63.53</v>
    <v>62.65</v>
    <v>58.83</v>
    <v>60.39</v>
    <v>56.3</v>
    <v>56.42</v>
    <v>59.17</v>
    <v>57.79</v>
    <v>58.27</v>
    <v>57.52</v>
    <v>56.96</v>
    <v>56.84</v>
    <v>55</v>
    <v>56.65</v>
    <v>53.85</v>
    <v>52.31</v>
    <v>51.91</v>
    <v>56.56</v>
    <v>57.63</v>
    <v>60.11</v>
    <v>57.2</v>
    <v>57.5</v>
    <v>55.43</v>
    <v>55.17</v>
    <v>55.59</v>
    <v>57.66</v>
    <v>58.3</v>
    <v>59.79</v>
    <v>60.44</v>
    <v>60.34</v>
    <v>61.83</v>
    <v>61.26</v>
    <v>59.64</v>
    <v>55.45</v>
    <v>56.09</v>
    <v>57.52</v>
    <v>56.11</v>
    <v>56.28</v>
    <v>55.26</v>
    <v>45.13</v>
    <v>47.57</v>
    <v>44.04</v>
    <v>43.76</v>
    <v>44.78</v>
    <v>41.91</v>
    <v>41.31</v>
    <v>41.54</v>
    <v>41.96</v>
    <v>43.72</v>
    <v>42.85</v>
    <v>46.98</v>
    <v>44.45</v>
    <v>45.79</v>
    <v>46.14</v>
    <v>48.16</v>
    <v>46</v>
    <v>45.63</v>
    <v>46.83</v>
    <v>47.15</v>
    <v>47</v>
    <v>45</v>
    <v>43.68</v>
    <v>43.35</v>
    <v>41.82</v>
    <v>42.3</v>
    <v>43</v>
    <v>41.5</v>
    <v>43.49</v>
    <v>43.31</v>
    <v>45.66</v>
    <v>49.34</v>
    <v>48.02</v>
    <v>51.53</v>
    <v>47.27</v>
    <v>47.11</v>
    <v>47.94</v>
    <v>46.39</v>
    <v>47.56</v>
    <v>54.34</v>
    <v>54.38</v>
    <v>57.95</v>
    <v>55.41</v>
    <v>57.03</v>
    <v>56.71</v>
    <v>55.12</v>
    <v>56.43</v>
    <v>55.35</v>
    <v>55.03</v>
    <v>54.47</v>
    <v>57.07</v>
    <v>54.01</v>
    <v>51.68</v>
    <v>53.25</v>
    <v>52.5</v>
    <v>49.64</v>
    <v>47.55</v>
    <v>47.55</v>
    <v>48.42</v>
    <v>49.5</v>
    <v>50.13</v>
    <v>48.67</v>
    <v>35.6</v>
    <v>36.67</v>
    <v>37</v>
    <v>36.19</v>
    <v>36.04</v>
    <v>37.79</v>
    <v>37.049999999999997</v>
    <v>36.22</v>
    <v>35.54</v>
    <v>37.950000000000003</v>
    <v>38.229999999999997</v>
    <v>37.93</v>
    <v>37.67</v>
    <v>38.69</v>
    <v>38.630000000000003</v>
    <v>38.369999999999997</v>
    <v>38.76</v>
    <v>39.119999999999997</v>
    <v>37.56</v>
    <v>38.15</v>
    <v>38.53</v>
    <v>41.29</v>
    <v>40.67</v>
    <v>41.21</v>
    <v>41.51</v>
    <v>43.31</v>
    <v>44.82</v>
    <v>44.52</v>
    <v>44.88</v>
    <v>45.5</v>
    <v>51.29</v>
    <v>50.24</v>
    <v>47.43</v>
    <v>47.5</v>
    <v>47.82</v>
    <v>51.25</v>
    <v>49.87</v>
    <v>48.99</v>
    <v>48.83</v>
    <v>46.44</v>
    <v>41.86</v>
    <v>41.18</v>
    <v>42.37</v>
    <v>43</v>
    <v>44.12</v>
    <v>44.58</v>
    <v>45.56</v>
    <v>46.41</v>
    <v>45.52</v>
    <v>48.09</v>
    <v>49.58</v>
    <v>49.51</v>
    <v>47.54</v>
    <v>51.13</v>
    <v>49.55</v>
    <v>50.75</v>
    <v>52.35</v>
    <v>52.55</v>
    <v>53.96</v>
    <v>52.89</v>
  </a>
  <a r="1" c="252">
    <v>129.24</v>
    <v>127.71</v>
    <v>128.49</v>
    <v>131.72</v>
    <v>133.74</v>
    <v>113</v>
    <v>113.72</v>
    <v>107.66</v>
    <v>104.13</v>
    <v>102.24</v>
    <v>101.28</v>
    <v>106.84</v>
    <v>105.36</v>
    <v>104.68</v>
    <v>104.34</v>
    <v>101.27</v>
    <v>102.28</v>
    <v>101.27</v>
    <v>101.73</v>
    <v>97.37</v>
    <v>91.7</v>
    <v>89.25</v>
    <v>90.58</v>
    <v>91.07</v>
    <v>92.73</v>
    <v>95.03</v>
    <v>93.79</v>
    <v>93.7</v>
    <v>92.1</v>
    <v>95.21</v>
    <v>96.28</v>
    <v>97.64</v>
    <v>99</v>
    <v>94.36</v>
    <v>94.34</v>
    <v>88.51</v>
    <v>86.96</v>
    <v>87.44</v>
    <v>85.91</v>
    <v>83.91</v>
    <v>81.94</v>
    <v>81.98</v>
    <v>80.989999999999995</v>
    <v>81.88</v>
    <v>82.22</v>
    <v>81.52</v>
    <v>81.81</v>
    <v>81.03</v>
    <v>80.95</v>
    <v>81.040000000000006</v>
    <v>75.83</v>
    <v>76.42</v>
    <v>73.89</v>
    <v>73.27</v>
    <v>76.72</v>
    <v>84.8</v>
    <v>82.87</v>
    <v>84.65</v>
    <v>87.28</v>
    <v>78.84</v>
    <v>75.680000000000007</v>
    <v>74.7</v>
    <v>74.12</v>
    <v>74.010000000000005</v>
    <v>72.14</v>
    <v>75.27</v>
    <v>75.73</v>
    <v>65.760000000000005</v>
    <v>67.48</v>
    <v>65.400000000000006</v>
    <v>63.07</v>
    <v>60.57</v>
    <v>66.42</v>
    <v>73.45</v>
    <v>71.94</v>
    <v>68.989999999999995</v>
    <v>63.15</v>
    <v>63.17</v>
    <v>63</v>
    <v>63.06</v>
    <v>64.44</v>
    <v>62</v>
    <v>62.43</v>
    <v>67.09</v>
    <v>68.069999999999993</v>
    <v>71.400000000000006</v>
    <v>68.66</v>
    <v>67.44</v>
    <v>66.97</v>
    <v>67.400000000000006</v>
    <v>66.08</v>
    <v>63.53</v>
    <v>62.65</v>
    <v>58.83</v>
    <v>60.39</v>
    <v>56.3</v>
    <v>56.42</v>
    <v>59.17</v>
    <v>57.79</v>
    <v>58.27</v>
    <v>57.52</v>
    <v>56.96</v>
    <v>56.84</v>
    <v>55</v>
    <v>56.65</v>
    <v>53.85</v>
    <v>52.31</v>
    <v>51.91</v>
    <v>56.56</v>
    <v>57.63</v>
    <v>60.11</v>
    <v>57.2</v>
    <v>57.5</v>
    <v>55.43</v>
    <v>55.17</v>
    <v>55.59</v>
    <v>57.66</v>
    <v>58.3</v>
    <v>59.79</v>
    <v>60.44</v>
    <v>60.34</v>
    <v>61.83</v>
    <v>61.26</v>
    <v>59.64</v>
    <v>55.45</v>
    <v>56.09</v>
    <v>57.52</v>
    <v>56.11</v>
    <v>56.28</v>
    <v>55.26</v>
    <v>45.13</v>
    <v>47.57</v>
    <v>44.04</v>
    <v>43.76</v>
    <v>44.78</v>
    <v>41.91</v>
    <v>41.31</v>
    <v>41.54</v>
    <v>41.96</v>
    <v>43.72</v>
    <v>42.85</v>
    <v>46.98</v>
    <v>44.45</v>
    <v>45.79</v>
    <v>46.14</v>
    <v>48.16</v>
    <v>46</v>
    <v>45.63</v>
    <v>46.83</v>
    <v>47.15</v>
    <v>47</v>
    <v>45</v>
    <v>43.68</v>
    <v>43.35</v>
    <v>41.82</v>
    <v>42.3</v>
    <v>43</v>
    <v>41.5</v>
    <v>43.49</v>
    <v>43.31</v>
    <v>45.66</v>
    <v>49.34</v>
    <v>48.02</v>
    <v>51.53</v>
    <v>47.27</v>
    <v>47.11</v>
    <v>47.94</v>
    <v>46.39</v>
    <v>47.56</v>
    <v>54.34</v>
    <v>54.38</v>
    <v>57.95</v>
    <v>55.41</v>
    <v>57.03</v>
    <v>56.71</v>
    <v>55.12</v>
    <v>56.43</v>
    <v>55.35</v>
    <v>55.03</v>
    <v>54.47</v>
    <v>57.07</v>
    <v>54.01</v>
    <v>51.68</v>
    <v>53.25</v>
    <v>52.5</v>
    <v>49.64</v>
    <v>47.55</v>
    <v>47.55</v>
    <v>48.42</v>
    <v>49.5</v>
    <v>50.13</v>
    <v>48.67</v>
    <v>35.6</v>
    <v>36.67</v>
    <v>37</v>
    <v>36.19</v>
    <v>36.04</v>
    <v>37.79</v>
    <v>37.049999999999997</v>
    <v>36.22</v>
    <v>35.54</v>
    <v>37.950000000000003</v>
    <v>38.229999999999997</v>
    <v>37.93</v>
    <v>37.67</v>
    <v>38.69</v>
    <v>38.630000000000003</v>
    <v>38.369999999999997</v>
    <v>38.76</v>
    <v>39.119999999999997</v>
    <v>37.56</v>
    <v>38.15</v>
    <v>38.53</v>
    <v>41.29</v>
    <v>40.67</v>
    <v>41.21</v>
    <v>41.51</v>
    <v>43.31</v>
    <v>44.82</v>
    <v>44.52</v>
    <v>44.88</v>
    <v>45.5</v>
    <v>51.29</v>
    <v>50.24</v>
    <v>47.43</v>
    <v>47.5</v>
    <v>47.82</v>
    <v>51.25</v>
    <v>49.87</v>
    <v>48.99</v>
    <v>48.83</v>
    <v>46.44</v>
    <v>41.86</v>
    <v>41.18</v>
    <v>42.37</v>
    <v>43</v>
    <v>44.12</v>
    <v>44.58</v>
    <v>45.56</v>
    <v>46.41</v>
    <v>45.52</v>
    <v>48.09</v>
    <v>49.58</v>
    <v>49.51</v>
    <v>47.54</v>
    <v>51.13</v>
    <v>49.55</v>
    <v>50.75</v>
    <v>52.35</v>
    <v>52.55</v>
    <v>53.96</v>
    <v>52.89</v>
  </a>
  <a r="1" c="754">
    <v>30.57</v>
    <v>32.72</v>
    <v>31.1</v>
    <v>30.55</v>
    <v>30.99</v>
    <v>31.74</v>
    <v>31.81</v>
    <v>31.84</v>
    <v>33.56</v>
    <v>34.9</v>
    <v>33.85</v>
    <v>35.07</v>
    <v>39.22</v>
    <v>38.049999999999997</v>
    <v>38.42</v>
    <v>38.75</v>
    <v>39.24</v>
    <v>39.76</v>
    <v>38.36</v>
    <v>37.909999999999997</v>
    <v>37.86</v>
    <v>36.72</v>
    <v>37.82</v>
    <v>38.14</v>
    <v>38.6</v>
    <v>39.020000000000003</v>
    <v>38.68</v>
    <v>39.31</v>
    <v>40.450000000000003</v>
    <v>41.23</v>
    <v>40.67</v>
    <v>39.96</v>
    <v>39.86</v>
    <v>40.83</v>
    <v>40.49</v>
    <v>42.04</v>
    <v>43.31</v>
    <v>44.52</v>
    <v>43.92</v>
    <v>44.49</v>
    <v>44.73</v>
    <v>43.83</v>
    <v>44.48</v>
    <v>45.97</v>
    <v>46.38</v>
    <v>46.85</v>
    <v>46.43</v>
    <v>45.72</v>
    <v>42.99</v>
    <v>41.91</v>
    <v>42.66</v>
    <v>41.74</v>
    <v>42.22</v>
    <v>42.28</v>
    <v>41.78</v>
    <v>42.44</v>
    <v>40.92</v>
    <v>39.35</v>
    <v>38.68</v>
    <v>38.89</v>
    <v>38.69</v>
    <v>40.479999999999997</v>
    <v>40.78</v>
    <v>40.82</v>
    <v>41.32</v>
    <v>40.409999999999997</v>
    <v>41.18</v>
    <v>39.14</v>
    <v>38.81</v>
    <v>39.33</v>
    <v>40.67</v>
    <v>39.35</v>
    <v>40.6</v>
    <v>44.74</v>
    <v>44.87</v>
    <v>44.4</v>
    <v>43.74</v>
    <v>42.32</v>
    <v>44.14</v>
    <v>44.44</v>
    <v>42.91</v>
    <v>41.41</v>
    <v>40.74</v>
    <v>42.41</v>
    <v>41.46</v>
    <v>41.29</v>
    <v>40.83</v>
    <v>40.159999999999997</v>
    <v>39.9</v>
    <v>41.32</v>
    <v>39.659999999999997</v>
    <v>38.869999999999997</v>
    <v>39.869999999999997</v>
    <v>40.119999999999997</v>
    <v>39.94</v>
    <v>42.04</v>
    <v>40.81</v>
    <v>40.39</v>
    <v>40.65</v>
    <v>39.24</v>
    <v>36.200000000000003</v>
    <v>36.46</v>
    <v>37.82</v>
    <v>37.69</v>
    <v>37.26</v>
    <v>36.659999999999997</v>
    <v>37.29</v>
    <v>37.880000000000003</v>
    <v>38.18</v>
    <v>37.840000000000003</v>
    <v>36.76</v>
    <v>36.44</v>
    <v>36.799999999999997</v>
    <v>37.82</v>
    <v>38.22</v>
    <v>39.090000000000003</v>
    <v>39.799999999999997</v>
    <v>39.26</v>
    <v>38.369999999999997</v>
    <v>36.659999999999997</v>
    <v>36.64</v>
    <v>36.369999999999997</v>
    <v>35.549999999999997</v>
    <v>35.340000000000003</v>
    <v>34.96</v>
    <v>36.299999999999997</v>
    <v>34.97</v>
    <v>35.53</v>
    <v>36.01</v>
    <v>36.56</v>
    <v>35.56</v>
    <v>36.58</v>
    <v>37.340000000000003</v>
    <v>39.24</v>
    <v>40.11</v>
    <v>40.54</v>
    <v>39.03</v>
    <v>30.42</v>
    <v>31.45</v>
    <v>30.96</v>
    <v>31.66</v>
    <v>33.01</v>
    <v>32.76</v>
    <v>32.9</v>
    <v>33.590000000000003</v>
    <v>32.549999999999997</v>
    <v>33.130000000000003</v>
    <v>31.97</v>
    <v>32.67</v>
    <v>32.96</v>
    <v>33.11</v>
    <v>33.15</v>
    <v>33.619999999999997</v>
    <v>34.479999999999997</v>
    <v>35</v>
    <v>35.6</v>
    <v>35.64</v>
    <v>35.630000000000003</v>
    <v>34.99</v>
    <v>35.49</v>
    <v>36.03</v>
    <v>35.520000000000003</v>
    <v>35.1</v>
    <v>35.9</v>
    <v>35.9</v>
    <v>35.86</v>
    <v>36.159999999999997</v>
    <v>35.19</v>
    <v>35.43</v>
    <v>36.909999999999997</v>
    <v>37.22</v>
    <v>37.21</v>
    <v>37.06</v>
    <v>37.14</v>
    <v>37.770000000000003</v>
    <v>38.68</v>
    <v>39.82</v>
    <v>39.39</v>
    <v>39.659999999999997</v>
    <v>38.520000000000003</v>
    <v>40.53</v>
    <v>41.11</v>
    <v>41.28</v>
    <v>40</v>
    <v>39.79</v>
    <v>40.520000000000003</v>
    <v>41</v>
    <v>41.08</v>
    <v>39.96</v>
    <v>40.54</v>
    <v>40.51</v>
    <v>40.57</v>
    <v>41.03</v>
    <v>41.52</v>
    <v>38.85</v>
    <v>39.04</v>
    <v>36.53</v>
    <v>37.67</v>
    <v>36.18</v>
    <v>37.17</v>
    <v>37.020000000000003</v>
    <v>37.32</v>
    <v>38.75</v>
    <v>39.090000000000003</v>
    <v>40.5</v>
    <v>40.590000000000003</v>
    <v>40.86</v>
    <v>40.54</v>
    <v>43.35</v>
    <v>43.36</v>
    <v>44.16</v>
    <v>43.94</v>
    <v>44.16</v>
    <v>44.13</v>
    <v>43.57</v>
    <v>43.99</v>
    <v>42.92</v>
    <v>43.26</v>
    <v>43.71</v>
    <v>43.64</v>
    <v>43.62</v>
    <v>44.9</v>
    <v>44.99</v>
    <v>45.41</v>
    <v>45.87</v>
    <v>46.24</v>
    <v>45.74</v>
    <v>45.28</v>
    <v>46.3</v>
    <v>46.03</v>
    <v>45.53</v>
    <v>47.11</v>
    <v>47.64</v>
    <v>44.87</v>
    <v>44.18</v>
    <v>44.26</v>
    <v>43.53</v>
    <v>43.39</v>
    <v>42.18</v>
    <v>41.99</v>
    <v>41.39</v>
    <v>40.51</v>
    <v>41.74</v>
    <v>41.4</v>
    <v>41.6</v>
    <v>40.79</v>
    <v>40.76</v>
    <v>41.39</v>
    <v>39.86</v>
    <v>39.93</v>
    <v>40.31</v>
    <v>41.29</v>
    <v>41.16</v>
    <v>41.78</v>
    <v>42.14</v>
    <v>42.3</v>
    <v>42.61</v>
    <v>43.14</v>
    <v>51.72</v>
    <v>51.44</v>
    <v>50</v>
    <v>51.18</v>
    <v>52.9</v>
    <v>53.11</v>
    <v>52.4</v>
    <v>54.56</v>
    <v>54.38</v>
    <v>53.14</v>
    <v>52.73</v>
    <v>50.73</v>
    <v>51.03</v>
    <v>52.24</v>
    <v>51.52</v>
    <v>49.35</v>
    <v>49.38</v>
    <v>49.16</v>
    <v>49.06</v>
    <v>49.37</v>
    <v>50.13</v>
    <v>52.16</v>
    <v>53.53</v>
    <v>54.54</v>
    <v>58.94</v>
    <v>59.31</v>
    <v>56.93</v>
    <v>56.26</v>
    <v>59.89</v>
    <v>59.61</v>
    <v>59.6</v>
    <v>61.45</v>
    <v>61.25</v>
    <v>58.8</v>
    <v>58.91</v>
    <v>60.11</v>
    <v>59.27</v>
    <v>59.56</v>
    <v>59.93</v>
    <v>59.45</v>
    <v>58.48</v>
    <v>57.86</v>
    <v>58.84</v>
    <v>60.47</v>
    <v>61.93</v>
    <v>61.3</v>
    <v>62.05</v>
    <v>61.82</v>
    <v>61.37</v>
    <v>62.26</v>
    <v>63.74</v>
    <v>65.260000000000005</v>
    <v>65.53</v>
    <v>66.099999999999994</v>
    <v>66</v>
    <v>67.11</v>
    <v>67.069999999999993</v>
    <v>67.17</v>
    <v>68.430000000000007</v>
    <v>70.08</v>
    <v>71.38</v>
    <v>71.069999999999993</v>
    <v>70.680000000000007</v>
    <v>73.790000000000006</v>
    <v>75.47</v>
    <v>67.12</v>
    <v>66.28</v>
    <v>65.05</v>
    <v>66.05</v>
    <v>64.2</v>
    <v>65.53</v>
    <v>66.75</v>
    <v>66.099999999999994</v>
    <v>63.64</v>
    <v>62.82</v>
    <v>62.51</v>
    <v>61.07</v>
    <v>59.4</v>
    <v>59.78</v>
    <v>60.43</v>
    <v>63.64</v>
    <v>62.18</v>
    <v>62.66</v>
    <v>63.31</v>
    <v>58.57</v>
    <v>57.17</v>
    <v>53.77</v>
    <v>54.75</v>
    <v>56.86</v>
    <v>55.73</v>
    <v>56.51</v>
    <v>56.97</v>
    <v>55.98</v>
    <v>58.1</v>
    <v>57.92</v>
    <v>61.16</v>
    <v>61.18</v>
    <v>62.01</v>
    <v>60.36</v>
    <v>59.5</v>
    <v>59.07</v>
    <v>58.29</v>
    <v>60.99</v>
    <v>61.61</v>
    <v>58.22</v>
    <v>52.96</v>
    <v>52.53</v>
    <v>51.22</v>
    <v>57.31</v>
    <v>56.12</v>
    <v>57.26</v>
    <v>56.91</v>
    <v>58.88</v>
    <v>59.09</v>
    <v>59.71</v>
    <v>59.91</v>
    <v>62.15</v>
    <v>63.48</v>
    <v>65.69</v>
    <v>66.58</v>
    <v>66.430000000000007</v>
    <v>66.400000000000006</v>
    <v>67.05</v>
    <v>69</v>
    <v>74.09</v>
    <v>71.819999999999993</v>
    <v>70.77</v>
    <v>70.44</v>
    <v>70.05</v>
    <v>71.88</v>
    <v>73.489999999999995</v>
    <v>77.02</v>
    <v>79.45</v>
    <v>80.77</v>
    <v>81.27</v>
    <v>81.209999999999994</v>
    <v>81.709999999999994</v>
    <v>81.16</v>
    <v>81.81</v>
    <v>82.26</v>
    <v>85.43</v>
    <v>84.64</v>
    <v>84.79</v>
    <v>86.98</v>
    <v>89.95</v>
    <v>89.95</v>
    <v>91.07</v>
    <v>94.2</v>
    <v>95.8</v>
    <v>93.42</v>
    <v>93.72</v>
    <v>96.17</v>
    <v>95.11</v>
    <v>97.17</v>
    <v>100.44</v>
    <v>101.12</v>
    <v>102.65</v>
    <v>102.09</v>
    <v>103.49</v>
    <v>104.78</v>
    <v>102.84</v>
    <v>105</v>
    <v>105.59</v>
    <v>105.2</v>
    <v>100.65</v>
    <v>102.4</v>
    <v>103.59</v>
    <v>107.76</v>
    <v>104.94</v>
    <v>106.68</v>
    <v>105.03</v>
    <v>105.69</v>
    <v>111.83</v>
    <v>112.48</v>
    <v>119.02</v>
    <v>122.17</v>
    <v>124.5</v>
    <v>124.5</v>
    <v>120.2</v>
    <v>118.63</v>
    <v>118.12</v>
    <v>118.82</v>
    <v>120.96</v>
    <v>118.33</v>
    <v>124.94</v>
    <v>137.79</v>
    <v>125.03</v>
    <v>130.69999999999999</v>
    <v>127.11</v>
    <v>134.13999999999999</v>
    <v>129.63</v>
    <v>128.71</v>
    <v>130.74</v>
    <v>129.53</v>
    <v>126.78</v>
    <v>125.28</v>
    <v>117.34</v>
    <v>119.95</v>
    <v>118.28</v>
    <v>118.49</v>
    <v>114.85</v>
    <v>117.52</v>
    <v>124.81</v>
    <v>124.76</v>
    <v>122.7</v>
    <v>126.88</v>
    <v>124.59</v>
    <v>128.47</v>
    <v>133.46</v>
    <v>129.79</v>
    <v>127.69</v>
    <v>128.47</v>
    <v>131.79</v>
    <v>132.84</v>
    <v>132.96</v>
    <v>133.31</v>
    <v>137.25</v>
    <v>135.84</v>
    <v>135.38</v>
    <v>135.54</v>
    <v>135.18</v>
    <v>136.84</v>
    <v>132.22</v>
    <v>133.13</v>
    <v>132.04</v>
    <v>135.06</v>
    <v>141.56</v>
    <v>138.52000000000001</v>
    <v>134.07</v>
    <v>133.5</v>
    <v>122.69</v>
    <v>126.27</v>
    <v>124.99</v>
    <v>125.97</v>
    <v>126.43</v>
    <v>126.8</v>
    <v>128.24</v>
    <v>133.28</v>
    <v>138.56</v>
    <v>134.49</v>
    <v>132.91999999999999</v>
    <v>134.84</v>
    <v>133.16</v>
    <v>128</v>
    <v>129.24</v>
    <v>127.71</v>
    <v>128.49</v>
    <v>131.72</v>
    <v>133.74</v>
    <v>113</v>
    <v>113.72</v>
    <v>107.66</v>
    <v>104.13</v>
    <v>102.24</v>
    <v>101.28</v>
    <v>106.84</v>
    <v>105.36</v>
    <v>104.68</v>
    <v>104.34</v>
    <v>101.27</v>
    <v>102.28</v>
    <v>101.27</v>
    <v>101.73</v>
    <v>97.37</v>
    <v>91.7</v>
    <v>89.25</v>
    <v>90.58</v>
    <v>91.07</v>
    <v>92.73</v>
    <v>95.03</v>
    <v>93.79</v>
    <v>93.7</v>
    <v>92.1</v>
    <v>95.21</v>
    <v>96.28</v>
    <v>97.64</v>
    <v>99</v>
    <v>94.36</v>
    <v>94.34</v>
    <v>88.51</v>
    <v>86.96</v>
    <v>87.44</v>
    <v>85.91</v>
    <v>83.91</v>
    <v>81.94</v>
    <v>81.98</v>
    <v>80.989999999999995</v>
    <v>81.88</v>
    <v>82.22</v>
    <v>81.52</v>
    <v>81.81</v>
    <v>81.03</v>
    <v>80.95</v>
    <v>81.040000000000006</v>
    <v>75.83</v>
    <v>76.42</v>
    <v>73.89</v>
    <v>73.27</v>
    <v>76.72</v>
    <v>84.8</v>
    <v>82.87</v>
    <v>84.65</v>
    <v>87.28</v>
    <v>78.84</v>
    <v>75.680000000000007</v>
    <v>74.7</v>
    <v>74.12</v>
    <v>74.010000000000005</v>
    <v>72.14</v>
    <v>75.27</v>
    <v>75.73</v>
    <v>65.760000000000005</v>
    <v>67.48</v>
    <v>65.400000000000006</v>
    <v>63.07</v>
    <v>60.57</v>
    <v>66.42</v>
    <v>73.45</v>
    <v>71.94</v>
    <v>68.989999999999995</v>
    <v>63.15</v>
    <v>63.17</v>
    <v>63</v>
    <v>63.06</v>
    <v>64.44</v>
    <v>62</v>
    <v>62.43</v>
    <v>67.09</v>
    <v>68.069999999999993</v>
    <v>71.400000000000006</v>
    <v>68.66</v>
    <v>67.44</v>
    <v>66.97</v>
    <v>67.400000000000006</v>
    <v>66.08</v>
    <v>63.53</v>
    <v>62.65</v>
    <v>58.83</v>
    <v>60.39</v>
    <v>56.3</v>
    <v>56.42</v>
    <v>59.17</v>
    <v>57.79</v>
    <v>58.27</v>
    <v>57.52</v>
    <v>56.96</v>
    <v>56.84</v>
    <v>55</v>
    <v>56.65</v>
    <v>53.85</v>
    <v>52.31</v>
    <v>51.91</v>
    <v>56.56</v>
    <v>57.63</v>
    <v>60.11</v>
    <v>57.2</v>
    <v>57.5</v>
    <v>55.43</v>
    <v>55.17</v>
    <v>55.59</v>
    <v>57.66</v>
    <v>58.3</v>
    <v>59.79</v>
    <v>60.44</v>
    <v>60.34</v>
    <v>61.83</v>
    <v>61.26</v>
    <v>59.64</v>
    <v>55.45</v>
    <v>56.09</v>
    <v>57.52</v>
    <v>56.11</v>
    <v>56.28</v>
    <v>55.26</v>
    <v>45.13</v>
    <v>47.57</v>
    <v>44.04</v>
    <v>43.76</v>
    <v>44.78</v>
    <v>41.91</v>
    <v>41.31</v>
    <v>41.54</v>
    <v>41.96</v>
    <v>43.72</v>
    <v>42.85</v>
    <v>46.98</v>
    <v>44.45</v>
    <v>45.79</v>
    <v>46.14</v>
    <v>48.16</v>
    <v>46</v>
    <v>45.63</v>
    <v>46.83</v>
    <v>47.15</v>
    <v>47</v>
    <v>45</v>
    <v>43.68</v>
    <v>43.35</v>
    <v>41.82</v>
    <v>42.3</v>
    <v>43</v>
    <v>41.5</v>
    <v>43.49</v>
    <v>43.31</v>
    <v>45.66</v>
    <v>49.34</v>
    <v>48.02</v>
    <v>51.53</v>
    <v>47.27</v>
    <v>47.11</v>
    <v>47.94</v>
    <v>46.39</v>
    <v>47.56</v>
    <v>54.34</v>
    <v>54.38</v>
    <v>57.95</v>
    <v>55.41</v>
    <v>57.03</v>
    <v>56.71</v>
    <v>55.12</v>
    <v>56.43</v>
    <v>55.35</v>
    <v>55.03</v>
    <v>54.47</v>
    <v>57.07</v>
    <v>54.01</v>
    <v>51.68</v>
    <v>53.25</v>
    <v>52.5</v>
    <v>49.64</v>
    <v>47.55</v>
    <v>47.55</v>
    <v>48.42</v>
    <v>49.5</v>
    <v>50.13</v>
    <v>48.67</v>
    <v>35.6</v>
    <v>36.67</v>
    <v>37</v>
    <v>36.19</v>
    <v>36.04</v>
    <v>37.79</v>
    <v>37.049999999999997</v>
    <v>36.22</v>
    <v>35.54</v>
    <v>37.950000000000003</v>
    <v>38.229999999999997</v>
    <v>37.93</v>
    <v>37.67</v>
    <v>38.69</v>
    <v>38.630000000000003</v>
    <v>38.369999999999997</v>
    <v>38.76</v>
    <v>39.119999999999997</v>
    <v>37.56</v>
    <v>38.15</v>
    <v>38.53</v>
    <v>41.29</v>
    <v>40.67</v>
    <v>41.21</v>
    <v>41.51</v>
    <v>43.31</v>
    <v>44.82</v>
    <v>44.52</v>
    <v>44.88</v>
    <v>45.5</v>
    <v>51.29</v>
    <v>50.24</v>
    <v>47.43</v>
    <v>47.5</v>
    <v>47.82</v>
    <v>51.25</v>
    <v>49.87</v>
    <v>48.99</v>
    <v>48.83</v>
    <v>46.44</v>
    <v>41.86</v>
    <v>41.18</v>
    <v>42.37</v>
    <v>43</v>
    <v>44.12</v>
    <v>44.58</v>
    <v>45.56</v>
    <v>46.41</v>
    <v>45.52</v>
    <v>48.09</v>
    <v>49.58</v>
    <v>49.51</v>
    <v>47.54</v>
    <v>51.13</v>
    <v>49.55</v>
    <v>50.75</v>
    <v>52.35</v>
    <v>52.55</v>
    <v>53.96</v>
    <v>52.89</v>
  </a>
  <a r="1" c="761">
    <v>49.37</v>
    <v>49.655000000000001</v>
    <v>49.47</v>
    <v>48.905000000000001</v>
    <v>48.524999999999999</v>
    <v>48.515000000000001</v>
    <v>48.935000000000002</v>
    <v>49.505000000000003</v>
    <v>50.28</v>
    <v>50.42</v>
    <v>50.38</v>
    <v>50.73</v>
    <v>50.67</v>
    <v>50.96</v>
    <v>50.88</v>
    <v>51.21</v>
    <v>51.5</v>
    <v>51.57</v>
    <v>51.2</v>
    <v>51.33</v>
    <v>51.39</v>
    <v>51.5</v>
    <v>51.92</v>
    <v>51.91</v>
    <v>51.77</v>
    <v>51.71</v>
    <v>51.42</v>
    <v>51.43</v>
    <v>51.59</v>
    <v>52.24</v>
    <v>52.11</v>
    <v>52.33</v>
    <v>52.46</v>
    <v>52.47</v>
    <v>52.78</v>
    <v>53.1</v>
    <v>53.14</v>
    <v>53.47</v>
    <v>53.1</v>
    <v>53.6</v>
    <v>53.65</v>
    <v>53.76</v>
    <v>53.95</v>
    <v>53.53</v>
    <v>53.58</v>
    <v>53.21</v>
    <v>53.66</v>
    <v>53.47</v>
    <v>53.6</v>
    <v>53.43</v>
    <v>53.43</v>
    <v>53.24</v>
    <v>53.34</v>
    <v>53.74</v>
    <v>53.86</v>
    <v>53.63</v>
    <v>54.06</v>
    <v>54.15</v>
    <v>54.29</v>
    <v>53.94</v>
    <v>54.31</v>
    <v>54.61</v>
    <v>55.21</v>
    <v>55.08</v>
    <v>55.48</v>
    <v>55.77</v>
    <v>55.69</v>
    <v>55.99</v>
    <v>56.2</v>
    <v>55.79</v>
    <v>55.72</v>
    <v>56.69</v>
    <v>56.98</v>
    <v>57.09</v>
    <v>57.47</v>
    <v>57.56</v>
    <v>57.72</v>
    <v>58.24</v>
    <v>57.67</v>
    <v>57.75</v>
    <v>58.09</v>
    <v>58.29</v>
    <v>58.07</v>
    <v>57.34</v>
    <v>57.35</v>
    <v>58.58</v>
    <v>58.83</v>
    <v>58.6</v>
    <v>58.45</v>
    <v>58.48</v>
    <v>58.6</v>
    <v>59.1</v>
    <v>59.17</v>
    <v>58.66</v>
    <v>58.95</v>
    <v>59.44</v>
    <v>59.22</v>
    <v>58.61</v>
    <v>59.32</v>
    <v>59.4</v>
    <v>59.56</v>
    <v>59.05</v>
    <v>59.57</v>
    <v>59.6</v>
    <v>59.82</v>
    <v>60.74</v>
    <v>60.49</v>
    <v>60.29</v>
    <v>60.36</v>
    <v>60.17</v>
    <v>60.55</v>
    <v>60.05</v>
    <v>60.12</v>
    <v>60.03</v>
    <v>59.68</v>
    <v>59.73</v>
    <v>59.27</v>
    <v>59.75</v>
    <v>59.9</v>
    <v>60.25</v>
    <v>60.31</v>
    <v>59.3</v>
    <v>58.93</v>
    <v>58.97</v>
    <v>58.25</v>
    <v>58.23</v>
    <v>58.88</v>
    <v>58.89</v>
    <v>58.06</v>
    <v>59.37</v>
    <v>59.11</v>
    <v>59.05</v>
    <v>58.59</v>
    <v>58.93</v>
    <v>59.54</v>
    <v>60.04</v>
    <v>60.1</v>
    <v>60.18</v>
    <v>60.46</v>
    <v>60.35</v>
    <v>60.24</v>
    <v>60.8</v>
    <v>61.12</v>
    <v>60.83</v>
    <v>61.19</v>
    <v>61.13</v>
    <v>61.13</v>
    <v>61.48</v>
    <v>61.32</v>
    <v>61.47</v>
    <v>61.21</v>
    <v>61.09</v>
    <v>60.95</v>
    <v>60.47</v>
    <v>60.85</v>
    <v>60.88</v>
    <v>61.72</v>
    <v>61.97</v>
    <v>62.33</v>
    <v>62.58</v>
    <v>62.57</v>
    <v>62.98</v>
    <v>62.97</v>
    <v>63.29</v>
    <v>63.34</v>
    <v>63.79</v>
    <v>63.85</v>
    <v>64.09</v>
    <v>63.8</v>
    <v>63.76</v>
    <v>63.74</v>
    <v>63.64</v>
    <v>63.52</v>
    <v>63.53</v>
    <v>62.99</v>
    <v>62.98</v>
    <v>63.17</v>
    <v>63.23</v>
    <v>63.27</v>
    <v>63.38</v>
    <v>63.43</v>
    <v>63.6</v>
    <v>63.41</v>
    <v>63.85</v>
    <v>63.74</v>
    <v>63.91</v>
    <v>62.98</v>
    <v>62.52</v>
    <v>62.18</v>
    <v>62.5</v>
    <v>62.98</v>
    <v>61.83</v>
    <v>61.44</v>
    <v>61.63</v>
    <v>61.72</v>
    <v>61.79</v>
    <v>62.82</v>
    <v>62.51</v>
    <v>60.18</v>
    <v>59.02</v>
    <v>59.63</v>
    <v>60.26</v>
    <v>60.36</v>
    <v>60.68</v>
    <v>60.88</v>
    <v>61.39</v>
    <v>61.47</v>
    <v>62.64</v>
    <v>62.7</v>
    <v>62.62</v>
    <v>62.84</v>
    <v>63</v>
    <v>62.82</v>
    <v>62.88</v>
    <v>62.98</v>
    <v>62.98</v>
    <v>63.73</v>
    <v>63.39</v>
    <v>63.73</v>
    <v>63.01</v>
    <v>62.13</v>
    <v>61.46</v>
    <v>60.87</v>
    <v>61.58</v>
    <v>61.7</v>
    <v>61.35</v>
    <v>62.43</v>
    <v>62.88</v>
    <v>62.61</v>
    <v>63.01</v>
    <v>62.64</v>
    <v>63.41</v>
    <v>62.95</v>
    <v>63.31</v>
    <v>63.31</v>
    <v>63.41</v>
    <v>63.52</v>
    <v>63.75</v>
    <v>63.58</v>
    <v>63.76</v>
    <v>63.98</v>
    <v>63.95</v>
    <v>64.19</v>
    <v>64.34</v>
    <v>64.47</v>
    <v>64.849999999999994</v>
    <v>65.010000000000005</v>
    <v>65.28</v>
    <v>65.94</v>
    <v>65.599999999999994</v>
    <v>65.5</v>
    <v>66</v>
    <v>65.91</v>
    <v>65.73</v>
    <v>65.72</v>
    <v>65.52</v>
    <v>65.33</v>
    <v>65.5</v>
    <v>65.430000000000007</v>
    <v>65.510000000000005</v>
    <v>65.040000000000006</v>
    <v>63.94</v>
    <v>64.3</v>
    <v>63.79</v>
    <v>63.96</v>
    <v>65.680000000000007</v>
    <v>66.12</v>
    <v>66.64</v>
    <v>67.09</v>
    <v>67.05</v>
    <v>67.16</v>
    <v>67.22</v>
    <v>66.25</v>
    <v>66.14</v>
    <v>66</v>
    <v>66.22</v>
    <v>67.05</v>
    <v>67.94</v>
    <v>67.81</v>
    <v>68.010000000000005</v>
    <v>67.489999999999995</v>
    <v>67.760000000000005</v>
    <v>68.069999999999993</v>
    <v>68.599999999999994</v>
    <v>68.59</v>
    <v>68.72</v>
    <v>68.430000000000007</v>
    <v>68.540000000000006</v>
    <v>68.25</v>
    <v>68.42</v>
    <v>68.819999999999993</v>
    <v>68.52</v>
    <v>67.989999999999995</v>
    <v>68.03</v>
    <v>67.819999999999993</v>
    <v>68.02</v>
    <v>67.010000000000005</v>
    <v>66.91</v>
    <v>66.75</v>
    <v>67.08</v>
    <v>66.73</v>
    <v>67.61</v>
    <v>67.37</v>
    <v>67.680000000000007</v>
    <v>67.44</v>
    <v>67.45</v>
    <v>67.510000000000005</v>
    <v>66.98</v>
    <v>66.72</v>
    <v>66.45</v>
    <v>67.569999999999993</v>
    <v>67.819999999999993</v>
    <v>68.2</v>
    <v>67.650000000000006</v>
    <v>67.709999999999994</v>
    <v>68.39</v>
    <v>68.41</v>
    <v>68.09</v>
    <v>67.28</v>
    <v>68.09</v>
    <v>68.33</v>
    <v>68.650000000000006</v>
    <v>69.150000000000006</v>
    <v>68.709999999999994</v>
    <v>68.540000000000006</v>
    <v>68.27</v>
    <v>69.099999999999994</v>
    <v>68.77</v>
    <v>69.28</v>
    <v>69.150000000000006</v>
    <v>68.66</v>
    <v>69.05</v>
    <v>68.760000000000005</v>
    <v>69.06</v>
    <v>69.02</v>
    <v>69.319999999999993</v>
    <v>68.900000000000006</v>
    <v>68.95</v>
    <v>68.42</v>
    <v>67.58</v>
    <v>68.27</v>
    <v>68.41</v>
    <v>67.62</v>
    <v>67.89</v>
    <v>66.040000000000006</v>
    <v>64.930000000000007</v>
    <v>65.02</v>
    <v>63.92</v>
    <v>63.76</v>
    <v>62.16</v>
    <v>62.48</v>
    <v>61.94</v>
    <v>62.51</v>
    <v>62.79</v>
    <v>62.46</v>
    <v>63.09</v>
    <v>63.36</v>
    <v>63.07</v>
    <v>64.040000000000006</v>
    <v>64.06</v>
    <v>63.94</v>
    <v>63.78</v>
    <v>62.57</v>
    <v>62.16</v>
    <v>63.01</v>
    <v>62.92</v>
    <v>60.01</v>
    <v>57.7</v>
    <v>55.85</v>
    <v>57.57</v>
    <v>55.04</v>
    <v>57.15</v>
    <v>56.53</v>
    <v>58.05</v>
    <v>58.61</v>
    <v>57.89</v>
    <v>57.14</v>
    <v>56.7</v>
    <v>58.22</v>
    <v>58.56</v>
    <v>58.74</v>
    <v>58.84</v>
    <v>59.25</v>
    <v>59.43</v>
    <v>60.83</v>
    <v>60.91</v>
    <v>60.58</v>
    <v>60.3</v>
    <v>61.19</v>
    <v>60.95</v>
    <v>62.78</v>
    <v>63.25</v>
    <v>62.97</v>
    <v>63.36</v>
    <v>63.73</v>
    <v>63.46</v>
    <v>63.56</v>
    <v>63.02</v>
    <v>62.28</v>
    <v>61.61</v>
    <v>62.11</v>
    <v>62.53</v>
    <v>62.64</v>
    <v>62.28</v>
    <v>62.41</v>
    <v>61.97</v>
    <v>62.67</v>
    <v>62.93</v>
    <v>62.93</v>
    <v>63.23</v>
    <v>63.09</v>
    <v>63.2</v>
    <v>63.13</v>
    <v>62.51</v>
    <v>62.08</v>
    <v>62.22</v>
    <v>62.1</v>
    <v>61.87</v>
    <v>61.36</v>
    <v>61.32</v>
    <v>61.38</v>
    <v>61.84</v>
    <v>61.88</v>
    <v>61.69</v>
    <v>62.28</v>
    <v>62.14</v>
    <v>62.36</v>
    <v>62.27</v>
    <v>62.86</v>
    <v>62.49</v>
    <v>62.62</v>
    <v>62.71</v>
    <v>62.85</v>
    <v>63.36</v>
    <v>62.88</v>
    <v>62.91</v>
    <v>63.19</v>
    <v>62.47</v>
    <v>63.38</v>
    <v>63.07</v>
    <v>63.04</v>
    <v>62.74</v>
    <v>63.17</v>
    <v>63.28</v>
    <v>63.46</v>
    <v>64</v>
    <v>64.099999999999994</v>
    <v>64.27</v>
    <v>64.31</v>
    <v>62.52</v>
    <v>63.33</v>
    <v>63.15</v>
    <v>63.21</v>
    <v>63.14</v>
    <v>63.27</v>
    <v>63.62</v>
    <v>63.65</v>
    <v>63.85</v>
    <v>64.23</v>
    <v>64.11</v>
    <v>64.16</v>
    <v>63.95</v>
    <v>64.150000000000006</v>
    <v>64.430000000000007</v>
    <v>64.41</v>
    <v>64.28</v>
    <v>64.78</v>
    <v>64.41</v>
    <v>64.08</v>
    <v>64.19</v>
    <v>63.49</v>
    <v>63.95</v>
    <v>64.599999999999994</v>
    <v>63.96</v>
    <v>64.2</v>
    <v>64.209999999999994</v>
    <v>64.209999999999994</v>
    <v>64.73</v>
    <v>64.7</v>
    <v>64.680000000000007</v>
    <v>64.239999999999995</v>
    <v>64.3</v>
    <v>65.14</v>
    <v>65.06</v>
    <v>65.28</v>
    <v>65.36</v>
    <v>65.260000000000005</v>
    <v>65.14</v>
    <v>65.260000000000005</v>
    <v>65.48</v>
    <v>65.56</v>
    <v>66.069999999999993</v>
    <v>66.459999999999994</v>
    <v>66.67</v>
    <v>66.930000000000007</v>
    <v>66.88</v>
    <v>67.36</v>
    <v>67.239999999999995</v>
    <v>66.010000000000005</v>
    <v>66.319999999999993</v>
    <v>66.010000000000005</v>
    <v>66.41</v>
    <v>66.150000000000006</v>
    <v>65.7</v>
    <v>66.760000000000005</v>
    <v>67.16</v>
    <v>66.8</v>
    <v>67.02</v>
    <v>67.290000000000006</v>
    <v>67.760000000000005</v>
    <v>67.709999999999994</v>
    <v>67.819999999999993</v>
    <v>68.02</v>
    <v>67.58</v>
    <v>67.53</v>
    <v>67.41</v>
    <v>67.58</v>
    <v>66.66</v>
    <v>65.81</v>
    <v>66.97</v>
    <v>67.3</v>
    <v>67.66</v>
    <v>67.06</v>
    <v>66.94</v>
    <v>66.650000000000006</v>
    <v>65.88</v>
    <v>66.17</v>
    <v>66.709999999999994</v>
    <v>66.28</v>
    <v>66.84</v>
    <v>66.989999999999995</v>
    <v>67.790000000000006</v>
    <v>67.7</v>
    <v>67.88</v>
    <v>67.760000000000005</v>
    <v>67.72</v>
    <v>67.819999999999993</v>
    <v>67.959999999999994</v>
    <v>68.27</v>
    <v>67.97</v>
    <v>67.91</v>
    <v>67.77</v>
    <v>67.680000000000007</v>
    <v>67.61</v>
    <v>67.67</v>
    <v>67.16</v>
    <v>66.97</v>
    <v>67.66</v>
    <v>67.88</v>
    <v>68.010000000000005</v>
    <v>68.11</v>
    <v>68.180000000000007</v>
    <v>68.34</v>
    <v>68.06</v>
    <v>69.209999999999994</v>
    <v>69.510000000000005</v>
    <v>69.66</v>
    <v>69.64</v>
    <v>70.3</v>
    <v>70.16</v>
    <v>70.010000000000005</v>
    <v>69.849999999999994</v>
    <v>70.680000000000007</v>
    <v>70.66</v>
    <v>69.67</v>
    <v>69.12</v>
    <v>69.290000000000006</v>
    <v>69.67</v>
    <v>69.650000000000006</v>
    <v>69.42</v>
    <v>69.45</v>
    <v>69.41</v>
    <v>69.13</v>
    <v>69.38</v>
    <v>70.2</v>
    <v>69.77</v>
    <v>69.81</v>
    <v>69.260000000000005</v>
    <v>69.92</v>
    <v>70.03</v>
    <v>70.069999999999993</v>
    <v>70.239999999999995</v>
    <v>69.61</v>
    <v>69.739999999999995</v>
    <v>69.62</v>
    <v>69.87</v>
    <v>70.540000000000006</v>
    <v>70.3</v>
    <v>70.599999999999994</v>
    <v>70.22</v>
    <v>70.58</v>
    <v>71.08</v>
    <v>70.84</v>
    <v>70.739999999999995</v>
    <v>70.95</v>
    <v>70.260000000000005</v>
    <v>70.92</v>
    <v>70.3</v>
    <v>69.47</v>
    <v>69.150000000000006</v>
    <v>70</v>
    <v>69.72</v>
    <v>69.39</v>
    <v>69.25</v>
    <v>69.38</v>
    <v>69.48</v>
    <v>68.94</v>
    <v>67.89</v>
    <v>67.31</v>
    <v>67.680000000000007</v>
    <v>67.77</v>
    <v>68.209999999999994</v>
    <v>67.44</v>
    <v>66.58</v>
    <v>66.95</v>
    <v>66.930000000000007</v>
    <v>68.19</v>
    <v>68.22</v>
    <v>67.67</v>
    <v>69.44</v>
    <v>69.67</v>
    <v>69.8</v>
    <v>69.7</v>
    <v>70.37</v>
    <v>70.290000000000006</v>
    <v>70.78</v>
    <v>71.5</v>
    <v>71.44</v>
    <v>71.31</v>
    <v>71.599999999999994</v>
    <v>71.84</v>
    <v>71.77</v>
    <v>71.569999999999993</v>
    <v>71.260000000000005</v>
    <v>71.23</v>
    <v>71.55</v>
    <v>71.38</v>
    <v>71.760000000000005</v>
    <v>72.58</v>
    <v>72.52</v>
    <v>72.42</v>
    <v>72.41</v>
    <v>72.11</v>
    <v>72.599999999999994</v>
    <v>73.58</v>
    <v>73.28</v>
    <v>72.94</v>
    <v>73.11</v>
    <v>73.59</v>
    <v>73.739999999999995</v>
    <v>74.5</v>
    <v>74.959999999999994</v>
    <v>74.53</v>
    <v>74.37</v>
    <v>74.349999999999994</v>
    <v>74.22</v>
    <v>74.069999999999993</v>
    <v>74.27</v>
    <v>74.23</v>
    <v>74.81</v>
    <v>74.67</v>
    <v>74.459999999999994</v>
    <v>73.8</v>
    <v>74.010000000000005</v>
    <v>74.36</v>
    <v>75.27</v>
    <v>75.89</v>
    <v>75.77</v>
    <v>75.819999999999993</v>
    <v>75.83</v>
    <v>75.760000000000005</v>
    <v>75.94</v>
    <v>75.3</v>
    <v>75.87</v>
    <v>75.66</v>
    <v>75.599999999999994</v>
    <v>76.14</v>
    <v>76.900000000000006</v>
    <v>77.319999999999993</v>
    <v>76.900000000000006</v>
    <v>77.39</v>
    <v>77.17</v>
    <v>76.66</v>
    <v>76.27</v>
    <v>76.88</v>
    <v>77.2</v>
    <v>77.459999999999994</v>
    <v>77.180000000000007</v>
    <v>77.53</v>
    <v>77.84</v>
    <v>76.92</v>
    <v>76.98</v>
    <v>77.2</v>
    <v>77.16</v>
    <v>76.510000000000005</v>
    <v>77.099999999999994</v>
    <v>76.78</v>
    <v>77.209999999999994</v>
    <v>76.78</v>
    <v>76.23</v>
    <v>76.290000000000006</v>
    <v>77.28</v>
    <v>78.17</v>
    <v>78.42</v>
    <v>78.349999999999994</v>
    <v>78.510000000000005</v>
    <v>78.650000000000006</v>
    <v>78.709999999999994</v>
    <v>78.56</v>
    <v>78.87</v>
    <v>78.58</v>
    <v>78.31</v>
    <v>77.8</v>
    <v>77.78</v>
    <v>77.25</v>
    <v>77.41</v>
    <v>77.45</v>
    <v>77.7</v>
    <v>77.739999999999995</v>
    <v>77.790000000000006</v>
    <v>78.37</v>
    <v>77.39</v>
    <v>77.16</v>
    <v>77.260000000000005</v>
    <v>77.709999999999994</v>
    <v>77.48</v>
    <v>77.349999999999994</v>
    <v>77.02</v>
    <v>76.34</v>
    <v>76.05</v>
    <v>76.66</v>
    <v>76.75</v>
    <v>76.42</v>
    <v>76.66</v>
    <v>76.989999999999995</v>
    <v>77.069999999999993</v>
    <v>77.84</v>
    <v>78.48</v>
    <v>78.44</v>
    <v>78.14</v>
    <v>78.45</v>
    <v>78.38</v>
    <v>78.75</v>
    <v>78.94</v>
    <v>79.040000000000006</v>
    <v>79.72</v>
    <v>80.34</v>
    <v>80.599999999999994</v>
    <v>80.41</v>
    <v>80.41</v>
    <v>80.930000000000007</v>
    <v>81.540000000000006</v>
    <v>81.03</v>
    <v>81.349999999999994</v>
    <v>80.989999999999995</v>
    <v>80.81</v>
    <v>80.849999999999994</v>
    <v>80.61</v>
    <v>81.05</v>
    <v>80.41</v>
    <v>80.209999999999994</v>
  </a>
  <a r="1" c="254">
    <v>67.02</v>
    <v>67.290000000000006</v>
    <v>67.760000000000005</v>
    <v>67.709999999999994</v>
    <v>67.819999999999993</v>
    <v>68.02</v>
    <v>67.58</v>
    <v>67.53</v>
    <v>67.41</v>
    <v>67.58</v>
    <v>66.66</v>
    <v>65.81</v>
    <v>66.97</v>
    <v>67.3</v>
    <v>67.66</v>
    <v>67.06</v>
    <v>66.94</v>
    <v>66.650000000000006</v>
    <v>65.88</v>
    <v>66.17</v>
    <v>66.709999999999994</v>
    <v>66.28</v>
    <v>66.84</v>
    <v>66.989999999999995</v>
    <v>67.790000000000006</v>
    <v>67.7</v>
    <v>67.88</v>
    <v>67.760000000000005</v>
    <v>67.72</v>
    <v>67.819999999999993</v>
    <v>67.959999999999994</v>
    <v>68.27</v>
    <v>67.97</v>
    <v>67.91</v>
    <v>67.77</v>
    <v>67.680000000000007</v>
    <v>67.61</v>
    <v>67.67</v>
    <v>67.16</v>
    <v>66.97</v>
    <v>67.66</v>
    <v>67.88</v>
    <v>68.010000000000005</v>
    <v>68.11</v>
    <v>68.180000000000007</v>
    <v>68.34</v>
    <v>68.06</v>
    <v>69.209999999999994</v>
    <v>69.510000000000005</v>
    <v>69.66</v>
    <v>69.64</v>
    <v>70.3</v>
    <v>70.16</v>
    <v>70.010000000000005</v>
    <v>69.849999999999994</v>
    <v>70.680000000000007</v>
    <v>70.66</v>
    <v>69.67</v>
    <v>69.12</v>
    <v>69.290000000000006</v>
    <v>69.67</v>
    <v>69.650000000000006</v>
    <v>69.42</v>
    <v>69.45</v>
    <v>69.41</v>
    <v>69.13</v>
    <v>69.38</v>
    <v>70.2</v>
    <v>69.77</v>
    <v>69.81</v>
    <v>69.260000000000005</v>
    <v>69.92</v>
    <v>70.03</v>
    <v>70.069999999999993</v>
    <v>70.239999999999995</v>
    <v>69.61</v>
    <v>69.739999999999995</v>
    <v>69.62</v>
    <v>69.87</v>
    <v>70.540000000000006</v>
    <v>70.3</v>
    <v>70.599999999999994</v>
    <v>70.22</v>
    <v>70.58</v>
    <v>71.08</v>
    <v>70.84</v>
    <v>70.739999999999995</v>
    <v>70.95</v>
    <v>70.260000000000005</v>
    <v>70.92</v>
    <v>70.3</v>
    <v>69.47</v>
    <v>69.150000000000006</v>
    <v>70</v>
    <v>69.72</v>
    <v>69.39</v>
    <v>69.25</v>
    <v>69.38</v>
    <v>69.48</v>
    <v>68.94</v>
    <v>67.89</v>
    <v>67.31</v>
    <v>67.680000000000007</v>
    <v>67.77</v>
    <v>68.209999999999994</v>
    <v>67.44</v>
    <v>66.58</v>
    <v>66.95</v>
    <v>66.930000000000007</v>
    <v>68.19</v>
    <v>68.22</v>
    <v>67.67</v>
    <v>69.44</v>
    <v>69.67</v>
    <v>69.8</v>
    <v>69.7</v>
    <v>70.37</v>
    <v>70.290000000000006</v>
    <v>70.78</v>
    <v>71.5</v>
    <v>71.44</v>
    <v>71.31</v>
    <v>71.599999999999994</v>
    <v>71.84</v>
    <v>71.77</v>
    <v>71.569999999999993</v>
    <v>71.260000000000005</v>
    <v>71.23</v>
    <v>71.55</v>
    <v>71.38</v>
    <v>71.760000000000005</v>
    <v>72.58</v>
    <v>72.52</v>
    <v>72.42</v>
    <v>72.41</v>
    <v>72.11</v>
    <v>72.599999999999994</v>
    <v>73.58</v>
    <v>73.28</v>
    <v>72.94</v>
    <v>73.11</v>
    <v>73.59</v>
    <v>73.739999999999995</v>
    <v>74.5</v>
    <v>74.959999999999994</v>
    <v>74.53</v>
    <v>74.37</v>
    <v>74.349999999999994</v>
    <v>74.22</v>
    <v>74.069999999999993</v>
    <v>74.27</v>
    <v>74.23</v>
    <v>74.81</v>
    <v>74.67</v>
    <v>74.459999999999994</v>
    <v>73.8</v>
    <v>74.010000000000005</v>
    <v>74.36</v>
    <v>75.27</v>
    <v>75.89</v>
    <v>75.77</v>
    <v>75.819999999999993</v>
    <v>75.83</v>
    <v>75.760000000000005</v>
    <v>75.94</v>
    <v>75.3</v>
    <v>75.87</v>
    <v>75.66</v>
    <v>75.599999999999994</v>
    <v>76.14</v>
    <v>76.900000000000006</v>
    <v>77.319999999999993</v>
    <v>76.900000000000006</v>
    <v>77.39</v>
    <v>77.17</v>
    <v>76.66</v>
    <v>76.27</v>
    <v>76.88</v>
    <v>77.2</v>
    <v>77.459999999999994</v>
    <v>77.180000000000007</v>
    <v>77.53</v>
    <v>77.84</v>
    <v>76.92</v>
    <v>76.98</v>
    <v>77.2</v>
    <v>77.16</v>
    <v>76.510000000000005</v>
    <v>77.099999999999994</v>
    <v>76.78</v>
    <v>77.209999999999994</v>
    <v>76.78</v>
    <v>76.23</v>
    <v>76.290000000000006</v>
    <v>77.28</v>
    <v>78.17</v>
    <v>78.42</v>
    <v>78.349999999999994</v>
    <v>78.510000000000005</v>
    <v>78.650000000000006</v>
    <v>78.709999999999994</v>
    <v>78.56</v>
    <v>78.87</v>
    <v>78.58</v>
    <v>78.31</v>
    <v>77.8</v>
    <v>77.78</v>
    <v>77.25</v>
    <v>77.41</v>
    <v>77.45</v>
    <v>77.7</v>
    <v>77.739999999999995</v>
    <v>77.790000000000006</v>
    <v>78.37</v>
    <v>77.39</v>
    <v>77.16</v>
    <v>77.260000000000005</v>
    <v>77.709999999999994</v>
    <v>77.48</v>
    <v>77.349999999999994</v>
    <v>77.02</v>
    <v>76.34</v>
    <v>76.05</v>
    <v>76.66</v>
    <v>76.75</v>
    <v>76.42</v>
    <v>76.66</v>
    <v>76.989999999999995</v>
    <v>77.069999999999993</v>
    <v>77.84</v>
    <v>78.48</v>
    <v>78.44</v>
    <v>78.14</v>
    <v>78.45</v>
    <v>78.38</v>
    <v>78.75</v>
    <v>78.94</v>
    <v>79.040000000000006</v>
    <v>79.72</v>
    <v>80.34</v>
    <v>80.599999999999994</v>
    <v>80.41</v>
    <v>80.41</v>
    <v>80.930000000000007</v>
    <v>81.540000000000006</v>
    <v>81.03</v>
    <v>81.349999999999994</v>
    <v>80.989999999999995</v>
    <v>80.81</v>
    <v>80.849999999999994</v>
    <v>80.61</v>
    <v>81.05</v>
    <v>80.41</v>
    <v>80.209999999999994</v>
  </a>
  <a r="1" c="208">
    <v>68.06</v>
    <v>69.209999999999994</v>
    <v>69.510000000000005</v>
    <v>69.66</v>
    <v>69.64</v>
    <v>70.3</v>
    <v>70.16</v>
    <v>70.010000000000005</v>
    <v>69.849999999999994</v>
    <v>70.680000000000007</v>
    <v>70.66</v>
    <v>69.67</v>
    <v>69.12</v>
    <v>69.290000000000006</v>
    <v>69.67</v>
    <v>69.650000000000006</v>
    <v>69.42</v>
    <v>69.45</v>
    <v>69.41</v>
    <v>69.13</v>
    <v>69.38</v>
    <v>70.2</v>
    <v>69.77</v>
    <v>69.81</v>
    <v>69.260000000000005</v>
    <v>69.92</v>
    <v>70.03</v>
    <v>70.069999999999993</v>
    <v>70.239999999999995</v>
    <v>69.61</v>
    <v>69.739999999999995</v>
    <v>69.62</v>
    <v>69.87</v>
    <v>70.540000000000006</v>
    <v>70.3</v>
    <v>70.599999999999994</v>
    <v>70.22</v>
    <v>70.58</v>
    <v>71.08</v>
    <v>70.84</v>
    <v>70.739999999999995</v>
    <v>70.95</v>
    <v>70.260000000000005</v>
    <v>70.92</v>
    <v>70.3</v>
    <v>69.47</v>
    <v>69.150000000000006</v>
    <v>70</v>
    <v>69.72</v>
    <v>69.39</v>
    <v>69.25</v>
    <v>69.38</v>
    <v>69.48</v>
    <v>68.94</v>
    <v>67.89</v>
    <v>67.31</v>
    <v>67.680000000000007</v>
    <v>67.77</v>
    <v>68.209999999999994</v>
    <v>67.44</v>
    <v>66.58</v>
    <v>66.95</v>
    <v>66.930000000000007</v>
    <v>68.19</v>
    <v>68.22</v>
    <v>67.67</v>
    <v>69.44</v>
    <v>69.67</v>
    <v>69.8</v>
    <v>69.7</v>
    <v>70.37</v>
    <v>70.290000000000006</v>
    <v>70.78</v>
    <v>71.5</v>
    <v>71.44</v>
    <v>71.31</v>
    <v>71.599999999999994</v>
    <v>71.84</v>
    <v>71.77</v>
    <v>71.569999999999993</v>
    <v>71.260000000000005</v>
    <v>71.23</v>
    <v>71.55</v>
    <v>71.38</v>
    <v>71.760000000000005</v>
    <v>72.58</v>
    <v>72.52</v>
    <v>72.42</v>
    <v>72.41</v>
    <v>72.11</v>
    <v>72.599999999999994</v>
    <v>73.58</v>
    <v>73.28</v>
    <v>72.94</v>
    <v>73.11</v>
    <v>73.59</v>
    <v>73.739999999999995</v>
    <v>74.5</v>
    <v>74.959999999999994</v>
    <v>74.53</v>
    <v>74.37</v>
    <v>74.349999999999994</v>
    <v>74.22</v>
    <v>74.069999999999993</v>
    <v>74.27</v>
    <v>74.23</v>
    <v>74.81</v>
    <v>74.67</v>
    <v>74.459999999999994</v>
    <v>73.8</v>
    <v>74.010000000000005</v>
    <v>74.36</v>
    <v>75.27</v>
    <v>75.89</v>
    <v>75.77</v>
    <v>75.819999999999993</v>
    <v>75.83</v>
    <v>75.760000000000005</v>
    <v>75.94</v>
    <v>75.3</v>
    <v>75.87</v>
    <v>75.66</v>
    <v>75.599999999999994</v>
    <v>76.14</v>
    <v>76.900000000000006</v>
    <v>77.319999999999993</v>
    <v>76.900000000000006</v>
    <v>77.39</v>
    <v>77.17</v>
    <v>76.66</v>
    <v>76.27</v>
    <v>76.88</v>
    <v>77.2</v>
    <v>77.459999999999994</v>
    <v>77.180000000000007</v>
    <v>77.53</v>
    <v>77.84</v>
    <v>76.92</v>
    <v>76.98</v>
    <v>77.2</v>
    <v>77.16</v>
    <v>76.510000000000005</v>
    <v>77.099999999999994</v>
    <v>76.78</v>
    <v>77.209999999999994</v>
    <v>76.78</v>
    <v>76.23</v>
    <v>76.290000000000006</v>
    <v>77.28</v>
    <v>78.17</v>
    <v>78.42</v>
    <v>78.349999999999994</v>
    <v>78.510000000000005</v>
    <v>78.650000000000006</v>
    <v>78.709999999999994</v>
    <v>78.56</v>
    <v>78.87</v>
    <v>78.58</v>
    <v>78.31</v>
    <v>77.8</v>
    <v>77.78</v>
    <v>77.25</v>
    <v>77.41</v>
    <v>77.45</v>
    <v>77.7</v>
    <v>77.739999999999995</v>
    <v>77.790000000000006</v>
    <v>78.37</v>
    <v>77.39</v>
    <v>77.16</v>
    <v>77.260000000000005</v>
    <v>77.709999999999994</v>
    <v>77.48</v>
    <v>77.349999999999994</v>
    <v>77.02</v>
    <v>76.34</v>
    <v>76.05</v>
    <v>76.66</v>
    <v>76.75</v>
    <v>76.42</v>
    <v>76.66</v>
    <v>76.989999999999995</v>
    <v>77.069999999999993</v>
    <v>77.84</v>
    <v>78.48</v>
    <v>78.44</v>
    <v>78.14</v>
    <v>78.45</v>
    <v>78.38</v>
    <v>78.75</v>
    <v>78.94</v>
    <v>79.040000000000006</v>
    <v>79.72</v>
    <v>80.34</v>
    <v>80.599999999999994</v>
    <v>80.41</v>
    <v>80.41</v>
    <v>80.930000000000007</v>
    <v>81.540000000000006</v>
    <v>81.03</v>
    <v>81.349999999999994</v>
    <v>80.989999999999995</v>
    <v>80.81</v>
    <v>80.849999999999994</v>
    <v>80.61</v>
    <v>81.05</v>
    <v>80.41</v>
    <v>80.209999999999994</v>
  </a>
  <a r="1" c="208">
    <v>112.36</v>
    <v>112.78</v>
    <v>114.04</v>
    <v>112.37</v>
    <v>112.89</v>
    <v>112.7</v>
    <v>116.18</v>
    <v>116.73</v>
    <v>115.92</v>
    <v>116.79</v>
    <v>114.16</v>
    <v>113.99</v>
    <v>112.39</v>
    <v>113.63</v>
    <v>114.74</v>
    <v>113.38</v>
    <v>112</v>
    <v>112.17</v>
    <v>113.81</v>
    <v>113.45</v>
    <v>112.36</v>
    <v>111.69</v>
    <v>109.7</v>
    <v>108.3</v>
    <v>109.06</v>
    <v>110.22</v>
    <v>110.93</v>
    <v>110.6</v>
    <v>109.93</v>
    <v>107.59</v>
    <v>107.55</v>
    <v>108.15</v>
    <v>108.12</v>
    <v>109.21</v>
    <v>108.81</v>
    <v>108.54</v>
    <v>108.78</v>
    <v>107.92</v>
    <v>107.58</v>
    <v>105.15</v>
    <v>104.82</v>
    <v>104.03</v>
    <v>101.51</v>
    <v>102.37</v>
    <v>101.26</v>
    <v>102.62</v>
    <v>103.7</v>
    <v>106.18</v>
    <v>105.2</v>
    <v>104.93</v>
    <v>105.87</v>
    <v>107.43</v>
    <v>106.85</v>
    <v>105.39</v>
    <v>103.1</v>
    <v>100.91</v>
    <v>100.82</v>
    <v>101.34</v>
    <v>102.8</v>
    <v>100.55</v>
    <v>100.46</v>
    <v>101.2</v>
    <v>100.97</v>
    <v>101.97</v>
    <v>101.42</v>
    <v>100.53</v>
    <v>103.19</v>
    <v>102.27</v>
    <v>102.82</v>
    <v>102.11</v>
    <v>103.38</v>
    <v>103.67</v>
    <v>105.58</v>
    <v>106.56</v>
    <v>106.39</v>
    <v>105.54</v>
    <v>105.43</v>
    <v>103.93</v>
    <v>104.25</v>
    <v>102.84</v>
    <v>102.2</v>
    <v>102.62</v>
    <v>102.89</v>
    <v>103.78</v>
    <v>103.44</v>
    <v>105.23</v>
    <v>105.09</v>
    <v>104.87</v>
    <v>105.43</v>
    <v>104</v>
    <v>108.49</v>
    <v>105.87</v>
    <v>103.49</v>
    <v>102.21</v>
    <v>103.15</v>
    <v>102.8</v>
    <v>101.12</v>
    <v>100.85</v>
    <v>101.69</v>
    <v>101.72</v>
    <v>101.15</v>
    <v>99.91</v>
    <v>100.64</v>
    <v>101.71</v>
    <v>105.9</v>
    <v>103.02</v>
    <v>102.65</v>
    <v>101.07</v>
    <v>100.58</v>
    <v>100.24</v>
    <v>100.89</v>
    <v>99.22</v>
    <v>100.88</v>
    <v>101.53</v>
    <v>99.43</v>
    <v>99.13</v>
    <v>97.9</v>
    <v>98.07</v>
    <v>98.13</v>
    <v>96.82</v>
    <v>97.19</v>
    <v>94.38</v>
    <v>94.12</v>
    <v>94.55</v>
    <v>95.1</v>
    <v>97.06</v>
    <v>94.66</v>
    <v>95.2</v>
    <v>96.9</v>
    <v>96.91</v>
    <v>100.29</v>
    <v>100.37</v>
    <v>100.66</v>
    <v>100.43</v>
    <v>100.63</v>
    <v>103.06</v>
    <v>103.1</v>
    <v>100.61</v>
    <v>103.91</v>
    <v>102.94</v>
    <v>101.49</v>
    <v>101.33</v>
    <v>101.75</v>
    <v>103.73</v>
    <v>104.51</v>
    <v>105.86</v>
    <v>104.98</v>
    <v>105.75</v>
    <v>106.72</v>
    <v>106.23</v>
    <v>105.89</v>
    <v>105.56</v>
    <v>106.52</v>
    <v>107.37</v>
    <v>105.55</v>
    <v>103.64</v>
    <v>102.98</v>
    <v>102.64</v>
    <v>103.26</v>
    <v>103.01</v>
    <v>103.63</v>
    <v>103.22</v>
    <v>103.6</v>
    <v>101.91</v>
    <v>101.99</v>
    <v>102.67</v>
    <v>101.58</v>
    <v>102.7</v>
    <v>101.95</v>
    <v>101.55</v>
    <v>101.57</v>
    <v>100.53</v>
    <v>101.96</v>
    <v>99.99</v>
    <v>100</v>
    <v>98.71</v>
    <v>97.78</v>
    <v>98.44</v>
    <v>99.78</v>
    <v>99.13</v>
    <v>98.37</v>
    <v>99.07</v>
    <v>100.04</v>
    <v>101.32</v>
    <v>102.64</v>
    <v>101.25</v>
    <v>100.52</v>
    <v>100.02</v>
    <v>100.75</v>
    <v>99.45</v>
    <v>100.16</v>
    <v>100.74</v>
    <v>98.3</v>
    <v>100.82</v>
    <v>100.2</v>
    <v>100.04</v>
    <v>99.15</v>
    <v>101.96</v>
    <v>101.59</v>
    <v>101.58</v>
    <v>101.11</v>
    <v>101.02</v>
    <v>100.1</v>
    <v>99.6</v>
    <v>99.39</v>
    <v>97.46</v>
    <v>95.62</v>
    <v>95.66</v>
  </a>
  <a r="1" c="254">
    <v>115.56</v>
    <v>116.67</v>
    <v>118.47</v>
    <v>116.78</v>
    <v>118.13</v>
    <v>117.29</v>
    <v>115.74</v>
    <v>115.73</v>
    <v>115.37</v>
    <v>115.61</v>
    <v>116.24</v>
    <v>114.02</v>
    <v>116.78</v>
    <v>116.78</v>
    <v>116.57</v>
    <v>116.08</v>
    <v>116.06</v>
    <v>114.19</v>
    <v>113.28</v>
    <v>112.64</v>
    <v>112.36</v>
    <v>110.36</v>
    <v>113.06</v>
    <v>113.22</v>
    <v>113.1</v>
    <v>112.28</v>
    <v>112.84</v>
    <v>113.58</v>
    <v>112.05</v>
    <v>110.96</v>
    <v>111.56</v>
    <v>112.67</v>
    <v>111.41</v>
    <v>110.14</v>
    <v>110.8</v>
    <v>109.56</v>
    <v>109.58</v>
    <v>108.38</v>
    <v>106.74</v>
    <v>107.62</v>
    <v>108.7</v>
    <v>109.95</v>
    <v>109.7</v>
    <v>108.9</v>
    <v>108.58</v>
    <v>109.55</v>
    <v>112.36</v>
    <v>112.78</v>
    <v>114.04</v>
    <v>112.37</v>
    <v>112.89</v>
    <v>112.7</v>
    <v>116.18</v>
    <v>116.73</v>
    <v>115.92</v>
    <v>116.79</v>
    <v>114.16</v>
    <v>113.99</v>
    <v>112.39</v>
    <v>113.63</v>
    <v>114.74</v>
    <v>113.38</v>
    <v>112</v>
    <v>112.17</v>
    <v>113.81</v>
    <v>113.45</v>
    <v>112.36</v>
    <v>111.69</v>
    <v>109.7</v>
    <v>108.3</v>
    <v>109.06</v>
    <v>110.22</v>
    <v>110.93</v>
    <v>110.6</v>
    <v>109.93</v>
    <v>107.59</v>
    <v>107.55</v>
    <v>108.15</v>
    <v>108.12</v>
    <v>109.21</v>
    <v>108.81</v>
    <v>108.54</v>
    <v>108.78</v>
    <v>107.92</v>
    <v>107.58</v>
    <v>105.15</v>
    <v>104.82</v>
    <v>104.03</v>
    <v>101.51</v>
    <v>102.37</v>
    <v>101.26</v>
    <v>102.62</v>
    <v>103.7</v>
    <v>106.18</v>
    <v>105.2</v>
    <v>104.93</v>
    <v>105.87</v>
    <v>107.43</v>
    <v>106.85</v>
    <v>105.39</v>
    <v>103.1</v>
    <v>100.91</v>
    <v>100.82</v>
    <v>101.34</v>
    <v>102.8</v>
    <v>100.55</v>
    <v>100.46</v>
    <v>101.2</v>
    <v>100.97</v>
    <v>101.97</v>
    <v>101.42</v>
    <v>100.53</v>
    <v>103.19</v>
    <v>102.27</v>
    <v>102.82</v>
    <v>102.11</v>
    <v>103.38</v>
    <v>103.67</v>
    <v>105.58</v>
    <v>106.56</v>
    <v>106.39</v>
    <v>105.54</v>
    <v>105.43</v>
    <v>103.93</v>
    <v>104.25</v>
    <v>102.84</v>
    <v>102.2</v>
    <v>102.62</v>
    <v>102.89</v>
    <v>103.78</v>
    <v>103.44</v>
    <v>105.23</v>
    <v>105.09</v>
    <v>104.87</v>
    <v>105.43</v>
    <v>104</v>
    <v>108.49</v>
    <v>105.87</v>
    <v>103.49</v>
    <v>102.21</v>
    <v>103.15</v>
    <v>102.8</v>
    <v>101.12</v>
    <v>100.85</v>
    <v>101.69</v>
    <v>101.72</v>
    <v>101.15</v>
    <v>99.91</v>
    <v>100.64</v>
    <v>101.71</v>
    <v>105.9</v>
    <v>103.02</v>
    <v>102.65</v>
    <v>101.07</v>
    <v>100.58</v>
    <v>100.24</v>
    <v>100.89</v>
    <v>99.22</v>
    <v>100.88</v>
    <v>101.53</v>
    <v>99.43</v>
    <v>99.13</v>
    <v>97.9</v>
    <v>98.07</v>
    <v>98.13</v>
    <v>96.82</v>
    <v>97.19</v>
    <v>94.38</v>
    <v>94.12</v>
    <v>94.55</v>
    <v>95.1</v>
    <v>97.06</v>
    <v>94.66</v>
    <v>95.2</v>
    <v>96.9</v>
    <v>96.91</v>
    <v>100.29</v>
    <v>100.37</v>
    <v>100.66</v>
    <v>100.43</v>
    <v>100.63</v>
    <v>103.06</v>
    <v>103.1</v>
    <v>100.61</v>
    <v>103.91</v>
    <v>102.94</v>
    <v>101.49</v>
    <v>101.33</v>
    <v>101.75</v>
    <v>103.73</v>
    <v>104.51</v>
    <v>105.86</v>
    <v>104.98</v>
    <v>105.75</v>
    <v>106.72</v>
    <v>106.23</v>
    <v>105.89</v>
    <v>105.56</v>
    <v>106.52</v>
    <v>107.37</v>
    <v>105.55</v>
    <v>103.64</v>
    <v>102.98</v>
    <v>102.64</v>
    <v>103.26</v>
    <v>103.01</v>
    <v>103.63</v>
    <v>103.22</v>
    <v>103.6</v>
    <v>101.91</v>
    <v>101.99</v>
    <v>102.67</v>
    <v>101.58</v>
    <v>102.7</v>
    <v>101.95</v>
    <v>101.55</v>
    <v>101.57</v>
    <v>100.53</v>
    <v>101.96</v>
    <v>99.99</v>
    <v>100</v>
    <v>98.71</v>
    <v>97.78</v>
    <v>98.44</v>
    <v>99.78</v>
    <v>99.13</v>
    <v>98.37</v>
    <v>99.07</v>
    <v>100.04</v>
    <v>101.32</v>
    <v>102.64</v>
    <v>101.25</v>
    <v>100.52</v>
    <v>100.02</v>
    <v>100.75</v>
    <v>99.45</v>
    <v>100.16</v>
    <v>100.74</v>
    <v>98.3</v>
    <v>100.82</v>
    <v>100.2</v>
    <v>100.04</v>
    <v>99.15</v>
    <v>101.96</v>
    <v>101.59</v>
    <v>101.58</v>
    <v>101.11</v>
    <v>101.02</v>
    <v>100.1</v>
    <v>99.6</v>
    <v>99.39</v>
    <v>97.46</v>
    <v>95.62</v>
    <v>95.66</v>
  </a>
  <a r="1" c="761">
    <v>78.069999999999993</v>
    <v>80.739999999999995</v>
    <v>79.59</v>
    <v>80.09</v>
    <v>80.13</v>
    <v>80.66</v>
    <v>79.040000000000006</v>
    <v>79.709999999999994</v>
    <v>80.180000000000007</v>
    <v>81.650000000000006</v>
    <v>82.13</v>
    <v>81.81</v>
    <v>81.53</v>
    <v>81.05</v>
    <v>79.73</v>
    <v>81.25</v>
    <v>81.48</v>
    <v>84.26</v>
    <v>79.849999999999994</v>
    <v>80.05</v>
    <v>81.45</v>
    <v>80.28</v>
    <v>80.72</v>
    <v>81.61</v>
    <v>80.45</v>
    <v>79.5</v>
    <v>78.63</v>
    <v>77.58</v>
    <v>78.03</v>
    <v>77.23</v>
    <v>76.25</v>
    <v>74.73</v>
    <v>75.7</v>
    <v>75.180000000000007</v>
    <v>74.66</v>
    <v>75.23</v>
    <v>74.7</v>
    <v>73.86</v>
    <v>74.67</v>
    <v>75.819999999999993</v>
    <v>74.17</v>
    <v>75.05</v>
    <v>74.209999999999994</v>
    <v>74.61</v>
    <v>72.66</v>
    <v>72.33</v>
    <v>74.959999999999994</v>
    <v>75.06</v>
    <v>74.290000000000006</v>
    <v>75.02</v>
    <v>74.400000000000006</v>
    <v>73.56</v>
    <v>72.209999999999994</v>
    <v>71.680000000000007</v>
    <v>71.16</v>
    <v>71.69</v>
    <v>72.239999999999995</v>
    <v>71.25</v>
    <v>70.5</v>
    <v>68.400000000000006</v>
    <v>69.069999999999993</v>
    <v>68.069999999999993</v>
    <v>67.150000000000006</v>
    <v>70.569999999999993</v>
    <v>72.44</v>
    <v>72.34</v>
    <v>71.72</v>
    <v>70.64</v>
    <v>69.489999999999995</v>
    <v>69.56</v>
    <v>69.59</v>
    <v>68.239999999999995</v>
    <v>69.739999999999995</v>
    <v>73.45</v>
    <v>72.14</v>
    <v>70.88</v>
    <v>70.53</v>
    <v>72.91</v>
    <v>71.48</v>
    <v>71.87</v>
    <v>72.19</v>
    <v>73.33</v>
    <v>72.459999999999994</v>
    <v>72.040000000000006</v>
    <v>73.81</v>
    <v>74.05</v>
    <v>74.62</v>
    <v>74.459999999999994</v>
    <v>75.45</v>
    <v>73.290000000000006</v>
    <v>73.459999999999994</v>
    <v>74.400000000000006</v>
    <v>72.73</v>
    <v>71.77</v>
    <v>72.86</v>
    <v>71.45</v>
    <v>71.87</v>
    <v>73.98</v>
    <v>75.3</v>
    <v>75.59</v>
    <v>74.31</v>
    <v>74.31</v>
    <v>74.38</v>
    <v>73.84</v>
    <v>74.25</v>
    <v>74.52</v>
    <v>73.42</v>
    <v>72.790000000000006</v>
    <v>73.680000000000007</v>
    <v>72.97</v>
    <v>73.61</v>
    <v>74.959999999999994</v>
    <v>73.78</v>
    <v>74.08</v>
    <v>73.19</v>
    <v>73.67</v>
    <v>74.040000000000006</v>
    <v>74.45</v>
    <v>74.61</v>
    <v>73.36</v>
    <v>73.75</v>
    <v>72.569999999999993</v>
    <v>72.28</v>
    <v>73.260000000000005</v>
    <v>72.900000000000006</v>
    <v>73.739999999999995</v>
    <v>74.47</v>
    <v>75.73</v>
    <v>75.94</v>
    <v>77.69</v>
    <v>78.61</v>
    <v>77.91</v>
    <v>81.03</v>
    <v>81.53</v>
    <v>81.8</v>
    <v>80.95</v>
    <v>79.94</v>
    <v>81.62</v>
    <v>82.44</v>
    <v>84.19</v>
    <v>83.33</v>
    <v>83.84</v>
    <v>85.21</v>
    <v>86.49</v>
    <v>85.27</v>
    <v>83.94</v>
    <v>83.33</v>
    <v>82</v>
    <v>80.75</v>
    <v>81.55</v>
    <v>80.69</v>
    <v>79.959999999999994</v>
    <v>80.3</v>
    <v>78.239999999999995</v>
    <v>78.78</v>
    <v>78.97</v>
    <v>79.7</v>
    <v>79.67</v>
    <v>79.38</v>
    <v>79.77</v>
    <v>78.84</v>
    <v>78.38</v>
    <v>78.430000000000007</v>
    <v>78.64</v>
    <v>78.87</v>
    <v>79.05</v>
    <v>80.55</v>
    <v>78.98</v>
    <v>78.650000000000006</v>
    <v>79.34</v>
    <v>78.34</v>
    <v>78.900000000000006</v>
    <v>77.66</v>
    <v>77.650000000000006</v>
    <v>78.17</v>
    <v>77.819999999999993</v>
    <v>78.69</v>
    <v>78.27</v>
    <v>76.8</v>
    <v>76.3</v>
    <v>77.099999999999994</v>
    <v>77.540000000000006</v>
    <v>78.94</v>
    <v>79.680000000000007</v>
    <v>77.959999999999994</v>
    <v>77.430000000000007</v>
    <v>76.84</v>
    <v>76.349999999999994</v>
    <v>75.650000000000006</v>
    <v>76.88</v>
    <v>76.08</v>
    <v>75.819999999999993</v>
    <v>74.86</v>
    <v>74.75</v>
    <v>75.19</v>
    <v>74.739999999999995</v>
    <v>75.98</v>
    <v>75.44</v>
    <v>73.58</v>
    <v>73.12</v>
    <v>73.38</v>
    <v>74.13</v>
    <v>75.400000000000006</v>
    <v>74.989999999999995</v>
    <v>75.73</v>
    <v>75.63</v>
    <v>73.92</v>
    <v>76.08</v>
    <v>76.58</v>
    <v>74.349999999999994</v>
    <v>74.989999999999995</v>
    <v>74.239999999999995</v>
    <v>75.099999999999994</v>
    <v>74.27</v>
    <v>74.77</v>
    <v>73.33</v>
    <v>74.23</v>
    <v>74.38</v>
    <v>74.02</v>
    <v>73.75</v>
    <v>73.72</v>
    <v>73.31</v>
    <v>72.56</v>
    <v>72.760000000000005</v>
    <v>72.599999999999994</v>
    <v>73.239999999999995</v>
    <v>73.06</v>
    <v>73.22</v>
    <v>73.150000000000006</v>
    <v>74.03</v>
    <v>73.510000000000005</v>
    <v>75.22</v>
    <v>75.739999999999995</v>
    <v>77.19</v>
    <v>82.19</v>
    <v>81.569999999999993</v>
    <v>88.07</v>
    <v>89.52</v>
    <v>90.19</v>
    <v>91.46</v>
    <v>96.59</v>
    <v>96.5</v>
    <v>98.12</v>
    <v>99.97</v>
    <v>93.6</v>
    <v>91.39</v>
    <v>92.25</v>
    <v>92.7</v>
    <v>92.18</v>
    <v>88.24</v>
    <v>89.25</v>
    <v>86.57</v>
    <v>89.76</v>
    <v>88.75</v>
    <v>89.5</v>
    <v>89</v>
    <v>87.92</v>
    <v>88.95</v>
    <v>89.77</v>
    <v>89.01</v>
    <v>87.8</v>
    <v>87.04</v>
    <v>88.18</v>
    <v>88.39</v>
    <v>89.79</v>
    <v>89.03</v>
    <v>91.95</v>
    <v>88.16</v>
    <v>89.3</v>
    <v>87.12</v>
    <v>87.19</v>
    <v>86.79</v>
    <v>86.67</v>
    <v>87.33</v>
    <v>86.9</v>
    <v>87.52</v>
    <v>87.17</v>
    <v>86.01</v>
    <v>85.68</v>
    <v>85.18</v>
    <v>86.24</v>
    <v>85.34</v>
    <v>87.1</v>
    <v>87.49</v>
    <v>88.16</v>
    <v>86.88</v>
    <v>87.04</v>
    <v>88.38</v>
    <v>95.17</v>
    <v>91.05</v>
    <v>90.21</v>
    <v>90.69</v>
    <v>89.08</v>
    <v>88.71</v>
    <v>89.26</v>
    <v>89.21</v>
    <v>89.7</v>
    <v>89.85</v>
    <v>90.35</v>
    <v>90.63</v>
    <v>90.24</v>
    <v>89.88</v>
    <v>89.22</v>
    <v>87.98</v>
    <v>87.29</v>
    <v>86.96</v>
    <v>87.12</v>
    <v>85.71</v>
    <v>85.72</v>
    <v>86.78</v>
    <v>87.77</v>
    <v>87.5</v>
    <v>89.25</v>
    <v>90.29</v>
    <v>88.43</v>
    <v>88.19</v>
    <v>87.77</v>
    <v>89.48</v>
    <v>91.8</v>
    <v>91.52</v>
    <v>93.69</v>
    <v>94.94</v>
    <v>94.55</v>
    <v>94.85</v>
    <v>95.95</v>
    <v>93.54</v>
    <v>95.5</v>
    <v>96.6</v>
    <v>98.41</v>
    <v>98.54</v>
    <v>101.25</v>
    <v>100.46</v>
    <v>103.06</v>
    <v>104.74</v>
    <v>104.66</v>
    <v>104.86</v>
    <v>106.22</v>
    <v>109.1</v>
    <v>103.76</v>
    <v>104.69</v>
    <v>107.32</v>
    <v>107.92</v>
    <v>104.66</v>
    <v>103.95</v>
    <v>102.62</v>
    <v>104.63</v>
    <v>106.19</v>
    <v>106.09</v>
    <v>104.21</v>
    <v>104.47</v>
    <v>104.21</v>
    <v>105.15</v>
    <v>106.72</v>
    <v>108.79</v>
    <v>108.37</v>
    <v>108.82</v>
    <v>105.53</v>
    <v>104.77</v>
    <v>104.53</v>
    <v>103.57</v>
    <v>103.88</v>
    <v>105.48</v>
    <v>102.4</v>
    <v>102.36</v>
    <v>103.89</v>
    <v>102.61</v>
    <v>99.33</v>
    <v>93.41</v>
    <v>87.56</v>
    <v>87.75</v>
    <v>85.05</v>
    <v>88.05</v>
    <v>87.62</v>
    <v>91.47</v>
    <v>91.72</v>
    <v>89.86</v>
    <v>89.56</v>
    <v>90.85</v>
    <v>94.22</v>
    <v>94.54</v>
    <v>93.99</v>
    <v>94.07</v>
    <v>93.78</v>
    <v>93.45</v>
    <v>96.18</v>
    <v>97.08</v>
    <v>98.04</v>
    <v>95.66</v>
    <v>96.92</v>
    <v>97.4</v>
    <v>101.25</v>
    <v>101.07</v>
    <v>102.25</v>
    <v>100.48</v>
    <v>100.62</v>
    <v>99.46</v>
    <v>100.01</v>
    <v>99.74</v>
    <v>99.14</v>
    <v>98.78</v>
    <v>97.61</v>
    <v>97.69</v>
    <v>97.43</v>
    <v>97.89</v>
    <v>96.32</v>
    <v>95.93</v>
    <v>97.14</v>
    <v>98.84</v>
    <v>99.32</v>
    <v>99.07</v>
    <v>100.81</v>
    <v>100.11</v>
    <v>100.57</v>
    <v>99.51</v>
    <v>98.16</v>
    <v>99.51</v>
    <v>98.82</v>
    <v>97.33</v>
    <v>95.69</v>
    <v>96.33</v>
    <v>97.05</v>
    <v>98.87</v>
    <v>98.93</v>
    <v>97.9</v>
    <v>97.62</v>
    <v>96.78</v>
    <v>97.13</v>
    <v>96.41</v>
    <v>96.21</v>
    <v>95.93</v>
    <v>96.74</v>
    <v>97.52</v>
    <v>96.17</v>
    <v>97.32</v>
    <v>97.34</v>
    <v>98.35</v>
    <v>101</v>
    <v>100.34</v>
    <v>102.08</v>
    <v>103.31</v>
    <v>102.77</v>
    <v>102.8</v>
    <v>104.26</v>
    <v>103.94</v>
    <v>103.55</v>
    <v>104.93</v>
    <v>105.38</v>
    <v>104.36</v>
    <v>104.23</v>
    <v>101.29</v>
    <v>102.68</v>
    <v>103.64</v>
    <v>103.1</v>
    <v>103.68</v>
    <v>103.14</v>
    <v>103.26</v>
    <v>102.97</v>
    <v>106.31</v>
    <v>104.69</v>
    <v>105.09</v>
    <v>104.81</v>
    <v>104.89</v>
    <v>105.78</v>
    <v>107.34</v>
    <v>108.66</v>
    <v>108.37</v>
    <v>105.54</v>
    <v>105.5</v>
    <v>107.36</v>
    <v>108.24</v>
    <v>108.07</v>
    <v>107.67</v>
    <v>106.18</v>
    <v>107.35</v>
    <v>108.82</v>
    <v>110.52</v>
    <v>110.57</v>
    <v>112.15</v>
    <v>112.7</v>
    <v>113.54</v>
    <v>113.37</v>
    <v>115.88</v>
    <v>114.8</v>
    <v>115.26</v>
    <v>114.74</v>
    <v>113.98</v>
    <v>116.3</v>
    <v>116.53</v>
    <v>115.3</v>
    <v>117.64</v>
    <v>118.31</v>
    <v>118.94</v>
    <v>121.2</v>
    <v>120.21</v>
    <v>120.55</v>
    <v>119.53</v>
    <v>119.34</v>
    <v>118.49</v>
    <v>112.24</v>
    <v>115.09</v>
    <v>112.84</v>
    <v>114.05</v>
    <v>114.17</v>
    <v>112.86</v>
    <v>115.04</v>
    <v>114.63</v>
    <v>113.5</v>
    <v>115.56</v>
    <v>116.67</v>
    <v>118.47</v>
    <v>116.78</v>
    <v>118.13</v>
    <v>117.29</v>
    <v>115.74</v>
    <v>115.73</v>
    <v>115.37</v>
    <v>115.61</v>
    <v>116.24</v>
    <v>114.02</v>
    <v>116.78</v>
    <v>116.78</v>
    <v>116.57</v>
    <v>116.08</v>
    <v>116.06</v>
    <v>114.19</v>
    <v>113.28</v>
    <v>112.64</v>
    <v>112.36</v>
    <v>110.36</v>
    <v>113.06</v>
    <v>113.22</v>
    <v>113.1</v>
    <v>112.28</v>
    <v>112.84</v>
    <v>113.58</v>
    <v>112.05</v>
    <v>110.96</v>
    <v>111.56</v>
    <v>112.67</v>
    <v>111.41</v>
    <v>110.14</v>
    <v>110.8</v>
    <v>109.56</v>
    <v>109.58</v>
    <v>108.38</v>
    <v>106.74</v>
    <v>107.62</v>
    <v>108.7</v>
    <v>109.95</v>
    <v>109.7</v>
    <v>108.9</v>
    <v>108.58</v>
    <v>109.55</v>
    <v>112.36</v>
    <v>112.78</v>
    <v>114.04</v>
    <v>112.37</v>
    <v>112.89</v>
    <v>112.7</v>
    <v>116.18</v>
    <v>116.73</v>
    <v>115.92</v>
    <v>116.79</v>
    <v>114.16</v>
    <v>113.99</v>
    <v>112.39</v>
    <v>113.63</v>
    <v>114.74</v>
    <v>113.38</v>
    <v>112</v>
    <v>112.17</v>
    <v>113.81</v>
    <v>113.45</v>
    <v>112.36</v>
    <v>111.69</v>
    <v>109.7</v>
    <v>108.3</v>
    <v>109.06</v>
    <v>110.22</v>
    <v>110.93</v>
    <v>110.6</v>
    <v>109.93</v>
    <v>107.59</v>
    <v>107.55</v>
    <v>108.15</v>
    <v>108.12</v>
    <v>109.21</v>
    <v>108.81</v>
    <v>108.54</v>
    <v>108.78</v>
    <v>107.92</v>
    <v>107.58</v>
    <v>105.15</v>
    <v>104.82</v>
    <v>104.03</v>
    <v>101.51</v>
    <v>102.37</v>
    <v>101.26</v>
    <v>102.62</v>
    <v>103.7</v>
    <v>106.18</v>
    <v>105.2</v>
    <v>104.93</v>
    <v>105.87</v>
    <v>107.43</v>
    <v>106.85</v>
    <v>105.39</v>
    <v>103.1</v>
    <v>100.91</v>
    <v>100.82</v>
    <v>101.34</v>
    <v>102.8</v>
    <v>100.55</v>
    <v>100.46</v>
    <v>101.2</v>
    <v>100.97</v>
    <v>101.97</v>
    <v>101.42</v>
    <v>100.53</v>
    <v>103.19</v>
    <v>102.27</v>
    <v>102.82</v>
    <v>102.11</v>
    <v>103.38</v>
    <v>103.67</v>
    <v>105.58</v>
    <v>106.56</v>
    <v>106.39</v>
    <v>105.54</v>
    <v>105.43</v>
    <v>103.93</v>
    <v>104.25</v>
    <v>102.84</v>
    <v>102.2</v>
    <v>102.62</v>
    <v>102.89</v>
    <v>103.78</v>
    <v>103.44</v>
    <v>105.23</v>
    <v>105.09</v>
    <v>104.87</v>
    <v>105.43</v>
    <v>104</v>
    <v>108.49</v>
    <v>105.87</v>
    <v>103.49</v>
    <v>102.21</v>
    <v>103.15</v>
    <v>102.8</v>
    <v>101.12</v>
    <v>100.85</v>
    <v>101.69</v>
    <v>101.72</v>
    <v>101.15</v>
    <v>99.91</v>
    <v>100.64</v>
    <v>101.71</v>
    <v>105.9</v>
    <v>103.02</v>
    <v>102.65</v>
    <v>101.07</v>
    <v>100.58</v>
    <v>100.24</v>
    <v>100.89</v>
    <v>99.22</v>
    <v>100.88</v>
    <v>101.53</v>
    <v>99.43</v>
    <v>99.13</v>
    <v>97.9</v>
    <v>98.07</v>
    <v>98.13</v>
    <v>96.82</v>
    <v>97.19</v>
    <v>94.38</v>
    <v>94.12</v>
    <v>94.55</v>
    <v>95.1</v>
    <v>97.06</v>
    <v>94.66</v>
    <v>95.2</v>
    <v>96.9</v>
    <v>96.91</v>
    <v>100.29</v>
    <v>100.37</v>
    <v>100.66</v>
    <v>100.43</v>
    <v>100.63</v>
    <v>103.06</v>
    <v>103.1</v>
    <v>100.61</v>
    <v>103.91</v>
    <v>102.94</v>
    <v>101.49</v>
    <v>101.33</v>
    <v>101.75</v>
    <v>103.73</v>
    <v>104.51</v>
    <v>105.86</v>
    <v>104.98</v>
    <v>105.75</v>
    <v>106.72</v>
    <v>106.23</v>
    <v>105.89</v>
    <v>105.56</v>
    <v>106.52</v>
    <v>107.37</v>
    <v>105.55</v>
    <v>103.64</v>
    <v>102.98</v>
    <v>102.64</v>
    <v>103.26</v>
    <v>103.01</v>
    <v>103.63</v>
    <v>103.22</v>
    <v>103.6</v>
    <v>101.91</v>
    <v>101.99</v>
    <v>102.67</v>
    <v>101.58</v>
    <v>102.7</v>
    <v>101.95</v>
    <v>101.55</v>
    <v>101.57</v>
    <v>100.53</v>
    <v>101.96</v>
    <v>99.99</v>
    <v>100</v>
    <v>98.71</v>
    <v>97.78</v>
    <v>98.44</v>
    <v>99.78</v>
    <v>99.13</v>
    <v>98.37</v>
    <v>99.07</v>
    <v>100.04</v>
    <v>101.32</v>
    <v>102.64</v>
    <v>101.25</v>
    <v>100.52</v>
    <v>100.02</v>
    <v>100.75</v>
    <v>99.45</v>
    <v>100.16</v>
    <v>100.74</v>
    <v>98.3</v>
    <v>100.82</v>
    <v>100.2</v>
    <v>100.04</v>
    <v>99.15</v>
    <v>101.96</v>
    <v>101.59</v>
    <v>101.58</v>
    <v>101.11</v>
    <v>101.02</v>
    <v>100.1</v>
    <v>99.6</v>
    <v>99.39</v>
    <v>97.46</v>
    <v>95.62</v>
    <v>95.66</v>
  </a>
  <a r="1" c="254">
    <v>121.62</v>
    <v>121.52</v>
    <v>121.65</v>
    <v>121.57</v>
    <v>121.66</v>
    <v>121.51</v>
    <v>121.5</v>
    <v>121.29</v>
    <v>121.31</v>
    <v>121.29</v>
    <v>121.28</v>
    <v>121.13</v>
    <v>121.24</v>
    <v>121.32</v>
    <v>121.44</v>
    <v>121.18</v>
    <v>121.06</v>
    <v>121.15</v>
    <v>121.03</v>
    <v>121.08</v>
    <v>121.12</v>
    <v>121.15</v>
    <v>121.18</v>
    <v>121.39</v>
    <v>121.36</v>
    <v>121.44</v>
    <v>121.4</v>
    <v>121.27</v>
    <v>121.19</v>
    <v>121.4</v>
    <v>121.37</v>
    <v>121.2</v>
    <v>120.82</v>
    <v>120.72</v>
    <v>120.67</v>
    <v>120.86</v>
    <v>120.84</v>
    <v>120.9</v>
    <v>120.9</v>
    <v>120.8</v>
    <v>120.91</v>
    <v>120.67</v>
    <v>120.68</v>
    <v>120.93</v>
    <v>121.19</v>
    <v>121.17</v>
    <v>120.88</v>
    <v>121.09</v>
    <v>121.31</v>
    <v>121.45</v>
    <v>121.41</v>
    <v>121.46</v>
    <v>121.57</v>
    <v>121.57</v>
    <v>121.59</v>
    <v>119.69</v>
    <v>119.56</v>
    <v>119.57</v>
    <v>119.51</v>
    <v>119.53</v>
    <v>119.53</v>
    <v>119.46</v>
    <v>119.74</v>
    <v>119.81</v>
    <v>119.87</v>
    <v>119.89</v>
    <v>119.95</v>
    <v>119.92</v>
    <v>119.81</v>
    <v>119.95</v>
    <v>120.01</v>
    <v>119.98</v>
    <v>120.09</v>
    <v>120.2</v>
    <v>120.19</v>
    <v>120.22</v>
    <v>120.29</v>
    <v>120.29</v>
    <v>120.29</v>
    <v>120.32</v>
    <v>120.27</v>
    <v>120.39</v>
    <v>120.56</v>
    <v>120.45</v>
    <v>120.51</v>
    <v>120.47</v>
    <v>120.53</v>
    <v>120.15</v>
    <v>119.76</v>
    <v>120.13</v>
    <v>119.5</v>
    <v>119.22</v>
    <v>119.16</v>
    <v>119.51</v>
    <v>118.85</v>
    <v>118.51</v>
    <v>118.27</v>
    <v>118.53</v>
    <v>118.84</v>
    <v>118.63</v>
    <v>118.32</v>
    <v>117.7</v>
    <v>118.01</v>
    <v>117.87</v>
    <v>118.26</v>
    <v>117.62</v>
    <v>117.34</v>
    <v>117.63</v>
    <v>117.93</v>
    <v>118.43</v>
    <v>118.27</v>
    <v>118.04</v>
    <v>119.33</v>
    <v>119.1</v>
    <v>118.94</v>
    <v>118.69</v>
    <v>119.21</v>
    <v>119.12</v>
    <v>119.18</v>
    <v>119.75</v>
    <v>119.56</v>
    <v>119.27</v>
    <v>119.27</v>
    <v>119.15</v>
    <v>119.19</v>
    <v>118.99</v>
    <v>118.77</v>
    <v>118.62</v>
    <v>119.1</v>
    <v>118.76</v>
    <v>118.96</v>
    <v>119.39</v>
    <v>119.34</v>
    <v>119.39</v>
    <v>119.12</v>
    <v>118.8</v>
    <v>118.88</v>
    <v>119.24</v>
    <v>118.73</v>
    <v>118.85</v>
    <v>118.57</v>
    <v>119.16</v>
    <v>119.1</v>
    <v>119.48</v>
    <v>120</v>
    <v>119.7</v>
    <v>119.76</v>
    <v>119.91</v>
    <v>120.2</v>
    <v>119.72</v>
    <v>119.97</v>
    <v>119.73</v>
    <v>119.8</v>
    <v>119.69</v>
    <v>119.55</v>
    <v>119.53</v>
    <v>119.42</v>
    <v>119.6</v>
    <v>120.03</v>
    <v>120.26</v>
    <v>120.3</v>
    <v>120.2</v>
    <v>120.23</v>
    <v>119.97</v>
    <v>120.22</v>
    <v>120.37</v>
    <v>120.5</v>
    <v>120.64</v>
    <v>120.7</v>
    <v>120.77</v>
    <v>120.7</v>
    <v>120.65</v>
    <v>120.66</v>
    <v>120.62</v>
    <v>120.6</v>
    <v>120.37</v>
    <v>119.62</v>
    <v>120.04</v>
    <v>120.12</v>
    <v>119.87</v>
    <v>119.8</v>
    <v>119.76</v>
    <v>117.78</v>
    <v>117.65</v>
    <v>117.6</v>
    <v>117.56</v>
    <v>117.49</v>
    <v>117.2</v>
    <v>117.38</v>
    <v>117.63</v>
    <v>117.76</v>
    <v>117.49</v>
    <v>117.63</v>
    <v>117.51</v>
    <v>117.82</v>
    <v>118.09</v>
    <v>118.11</v>
    <v>118.05</v>
    <v>118.02</v>
    <v>117.82</v>
    <v>117.94</v>
    <v>117.91</v>
    <v>117.98</v>
    <v>117.76</v>
    <v>117.74</v>
    <v>117.41</v>
    <v>117.36</v>
    <v>117.47</v>
    <v>117.61</v>
    <v>117.56</v>
    <v>117.78</v>
    <v>117.65</v>
    <v>117.5</v>
    <v>117.33</v>
    <v>117.11</v>
    <v>117.08</v>
    <v>116.9</v>
    <v>117.07</v>
    <v>117.09</v>
    <v>116.91</v>
    <v>117</v>
    <v>116.59</v>
    <v>116.07</v>
    <v>116.13</v>
    <v>115.75</v>
    <v>115.72</v>
    <v>115.91</v>
    <v>116.22</v>
    <v>115.87</v>
    <v>116.22</v>
    <v>116.2</v>
    <v>115.63</v>
    <v>115.42</v>
    <v>115.41</v>
    <v>115.25</v>
    <v>115.26</v>
    <v>115.71</v>
    <v>115.88</v>
    <v>115.96</v>
    <v>115.72</v>
    <v>116.16</v>
    <v>116.07</v>
    <v>116.06</v>
    <v>116.09</v>
    <v>116.23</v>
    <v>116.19</v>
    <v>116.25</v>
    <v>116.59</v>
    <v>116.59</v>
    <v>116.25</v>
    <v>116.35</v>
    <v>116.15</v>
    <v>116.35</v>
    <v>115.92</v>
  </a>
  <a r="1" c="761">
    <v>113.59</v>
    <v>113.94</v>
    <v>113.78</v>
    <v>113.91</v>
    <v>114.06</v>
    <v>114.23</v>
    <v>114.48</v>
    <v>114.81</v>
    <v>115.19</v>
    <v>115.54</v>
    <v>115.07</v>
    <v>115.23</v>
    <v>115.49</v>
    <v>115.53</v>
    <v>115.2</v>
    <v>115.25</v>
    <v>116.09</v>
    <v>115.86</v>
    <v>116.05</v>
    <v>116.1</v>
    <v>115.95</v>
    <v>116.17</v>
    <v>116.16</v>
    <v>115.97</v>
    <v>115.9</v>
    <v>116.35</v>
    <v>116.78</v>
    <v>117.28</v>
    <v>117.34</v>
    <v>118.02</v>
    <v>118.03</v>
    <v>118.38</v>
    <v>118.62</v>
    <v>118.67</v>
    <v>118.26</v>
    <v>118.31</v>
    <v>118.49</v>
    <v>118.84</v>
    <v>119.53</v>
    <v>120.07</v>
    <v>119.72</v>
    <v>119.98</v>
    <v>120.24</v>
    <v>120.5</v>
    <v>120.71</v>
    <v>120.87</v>
    <v>120.8</v>
    <v>120.46</v>
    <v>120.03</v>
    <v>119.87</v>
    <v>119.48</v>
    <v>119.27</v>
    <v>119.49</v>
    <v>119.22</v>
    <v>119.21</v>
    <v>117.24</v>
    <v>117.8</v>
    <v>117.47</v>
    <v>117.43</v>
    <v>116.87</v>
    <v>117.01</v>
    <v>117.04</v>
    <v>117.35</v>
    <v>117.08</v>
    <v>117.26</v>
    <v>117.69</v>
    <v>117.74</v>
    <v>118.03</v>
    <v>117.8</v>
    <v>118.26</v>
    <v>118.34</v>
    <v>117.86</v>
    <v>117.43</v>
    <v>117.62</v>
    <v>117.42</v>
    <v>117.21</v>
    <v>117.11</v>
    <v>117.31</v>
    <v>117.1</v>
    <v>117.35</v>
    <v>117.49</v>
    <v>117.24</v>
    <v>117.24</v>
    <v>117.47</v>
    <v>117.22</v>
    <v>117.31</v>
    <v>117.61</v>
    <v>117.28</v>
    <v>117.14</v>
    <v>117.04</v>
    <v>117.35</v>
    <v>117.34</v>
    <v>117.48</v>
    <v>117.71</v>
    <v>117.71</v>
    <v>117.99</v>
    <v>118.38</v>
    <v>118.21</v>
    <v>118.21</v>
    <v>118.23</v>
    <v>118</v>
    <v>117.81</v>
    <v>117.71</v>
    <v>117.8</v>
    <v>117.84</v>
    <v>118.22</v>
    <v>118.44</v>
    <v>118.2</v>
    <v>118.39</v>
    <v>118.84</v>
    <v>118.87</v>
    <v>118.49</v>
    <v>118.63</v>
    <v>118.89</v>
    <v>118.68</v>
    <v>118.53</v>
    <v>118.79</v>
    <v>118.4</v>
    <v>118.13</v>
    <v>118.59</v>
    <v>118.13</v>
    <v>117.74</v>
    <v>117.87</v>
    <v>117.91</v>
    <v>117.8</v>
    <v>118.09</v>
    <v>118.15</v>
    <v>117.7</v>
    <v>117.48</v>
    <v>117.78</v>
    <v>118.09</v>
    <v>117.71</v>
    <v>117.91</v>
    <v>118.32</v>
    <v>118.52</v>
    <v>118.73</v>
    <v>118.51</v>
    <v>118.38</v>
    <v>118.24</v>
    <v>118.34</v>
    <v>118.08</v>
    <v>118.86</v>
    <v>118.64</v>
    <v>118.37</v>
    <v>118.35</v>
    <v>118.46</v>
    <v>118.34</v>
    <v>117.96</v>
    <v>118.04</v>
    <v>118.38</v>
    <v>118.22</v>
    <v>117.79</v>
    <v>117.96</v>
    <v>117.9</v>
    <v>118.37</v>
    <v>118.54</v>
    <v>118.64</v>
    <v>118.46</v>
    <v>118.08</v>
    <v>117.83</v>
    <v>118.11</v>
    <v>118.64</v>
    <v>118.64</v>
    <v>118.82</v>
    <v>118.54</v>
    <v>118.86</v>
    <v>118.75</v>
    <v>118.79</v>
    <v>118.91</v>
    <v>118.87</v>
    <v>118.97</v>
    <v>118.72</v>
    <v>118.86</v>
    <v>118.82</v>
    <v>118.64</v>
    <v>118.71</v>
    <v>119.07</v>
    <v>118.95</v>
    <v>119.25</v>
    <v>119.41</v>
    <v>119.13</v>
    <v>119.42</v>
    <v>119.75</v>
    <v>119.61</v>
    <v>119.78</v>
    <v>119.8</v>
    <v>119.77</v>
    <v>117.9</v>
    <v>117.73</v>
    <v>117.63</v>
    <v>117.94</v>
    <v>117.95</v>
    <v>118.18</v>
    <v>118.21</v>
    <v>118.3</v>
    <v>118.43</v>
    <v>118.63</v>
    <v>118.96</v>
    <v>118.68</v>
    <v>118.23</v>
    <v>118.72</v>
    <v>118.58</v>
    <v>118.64</v>
    <v>118.76</v>
    <v>118.71</v>
    <v>118.85</v>
    <v>118.98</v>
    <v>118.95</v>
    <v>118.9</v>
    <v>119.13</v>
    <v>119.22</v>
    <v>119.09</v>
    <v>119.24</v>
    <v>119.11</v>
    <v>119.04</v>
    <v>119.06</v>
    <v>119.06</v>
    <v>118.99</v>
    <v>118.87</v>
    <v>119.12</v>
    <v>119.37</v>
    <v>119.42</v>
    <v>119.67</v>
    <v>119.75</v>
    <v>119.74</v>
    <v>119.73</v>
    <v>119.54</v>
    <v>119.86</v>
    <v>119.96</v>
    <v>119.83</v>
    <v>119.67</v>
    <v>120.06</v>
    <v>119.87</v>
    <v>120.15</v>
    <v>120.34</v>
    <v>120.06</v>
    <v>120.18</v>
    <v>120.5</v>
    <v>120.48</v>
    <v>120.96</v>
    <v>120.7</v>
    <v>120.63</v>
    <v>120.34</v>
    <v>120.23</v>
    <v>120.25</v>
    <v>120.15</v>
    <v>120.23</v>
    <v>120.2</v>
    <v>120.25</v>
    <v>120.53</v>
    <v>120.78</v>
    <v>120.83</v>
    <v>121.04</v>
    <v>120.57</v>
    <v>120.41</v>
    <v>120.61</v>
    <v>120.88</v>
    <v>120.69</v>
    <v>120.74</v>
    <v>120.56</v>
    <v>120.06</v>
    <v>119.98</v>
    <v>120.07</v>
    <v>120.13</v>
    <v>120.05</v>
    <v>120.5</v>
    <v>120.37</v>
    <v>120.74</v>
    <v>121.02</v>
    <v>120.87</v>
    <v>120.73</v>
    <v>121.02</v>
    <v>120.95</v>
    <v>120.79</v>
    <v>120.8</v>
    <v>120.69</v>
    <v>120.82</v>
    <v>121.08</v>
    <v>121.4</v>
    <v>121.47</v>
    <v>121.61</v>
    <v>121.79</v>
    <v>122.1</v>
    <v>122.51</v>
    <v>122.31</v>
    <v>122.41</v>
    <v>122.31</v>
    <v>122.4</v>
    <v>122.56</v>
    <v>122.48</v>
    <v>122.51</v>
    <v>122.22</v>
    <v>121.94</v>
    <v>122.01</v>
    <v>121.9</v>
    <v>121.87</v>
    <v>121.43</v>
    <v>121.71</v>
    <v>121.64</v>
    <v>121.37</v>
    <v>121.47</v>
    <v>121.64</v>
    <v>120.97</v>
    <v>120.89</v>
    <v>120.76</v>
    <v>120.75</v>
    <v>120.66</v>
    <v>120.44</v>
    <v>120.29</v>
    <v>120.22</v>
    <v>120.78</v>
    <v>118.85</v>
    <v>118.98</v>
    <v>119.11</v>
    <v>119.14</v>
    <v>119.2</v>
    <v>118.97</v>
    <v>118.88</v>
    <v>119.11</v>
    <v>119.06</v>
    <v>119.12</v>
    <v>119.57</v>
    <v>119.99</v>
    <v>120.23</v>
    <v>120.19</v>
    <v>120.39</v>
    <v>120.55</v>
    <v>120.23</v>
    <v>120.36</v>
    <v>120.19</v>
    <v>119.95</v>
    <v>120.37</v>
    <v>120.25</v>
    <v>120.26</v>
    <v>120.19</v>
    <v>119.84</v>
    <v>119.99</v>
    <v>120.36</v>
    <v>120.4</v>
    <v>120.35</v>
    <v>120.45</v>
    <v>120.6</v>
    <v>120.54</v>
    <v>120.42</v>
    <v>120.24</v>
    <v>119.17</v>
    <v>118.77</v>
    <v>119.07</v>
    <v>119.33</v>
    <v>118.87</v>
    <v>118.75</v>
    <v>118.59</v>
    <v>118.75</v>
    <v>119.15</v>
    <v>118.98</v>
    <v>119.12</v>
    <v>119.17</v>
    <v>119.22</v>
    <v>119.4</v>
    <v>119.34</v>
    <v>119.3</v>
    <v>119.4</v>
    <v>119.45</v>
    <v>119.37</v>
    <v>119.59</v>
    <v>119.43</v>
    <v>119.47</v>
    <v>119.32</v>
    <v>118.97</v>
    <v>119.04</v>
    <v>118.89</v>
    <v>119.27</v>
    <v>119.35</v>
    <v>119.66</v>
    <v>119.88</v>
    <v>120.12</v>
    <v>120.35</v>
    <v>120.59</v>
    <v>120.6</v>
    <v>121.01</v>
    <v>120.69</v>
    <v>120.54</v>
    <v>120.42</v>
    <v>120.56</v>
    <v>120.38</v>
    <v>120.53</v>
    <v>120.48</v>
    <v>120.72</v>
    <v>120.68</v>
    <v>120.61</v>
    <v>120.31</v>
    <v>120.33</v>
    <v>120.17</v>
    <v>120.54</v>
    <v>120.75</v>
    <v>120.73</v>
    <v>120.79</v>
    <v>120.57</v>
    <v>120.54</v>
    <v>120.78</v>
    <v>120.84</v>
    <v>121</v>
    <v>121.04</v>
    <v>121.37</v>
    <v>121.36</v>
    <v>121.39</v>
    <v>121.46</v>
    <v>121.5</v>
    <v>121.07</v>
    <v>121.25</v>
    <v>121.29</v>
    <v>121.53</v>
    <v>121.52</v>
    <v>121.72</v>
    <v>121.34</v>
    <v>121.59</v>
    <v>121.47</v>
    <v>121.53</v>
    <v>121.33</v>
    <v>121.6</v>
    <v>121.49</v>
    <v>121.67</v>
    <v>121.63</v>
    <v>121.65</v>
    <v>121.63</v>
    <v>121.65</v>
    <v>121.93</v>
    <v>121.91</v>
    <v>122.22</v>
    <v>122.2</v>
    <v>122.06</v>
    <v>121.93</v>
    <v>122.01</v>
    <v>121.8</v>
    <v>121.74</v>
    <v>121.72</v>
    <v>121.8</v>
    <v>121.8</v>
    <v>120.08</v>
    <v>120.05</v>
    <v>120.33</v>
    <v>120.46</v>
    <v>120.58</v>
    <v>120.16</v>
    <v>120.1</v>
    <v>120.29</v>
    <v>120.35</v>
    <v>120.22</v>
    <v>120.3</v>
    <v>120.18</v>
    <v>120.47</v>
    <v>120.5</v>
    <v>120.47</v>
    <v>120.53</v>
    <v>120.3</v>
    <v>120.3</v>
    <v>120.13</v>
    <v>120.57</v>
    <v>120.45</v>
    <v>120.22</v>
    <v>120.26</v>
    <v>120.34</v>
    <v>120.07</v>
    <v>120.41</v>
    <v>120.13</v>
    <v>120.24</v>
    <v>120.31</v>
    <v>120.29</v>
    <v>120.22</v>
    <v>120.2</v>
    <v>119.73</v>
    <v>120.09</v>
    <v>120.34</v>
    <v>120.66</v>
    <v>120.77</v>
    <v>120.67</v>
    <v>120.74</v>
    <v>120.83</v>
    <v>120.58</v>
    <v>120.74</v>
    <v>120.69</v>
    <v>120.62</v>
    <v>120.73</v>
    <v>120.7</v>
    <v>120.64</v>
    <v>120.63</v>
    <v>120.64</v>
    <v>120.39</v>
    <v>120.59</v>
    <v>120.7</v>
    <v>120.8</v>
    <v>120.87</v>
    <v>121</v>
    <v>121.07</v>
    <v>120.9</v>
    <v>121.02</v>
    <v>121.15</v>
    <v>120.99</v>
    <v>121.05</v>
    <v>121.11</v>
    <v>121.24</v>
    <v>121.65</v>
    <v>121.63</v>
    <v>121.51</v>
    <v>121.58</v>
    <v>121.68</v>
    <v>121.66</v>
    <v>121.62</v>
    <v>121.52</v>
    <v>121.65</v>
    <v>121.57</v>
    <v>121.66</v>
    <v>121.51</v>
    <v>121.5</v>
    <v>121.29</v>
    <v>121.31</v>
    <v>121.29</v>
    <v>121.28</v>
    <v>121.13</v>
    <v>121.24</v>
    <v>121.32</v>
    <v>121.44</v>
    <v>121.18</v>
    <v>121.06</v>
    <v>121.15</v>
    <v>121.03</v>
    <v>121.08</v>
    <v>121.12</v>
    <v>121.15</v>
    <v>121.18</v>
    <v>121.39</v>
    <v>121.36</v>
    <v>121.44</v>
    <v>121.4</v>
    <v>121.27</v>
    <v>121.19</v>
    <v>121.4</v>
    <v>121.37</v>
    <v>121.2</v>
    <v>120.82</v>
    <v>120.72</v>
    <v>120.67</v>
    <v>120.86</v>
    <v>120.84</v>
    <v>120.9</v>
    <v>120.9</v>
    <v>120.8</v>
    <v>120.91</v>
    <v>120.67</v>
    <v>120.68</v>
    <v>120.93</v>
    <v>121.19</v>
    <v>121.17</v>
    <v>120.88</v>
    <v>121.09</v>
    <v>121.31</v>
    <v>121.45</v>
    <v>121.41</v>
    <v>121.46</v>
    <v>121.57</v>
    <v>121.57</v>
    <v>121.59</v>
    <v>119.69</v>
    <v>119.56</v>
    <v>119.57</v>
    <v>119.51</v>
    <v>119.53</v>
    <v>119.53</v>
    <v>119.46</v>
    <v>119.74</v>
    <v>119.81</v>
    <v>119.87</v>
    <v>119.89</v>
    <v>119.95</v>
    <v>119.92</v>
    <v>119.81</v>
    <v>119.95</v>
    <v>120.01</v>
    <v>119.98</v>
    <v>120.09</v>
    <v>120.2</v>
    <v>120.19</v>
    <v>120.22</v>
    <v>120.29</v>
    <v>120.29</v>
    <v>120.29</v>
    <v>120.32</v>
    <v>120.27</v>
    <v>120.39</v>
    <v>120.56</v>
    <v>120.45</v>
    <v>120.51</v>
    <v>120.47</v>
    <v>120.53</v>
    <v>120.15</v>
    <v>119.76</v>
    <v>120.13</v>
    <v>119.5</v>
    <v>119.22</v>
    <v>119.16</v>
    <v>119.51</v>
    <v>118.85</v>
    <v>118.51</v>
    <v>118.27</v>
    <v>118.53</v>
    <v>118.84</v>
    <v>118.63</v>
    <v>118.32</v>
    <v>117.7</v>
    <v>118.01</v>
    <v>117.87</v>
    <v>118.26</v>
    <v>117.62</v>
    <v>117.34</v>
    <v>117.63</v>
    <v>117.93</v>
    <v>118.43</v>
    <v>118.27</v>
    <v>118.04</v>
    <v>119.33</v>
    <v>119.1</v>
    <v>118.94</v>
    <v>118.69</v>
    <v>119.21</v>
    <v>119.12</v>
    <v>119.18</v>
    <v>119.75</v>
    <v>119.56</v>
    <v>119.27</v>
    <v>119.27</v>
    <v>119.15</v>
    <v>119.19</v>
    <v>118.99</v>
    <v>118.77</v>
    <v>118.62</v>
    <v>119.1</v>
    <v>118.76</v>
    <v>118.96</v>
    <v>119.39</v>
    <v>119.34</v>
    <v>119.39</v>
    <v>119.12</v>
    <v>118.8</v>
    <v>118.88</v>
    <v>119.24</v>
    <v>118.73</v>
    <v>118.85</v>
    <v>118.57</v>
    <v>119.16</v>
    <v>119.1</v>
    <v>119.48</v>
    <v>120</v>
    <v>119.7</v>
    <v>119.76</v>
    <v>119.91</v>
    <v>120.2</v>
    <v>119.72</v>
    <v>119.97</v>
    <v>119.73</v>
    <v>119.8</v>
    <v>119.69</v>
    <v>119.55</v>
    <v>119.53</v>
    <v>119.42</v>
    <v>119.6</v>
    <v>120.03</v>
    <v>120.26</v>
    <v>120.3</v>
    <v>120.2</v>
    <v>120.23</v>
    <v>119.97</v>
    <v>120.22</v>
    <v>120.37</v>
    <v>120.5</v>
    <v>120.64</v>
    <v>120.7</v>
    <v>120.77</v>
    <v>120.7</v>
    <v>120.65</v>
    <v>120.66</v>
    <v>120.62</v>
    <v>120.6</v>
    <v>120.37</v>
    <v>119.62</v>
    <v>120.04</v>
    <v>120.12</v>
    <v>119.87</v>
    <v>119.8</v>
    <v>119.76</v>
    <v>117.78</v>
    <v>117.65</v>
    <v>117.6</v>
    <v>117.56</v>
    <v>117.49</v>
    <v>117.2</v>
    <v>117.38</v>
    <v>117.63</v>
    <v>117.76</v>
    <v>117.49</v>
    <v>117.63</v>
    <v>117.51</v>
    <v>117.82</v>
    <v>118.09</v>
    <v>118.11</v>
    <v>118.05</v>
    <v>118.02</v>
    <v>117.82</v>
    <v>117.94</v>
    <v>117.91</v>
    <v>117.98</v>
    <v>117.76</v>
    <v>117.74</v>
    <v>117.41</v>
    <v>117.36</v>
    <v>117.47</v>
    <v>117.61</v>
    <v>117.56</v>
    <v>117.78</v>
    <v>117.65</v>
    <v>117.5</v>
    <v>117.33</v>
    <v>117.11</v>
    <v>117.08</v>
    <v>116.9</v>
    <v>117.07</v>
    <v>117.09</v>
    <v>116.91</v>
    <v>117</v>
    <v>116.59</v>
    <v>116.07</v>
    <v>116.13</v>
    <v>115.75</v>
    <v>115.72</v>
    <v>115.91</v>
    <v>116.22</v>
    <v>115.87</v>
    <v>116.22</v>
    <v>116.2</v>
    <v>115.63</v>
    <v>115.42</v>
    <v>115.41</v>
    <v>115.25</v>
    <v>115.26</v>
    <v>115.71</v>
    <v>115.88</v>
    <v>115.96</v>
    <v>115.72</v>
    <v>116.16</v>
    <v>116.07</v>
    <v>116.06</v>
    <v>116.09</v>
    <v>116.23</v>
    <v>116.19</v>
    <v>116.25</v>
    <v>116.59</v>
    <v>116.59</v>
    <v>116.25</v>
    <v>116.35</v>
    <v>116.15</v>
    <v>116.35</v>
    <v>115.92</v>
  </a>
  <a r="1" c="208">
    <v>120.88</v>
    <v>121.09</v>
    <v>121.31</v>
    <v>121.45</v>
    <v>121.41</v>
    <v>121.46</v>
    <v>121.57</v>
    <v>121.57</v>
    <v>121.59</v>
    <v>119.69</v>
    <v>119.56</v>
    <v>119.57</v>
    <v>119.51</v>
    <v>119.53</v>
    <v>119.53</v>
    <v>119.46</v>
    <v>119.74</v>
    <v>119.81</v>
    <v>119.87</v>
    <v>119.89</v>
    <v>119.95</v>
    <v>119.92</v>
    <v>119.81</v>
    <v>119.95</v>
    <v>120.01</v>
    <v>119.98</v>
    <v>120.09</v>
    <v>120.2</v>
    <v>120.19</v>
    <v>120.22</v>
    <v>120.29</v>
    <v>120.29</v>
    <v>120.29</v>
    <v>120.32</v>
    <v>120.27</v>
    <v>120.39</v>
    <v>120.56</v>
    <v>120.45</v>
    <v>120.51</v>
    <v>120.47</v>
    <v>120.53</v>
    <v>120.15</v>
    <v>119.76</v>
    <v>120.13</v>
    <v>119.5</v>
    <v>119.22</v>
    <v>119.16</v>
    <v>119.51</v>
    <v>118.85</v>
    <v>118.51</v>
    <v>118.27</v>
    <v>118.53</v>
    <v>118.84</v>
    <v>118.63</v>
    <v>118.32</v>
    <v>117.7</v>
    <v>118.01</v>
    <v>117.87</v>
    <v>118.26</v>
    <v>117.62</v>
    <v>117.34</v>
    <v>117.63</v>
    <v>117.93</v>
    <v>118.43</v>
    <v>118.27</v>
    <v>118.04</v>
    <v>119.33</v>
    <v>119.1</v>
    <v>118.94</v>
    <v>118.69</v>
    <v>119.21</v>
    <v>119.12</v>
    <v>119.18</v>
    <v>119.75</v>
    <v>119.56</v>
    <v>119.27</v>
    <v>119.27</v>
    <v>119.15</v>
    <v>119.19</v>
    <v>118.99</v>
    <v>118.77</v>
    <v>118.62</v>
    <v>119.1</v>
    <v>118.76</v>
    <v>118.96</v>
    <v>119.39</v>
    <v>119.34</v>
    <v>119.39</v>
    <v>119.12</v>
    <v>118.8</v>
    <v>118.88</v>
    <v>119.24</v>
    <v>118.73</v>
    <v>118.85</v>
    <v>118.57</v>
    <v>119.16</v>
    <v>119.1</v>
    <v>119.48</v>
    <v>120</v>
    <v>119.7</v>
    <v>119.76</v>
    <v>119.91</v>
    <v>120.2</v>
    <v>119.72</v>
    <v>119.97</v>
    <v>119.73</v>
    <v>119.8</v>
    <v>119.69</v>
    <v>119.55</v>
    <v>119.53</v>
    <v>119.42</v>
    <v>119.6</v>
    <v>120.03</v>
    <v>120.26</v>
    <v>120.3</v>
    <v>120.2</v>
    <v>120.23</v>
    <v>119.97</v>
    <v>120.22</v>
    <v>120.37</v>
    <v>120.5</v>
    <v>120.64</v>
    <v>120.7</v>
    <v>120.77</v>
    <v>120.7</v>
    <v>120.65</v>
    <v>120.66</v>
    <v>120.62</v>
    <v>120.6</v>
    <v>120.37</v>
    <v>119.62</v>
    <v>120.04</v>
    <v>120.12</v>
    <v>119.87</v>
    <v>119.8</v>
    <v>119.76</v>
    <v>117.78</v>
    <v>117.65</v>
    <v>117.6</v>
    <v>117.56</v>
    <v>117.49</v>
    <v>117.2</v>
    <v>117.38</v>
    <v>117.63</v>
    <v>117.76</v>
    <v>117.49</v>
    <v>117.63</v>
    <v>117.51</v>
    <v>117.82</v>
    <v>118.09</v>
    <v>118.11</v>
    <v>118.05</v>
    <v>118.02</v>
    <v>117.82</v>
    <v>117.94</v>
    <v>117.91</v>
    <v>117.98</v>
    <v>117.76</v>
    <v>117.74</v>
    <v>117.41</v>
    <v>117.36</v>
    <v>117.47</v>
    <v>117.61</v>
    <v>117.56</v>
    <v>117.78</v>
    <v>117.65</v>
    <v>117.5</v>
    <v>117.33</v>
    <v>117.11</v>
    <v>117.08</v>
    <v>116.9</v>
    <v>117.07</v>
    <v>117.09</v>
    <v>116.91</v>
    <v>117</v>
    <v>116.59</v>
    <v>116.07</v>
    <v>116.13</v>
    <v>115.75</v>
    <v>115.72</v>
    <v>115.91</v>
    <v>116.22</v>
    <v>115.87</v>
    <v>116.22</v>
    <v>116.2</v>
    <v>115.63</v>
    <v>115.42</v>
    <v>115.41</v>
    <v>115.25</v>
    <v>115.26</v>
    <v>115.71</v>
    <v>115.88</v>
    <v>115.96</v>
    <v>115.72</v>
    <v>116.16</v>
    <v>116.07</v>
    <v>116.06</v>
    <v>116.09</v>
    <v>116.23</v>
    <v>116.19</v>
    <v>116.25</v>
    <v>116.59</v>
    <v>116.59</v>
    <v>116.25</v>
    <v>116.35</v>
    <v>116.15</v>
    <v>116.35</v>
    <v>115.92</v>
  </a>
  <a r="1" c="254">
    <v>34.125</v>
    <v>34.204999999999998</v>
    <v>34.325000000000003</v>
    <v>34.344999999999999</v>
    <v>34.31</v>
    <v>34.325000000000003</v>
    <v>34.24</v>
    <v>34.255000000000003</v>
    <v>34.145000000000003</v>
    <v>34.225000000000001</v>
    <v>34</v>
    <v>33.74</v>
    <v>34.265000000000001</v>
    <v>34.524999999999999</v>
    <v>34.840000000000003</v>
    <v>34.5</v>
    <v>34.295000000000002</v>
    <v>34.130000000000003</v>
    <v>33.549999999999997</v>
    <v>33.575000000000003</v>
    <v>33.645000000000003</v>
    <v>33.534999999999997</v>
    <v>33.729999999999997</v>
    <v>33.9</v>
    <v>34.305</v>
    <v>34.295000000000002</v>
    <v>34.424999999999997</v>
    <v>34.284999999999997</v>
    <v>34.244999999999997</v>
    <v>34.284999999999997</v>
    <v>34.564999999999998</v>
    <v>34.564999999999998</v>
    <v>34.534999999999997</v>
    <v>34.564999999999998</v>
    <v>34.53</v>
    <v>34.645000000000003</v>
    <v>34.484999999999999</v>
    <v>34.729999999999997</v>
    <v>34.484999999999999</v>
    <v>34.395000000000003</v>
    <v>34.704999999999998</v>
    <v>34.880000000000003</v>
    <v>34.844999999999999</v>
    <v>35.024999999999999</v>
    <v>35.045000000000002</v>
    <v>35.21</v>
    <v>35.265000000000001</v>
    <v>35.744999999999997</v>
    <v>35.914999999999999</v>
    <v>35.854999999999997</v>
    <v>35.825000000000003</v>
    <v>36.24</v>
    <v>36.325000000000003</v>
    <v>36.295000000000002</v>
    <v>36.39</v>
    <v>36.659999999999997</v>
    <v>36.659999999999997</v>
    <v>36.31</v>
    <v>35.935000000000002</v>
    <v>35.984999999999999</v>
    <v>36.215000000000003</v>
    <v>36.200000000000003</v>
    <v>36.204999999999998</v>
    <v>36.340000000000003</v>
    <v>36.125</v>
    <v>36.115000000000002</v>
    <v>36.274999999999999</v>
    <v>36.56</v>
    <v>36.625</v>
    <v>36.784999999999997</v>
    <v>36.395000000000003</v>
    <v>36.774999999999999</v>
    <v>37.145000000000003</v>
    <v>37.384999999999998</v>
    <v>37.545000000000002</v>
    <v>37.29</v>
    <v>37.335000000000001</v>
    <v>37.215000000000003</v>
    <v>37.335000000000001</v>
    <v>37.729999999999997</v>
    <v>37.664999999999999</v>
    <v>37.83</v>
    <v>37.729999999999997</v>
    <v>37.814999999999998</v>
    <v>38.11</v>
    <v>38.159999999999997</v>
    <v>38.185000000000002</v>
    <v>37.71</v>
    <v>36.575000000000003</v>
    <v>37.14</v>
    <v>36.65</v>
    <v>36.274999999999999</v>
    <v>36.06</v>
    <v>36.805</v>
    <v>36.57</v>
    <v>36.365000000000002</v>
    <v>36.174999999999997</v>
    <v>36.369999999999997</v>
    <v>36.564999999999998</v>
    <v>36.31</v>
    <v>35.484999999999999</v>
    <v>34.905000000000001</v>
    <v>35.15</v>
    <v>35.26</v>
    <v>35.704999999999998</v>
    <v>35.325000000000003</v>
    <v>34.979999999999997</v>
    <v>35.424999999999997</v>
    <v>35.36</v>
    <v>36.365000000000002</v>
    <v>36.24</v>
    <v>35.914999999999999</v>
    <v>37.28</v>
    <v>37.155000000000001</v>
    <v>37.234999999999999</v>
    <v>37.164999999999999</v>
    <v>37.524999999999999</v>
    <v>37.44</v>
    <v>37.44</v>
    <v>37.96</v>
    <v>37.725000000000001</v>
    <v>37.369999999999997</v>
    <v>37.265000000000001</v>
    <v>37.314999999999998</v>
    <v>37.090000000000003</v>
    <v>37.085000000000001</v>
    <v>36.945</v>
    <v>36.725000000000001</v>
    <v>37.314999999999998</v>
    <v>37.005000000000003</v>
    <v>37.305</v>
    <v>38.049999999999997</v>
    <v>37.784999999999997</v>
    <v>37.655000000000001</v>
    <v>37.69</v>
    <v>37.42</v>
    <v>37.78</v>
    <v>38.020000000000003</v>
    <v>37.494999999999997</v>
    <v>37.545000000000002</v>
    <v>37.604999999999997</v>
    <v>38.045000000000002</v>
    <v>38.130000000000003</v>
    <v>38.4</v>
    <v>38.92</v>
    <v>38.585000000000001</v>
    <v>38.51</v>
    <v>38.405000000000001</v>
    <v>38.49</v>
    <v>38.380000000000003</v>
    <v>38.625</v>
    <v>38.484999999999999</v>
    <v>38.604999999999997</v>
    <v>38.36</v>
    <v>38.31</v>
    <v>38.015000000000001</v>
    <v>37.880000000000003</v>
    <v>38.11</v>
    <v>38.895000000000003</v>
    <v>39.07</v>
    <v>39.200000000000003</v>
    <v>39.4</v>
    <v>39.475000000000001</v>
    <v>39.344999999999999</v>
    <v>39.619999999999997</v>
    <v>39.145000000000003</v>
    <v>39.21</v>
    <v>39.405000000000001</v>
    <v>39.255000000000003</v>
    <v>39.134999999999998</v>
    <v>39.435000000000002</v>
    <v>39.44</v>
    <v>39.659999999999997</v>
    <v>39.94</v>
    <v>39.93</v>
    <v>39.585000000000001</v>
    <v>39.055</v>
    <v>39.494999999999997</v>
    <v>39.645000000000003</v>
    <v>39.555</v>
    <v>39.695</v>
    <v>39.715000000000003</v>
    <v>39.634999999999998</v>
    <v>39.340000000000003</v>
    <v>39.31</v>
    <v>39.619999999999997</v>
    <v>39.79</v>
    <v>39.35</v>
    <v>39.69</v>
    <v>39.634999999999998</v>
    <v>39.72</v>
    <v>39.564999999999998</v>
    <v>39.86</v>
    <v>39.774999999999999</v>
    <v>39.975000000000001</v>
    <v>40.29</v>
    <v>40.475000000000001</v>
    <v>40.549999999999997</v>
    <v>40.72</v>
    <v>40.734999999999999</v>
    <v>40.799999999999997</v>
    <v>40.89</v>
    <v>40.96</v>
    <v>40.81</v>
    <v>40.814999999999998</v>
    <v>40.325000000000003</v>
    <v>40.21</v>
    <v>40.090000000000003</v>
    <v>40.33</v>
    <v>40.314999999999998</v>
    <v>40.524999999999999</v>
    <v>40.49</v>
    <v>40.335000000000001</v>
    <v>40.58</v>
    <v>40.255000000000003</v>
    <v>40.15</v>
    <v>40.075000000000003</v>
    <v>40.534999999999997</v>
    <v>40.56</v>
    <v>40.615000000000002</v>
    <v>40.51</v>
    <v>40</v>
    <v>39.674999999999997</v>
    <v>40.020000000000003</v>
    <v>39.905000000000001</v>
    <v>39.674999999999997</v>
    <v>39.945</v>
    <v>40.25</v>
    <v>39.805</v>
    <v>40.200000000000003</v>
    <v>40.33</v>
    <v>40.145000000000003</v>
    <v>39.784999999999997</v>
    <v>40.034999999999997</v>
    <v>39.94</v>
    <v>39.96</v>
    <v>39.954999999999998</v>
    <v>39.634999999999998</v>
    <v>39.975000000000001</v>
    <v>40.200000000000003</v>
    <v>40.375</v>
    <v>39.99</v>
    <v>39.674999999999997</v>
    <v>40.06</v>
    <v>40.270000000000003</v>
    <v>40.215000000000003</v>
    <v>40.274999999999999</v>
    <v>40.204999999999998</v>
    <v>40.450000000000003</v>
    <v>40.274999999999999</v>
    <v>40.265000000000001</v>
    <v>40.564999999999998</v>
    <v>40.15</v>
    <v>40.06</v>
  </a>
  <a r="1" c="208">
    <v>35.265000000000001</v>
    <v>35.744999999999997</v>
    <v>35.914999999999999</v>
    <v>35.854999999999997</v>
    <v>35.825000000000003</v>
    <v>36.24</v>
    <v>36.325000000000003</v>
    <v>36.295000000000002</v>
    <v>36.39</v>
    <v>36.659999999999997</v>
    <v>36.659999999999997</v>
    <v>36.31</v>
    <v>35.935000000000002</v>
    <v>35.984999999999999</v>
    <v>36.215000000000003</v>
    <v>36.200000000000003</v>
    <v>36.204999999999998</v>
    <v>36.340000000000003</v>
    <v>36.125</v>
    <v>36.115000000000002</v>
    <v>36.274999999999999</v>
    <v>36.56</v>
    <v>36.625</v>
    <v>36.784999999999997</v>
    <v>36.395000000000003</v>
    <v>36.774999999999999</v>
    <v>37.145000000000003</v>
    <v>37.384999999999998</v>
    <v>37.545000000000002</v>
    <v>37.29</v>
    <v>37.335000000000001</v>
    <v>37.215000000000003</v>
    <v>37.335000000000001</v>
    <v>37.729999999999997</v>
    <v>37.664999999999999</v>
    <v>37.83</v>
    <v>37.729999999999997</v>
    <v>37.814999999999998</v>
    <v>38.11</v>
    <v>38.159999999999997</v>
    <v>38.185000000000002</v>
    <v>37.71</v>
    <v>36.575000000000003</v>
    <v>37.14</v>
    <v>36.65</v>
    <v>36.274999999999999</v>
    <v>36.06</v>
    <v>36.805</v>
    <v>36.57</v>
    <v>36.365000000000002</v>
    <v>36.174999999999997</v>
    <v>36.369999999999997</v>
    <v>36.564999999999998</v>
    <v>36.31</v>
    <v>35.484999999999999</v>
    <v>34.905000000000001</v>
    <v>35.15</v>
    <v>35.26</v>
    <v>35.704999999999998</v>
    <v>35.325000000000003</v>
    <v>34.979999999999997</v>
    <v>35.424999999999997</v>
    <v>35.36</v>
    <v>36.365000000000002</v>
    <v>36.24</v>
    <v>35.914999999999999</v>
    <v>37.28</v>
    <v>37.155000000000001</v>
    <v>37.234999999999999</v>
    <v>37.164999999999999</v>
    <v>37.524999999999999</v>
    <v>37.44</v>
    <v>37.44</v>
    <v>37.96</v>
    <v>37.725000000000001</v>
    <v>37.369999999999997</v>
    <v>37.265000000000001</v>
    <v>37.314999999999998</v>
    <v>37.090000000000003</v>
    <v>37.085000000000001</v>
    <v>36.945</v>
    <v>36.725000000000001</v>
    <v>37.314999999999998</v>
    <v>37.005000000000003</v>
    <v>37.305</v>
    <v>38.049999999999997</v>
    <v>37.784999999999997</v>
    <v>37.655000000000001</v>
    <v>37.69</v>
    <v>37.42</v>
    <v>37.78</v>
    <v>38.020000000000003</v>
    <v>37.494999999999997</v>
    <v>37.545000000000002</v>
    <v>37.604999999999997</v>
    <v>38.045000000000002</v>
    <v>38.130000000000003</v>
    <v>38.4</v>
    <v>38.92</v>
    <v>38.585000000000001</v>
    <v>38.51</v>
    <v>38.405000000000001</v>
    <v>38.49</v>
    <v>38.380000000000003</v>
    <v>38.625</v>
    <v>38.484999999999999</v>
    <v>38.604999999999997</v>
    <v>38.36</v>
    <v>38.31</v>
    <v>38.015000000000001</v>
    <v>37.880000000000003</v>
    <v>38.11</v>
    <v>38.895000000000003</v>
    <v>39.07</v>
    <v>39.200000000000003</v>
    <v>39.4</v>
    <v>39.475000000000001</v>
    <v>39.344999999999999</v>
    <v>39.619999999999997</v>
    <v>39.145000000000003</v>
    <v>39.21</v>
    <v>39.405000000000001</v>
    <v>39.255000000000003</v>
    <v>39.134999999999998</v>
    <v>39.435000000000002</v>
    <v>39.44</v>
    <v>39.659999999999997</v>
    <v>39.94</v>
    <v>39.93</v>
    <v>39.585000000000001</v>
    <v>39.055</v>
    <v>39.494999999999997</v>
    <v>39.645000000000003</v>
    <v>39.555</v>
    <v>39.695</v>
    <v>39.715000000000003</v>
    <v>39.634999999999998</v>
    <v>39.340000000000003</v>
    <v>39.31</v>
    <v>39.619999999999997</v>
    <v>39.79</v>
    <v>39.35</v>
    <v>39.69</v>
    <v>39.634999999999998</v>
    <v>39.72</v>
    <v>39.564999999999998</v>
    <v>39.86</v>
    <v>39.774999999999999</v>
    <v>39.975000000000001</v>
    <v>40.29</v>
    <v>40.475000000000001</v>
    <v>40.549999999999997</v>
    <v>40.72</v>
    <v>40.734999999999999</v>
    <v>40.799999999999997</v>
    <v>40.89</v>
    <v>40.96</v>
    <v>40.81</v>
    <v>40.814999999999998</v>
    <v>40.325000000000003</v>
    <v>40.21</v>
    <v>40.090000000000003</v>
    <v>40.33</v>
    <v>40.314999999999998</v>
    <v>40.524999999999999</v>
    <v>40.49</v>
    <v>40.335000000000001</v>
    <v>40.58</v>
    <v>40.255000000000003</v>
    <v>40.15</v>
    <v>40.075000000000003</v>
    <v>40.534999999999997</v>
    <v>40.56</v>
    <v>40.615000000000002</v>
    <v>40.51</v>
    <v>40</v>
    <v>39.674999999999997</v>
    <v>40.020000000000003</v>
    <v>39.905000000000001</v>
    <v>39.674999999999997</v>
    <v>39.945</v>
    <v>40.25</v>
    <v>39.805</v>
    <v>40.200000000000003</v>
    <v>40.33</v>
    <v>40.145000000000003</v>
    <v>39.784999999999997</v>
    <v>40.034999999999997</v>
    <v>39.94</v>
    <v>39.96</v>
    <v>39.954999999999998</v>
    <v>39.634999999999998</v>
    <v>39.975000000000001</v>
    <v>40.200000000000003</v>
    <v>40.375</v>
    <v>39.99</v>
    <v>39.674999999999997</v>
    <v>40.06</v>
    <v>40.270000000000003</v>
    <v>40.215000000000003</v>
    <v>40.274999999999999</v>
    <v>40.204999999999998</v>
    <v>40.450000000000003</v>
    <v>40.274999999999999</v>
    <v>40.265000000000001</v>
    <v>40.564999999999998</v>
    <v>40.15</v>
    <v>40.06</v>
  </a>
  <a r="1" c="622">
    <v t="i">203</v>
    <v t="i">204</v>
    <v t="i">205</v>
    <v t="i">206</v>
    <v t="i">207</v>
    <v t="i">210</v>
    <v t="i">211</v>
    <v t="i">212</v>
    <v t="i">213</v>
    <v t="i">214</v>
    <v t="i">217</v>
    <v t="i">218</v>
    <v t="i">219</v>
    <v t="i">220</v>
    <v t="i">221</v>
    <v t="i">224</v>
    <v t="i">225</v>
    <v t="i">226</v>
    <v t="i">227</v>
    <v t="i">228</v>
    <v t="i">231</v>
    <v t="i">232</v>
    <v t="i">233</v>
    <v t="i">234</v>
    <v t="i">235</v>
    <v t="i">238</v>
    <v t="i">239</v>
    <v t="i">240</v>
    <v t="i">241</v>
    <v t="i">242</v>
    <v t="i">245</v>
    <v t="i">246</v>
    <v t="i">247</v>
    <v t="i">248</v>
    <v t="i">249</v>
    <v t="i">252</v>
    <v t="i">253</v>
    <v t="i">254</v>
    <v t="i">255</v>
    <v t="i">256</v>
    <v t="i">259</v>
    <v t="i">260</v>
    <v t="i">261</v>
    <v t="i">262</v>
    <v t="i">263</v>
    <v t="i">266</v>
    <v t="i">267</v>
    <v t="i">268</v>
    <v t="i">269</v>
    <v t="i">270</v>
    <v t="i">273</v>
    <v t="i">274</v>
    <v t="i">275</v>
    <v t="i">276</v>
    <v t="i">277</v>
    <v t="i">280</v>
    <v t="i">281</v>
    <v t="i">282</v>
    <v t="i">283</v>
    <v t="i">284</v>
    <v t="i">287</v>
    <v t="i">288</v>
    <v t="i">289</v>
    <v t="i">290</v>
    <v t="i">291</v>
    <v t="i">294</v>
    <v t="i">295</v>
    <v t="i">296</v>
    <v t="i">298</v>
    <v t="i">301</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v t="i">365</v>
    <v t="i">366</v>
    <v t="i">367</v>
    <v t="i">368</v>
    <v t="i">371</v>
    <v t="i">372</v>
    <v t="i">373</v>
    <v t="i">374</v>
    <v t="i">375</v>
    <v t="i">378</v>
    <v t="i">379</v>
    <v t="i">380</v>
    <v t="i">381</v>
    <v t="i">382</v>
    <v t="i">385</v>
    <v t="i">386</v>
    <v t="i">387</v>
    <v t="i">388</v>
    <v t="i">389</v>
    <v t="i">392</v>
    <v t="i">393</v>
    <v t="i">394</v>
    <v t="i">395</v>
    <v t="i">396</v>
    <v t="i">399</v>
    <v t="i">400</v>
    <v t="i">401</v>
    <v t="i">402</v>
    <v t="i">403</v>
    <v t="i">406</v>
    <v t="i">407</v>
    <v t="i">408</v>
    <v t="i">409</v>
    <v t="i">410</v>
    <v t="i">413</v>
    <v t="i">414</v>
    <v t="i">415</v>
    <v t="i">416</v>
    <v t="i">417</v>
    <v t="i">420</v>
    <v t="i">421</v>
    <v t="i">422</v>
    <v t="i">423</v>
    <v t="i">424</v>
    <v t="i">427</v>
    <v t="i">431</v>
    <v t="i">434</v>
    <v t="i">437</v>
    <v t="i">438</v>
    <v t="i">441</v>
    <v t="i">442</v>
    <v t="i">443</v>
    <v t="i">444</v>
    <v t="i">445</v>
    <v t="i">448</v>
    <v t="i">449</v>
    <v t="i">450</v>
    <v t="i">451</v>
    <v t="i">452</v>
    <v t="i">455</v>
    <v t="i">456</v>
    <v t="i">457</v>
    <v t="i">458</v>
    <v t="i">459</v>
    <v t="i">462</v>
    <v t="i">463</v>
    <v t="i">464</v>
    <v t="i">465</v>
    <v t="i">466</v>
    <v t="i">469</v>
    <v t="i">470</v>
    <v t="i">471</v>
    <v t="i">472</v>
    <v t="i">473</v>
    <v t="i">476</v>
    <v t="i">477</v>
    <v t="i">478</v>
    <v t="i">479</v>
    <v t="i">480</v>
    <v t="i">483</v>
    <v t="i">484</v>
    <v t="i">485</v>
    <v t="i">486</v>
    <v t="i">487</v>
    <v t="i">490</v>
    <v t="i">491</v>
    <v t="i">492</v>
    <v t="i">493</v>
    <v t="i">494</v>
    <v t="i">497</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547</v>
    <v t="i">548</v>
    <v t="i">549</v>
    <v t="i">550</v>
    <v t="i">553</v>
    <v t="i">554</v>
    <v t="i">555</v>
    <v t="i">557</v>
    <v t="i">560</v>
    <v t="i">561</v>
    <v t="i">562</v>
    <v t="i">563</v>
    <v t="i">564</v>
    <v t="i">567</v>
    <v t="i">568</v>
    <v t="i">569</v>
    <v t="i">570</v>
    <v t="i">571</v>
    <v t="i">574</v>
    <v t="i">575</v>
    <v t="i">576</v>
    <v t="i">577</v>
    <v t="i">578</v>
    <v t="i">581</v>
    <v t="i">582</v>
    <v t="i">583</v>
    <v t="i">584</v>
    <v t="i">585</v>
    <v t="i">588</v>
    <v t="i">589</v>
    <v t="i">590</v>
    <v t="i">591</v>
    <v t="i">592</v>
    <v t="i">595</v>
    <v t="i">596</v>
    <v t="i">597</v>
    <v t="i">598</v>
    <v t="i">599</v>
    <v t="i">602</v>
    <v t="i">603</v>
    <v t="i">604</v>
    <v t="i">605</v>
    <v t="i">606</v>
    <v t="i">609</v>
    <v t="i">610</v>
    <v t="i">611</v>
    <v t="i">612</v>
    <v t="i">613</v>
    <v t="i">616</v>
    <v t="i">617</v>
    <v t="i">618</v>
    <v t="i">619</v>
    <v t="i">620</v>
    <v t="i">623</v>
    <v t="i">624</v>
    <v t="i">625</v>
    <v t="i">626</v>
    <v t="i">627</v>
    <v t="i">630</v>
    <v t="i">631</v>
    <v t="i">632</v>
    <v t="i">633</v>
    <v t="i">634</v>
    <v t="i">637</v>
    <v t="i">638</v>
    <v t="i">639</v>
    <v t="i">640</v>
    <v t="i">641</v>
    <v t="i">644</v>
    <v t="i">645</v>
    <v t="i">646</v>
    <v t="i">647</v>
    <v t="i">648</v>
    <v t="i">651</v>
    <v t="i">652</v>
    <v t="i">653</v>
    <v t="i">654</v>
    <v t="i">655</v>
    <v t="i">658</v>
    <v t="i">659</v>
    <v t="i">660</v>
    <v t="i">661</v>
    <v t="i">665</v>
    <v t="i">666</v>
    <v t="i">667</v>
    <v t="i">668</v>
    <v t="i">669</v>
    <v t="i">672</v>
    <v t="i">673</v>
    <v t="i">674</v>
    <v t="i">675</v>
    <v t="i">676</v>
    <v t="i">679</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750</v>
    <v t="i">751</v>
    <v t="i">752</v>
    <v t="i">753</v>
    <v t="i">756</v>
    <v t="i">757</v>
    <v t="i">758</v>
    <v t="i">759</v>
    <v t="i">760</v>
    <v t="i">763</v>
    <v t="i">764</v>
    <v t="i">765</v>
    <v t="i">766</v>
    <v t="i">767</v>
    <v t="i">770</v>
    <v t="i">771</v>
    <v t="i">772</v>
    <v t="i">773</v>
    <v t="i">774</v>
    <v t="i">777</v>
    <v t="i">778</v>
    <v t="i">779</v>
    <v t="i">780</v>
    <v t="i">781</v>
    <v t="i">784</v>
    <v t="i">785</v>
    <v t="i">786</v>
    <v t="i">787</v>
    <v t="i">788</v>
    <v t="i">791</v>
    <v t="i">792</v>
    <v t="i">798</v>
    <v t="i">799</v>
    <v t="i">802</v>
    <v t="i">805</v>
    <v t="i">806</v>
    <v t="i">807</v>
    <v t="i">808</v>
    <v t="i">809</v>
    <v t="i">812</v>
    <v t="i">813</v>
    <v t="i">814</v>
    <v t="i">815</v>
    <v t="i">816</v>
    <v t="i">819</v>
    <v t="i">820</v>
    <v t="i">821</v>
    <v t="i">822</v>
    <v t="i">823</v>
    <v t="i">826</v>
    <v t="i">827</v>
    <v t="i">828</v>
    <v t="i">829</v>
    <v t="i">830</v>
    <v t="i">833</v>
    <v t="i">834</v>
    <v t="i">835</v>
    <v t="i">836</v>
    <v t="i">837</v>
    <v t="i">840</v>
    <v t="i">841</v>
    <v t="i">842</v>
    <v t="i">843</v>
    <v t="i">844</v>
    <v t="i">847</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897</v>
    <v t="i">898</v>
    <v t="i">899</v>
    <v t="i">900</v>
    <v t="i">903</v>
    <v t="i">904</v>
    <v t="i">905</v>
    <v t="i">906</v>
    <v t="i">907</v>
    <v t="i">910</v>
    <v t="i">911</v>
    <v t="i">912</v>
    <v t="i">913</v>
    <v t="i">914</v>
    <v t="i">917</v>
    <v t="i">918</v>
    <v t="i">919</v>
    <v t="i">920</v>
    <v t="i">924</v>
    <v t="i">925</v>
    <v t="i">926</v>
    <v t="i">927</v>
    <v t="i">928</v>
    <v t="i">931</v>
    <v t="i">932</v>
    <v t="i">933</v>
    <v t="i">934</v>
    <v t="i">935</v>
    <v t="i">938</v>
    <v t="i">939</v>
    <v t="i">940</v>
    <v t="i">941</v>
    <v t="i">942</v>
    <v t="i">945</v>
    <v t="i">946</v>
    <v t="i">947</v>
    <v t="i">948</v>
    <v t="i">949</v>
    <v t="i">952</v>
    <v t="i">953</v>
    <v t="i">954</v>
    <v t="i">955</v>
    <v t="i">956</v>
    <v t="i">959</v>
    <v t="i">960</v>
    <v t="i">961</v>
    <v t="i">962</v>
    <v t="i">963</v>
    <v t="i">966</v>
    <v t="i">967</v>
    <v t="i">968</v>
    <v t="i">969</v>
    <v t="i">970</v>
    <v t="i">973</v>
    <v t="i">974</v>
    <v t="i">975</v>
    <v t="i">976</v>
    <v t="i">977</v>
    <v t="i">980</v>
    <v t="i">981</v>
    <v t="i">982</v>
    <v t="i">983</v>
    <v t="i">984</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1050</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622">
    <v>29.34</v>
    <v>29.38</v>
    <v>29.555</v>
    <v>29.52</v>
    <v>29.535</v>
    <v>29.664999999999999</v>
    <v>29.58</v>
    <v>29.445</v>
    <v>29.42</v>
    <v>29.414999999999999</v>
    <v>29.535</v>
    <v>29.375</v>
    <v>29.04</v>
    <v>29.21</v>
    <v>29.285</v>
    <v>29.454999999999998</v>
    <v>29.315000000000001</v>
    <v>29.495000000000001</v>
    <v>29.625</v>
    <v>29.594999999999999</v>
    <v>29.63</v>
    <v>29.385000000000002</v>
    <v>29.57</v>
    <v>29.2</v>
    <v>29.08</v>
    <v>28.96</v>
    <v>29.135000000000002</v>
    <v>29.12</v>
    <v>29.31</v>
    <v>29.16</v>
    <v>29.385000000000002</v>
    <v>29.39</v>
    <v>29.29</v>
    <v>29.254999999999999</v>
    <v>29.285</v>
    <v>29.38</v>
    <v>29.254999999999999</v>
    <v>29.5</v>
    <v>29.645</v>
    <v>29.524999999999999</v>
    <v>29.49</v>
    <v>29.335000000000001</v>
    <v>29.675000000000001</v>
    <v>29.81</v>
    <v>30.035</v>
    <v>29.91</v>
    <v>29.8</v>
    <v>29.67</v>
    <v>29.545000000000002</v>
    <v>29.3</v>
    <v>29.535</v>
    <v>29.56</v>
    <v>29.344999999999999</v>
    <v>29.04</v>
    <v>29.27</v>
    <v>29.265000000000001</v>
    <v>29.41</v>
    <v>29.79</v>
    <v>29.335000000000001</v>
    <v>28.11</v>
    <v>27.5</v>
    <v>27.635000000000002</v>
    <v>28.26</v>
    <v>28.315000000000001</v>
    <v>28.37</v>
    <v>28.434999999999999</v>
    <v>28.71</v>
    <v>28.734999999999999</v>
    <v>29.405000000000001</v>
    <v>29.51</v>
    <v>29.33</v>
    <v>29.45</v>
    <v>29.504999999999999</v>
    <v>29.664999999999999</v>
    <v>29.68</v>
    <v>29.725000000000001</v>
    <v>29.82</v>
    <v>30.045000000000002</v>
    <v>30.045000000000002</v>
    <v>30.195</v>
    <v>29.81</v>
    <v>29.47</v>
    <v>29.42</v>
    <v>28.925000000000001</v>
    <v>29.31</v>
    <v>29.175000000000001</v>
    <v>29.114999999999998</v>
    <v>29.465</v>
    <v>29.635000000000002</v>
    <v>29.67</v>
    <v>29.675000000000001</v>
    <v>29.49</v>
    <v>29.965</v>
    <v>29.67</v>
    <v>29.86</v>
    <v>29.97</v>
    <v>29.93</v>
    <v>30.31</v>
    <v>30.395</v>
    <v>30.195</v>
    <v>30.324999999999999</v>
    <v>30.36</v>
    <v>30.01</v>
    <v>30.25</v>
    <v>30.234999999999999</v>
    <v>30.17</v>
    <v>30.19</v>
    <v>30.155000000000001</v>
    <v>30.32</v>
    <v>30.555</v>
    <v>30.364999999999998</v>
    <v>30.14</v>
    <v>30.38</v>
    <v>30.41</v>
    <v>30.204999999999998</v>
    <v>30.105</v>
    <v>30.03</v>
    <v>29.95</v>
    <v>29.96</v>
    <v>30.094999999999999</v>
    <v>30</v>
    <v>29.72</v>
    <v>29.34</v>
    <v>29.754999999999999</v>
    <v>29.605</v>
    <v>29.655000000000001</v>
    <v>29.754999999999999</v>
    <v>30.01</v>
    <v>30</v>
    <v>30.324999999999999</v>
    <v>29.74</v>
    <v>29.695</v>
    <v>29.965</v>
    <v>29.765000000000001</v>
    <v>29.79</v>
    <v>29.77</v>
    <v>29.754999999999999</v>
    <v>30.055</v>
    <v>30.32</v>
    <v>30.395</v>
    <v>30.105</v>
    <v>30.04</v>
    <v>30.15</v>
    <v>30.37</v>
    <v>30.734999999999999</v>
    <v>30.82</v>
    <v>30.82</v>
    <v>30.83</v>
    <v>30.86</v>
    <v>30.954999999999998</v>
    <v>30.734999999999999</v>
    <v>30.855</v>
    <v>30.765000000000001</v>
    <v>30.484999999999999</v>
    <v>30.495000000000001</v>
    <v>30.324999999999999</v>
    <v>30.35</v>
    <v>29.895</v>
    <v>29.754999999999999</v>
    <v>29.815000000000001</v>
    <v>29.954999999999998</v>
    <v>29.885000000000002</v>
    <v>30.454999999999998</v>
    <v>30.18</v>
    <v>30.38</v>
    <v>30.414999999999999</v>
    <v>30.495000000000001</v>
    <v>30.44</v>
    <v>30.145</v>
    <v>30.065000000000001</v>
    <v>30.07</v>
    <v>30.454999999999998</v>
    <v>30.52</v>
    <v>30.734999999999999</v>
    <v>30.715</v>
    <v>30.785</v>
    <v>30.885000000000002</v>
    <v>31.125</v>
    <v>31</v>
    <v>30.88</v>
    <v>31.085000000000001</v>
    <v>31.225000000000001</v>
    <v>31.524999999999999</v>
    <v>31.53</v>
    <v>31.405000000000001</v>
    <v>31.37</v>
    <v>31.43</v>
    <v>31.86</v>
    <v>31.68</v>
    <v>32</v>
    <v>31.925000000000001</v>
    <v>31.75</v>
    <v>32.229999999999997</v>
    <v>32.005000000000003</v>
    <v>32.325000000000003</v>
    <v>32.414999999999999</v>
    <v>32.229999999999997</v>
    <v>31.97</v>
    <v>32.064999999999998</v>
    <v>32.049999999999997</v>
    <v>31.86</v>
    <v>32.31</v>
    <v>32.130000000000003</v>
    <v>31.995000000000001</v>
    <v>32.424999999999997</v>
    <v>31.585000000000001</v>
    <v>31.574999999999999</v>
    <v>31.7</v>
    <v>31.34</v>
    <v>31.045000000000002</v>
    <v>30.475000000000001</v>
    <v>30.835000000000001</v>
    <v>30.805</v>
    <v>31.114999999999998</v>
    <v>31.484999999999999</v>
    <v>31.43</v>
    <v>31.625</v>
    <v>31.594999999999999</v>
    <v>31.465</v>
    <v>31.52</v>
    <v>31.675000000000001</v>
    <v>31.515000000000001</v>
    <v>31.41</v>
    <v>31.04</v>
    <v>30.64</v>
    <v>31.06</v>
    <v>30.77</v>
    <v>29.8</v>
    <v>28.254999999999999</v>
    <v>27.585000000000001</v>
    <v>28.2</v>
    <v>27.074999999999999</v>
    <v>28.09</v>
    <v>27.93</v>
    <v>28.82</v>
    <v>29.375</v>
    <v>29.184999999999999</v>
    <v>29.16</v>
    <v>29.28</v>
    <v>29.97</v>
    <v>29.91</v>
    <v>29.975000000000001</v>
    <v>30.004999999999999</v>
    <v>30.33</v>
    <v>30.405000000000001</v>
    <v>31.055</v>
    <v>31.035</v>
    <v>31.145</v>
    <v>30.875</v>
    <v>31.125</v>
    <v>31.2</v>
    <v>31.62</v>
    <v>31.61</v>
    <v>31.44</v>
    <v>31.815000000000001</v>
    <v>31.9</v>
    <v>31.795000000000002</v>
    <v>32.020000000000003</v>
    <v>31.97</v>
    <v>31.79</v>
    <v>31.734999999999999</v>
    <v>31.954999999999998</v>
    <v>32.155000000000001</v>
    <v>31.954999999999998</v>
    <v>31.88</v>
    <v>31.914999999999999</v>
    <v>32.090000000000003</v>
    <v>32.134999999999998</v>
    <v>32.06</v>
    <v>32.049999999999997</v>
    <v>32.25</v>
    <v>32.265000000000001</v>
    <v>32.225000000000001</v>
    <v>32.15</v>
    <v>31.925000000000001</v>
    <v>31.9</v>
    <v>31.96</v>
    <v>31.635000000000002</v>
    <v>31.745000000000001</v>
    <v>31.37</v>
    <v>31.465</v>
    <v>31.385000000000002</v>
    <v>31.52</v>
    <v>31.305</v>
    <v>31.53</v>
    <v>31.725000000000001</v>
    <v>31.5</v>
    <v>31.635000000000002</v>
    <v>31.555</v>
    <v>31.75</v>
    <v>31.69</v>
    <v>31.605</v>
    <v>31.76</v>
    <v>31.9</v>
    <v>31.965</v>
    <v>31.67</v>
    <v>31.704999999999998</v>
    <v>31.765000000000001</v>
    <v>31.48</v>
    <v>31.824999999999999</v>
    <v>32.005000000000003</v>
    <v>31.785</v>
    <v>31.675000000000001</v>
    <v>32.340000000000003</v>
    <v>32.265000000000001</v>
    <v>32.274999999999999</v>
    <v>32.270000000000003</v>
    <v>32.31</v>
    <v>32.36</v>
    <v>32.17</v>
    <v>31.594999999999999</v>
    <v>31.95</v>
    <v>32.005000000000003</v>
    <v>31.98</v>
    <v>32.204999999999998</v>
    <v>32.479999999999997</v>
    <v>32.484999999999999</v>
    <v>32.49</v>
    <v>32.585000000000001</v>
    <v>32.674999999999997</v>
    <v>32.93</v>
    <v>32.93</v>
    <v>32.924999999999997</v>
    <v>32.914999999999999</v>
    <v>33.1</v>
    <v>32.96</v>
    <v>32.774999999999999</v>
    <v>32.880000000000003</v>
    <v>32.875</v>
    <v>32.65</v>
    <v>32.76</v>
    <v>32.369999999999997</v>
    <v>32.54</v>
    <v>32.76</v>
    <v>32.729999999999997</v>
    <v>32.950000000000003</v>
    <v>32.94</v>
    <v>32.994999999999997</v>
    <v>33.26</v>
    <v>33.115000000000002</v>
    <v>33.244999999999997</v>
    <v>32.9</v>
    <v>32.895000000000003</v>
    <v>33.1</v>
    <v>33.115000000000002</v>
    <v>33.07</v>
    <v>33.145000000000003</v>
    <v>33.085000000000001</v>
    <v>32.94</v>
    <v>33.090000000000003</v>
    <v>33.24</v>
    <v>33.195</v>
    <v>33.524999999999999</v>
    <v>33.604999999999997</v>
    <v>33.895000000000003</v>
    <v>34.119999999999997</v>
    <v>33.93</v>
    <v>34.134999999999998</v>
    <v>34.045000000000002</v>
    <v>33.414999999999999</v>
    <v>33.6</v>
    <v>33.555</v>
    <v>33.844999999999999</v>
    <v>33.97</v>
    <v>33.664999999999999</v>
    <v>34.145000000000003</v>
    <v>34.11</v>
    <v>34.005000000000003</v>
    <v>34.125</v>
    <v>34.204999999999998</v>
    <v>34.325000000000003</v>
    <v>34.344999999999999</v>
    <v>34.31</v>
    <v>34.325000000000003</v>
    <v>34.24</v>
    <v>34.255000000000003</v>
    <v>34.145000000000003</v>
    <v>34.225000000000001</v>
    <v>34</v>
    <v>33.74</v>
    <v>34.265000000000001</v>
    <v>34.524999999999999</v>
    <v>34.840000000000003</v>
    <v>34.5</v>
    <v>34.295000000000002</v>
    <v>34.130000000000003</v>
    <v>33.549999999999997</v>
    <v>33.575000000000003</v>
    <v>33.645000000000003</v>
    <v>33.534999999999997</v>
    <v>33.729999999999997</v>
    <v>33.9</v>
    <v>34.305</v>
    <v>34.295000000000002</v>
    <v>34.424999999999997</v>
    <v>34.284999999999997</v>
    <v>34.244999999999997</v>
    <v>34.284999999999997</v>
    <v>34.564999999999998</v>
    <v>34.564999999999998</v>
    <v>34.534999999999997</v>
    <v>34.564999999999998</v>
    <v>34.53</v>
    <v>34.645000000000003</v>
    <v>34.484999999999999</v>
    <v>34.729999999999997</v>
    <v>34.484999999999999</v>
    <v>34.395000000000003</v>
    <v>34.704999999999998</v>
    <v>34.880000000000003</v>
    <v>34.844999999999999</v>
    <v>35.024999999999999</v>
    <v>35.045000000000002</v>
    <v>35.21</v>
    <v>35.265000000000001</v>
    <v>35.744999999999997</v>
    <v>35.914999999999999</v>
    <v>35.854999999999997</v>
    <v>35.825000000000003</v>
    <v>36.24</v>
    <v>36.325000000000003</v>
    <v>36.295000000000002</v>
    <v>36.39</v>
    <v>36.659999999999997</v>
    <v>36.659999999999997</v>
    <v>36.31</v>
    <v>35.935000000000002</v>
    <v>35.984999999999999</v>
    <v>36.215000000000003</v>
    <v>36.200000000000003</v>
    <v>36.204999999999998</v>
    <v>36.340000000000003</v>
    <v>36.125</v>
    <v>36.115000000000002</v>
    <v>36.274999999999999</v>
    <v>36.56</v>
    <v>36.625</v>
    <v>36.784999999999997</v>
    <v>36.395000000000003</v>
    <v>36.774999999999999</v>
    <v>37.145000000000003</v>
    <v>37.384999999999998</v>
    <v>37.545000000000002</v>
    <v>37.29</v>
    <v>37.335000000000001</v>
    <v>37.215000000000003</v>
    <v>37.335000000000001</v>
    <v>37.729999999999997</v>
    <v>37.664999999999999</v>
    <v>37.83</v>
    <v>37.729999999999997</v>
    <v>37.814999999999998</v>
    <v>38.11</v>
    <v>38.159999999999997</v>
    <v>38.185000000000002</v>
    <v>37.71</v>
    <v>36.575000000000003</v>
    <v>37.14</v>
    <v>36.65</v>
    <v>36.274999999999999</v>
    <v>36.06</v>
    <v>36.805</v>
    <v>36.57</v>
    <v>36.365000000000002</v>
    <v>36.174999999999997</v>
    <v>36.369999999999997</v>
    <v>36.564999999999998</v>
    <v>36.31</v>
    <v>35.484999999999999</v>
    <v>34.905000000000001</v>
    <v>35.15</v>
    <v>35.26</v>
    <v>35.704999999999998</v>
    <v>35.325000000000003</v>
    <v>34.979999999999997</v>
    <v>35.424999999999997</v>
    <v>35.36</v>
    <v>36.365000000000002</v>
    <v>36.24</v>
    <v>35.914999999999999</v>
    <v>37.28</v>
    <v>37.155000000000001</v>
    <v>37.234999999999999</v>
    <v>37.164999999999999</v>
    <v>37.524999999999999</v>
    <v>37.44</v>
    <v>37.44</v>
    <v>37.96</v>
    <v>37.725000000000001</v>
    <v>37.369999999999997</v>
    <v>37.265000000000001</v>
    <v>37.314999999999998</v>
    <v>37.090000000000003</v>
    <v>37.085000000000001</v>
    <v>36.945</v>
    <v>36.725000000000001</v>
    <v>37.314999999999998</v>
    <v>37.005000000000003</v>
    <v>37.305</v>
    <v>38.049999999999997</v>
    <v>37.784999999999997</v>
    <v>37.655000000000001</v>
    <v>37.69</v>
    <v>37.42</v>
    <v>37.78</v>
    <v>38.020000000000003</v>
    <v>37.494999999999997</v>
    <v>37.545000000000002</v>
    <v>37.604999999999997</v>
    <v>38.045000000000002</v>
    <v>38.130000000000003</v>
    <v>38.4</v>
    <v>38.92</v>
    <v>38.585000000000001</v>
    <v>38.51</v>
    <v>38.405000000000001</v>
    <v>38.49</v>
    <v>38.380000000000003</v>
    <v>38.625</v>
    <v>38.484999999999999</v>
    <v>38.604999999999997</v>
    <v>38.36</v>
    <v>38.31</v>
    <v>38.015000000000001</v>
    <v>37.880000000000003</v>
    <v>38.11</v>
    <v>38.895000000000003</v>
    <v>39.07</v>
    <v>39.200000000000003</v>
    <v>39.4</v>
    <v>39.475000000000001</v>
    <v>39.344999999999999</v>
    <v>39.619999999999997</v>
    <v>39.145000000000003</v>
    <v>39.21</v>
    <v>39.405000000000001</v>
    <v>39.255000000000003</v>
    <v>39.134999999999998</v>
    <v>39.435000000000002</v>
    <v>39.44</v>
    <v>39.659999999999997</v>
    <v>39.94</v>
    <v>39.93</v>
    <v>39.585000000000001</v>
    <v>39.055</v>
    <v>39.494999999999997</v>
    <v>39.645000000000003</v>
    <v>39.555</v>
    <v>39.695</v>
    <v>39.715000000000003</v>
    <v>39.634999999999998</v>
    <v>39.340000000000003</v>
    <v>39.31</v>
    <v>39.619999999999997</v>
    <v>39.79</v>
    <v>39.35</v>
    <v>39.69</v>
    <v>39.634999999999998</v>
    <v>39.72</v>
    <v>39.564999999999998</v>
    <v>39.86</v>
    <v>39.774999999999999</v>
    <v>39.975000000000001</v>
    <v>40.29</v>
    <v>40.475000000000001</v>
    <v>40.549999999999997</v>
    <v>40.72</v>
    <v>40.734999999999999</v>
    <v>40.799999999999997</v>
    <v>40.89</v>
    <v>40.96</v>
    <v>40.81</v>
    <v>40.814999999999998</v>
    <v>40.325000000000003</v>
    <v>40.21</v>
    <v>40.090000000000003</v>
    <v>40.33</v>
    <v>40.314999999999998</v>
    <v>40.524999999999999</v>
    <v>40.49</v>
    <v>40.335000000000001</v>
    <v>40.58</v>
    <v>40.255000000000003</v>
    <v>40.15</v>
    <v>40.075000000000003</v>
    <v>40.534999999999997</v>
    <v>40.56</v>
    <v>40.615000000000002</v>
    <v>40.51</v>
    <v>40</v>
    <v>39.674999999999997</v>
    <v>40.020000000000003</v>
    <v>39.905000000000001</v>
    <v>39.674999999999997</v>
    <v>39.945</v>
    <v>40.25</v>
    <v>39.805</v>
    <v>40.200000000000003</v>
    <v>40.33</v>
    <v>40.145000000000003</v>
    <v>39.784999999999997</v>
    <v>40.034999999999997</v>
    <v>39.94</v>
    <v>39.96</v>
    <v>39.954999999999998</v>
    <v>39.634999999999998</v>
    <v>39.975000000000001</v>
    <v>40.200000000000003</v>
    <v>40.375</v>
    <v>39.99</v>
    <v>39.674999999999997</v>
    <v>40.06</v>
    <v>40.270000000000003</v>
    <v>40.215000000000003</v>
    <v>40.274999999999999</v>
    <v>40.204999999999998</v>
    <v>40.450000000000003</v>
    <v>40.274999999999999</v>
    <v>40.265000000000001</v>
    <v>40.564999999999998</v>
    <v>40.15</v>
    <v>40.06</v>
  </a>
  <a r="1" c="763">
    <v>27.37</v>
    <v>27.506</v>
    <v>27.393000000000001</v>
    <v>27.189</v>
    <v>26.956</v>
    <v>26.960999999999999</v>
    <v>27.189</v>
    <v>27.524999999999999</v>
    <v>27.931999999999999</v>
    <v>28.065999999999999</v>
    <v>27.998000000000001</v>
    <v>28.167999999999999</v>
    <v>28.065999999999999</v>
    <v>28.19</v>
    <v>28.132999999999999</v>
    <v>28.324999999999999</v>
    <v>28.495000000000001</v>
    <v>28.594000000000001</v>
    <v>28.434999999999999</v>
    <v>28.542999999999999</v>
    <v>28.553999999999998</v>
    <v>28.577999999999999</v>
    <v>28.824999999999999</v>
    <v>28.795000000000002</v>
    <v>28.747</v>
    <v>28.704999999999998</v>
    <v>28.626999999999999</v>
    <v>28.667000000000002</v>
    <v>28.789000000000001</v>
    <v>29.111000000000001</v>
    <v>29.088000000000001</v>
    <v>29.24</v>
    <v>29.283999999999999</v>
    <v>29.295999999999999</v>
    <v>29.474</v>
    <v>29.58</v>
    <v>29.585000000000001</v>
    <v>29.704000000000001</v>
    <v>29.675000000000001</v>
    <v>29.885999999999999</v>
    <v>29.899000000000001</v>
    <v>29.936</v>
    <v>30.036999999999999</v>
    <v>29.815000000000001</v>
    <v>29.913</v>
    <v>29.815999999999999</v>
    <v>29.913</v>
    <v>30</v>
    <v>29.972000000000001</v>
    <v>29.856000000000002</v>
    <v>29.831</v>
    <v>29.768000000000001</v>
    <v>29.832000000000001</v>
    <v>30.047999999999998</v>
    <v>30.071999999999999</v>
    <v>29.934000000000001</v>
    <v>30.152999999999999</v>
    <v>30.178999999999998</v>
    <v>30.263999999999999</v>
    <v>30.045000000000002</v>
    <v>30.158999999999999</v>
    <v>30.260999999999999</v>
    <v>30.614999999999998</v>
    <v>30.651</v>
    <v>30.812999999999999</v>
    <v>30.949000000000002</v>
    <v>30.975000000000001</v>
    <v>31.108000000000001</v>
    <v>31.195</v>
    <v>31.009</v>
    <v>30.864999999999998</v>
    <v>31.382000000000001</v>
    <v>31.419</v>
    <v>31.49</v>
    <v>31.628</v>
    <v>31.626000000000001</v>
    <v>31.675999999999998</v>
    <v>31.940999999999999</v>
    <v>31.638999999999999</v>
    <v>31.675000000000001</v>
    <v>31.834</v>
    <v>31.957000000000001</v>
    <v>31.902999999999999</v>
    <v>31.574999999999999</v>
    <v>31.547999999999998</v>
    <v>32.085000000000001</v>
    <v>32.213999999999999</v>
    <v>32.087000000000003</v>
    <v>32.045000000000002</v>
    <v>32.064</v>
    <v>32.143000000000001</v>
    <v>32.368000000000002</v>
    <v>32.369</v>
    <v>32.155000000000001</v>
    <v>32.277999999999999</v>
    <v>32.404000000000003</v>
    <v>32.409999999999997</v>
    <v>32.213999999999999</v>
    <v>32.473999999999997</v>
    <v>32.503999999999998</v>
    <v>32.524999999999999</v>
    <v>32.338999999999999</v>
    <v>32.603999999999999</v>
    <v>32.677</v>
    <v>32.728999999999999</v>
    <v>33.207999999999998</v>
    <v>33.198999999999998</v>
    <v>33.104999999999997</v>
    <v>33.170999999999999</v>
    <v>33.154000000000003</v>
    <v>33.375</v>
    <v>33.069000000000003</v>
    <v>33.125</v>
    <v>33.151000000000003</v>
    <v>32.929000000000002</v>
    <v>32.979999999999997</v>
    <v>32.786000000000001</v>
    <v>32.953000000000003</v>
    <v>33.002000000000002</v>
    <v>33.155000000000001</v>
    <v>33.070999999999998</v>
    <v>32.567999999999998</v>
    <v>32.366</v>
    <v>32.441000000000003</v>
    <v>32.154000000000003</v>
    <v>32.192</v>
    <v>32.548000000000002</v>
    <v>32.542999999999999</v>
    <v>32.165999999999997</v>
    <v>32.75</v>
    <v>32.755000000000003</v>
    <v>32.670999999999999</v>
    <v>32.424999999999997</v>
    <v>32.691000000000003</v>
    <v>32.944000000000003</v>
    <v>33.161000000000001</v>
    <v>33.162999999999997</v>
    <v>33.225000000000001</v>
    <v>33.329000000000001</v>
    <v>33.301000000000002</v>
    <v>33.274000000000001</v>
    <v>33.524999999999999</v>
    <v>33.655000000000001</v>
    <v>33.564</v>
    <v>33.755000000000003</v>
    <v>33.683</v>
    <v>33.700000000000003</v>
    <v>33.701000000000001</v>
    <v>33.578000000000003</v>
    <v>33.655999999999999</v>
    <v>33.529000000000003</v>
    <v>33.415999999999997</v>
    <v>33.290999999999997</v>
    <v>33.109000000000002</v>
    <v>33.35</v>
    <v>33.262</v>
    <v>33.676000000000002</v>
    <v>33.786999999999999</v>
    <v>33.956000000000003</v>
    <v>34.097999999999999</v>
    <v>34.051000000000002</v>
    <v>34.231999999999999</v>
    <v>34.225000000000001</v>
    <v>34.323</v>
    <v>34.338000000000001</v>
    <v>34.517000000000003</v>
    <v>34.57</v>
    <v>34.709000000000003</v>
    <v>34.579000000000001</v>
    <v>34.642000000000003</v>
    <v>34.613999999999997</v>
    <v>34.631999999999998</v>
    <v>34.603000000000002</v>
    <v>34.753999999999998</v>
    <v>34.548999999999999</v>
    <v>34.618000000000002</v>
    <v>34.709000000000003</v>
    <v>34.789000000000001</v>
    <v>34.798999999999999</v>
    <v>34.866</v>
    <v>34.908999999999999</v>
    <v>35.052999999999997</v>
    <v>34.997</v>
    <v>35.164999999999999</v>
    <v>35.173999999999999</v>
    <v>35.229999999999997</v>
    <v>34.860999999999997</v>
    <v>34.658999999999999</v>
    <v>34.442</v>
    <v>34.603999999999999</v>
    <v>34.93</v>
    <v>34.329000000000001</v>
    <v>34.143000000000001</v>
    <v>34.209000000000003</v>
    <v>34.286000000000001</v>
    <v>34.314999999999998</v>
    <v>34.814</v>
    <v>34.448999999999998</v>
    <v>33.088999999999999</v>
    <v>32.35</v>
    <v>32.622</v>
    <v>33.100999999999999</v>
    <v>33.100999999999999</v>
    <v>33.215000000000003</v>
    <v>33.280999999999999</v>
    <v>33.613999999999997</v>
    <v>33.692</v>
    <v>34.281999999999996</v>
    <v>34.33</v>
    <v>34.411000000000001</v>
    <v>34.332999999999998</v>
    <v>34.363</v>
    <v>34.423000000000002</v>
    <v>34.424999999999997</v>
    <v>34.423000000000002</v>
    <v>34.442</v>
    <v>34.444000000000003</v>
    <v>34.837000000000003</v>
    <v>34.720999999999997</v>
    <v>34.933</v>
    <v>34.595999999999997</v>
    <v>34.171999999999997</v>
    <v>33.957000000000001</v>
    <v>33.5</v>
    <v>33.895000000000003</v>
    <v>33.948999999999998</v>
    <v>33.807000000000002</v>
    <v>34.432000000000002</v>
    <v>34.667000000000002</v>
    <v>34.51</v>
    <v>34.732999999999997</v>
    <v>34.555999999999997</v>
    <v>35.012999999999998</v>
    <v>34.811999999999998</v>
    <v>35.048000000000002</v>
    <v>35.063000000000002</v>
    <v>35.082000000000001</v>
    <v>35.156999999999996</v>
    <v>35.283000000000001</v>
    <v>35.188000000000002</v>
    <v>35.247999999999998</v>
    <v>35.386000000000003</v>
    <v>35.304000000000002</v>
    <v>35.521000000000001</v>
    <v>35.624000000000002</v>
    <v>35.597999999999999</v>
    <v>35.862000000000002</v>
    <v>35.94</v>
    <v>36.07</v>
    <v>36.365000000000002</v>
    <v>36.29</v>
    <v>36.267000000000003</v>
    <v>36.595999999999997</v>
    <v>36.545999999999999</v>
    <v>36.399000000000001</v>
    <v>36.448</v>
    <v>36.335999999999999</v>
    <v>36.279000000000003</v>
    <v>36.423000000000002</v>
    <v>36.390999999999998</v>
    <v>36.414000000000001</v>
    <v>36.226999999999997</v>
    <v>35.627000000000002</v>
    <v>35.886000000000003</v>
    <v>35.591000000000001</v>
    <v>35.773000000000003</v>
    <v>36.878</v>
    <v>37.106999999999999</v>
    <v>37.363999999999997</v>
    <v>37.768999999999998</v>
    <v>37.65</v>
    <v>37.783999999999999</v>
    <v>37.762</v>
    <v>37.277000000000001</v>
    <v>37.39</v>
    <v>37.341000000000001</v>
    <v>37.366</v>
    <v>37.844999999999999</v>
    <v>38.302</v>
    <v>38.192</v>
    <v>38.255000000000003</v>
    <v>37.954999999999998</v>
    <v>38.128999999999998</v>
    <v>38.274000000000001</v>
    <v>38.591000000000001</v>
    <v>38.561</v>
    <v>38.69</v>
    <v>38.649000000000001</v>
    <v>38.658000000000001</v>
    <v>38.545000000000002</v>
    <v>38.610999999999997</v>
    <v>38.834000000000003</v>
    <v>38.762</v>
    <v>38.57</v>
    <v>38.631</v>
    <v>38.515000000000001</v>
    <v>38.585999999999999</v>
    <v>37.978000000000002</v>
    <v>38.042000000000002</v>
    <v>37.944000000000003</v>
    <v>38.158999999999999</v>
    <v>37.828000000000003</v>
    <v>38.463999999999999</v>
    <v>38.398000000000003</v>
    <v>38.613999999999997</v>
    <v>38.332999999999998</v>
    <v>38.375</v>
    <v>38.408000000000001</v>
    <v>38.042000000000002</v>
    <v>37.991</v>
    <v>37.921999999999997</v>
    <v>38.524000000000001</v>
    <v>38.619</v>
    <v>38.972999999999999</v>
    <v>38.795000000000002</v>
    <v>38.823999999999998</v>
    <v>39.143999999999998</v>
    <v>39.195999999999998</v>
    <v>39.034999999999997</v>
    <v>38.396000000000001</v>
    <v>38.874000000000002</v>
    <v>39.01</v>
    <v>39.118000000000002</v>
    <v>39.515000000000001</v>
    <v>39.161000000000001</v>
    <v>39.148000000000003</v>
    <v>39.052999999999997</v>
    <v>39.484000000000002</v>
    <v>39.42</v>
    <v>39.627000000000002</v>
    <v>39.551000000000002</v>
    <v>39.298999999999999</v>
    <v>39.503999999999998</v>
    <v>39.398000000000003</v>
    <v>39.600999999999999</v>
    <v>39.613</v>
    <v>39.741</v>
    <v>39.332000000000001</v>
    <v>39.384999999999998</v>
    <v>38.950000000000003</v>
    <v>38.357999999999997</v>
    <v>38.863999999999997</v>
    <v>38.930999999999997</v>
    <v>38.536999999999999</v>
    <v>38.630000000000003</v>
    <v>37.353999999999999</v>
    <v>36.823999999999998</v>
    <v>36.863</v>
    <v>36.191000000000003</v>
    <v>35.938000000000002</v>
    <v>35.243000000000002</v>
    <v>35.597000000000001</v>
    <v>35.344999999999999</v>
    <v>35.744999999999997</v>
    <v>35.893999999999998</v>
    <v>35.729999999999997</v>
    <v>36.115000000000002</v>
    <v>36.253</v>
    <v>36.146000000000001</v>
    <v>36.774999999999999</v>
    <v>36.850999999999999</v>
    <v>36.667000000000002</v>
    <v>36.505000000000003</v>
    <v>35.744</v>
    <v>35.520000000000003</v>
    <v>35.92</v>
    <v>35.883000000000003</v>
    <v>34.137</v>
    <v>32.502000000000002</v>
    <v>31.734999999999999</v>
    <v>32.747999999999998</v>
    <v>31.149000000000001</v>
    <v>32.393000000000001</v>
    <v>32.082000000000001</v>
    <v>32.988999999999997</v>
    <v>33.316000000000003</v>
    <v>32.936</v>
    <v>32.590000000000003</v>
    <v>32.311999999999998</v>
    <v>33.273000000000003</v>
    <v>33.587000000000003</v>
    <v>33.722999999999999</v>
    <v>33.808</v>
    <v>34.002000000000002</v>
    <v>34.098999999999997</v>
    <v>34.945999999999998</v>
    <v>34.972000000000001</v>
    <v>34.796999999999997</v>
    <v>34.648000000000003</v>
    <v>35.213000000000001</v>
    <v>35.180999999999997</v>
    <v>36.332999999999998</v>
    <v>36.573</v>
    <v>36.475999999999999</v>
    <v>36.627000000000002</v>
    <v>36.878999999999998</v>
    <v>36.677</v>
    <v>36.762</v>
    <v>36.472000000000001</v>
    <v>36.194000000000003</v>
    <v>35.792000000000002</v>
    <v>36.118000000000002</v>
    <v>36.404000000000003</v>
    <v>36.457000000000001</v>
    <v>36.281999999999996</v>
    <v>36.273000000000003</v>
    <v>36.104999999999997</v>
    <v>36.551000000000002</v>
    <v>36.561</v>
    <v>36.591999999999999</v>
    <v>36.704000000000001</v>
    <v>36.707000000000001</v>
    <v>36.698</v>
    <v>36.704000000000001</v>
    <v>36.387999999999998</v>
    <v>36.258000000000003</v>
    <v>36.39</v>
    <v>36.31</v>
    <v>36.295999999999999</v>
    <v>35.996000000000002</v>
    <v>36.113</v>
    <v>36.030999999999999</v>
    <v>36.356999999999999</v>
    <v>36.313000000000002</v>
    <v>36.353999999999999</v>
    <v>36.661999999999999</v>
    <v>36.58</v>
    <v>36.505000000000003</v>
    <v>36.613999999999997</v>
    <v>36.972000000000001</v>
    <v>36.719000000000001</v>
    <v>36.847999999999999</v>
    <v>36.853000000000002</v>
    <v>36.966000000000001</v>
    <v>37.253999999999998</v>
    <v>37.011000000000003</v>
    <v>37.066000000000003</v>
    <v>37.267000000000003</v>
    <v>36.703000000000003</v>
    <v>37.448999999999998</v>
    <v>37.326999999999998</v>
    <v>37.363</v>
    <v>37.113</v>
    <v>37.435000000000002</v>
    <v>37.515999999999998</v>
    <v>37.597000000000001</v>
    <v>37.92</v>
    <v>38.072000000000003</v>
    <v>38.256999999999998</v>
    <v>38.351999999999997</v>
    <v>37.186</v>
    <v>37.624000000000002</v>
    <v>37.526000000000003</v>
    <v>37.631</v>
    <v>37.68</v>
    <v>37.805999999999997</v>
    <v>38.033999999999999</v>
    <v>38.027999999999999</v>
    <v>38.091000000000001</v>
    <v>38.295999999999999</v>
    <v>38.176000000000002</v>
    <v>38.24</v>
    <v>38.237000000000002</v>
    <v>38.036000000000001</v>
    <v>38.177999999999997</v>
    <v>38.406999999999996</v>
    <v>38.362000000000002</v>
    <v>38.277000000000001</v>
    <v>38.576999999999998</v>
    <v>38.475999999999999</v>
    <v>38.194000000000003</v>
    <v>38.286000000000001</v>
    <v>37.856000000000002</v>
    <v>38.131</v>
    <v>38.433999999999997</v>
    <v>38.19</v>
    <v>38.427</v>
    <v>38.433999999999997</v>
    <v>38.630000000000003</v>
    <v>38.893999999999998</v>
    <v>38.892000000000003</v>
    <v>38.942999999999998</v>
    <v>38.613</v>
    <v>38.598999999999997</v>
    <v>39.039000000000001</v>
    <v>39.084000000000003</v>
    <v>39.145000000000003</v>
    <v>39.198999999999998</v>
    <v>39.133000000000003</v>
    <v>39.082999999999998</v>
    <v>39.119999999999997</v>
    <v>39.222999999999999</v>
    <v>39.151000000000003</v>
    <v>39.457999999999998</v>
    <v>39.603999999999999</v>
    <v>39.764000000000003</v>
    <v>39.906999999999996</v>
    <v>39.832999999999998</v>
    <v>40.185000000000002</v>
    <v>40.204000000000001</v>
    <v>39.405000000000001</v>
    <v>39.71</v>
    <v>39.569000000000003</v>
    <v>39.76</v>
    <v>39.731999999999999</v>
    <v>39.314999999999998</v>
    <v>40.006999999999998</v>
    <v>40.177</v>
    <v>39.944000000000003</v>
    <v>40.088000000000001</v>
    <v>40.420999999999999</v>
    <v>40.688000000000002</v>
    <v>40.762999999999998</v>
    <v>40.838000000000001</v>
    <v>40.889000000000003</v>
    <v>40.862000000000002</v>
    <v>40.902000000000001</v>
    <v>40.749000000000002</v>
    <v>40.825000000000003</v>
    <v>40.223999999999997</v>
    <v>39.713000000000001</v>
    <v>40.517000000000003</v>
    <v>40.674999999999997</v>
    <v>40.896000000000001</v>
    <v>40.335999999999999</v>
    <v>40.277000000000001</v>
    <v>40.109000000000002</v>
    <v>39.548000000000002</v>
    <v>39.649000000000001</v>
    <v>39.906999999999996</v>
    <v>39.521000000000001</v>
    <v>40.020000000000003</v>
    <v>40.1</v>
    <v>40.591000000000001</v>
    <v>40.548000000000002</v>
    <v>40.728000000000002</v>
    <v>40.561999999999998</v>
    <v>40.576999999999998</v>
    <v>40.567</v>
    <v>40.683999999999997</v>
    <v>40.829000000000001</v>
    <v>40.741999999999997</v>
    <v>40.789000000000001</v>
    <v>40.706000000000003</v>
    <v>40.545000000000002</v>
    <v>40.308999999999997</v>
    <v>40.360999999999997</v>
    <v>40.103000000000002</v>
    <v>39.932000000000002</v>
    <v>40.383000000000003</v>
    <v>40.542999999999999</v>
    <v>40.654000000000003</v>
    <v>40.738999999999997</v>
    <v>40.795999999999999</v>
    <v>40.866</v>
    <v>40.688000000000002</v>
    <v>41.198</v>
    <v>41.338999999999999</v>
    <v>41.457999999999998</v>
    <v>41.37</v>
    <v>41.72</v>
    <v>41.712000000000003</v>
    <v>41.773000000000003</v>
    <v>41.502000000000002</v>
    <v>42.006</v>
    <v>41.944000000000003</v>
    <v>41.326000000000001</v>
    <v>40.978000000000002</v>
    <v>41.002000000000002</v>
    <v>41.304000000000002</v>
    <v>41.228999999999999</v>
    <v>41.058</v>
    <v>41.003999999999998</v>
    <v>41.014000000000003</v>
    <v>40.704000000000001</v>
    <v>41.03</v>
    <v>41.466000000000001</v>
    <v>41.292000000000002</v>
    <v>41.195999999999998</v>
    <v>40.798000000000002</v>
    <v>41.189</v>
    <v>41.372</v>
    <v>41.48</v>
    <v>41.457000000000001</v>
    <v>41.098999999999997</v>
    <v>41.058999999999997</v>
    <v>40.975999999999999</v>
    <v>41.066000000000003</v>
    <v>41.503</v>
    <v>41.444000000000003</v>
    <v>41.588999999999999</v>
    <v>41.286000000000001</v>
    <v>41.472000000000001</v>
    <v>41.786000000000001</v>
    <v>41.695999999999998</v>
    <v>41.514000000000003</v>
    <v>41.636000000000003</v>
    <v>41.134999999999998</v>
    <v>41.613999999999997</v>
    <v>41.412999999999997</v>
    <v>40.921999999999997</v>
    <v>40.764000000000003</v>
    <v>41.332999999999998</v>
    <v>41.177</v>
    <v>40.963000000000001</v>
    <v>40.880000000000003</v>
    <v>40.999000000000002</v>
    <v>41.095999999999997</v>
    <v>40.823</v>
    <v>40.158000000000001</v>
    <v>39.762999999999998</v>
    <v>39.898000000000003</v>
    <v>39.921999999999997</v>
    <v>40.277999999999999</v>
    <v>39.841000000000001</v>
    <v>39.273000000000003</v>
    <v>39.542000000000002</v>
    <v>39.524000000000001</v>
    <v>40.329000000000001</v>
    <v>40.332000000000001</v>
    <v>40.125999999999998</v>
    <v>41.081000000000003</v>
    <v>41.158000000000001</v>
    <v>41.249000000000002</v>
    <v>41.249000000000002</v>
    <v>41.703000000000003</v>
    <v>41.869</v>
    <v>42.134</v>
    <v>42.610999999999997</v>
    <v>42.469000000000001</v>
    <v>42.405999999999999</v>
    <v>42.606999999999999</v>
    <v>42.75</v>
    <v>42.649000000000001</v>
    <v>42.63</v>
    <v>42.485999999999997</v>
    <v>42.524000000000001</v>
    <v>42.77</v>
    <v>42.887</v>
    <v>43.21</v>
    <v>43.677</v>
    <v>43.686999999999998</v>
    <v>43.688000000000002</v>
    <v>43.811</v>
    <v>43.545999999999999</v>
    <v>44.006999999999998</v>
    <v>44.584000000000003</v>
    <v>44.253</v>
    <v>44.01</v>
    <v>43.968000000000004</v>
    <v>44.359000000000002</v>
    <v>44.442999999999998</v>
    <v>44.884999999999998</v>
    <v>45.146000000000001</v>
    <v>45</v>
    <v>44.908000000000001</v>
    <v>45.031999999999996</v>
    <v>45.122999999999998</v>
    <v>45.250999999999998</v>
    <v>45.44</v>
    <v>45.298999999999999</v>
    <v>45.283999999999999</v>
    <v>45.09</v>
    <v>44.853999999999999</v>
    <v>44.234000000000002</v>
    <v>44.148000000000003</v>
    <v>44.204999999999998</v>
    <v>44.935000000000002</v>
    <v>45.43</v>
    <v>45.381</v>
    <v>45.405000000000001</v>
    <v>45.55</v>
    <v>45.600999999999999</v>
    <v>45.695999999999998</v>
    <v>45.319000000000003</v>
    <v>45.588000000000001</v>
    <v>45.338000000000001</v>
    <v>45.231999999999999</v>
    <v>45.27</v>
    <v>45.704000000000001</v>
    <v>45.994999999999997</v>
    <v>45.798000000000002</v>
    <v>45.968000000000004</v>
    <v>46.155999999999999</v>
    <v>45.84</v>
    <v>45.497</v>
    <v>45.96</v>
    <v>46.11</v>
    <v>46.164000000000001</v>
    <v>46.078000000000003</v>
    <v>46.161999999999999</v>
    <v>46.15</v>
    <v>45.642000000000003</v>
    <v>45.783000000000001</v>
    <v>45.957000000000001</v>
    <v>46.067</v>
    <v>45.494999999999997</v>
    <v>45.811999999999998</v>
    <v>45.597000000000001</v>
    <v>45.771000000000001</v>
    <v>45.466999999999999</v>
    <v>45.215000000000003</v>
    <v>45.439</v>
    <v>46.122999999999998</v>
    <v>46.712000000000003</v>
    <v>46.892000000000003</v>
    <v>46.850999999999999</v>
    <v>47.026000000000003</v>
    <v>47.078000000000003</v>
    <v>47.058</v>
    <v>47.082000000000001</v>
    <v>47.301000000000002</v>
    <v>47.103999999999999</v>
    <v>47.048000000000002</v>
    <v>46.593000000000004</v>
    <v>46.415999999999997</v>
    <v>46.125999999999998</v>
    <v>46.241</v>
    <v>46.145000000000003</v>
    <v>46.255000000000003</v>
    <v>46.305999999999997</v>
    <v>46.491</v>
    <v>46.874000000000002</v>
    <v>46.328000000000003</v>
    <v>46.284999999999997</v>
    <v>46.357999999999997</v>
    <v>46.758000000000003</v>
    <v>46.615000000000002</v>
    <v>46.570999999999998</v>
    <v>46.49</v>
    <v>46.087000000000003</v>
    <v>45.901000000000003</v>
    <v>46.325000000000003</v>
    <v>46.234999999999999</v>
    <v>46.01</v>
    <v>46.258000000000003</v>
    <v>46.6</v>
    <v>46.470999999999997</v>
    <v>47.033000000000001</v>
    <v>47.325000000000003</v>
    <v>47.241999999999997</v>
    <v>46.97</v>
    <v>47.167000000000002</v>
    <v>47.054000000000002</v>
    <v>47.073</v>
    <v>47.225000000000001</v>
    <v>47.112000000000002</v>
    <v>47.545000000000002</v>
    <v>47.959000000000003</v>
    <v>48.213000000000001</v>
    <v>48.09</v>
    <v>47.890999999999998</v>
    <v>48.152999999999999</v>
    <v>48.378</v>
    <v>48.189</v>
    <v>48.209000000000003</v>
    <v>47.848999999999997</v>
    <v>47.732999999999997</v>
    <v>47.802</v>
    <v>47.707999999999998</v>
    <v>47.994</v>
    <v>47.527999999999999</v>
    <v>47.491999999999997</v>
  </a>
  <a r="1" c="254">
    <v>40.088000000000001</v>
    <v>40.420999999999999</v>
    <v>40.688000000000002</v>
    <v>40.762999999999998</v>
    <v>40.838000000000001</v>
    <v>40.889000000000003</v>
    <v>40.862000000000002</v>
    <v>40.902000000000001</v>
    <v>40.749000000000002</v>
    <v>40.825000000000003</v>
    <v>40.223999999999997</v>
    <v>39.713000000000001</v>
    <v>40.517000000000003</v>
    <v>40.674999999999997</v>
    <v>40.896000000000001</v>
    <v>40.335999999999999</v>
    <v>40.277000000000001</v>
    <v>40.109000000000002</v>
    <v>39.548000000000002</v>
    <v>39.649000000000001</v>
    <v>39.906999999999996</v>
    <v>39.521000000000001</v>
    <v>40.020000000000003</v>
    <v>40.1</v>
    <v>40.591000000000001</v>
    <v>40.548000000000002</v>
    <v>40.728000000000002</v>
    <v>40.561999999999998</v>
    <v>40.576999999999998</v>
    <v>40.567</v>
    <v>40.683999999999997</v>
    <v>40.829000000000001</v>
    <v>40.741999999999997</v>
    <v>40.789000000000001</v>
    <v>40.706000000000003</v>
    <v>40.545000000000002</v>
    <v>40.308999999999997</v>
    <v>40.360999999999997</v>
    <v>40.103000000000002</v>
    <v>39.932000000000002</v>
    <v>40.383000000000003</v>
    <v>40.542999999999999</v>
    <v>40.654000000000003</v>
    <v>40.738999999999997</v>
    <v>40.795999999999999</v>
    <v>40.866</v>
    <v>40.688000000000002</v>
    <v>41.198</v>
    <v>41.338999999999999</v>
    <v>41.457999999999998</v>
    <v>41.37</v>
    <v>41.72</v>
    <v>41.712000000000003</v>
    <v>41.773000000000003</v>
    <v>41.502000000000002</v>
    <v>42.006</v>
    <v>41.944000000000003</v>
    <v>41.326000000000001</v>
    <v>40.978000000000002</v>
    <v>41.002000000000002</v>
    <v>41.304000000000002</v>
    <v>41.228999999999999</v>
    <v>41.058</v>
    <v>41.003999999999998</v>
    <v>41.014000000000003</v>
    <v>40.704000000000001</v>
    <v>41.03</v>
    <v>41.466000000000001</v>
    <v>41.292000000000002</v>
    <v>41.195999999999998</v>
    <v>40.798000000000002</v>
    <v>41.189</v>
    <v>41.372</v>
    <v>41.48</v>
    <v>41.457000000000001</v>
    <v>41.098999999999997</v>
    <v>41.058999999999997</v>
    <v>40.975999999999999</v>
    <v>41.066000000000003</v>
    <v>41.503</v>
    <v>41.444000000000003</v>
    <v>41.588999999999999</v>
    <v>41.286000000000001</v>
    <v>41.472000000000001</v>
    <v>41.786000000000001</v>
    <v>41.695999999999998</v>
    <v>41.514000000000003</v>
    <v>41.636000000000003</v>
    <v>41.134999999999998</v>
    <v>41.613999999999997</v>
    <v>41.412999999999997</v>
    <v>40.921999999999997</v>
    <v>40.764000000000003</v>
    <v>41.332999999999998</v>
    <v>41.177</v>
    <v>40.963000000000001</v>
    <v>40.880000000000003</v>
    <v>40.999000000000002</v>
    <v>41.095999999999997</v>
    <v>40.823</v>
    <v>40.158000000000001</v>
    <v>39.762999999999998</v>
    <v>39.898000000000003</v>
    <v>39.921999999999997</v>
    <v>40.277999999999999</v>
    <v>39.841000000000001</v>
    <v>39.273000000000003</v>
    <v>39.542000000000002</v>
    <v>39.524000000000001</v>
    <v>40.329000000000001</v>
    <v>40.332000000000001</v>
    <v>40.125999999999998</v>
    <v>41.081000000000003</v>
    <v>41.158000000000001</v>
    <v>41.249000000000002</v>
    <v>41.249000000000002</v>
    <v>41.703000000000003</v>
    <v>41.869</v>
    <v>42.134</v>
    <v>42.610999999999997</v>
    <v>42.469000000000001</v>
    <v>42.405999999999999</v>
    <v>42.606999999999999</v>
    <v>42.75</v>
    <v>42.649000000000001</v>
    <v>42.63</v>
    <v>42.485999999999997</v>
    <v>42.524000000000001</v>
    <v>42.77</v>
    <v>42.887</v>
    <v>43.21</v>
    <v>43.677</v>
    <v>43.686999999999998</v>
    <v>43.688000000000002</v>
    <v>43.811</v>
    <v>43.545999999999999</v>
    <v>44.006999999999998</v>
    <v>44.584000000000003</v>
    <v>44.253</v>
    <v>44.01</v>
    <v>43.968000000000004</v>
    <v>44.359000000000002</v>
    <v>44.442999999999998</v>
    <v>44.884999999999998</v>
    <v>45.146000000000001</v>
    <v>45</v>
    <v>44.908000000000001</v>
    <v>45.031999999999996</v>
    <v>45.122999999999998</v>
    <v>45.250999999999998</v>
    <v>45.44</v>
    <v>45.298999999999999</v>
    <v>45.283999999999999</v>
    <v>45.09</v>
    <v>44.853999999999999</v>
    <v>44.234000000000002</v>
    <v>44.148000000000003</v>
    <v>44.204999999999998</v>
    <v>44.935000000000002</v>
    <v>45.43</v>
    <v>45.381</v>
    <v>45.405000000000001</v>
    <v>45.55</v>
    <v>45.600999999999999</v>
    <v>45.695999999999998</v>
    <v>45.319000000000003</v>
    <v>45.588000000000001</v>
    <v>45.338000000000001</v>
    <v>45.231999999999999</v>
    <v>45.27</v>
    <v>45.704000000000001</v>
    <v>45.994999999999997</v>
    <v>45.798000000000002</v>
    <v>45.968000000000004</v>
    <v>46.155999999999999</v>
    <v>45.84</v>
    <v>45.497</v>
    <v>45.96</v>
    <v>46.11</v>
    <v>46.164000000000001</v>
    <v>46.078000000000003</v>
    <v>46.161999999999999</v>
    <v>46.15</v>
    <v>45.642000000000003</v>
    <v>45.783000000000001</v>
    <v>45.957000000000001</v>
    <v>46.067</v>
    <v>45.494999999999997</v>
    <v>45.811999999999998</v>
    <v>45.597000000000001</v>
    <v>45.771000000000001</v>
    <v>45.466999999999999</v>
    <v>45.215000000000003</v>
    <v>45.439</v>
    <v>46.122999999999998</v>
    <v>46.712000000000003</v>
    <v>46.892000000000003</v>
    <v>46.850999999999999</v>
    <v>47.026000000000003</v>
    <v>47.078000000000003</v>
    <v>47.058</v>
    <v>47.082000000000001</v>
    <v>47.301000000000002</v>
    <v>47.103999999999999</v>
    <v>47.048000000000002</v>
    <v>46.593000000000004</v>
    <v>46.415999999999997</v>
    <v>46.125999999999998</v>
    <v>46.241</v>
    <v>46.145000000000003</v>
    <v>46.255000000000003</v>
    <v>46.305999999999997</v>
    <v>46.491</v>
    <v>46.874000000000002</v>
    <v>46.328000000000003</v>
    <v>46.284999999999997</v>
    <v>46.357999999999997</v>
    <v>46.758000000000003</v>
    <v>46.615000000000002</v>
    <v>46.570999999999998</v>
    <v>46.49</v>
    <v>46.087000000000003</v>
    <v>45.901000000000003</v>
    <v>46.325000000000003</v>
    <v>46.234999999999999</v>
    <v>46.01</v>
    <v>46.258000000000003</v>
    <v>46.6</v>
    <v>46.470999999999997</v>
    <v>47.033000000000001</v>
    <v>47.325000000000003</v>
    <v>47.241999999999997</v>
    <v>46.97</v>
    <v>47.167000000000002</v>
    <v>47.054000000000002</v>
    <v>47.073</v>
    <v>47.225000000000001</v>
    <v>47.112000000000002</v>
    <v>47.545000000000002</v>
    <v>47.959000000000003</v>
    <v>48.213000000000001</v>
    <v>48.09</v>
    <v>47.890999999999998</v>
    <v>48.152999999999999</v>
    <v>48.378</v>
    <v>48.189</v>
    <v>48.209000000000003</v>
    <v>47.848999999999997</v>
    <v>47.732999999999997</v>
    <v>47.802</v>
    <v>47.707999999999998</v>
    <v>47.994</v>
    <v>47.527999999999999</v>
    <v>47.491999999999997</v>
  </a>
  <a r="1" c="208">
    <v>40.688000000000002</v>
    <v>41.198</v>
    <v>41.338999999999999</v>
    <v>41.457999999999998</v>
    <v>41.37</v>
    <v>41.72</v>
    <v>41.712000000000003</v>
    <v>41.773000000000003</v>
    <v>41.502000000000002</v>
    <v>42.006</v>
    <v>41.944000000000003</v>
    <v>41.326000000000001</v>
    <v>40.978000000000002</v>
    <v>41.002000000000002</v>
    <v>41.304000000000002</v>
    <v>41.228999999999999</v>
    <v>41.058</v>
    <v>41.003999999999998</v>
    <v>41.014000000000003</v>
    <v>40.704000000000001</v>
    <v>41.03</v>
    <v>41.466000000000001</v>
    <v>41.292000000000002</v>
    <v>41.195999999999998</v>
    <v>40.798000000000002</v>
    <v>41.189</v>
    <v>41.372</v>
    <v>41.48</v>
    <v>41.457000000000001</v>
    <v>41.098999999999997</v>
    <v>41.058999999999997</v>
    <v>40.975999999999999</v>
    <v>41.066000000000003</v>
    <v>41.503</v>
    <v>41.444000000000003</v>
    <v>41.588999999999999</v>
    <v>41.286000000000001</v>
    <v>41.472000000000001</v>
    <v>41.786000000000001</v>
    <v>41.695999999999998</v>
    <v>41.514000000000003</v>
    <v>41.636000000000003</v>
    <v>41.134999999999998</v>
    <v>41.613999999999997</v>
    <v>41.412999999999997</v>
    <v>40.921999999999997</v>
    <v>40.764000000000003</v>
    <v>41.332999999999998</v>
    <v>41.177</v>
    <v>40.963000000000001</v>
    <v>40.880000000000003</v>
    <v>40.999000000000002</v>
    <v>41.095999999999997</v>
    <v>40.823</v>
    <v>40.158000000000001</v>
    <v>39.762999999999998</v>
    <v>39.898000000000003</v>
    <v>39.921999999999997</v>
    <v>40.277999999999999</v>
    <v>39.841000000000001</v>
    <v>39.273000000000003</v>
    <v>39.542000000000002</v>
    <v>39.524000000000001</v>
    <v>40.329000000000001</v>
    <v>40.332000000000001</v>
    <v>40.125999999999998</v>
    <v>41.081000000000003</v>
    <v>41.158000000000001</v>
    <v>41.249000000000002</v>
    <v>41.249000000000002</v>
    <v>41.703000000000003</v>
    <v>41.869</v>
    <v>42.134</v>
    <v>42.610999999999997</v>
    <v>42.469000000000001</v>
    <v>42.405999999999999</v>
    <v>42.606999999999999</v>
    <v>42.75</v>
    <v>42.649000000000001</v>
    <v>42.63</v>
    <v>42.485999999999997</v>
    <v>42.524000000000001</v>
    <v>42.77</v>
    <v>42.887</v>
    <v>43.21</v>
    <v>43.677</v>
    <v>43.686999999999998</v>
    <v>43.688000000000002</v>
    <v>43.811</v>
    <v>43.545999999999999</v>
    <v>44.006999999999998</v>
    <v>44.584000000000003</v>
    <v>44.253</v>
    <v>44.01</v>
    <v>43.968000000000004</v>
    <v>44.359000000000002</v>
    <v>44.442999999999998</v>
    <v>44.884999999999998</v>
    <v>45.146000000000001</v>
    <v>45</v>
    <v>44.908000000000001</v>
    <v>45.031999999999996</v>
    <v>45.122999999999998</v>
    <v>45.250999999999998</v>
    <v>45.44</v>
    <v>45.298999999999999</v>
    <v>45.283999999999999</v>
    <v>45.09</v>
    <v>44.853999999999999</v>
    <v>44.234000000000002</v>
    <v>44.148000000000003</v>
    <v>44.204999999999998</v>
    <v>44.935000000000002</v>
    <v>45.43</v>
    <v>45.381</v>
    <v>45.405000000000001</v>
    <v>45.55</v>
    <v>45.600999999999999</v>
    <v>45.695999999999998</v>
    <v>45.319000000000003</v>
    <v>45.588000000000001</v>
    <v>45.338000000000001</v>
    <v>45.231999999999999</v>
    <v>45.27</v>
    <v>45.704000000000001</v>
    <v>45.994999999999997</v>
    <v>45.798000000000002</v>
    <v>45.968000000000004</v>
    <v>46.155999999999999</v>
    <v>45.84</v>
    <v>45.497</v>
    <v>45.96</v>
    <v>46.11</v>
    <v>46.164000000000001</v>
    <v>46.078000000000003</v>
    <v>46.161999999999999</v>
    <v>46.15</v>
    <v>45.642000000000003</v>
    <v>45.783000000000001</v>
    <v>45.957000000000001</v>
    <v>46.067</v>
    <v>45.494999999999997</v>
    <v>45.811999999999998</v>
    <v>45.597000000000001</v>
    <v>45.771000000000001</v>
    <v>45.466999999999999</v>
    <v>45.215000000000003</v>
    <v>45.439</v>
    <v>46.122999999999998</v>
    <v>46.712000000000003</v>
    <v>46.892000000000003</v>
    <v>46.850999999999999</v>
    <v>47.026000000000003</v>
    <v>47.078000000000003</v>
    <v>47.058</v>
    <v>47.082000000000001</v>
    <v>47.301000000000002</v>
    <v>47.103999999999999</v>
    <v>47.048000000000002</v>
    <v>46.593000000000004</v>
    <v>46.415999999999997</v>
    <v>46.125999999999998</v>
    <v>46.241</v>
    <v>46.145000000000003</v>
    <v>46.255000000000003</v>
    <v>46.305999999999997</v>
    <v>46.491</v>
    <v>46.874000000000002</v>
    <v>46.328000000000003</v>
    <v>46.284999999999997</v>
    <v>46.357999999999997</v>
    <v>46.758000000000003</v>
    <v>46.615000000000002</v>
    <v>46.570999999999998</v>
    <v>46.49</v>
    <v>46.087000000000003</v>
    <v>45.901000000000003</v>
    <v>46.325000000000003</v>
    <v>46.234999999999999</v>
    <v>46.01</v>
    <v>46.258000000000003</v>
    <v>46.6</v>
    <v>46.470999999999997</v>
    <v>47.033000000000001</v>
    <v>47.325000000000003</v>
    <v>47.241999999999997</v>
    <v>46.97</v>
    <v>47.167000000000002</v>
    <v>47.054000000000002</v>
    <v>47.073</v>
    <v>47.225000000000001</v>
    <v>47.112000000000002</v>
    <v>47.545000000000002</v>
    <v>47.959000000000003</v>
    <v>48.213000000000001</v>
    <v>48.09</v>
    <v>47.890999999999998</v>
    <v>48.152999999999999</v>
    <v>48.378</v>
    <v>48.189</v>
    <v>48.209000000000003</v>
    <v>47.848999999999997</v>
    <v>47.732999999999997</v>
    <v>47.802</v>
    <v>47.707999999999998</v>
    <v>47.994</v>
    <v>47.527999999999999</v>
    <v>47.491999999999997</v>
  </a>
  <a r="1" c="345">
    <v t="i">603</v>
    <v t="i">604</v>
    <v t="i">605</v>
    <v t="i">606</v>
    <v t="i">609</v>
    <v t="i">610</v>
    <v t="i">611</v>
    <v t="i">612</v>
    <v t="i">613</v>
    <v t="i">616</v>
    <v t="i">617</v>
    <v t="i">618</v>
    <v t="i">619</v>
    <v t="i">620</v>
    <v t="i">623</v>
    <v t="i">624</v>
    <v t="i">625</v>
    <v t="i">626</v>
    <v t="i">627</v>
    <v t="i">630</v>
    <v t="i">631</v>
    <v t="i">632</v>
    <v t="i">633</v>
    <v t="i">634</v>
    <v t="i">637</v>
    <v t="i">638</v>
    <v t="i">639</v>
    <v t="i">640</v>
    <v t="i">641</v>
    <v t="i">644</v>
    <v t="i">645</v>
    <v t="i">646</v>
    <v t="i">647</v>
    <v t="i">648</v>
    <v t="i">651</v>
    <v t="i">652</v>
    <v t="i">653</v>
    <v t="i">654</v>
    <v t="i">655</v>
    <v t="i">658</v>
    <v t="i">659</v>
    <v t="i">660</v>
    <v t="i">661</v>
    <v t="i">665</v>
    <v t="i">666</v>
    <v t="i">667</v>
    <v t="i">668</v>
    <v t="i">669</v>
    <v t="i">672</v>
    <v t="i">673</v>
    <v t="i">674</v>
    <v t="i">675</v>
    <v t="i">676</v>
    <v t="i">679</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724</v>
    <v t="i">725</v>
    <v t="i">728</v>
    <v t="i">729</v>
    <v t="i">730</v>
    <v t="i">731</v>
    <v t="i">732</v>
    <v t="i">735</v>
    <v t="i">736</v>
    <v t="i">737</v>
    <v t="i">738</v>
    <v t="i">739</v>
    <v t="i">742</v>
    <v t="i">743</v>
    <v t="i">744</v>
    <v t="i">745</v>
    <v t="i">746</v>
    <v t="i">749</v>
    <v t="i">750</v>
    <v t="i">751</v>
    <v t="i">752</v>
    <v t="i">753</v>
    <v t="i">756</v>
    <v t="i">757</v>
    <v t="i">758</v>
    <v t="i">759</v>
    <v t="i">760</v>
    <v t="i">763</v>
    <v t="i">764</v>
    <v t="i">765</v>
    <v t="i">766</v>
    <v t="i">767</v>
    <v t="i">770</v>
    <v t="i">771</v>
    <v t="i">772</v>
    <v t="i">773</v>
    <v t="i">774</v>
    <v t="i">777</v>
    <v t="i">778</v>
    <v t="i">779</v>
    <v t="i">780</v>
    <v t="i">781</v>
    <v t="i">784</v>
    <v t="i">785</v>
    <v t="i">786</v>
    <v t="i">787</v>
    <v t="i">788</v>
    <v t="i">791</v>
    <v t="i">792</v>
    <v t="i">798</v>
    <v t="i">799</v>
    <v t="i">802</v>
    <v t="i">805</v>
    <v t="i">806</v>
    <v t="i">807</v>
    <v t="i">808</v>
    <v t="i">809</v>
    <v t="i">812</v>
    <v t="i">813</v>
    <v t="i">814</v>
    <v t="i">815</v>
    <v t="i">816</v>
    <v t="i">819</v>
    <v t="i">820</v>
    <v t="i">821</v>
    <v t="i">822</v>
    <v t="i">823</v>
    <v t="i">826</v>
    <v t="i">827</v>
    <v t="i">828</v>
    <v t="i">829</v>
    <v t="i">830</v>
    <v t="i">833</v>
    <v t="i">834</v>
    <v t="i">835</v>
    <v t="i">836</v>
    <v t="i">837</v>
    <v t="i">840</v>
    <v t="i">841</v>
    <v t="i">842</v>
    <v t="i">843</v>
    <v t="i">844</v>
    <v t="i">847</v>
    <v t="i">848</v>
    <v t="i">849</v>
    <v t="i">850</v>
    <v t="i">851</v>
    <v t="i">854</v>
    <v t="i">855</v>
    <v t="i">856</v>
    <v t="i">857</v>
    <v t="i">858</v>
    <v t="i">861</v>
    <v t="i">862</v>
    <v t="i">863</v>
    <v t="i">864</v>
    <v t="i">865</v>
    <v t="i">868</v>
    <v t="i">869</v>
    <v t="i">870</v>
    <v t="i">871</v>
    <v t="i">872</v>
    <v t="i">875</v>
    <v t="i">876</v>
    <v t="i">877</v>
    <v t="i">878</v>
    <v t="i">879</v>
    <v t="i">882</v>
    <v t="i">883</v>
    <v t="i">884</v>
    <v t="i">885</v>
    <v t="i">886</v>
    <v t="i">889</v>
    <v t="i">890</v>
    <v t="i">891</v>
    <v t="i">892</v>
    <v t="i">897</v>
    <v t="i">898</v>
    <v t="i">899</v>
    <v t="i">900</v>
    <v t="i">903</v>
    <v t="i">904</v>
    <v t="i">905</v>
    <v t="i">906</v>
    <v t="i">907</v>
    <v t="i">910</v>
    <v t="i">911</v>
    <v t="i">912</v>
    <v t="i">913</v>
    <v t="i">914</v>
    <v t="i">917</v>
    <v t="i">918</v>
    <v t="i">919</v>
    <v t="i">920</v>
    <v t="i">924</v>
    <v t="i">925</v>
    <v t="i">926</v>
    <v t="i">927</v>
    <v t="i">928</v>
    <v t="i">931</v>
    <v t="i">932</v>
    <v t="i">933</v>
    <v t="i">934</v>
    <v t="i">935</v>
    <v t="i">938</v>
    <v t="i">939</v>
    <v t="i">940</v>
    <v t="i">941</v>
    <v t="i">942</v>
    <v t="i">945</v>
    <v t="i">946</v>
    <v t="i">947</v>
    <v t="i">948</v>
    <v t="i">949</v>
    <v t="i">952</v>
    <v t="i">953</v>
    <v t="i">954</v>
    <v t="i">955</v>
    <v t="i">956</v>
    <v t="i">959</v>
    <v t="i">960</v>
    <v t="i">961</v>
    <v t="i">962</v>
    <v t="i">963</v>
    <v t="i">966</v>
    <v t="i">967</v>
    <v t="i">968</v>
    <v t="i">969</v>
    <v t="i">970</v>
    <v t="i">973</v>
    <v t="i">974</v>
    <v t="i">975</v>
    <v t="i">976</v>
    <v t="i">977</v>
    <v t="i">980</v>
    <v t="i">981</v>
    <v t="i">982</v>
    <v t="i">983</v>
    <v t="i">984</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1050</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345">
    <v>17.852</v>
    <v>17.966000000000001</v>
    <v>17.762</v>
    <v>17.760000000000002</v>
    <v>17.562000000000001</v>
    <v>17.896000000000001</v>
    <v>17.765999999999998</v>
    <v>17.776</v>
    <v>17.994</v>
    <v>18.184000000000001</v>
    <v>17.957999999999998</v>
    <v>18.123999999999999</v>
    <v>18.66</v>
    <v>18.475999999999999</v>
    <v>18.53</v>
    <v>18.571999999999999</v>
    <v>18.494</v>
    <v>18.577999999999999</v>
    <v>18.314</v>
    <v>18.204000000000001</v>
    <v>18.286000000000001</v>
    <v>18.338000000000001</v>
    <v>19.042000000000002</v>
    <v>18.962</v>
    <v>19.231999999999999</v>
    <v>18.623999999999999</v>
    <v>18.952000000000002</v>
    <v>18.940000000000001</v>
    <v>18.681999999999999</v>
    <v>18.75</v>
    <v>18.786000000000001</v>
    <v>18.916</v>
    <v>18.878</v>
    <v>17.978000000000002</v>
    <v>18.276</v>
    <v>18.495999999999999</v>
    <v>18.39</v>
    <v>18.29</v>
    <v>18.538</v>
    <v>18.762</v>
    <v>18.718</v>
    <v>18.835999999999999</v>
    <v>18.687999999999999</v>
    <v>18.806000000000001</v>
    <v>18.608000000000001</v>
    <v>18.231999999999999</v>
    <v>18.245999999999999</v>
    <v>18.63</v>
    <v>18.559999999999999</v>
    <v>18.591999999999999</v>
    <v>18.872</v>
    <v>18.978000000000002</v>
    <v>18.850000000000001</v>
    <v>18.914000000000001</v>
    <v>18.466000000000001</v>
    <v>18.574000000000002</v>
    <v>18.667999999999999</v>
    <v>18.443999999999999</v>
    <v>18.707999999999998</v>
    <v>18.818000000000001</v>
    <v>18.658000000000001</v>
    <v>18.904</v>
    <v>19.329999999999998</v>
    <v>19.62</v>
    <v>19.446000000000002</v>
    <v>19.952000000000002</v>
    <v>21.175000000000001</v>
    <v>21.35</v>
    <v>21.54</v>
    <v>21.875</v>
    <v>22.06</v>
    <v>21.92</v>
    <v>21.94</v>
    <v>21.745000000000001</v>
    <v>21.335000000000001</v>
    <v>21.635000000000002</v>
    <v>22.25</v>
    <v>23.215</v>
    <v>23.545000000000002</v>
    <v>23.815000000000001</v>
    <v>24.09</v>
    <v>24.015000000000001</v>
    <v>23.425000000000001</v>
    <v>24.265000000000001</v>
    <v>24.594999999999999</v>
    <v>24.84</v>
    <v>24.145</v>
    <v>23.41</v>
    <v>23.785</v>
    <v>23.355</v>
    <v>22.25</v>
    <v>23.16</v>
    <v>23.43</v>
    <v>23.9</v>
    <v>24.23</v>
    <v>23.835000000000001</v>
    <v>24.09</v>
    <v>24.094999999999999</v>
    <v>23.824999999999999</v>
    <v>23.395</v>
    <v>22.94</v>
    <v>22.67</v>
    <v>21.504999999999999</v>
    <v>22.425000000000001</v>
    <v>22.5</v>
    <v>22.3</v>
    <v>21.07</v>
    <v>21.375</v>
    <v>21.135000000000002</v>
    <v>20.8</v>
    <v>20.74</v>
    <v>20.655000000000001</v>
    <v>19.736000000000001</v>
    <v>20.67</v>
    <v>20.85</v>
    <v>21.1</v>
    <v>21.17</v>
    <v>21.4</v>
    <v>21.155000000000001</v>
    <v>21.405000000000001</v>
    <v>21.29</v>
    <v>22.204999999999998</v>
    <v>22.265000000000001</v>
    <v>22.254999999999999</v>
    <v>22.364999999999998</v>
    <v>21.984999999999999</v>
    <v>21.62</v>
    <v>21.445</v>
    <v>21.145</v>
    <v>21.04</v>
    <v>21.4</v>
    <v>21.065000000000001</v>
    <v>21.44</v>
    <v>21.82</v>
    <v>21.85</v>
    <v>21.26</v>
    <v>21.545000000000002</v>
    <v>21.574999999999999</v>
    <v>22.37</v>
    <v>22.48</v>
    <v>22.945</v>
    <v>22.73</v>
    <v>22.92</v>
    <v>22.84</v>
    <v>22.914999999999999</v>
    <v>22.765000000000001</v>
    <v>23.135000000000002</v>
    <v>23.02</v>
    <v>22.675000000000001</v>
    <v>22.664999999999999</v>
    <v>22.565000000000001</v>
    <v>22.684999999999999</v>
    <v>22.52</v>
    <v>21.975000000000001</v>
    <v>21.844999999999999</v>
    <v>22.074999999999999</v>
    <v>21.5</v>
    <v>21.61</v>
    <v>21.64</v>
    <v>21.49</v>
    <v>21.065000000000001</v>
    <v>20.664999999999999</v>
    <v>21.155000000000001</v>
    <v>21.38</v>
    <v>21.434999999999999</v>
    <v>21.094999999999999</v>
    <v>20.625</v>
    <v>20.86</v>
    <v>20.89</v>
    <v>20.66</v>
    <v>20.96</v>
    <v>20.88</v>
    <v>20.844999999999999</v>
    <v>20.625</v>
    <v>20.574999999999999</v>
    <v>20.984999999999999</v>
    <v>21.495000000000001</v>
    <v>21.11</v>
    <v>21.12</v>
    <v>20.6</v>
    <v>21.1</v>
    <v>20.765000000000001</v>
    <v>20.71</v>
    <v>20.515000000000001</v>
    <v>21.03</v>
    <v>20.745000000000001</v>
    <v>20.54</v>
    <v>20.5</v>
    <v>20.635000000000002</v>
    <v>20.66</v>
    <v>20.515000000000001</v>
    <v>20.170000000000002</v>
    <v>19.91</v>
    <v>20.03</v>
    <v>19.988</v>
    <v>20.245000000000001</v>
    <v>19.690000000000001</v>
    <v>19.100000000000001</v>
    <v>19.094000000000001</v>
    <v>19.059999999999999</v>
    <v>19.91</v>
    <v>19.82</v>
    <v>19.712</v>
    <v>20.61</v>
    <v>20.454999999999998</v>
    <v>20.524999999999999</v>
    <v>20.59</v>
    <v>21.21</v>
    <v>22.31</v>
    <v>22.82</v>
    <v>23.22</v>
    <v>23</v>
    <v>23.16</v>
    <v>23.25</v>
    <v>22.975000000000001</v>
    <v>22.83</v>
    <v>22.895</v>
    <v>22.785</v>
    <v>23</v>
    <v>23.434999999999999</v>
    <v>24.024999999999999</v>
    <v>24.4</v>
    <v>25.004999999999999</v>
    <v>24.934999999999999</v>
    <v>24.85</v>
    <v>25.83</v>
    <v>25.094999999999999</v>
    <v>25.47</v>
    <v>25.995000000000001</v>
    <v>25.114999999999998</v>
    <v>24.745000000000001</v>
    <v>24.565000000000001</v>
    <v>25.364999999999998</v>
    <v>26.44</v>
    <v>28.094999999999999</v>
    <v>28.67</v>
    <v>28</v>
    <v>27.76</v>
    <v>28.54</v>
    <v>28.45</v>
    <v>29.475000000000001</v>
    <v>29.684999999999999</v>
    <v>29.145</v>
    <v>28.725000000000001</v>
    <v>27.295000000000002</v>
    <v>27.555</v>
    <v>26.23</v>
    <v>26.215</v>
    <v>26.305</v>
    <v>27.204999999999998</v>
    <v>27.85</v>
    <v>27.11</v>
    <v>26.97</v>
    <v>27.065000000000001</v>
    <v>27.22</v>
    <v>27.47</v>
    <v>27.34</v>
    <v>27.065000000000001</v>
    <v>26.51</v>
    <v>26.31</v>
    <v>26.29</v>
    <v>26.795000000000002</v>
    <v>26.765000000000001</v>
    <v>26.29</v>
    <v>26.465</v>
    <v>26.78</v>
    <v>25.64</v>
    <v>25.3</v>
    <v>25.704999999999998</v>
    <v>25.515000000000001</v>
    <v>25.04</v>
    <v>24.765000000000001</v>
    <v>24.27</v>
    <v>23.895</v>
    <v>23.54</v>
    <v>23.504999999999999</v>
    <v>24.21</v>
    <v>24.24</v>
    <v>23.495000000000001</v>
    <v>23.43</v>
    <v>23.75</v>
    <v>23.56</v>
    <v>23.03</v>
    <v>23.7</v>
    <v>24.35</v>
    <v>25.01</v>
    <v>25.67</v>
    <v>25.41</v>
    <v>25.33</v>
    <v>25.47</v>
    <v>25.835000000000001</v>
    <v>25.58</v>
    <v>25.975000000000001</v>
    <v>26.245000000000001</v>
    <v>26.46</v>
    <v>26.35</v>
    <v>25.41</v>
    <v>25.38</v>
    <v>24.7</v>
    <v>25.23</v>
    <v>24.934999999999999</v>
    <v>25.15</v>
    <v>24.9</v>
    <v>25.135000000000002</v>
    <v>25.38</v>
    <v>25.17</v>
    <v>24.824999999999999</v>
    <v>24.71</v>
    <v>24.954999999999998</v>
    <v>24.99</v>
    <v>25.135000000000002</v>
    <v>25.72</v>
    <v>25.02</v>
    <v>24.824999999999999</v>
    <v>25.274999999999999</v>
    <v>24.9</v>
    <v>24.785</v>
    <v>24.785</v>
    <v>25.19</v>
    <v>24.98</v>
    <v>25.94</v>
    <v>25.895</v>
    <v>26.114999999999998</v>
    <v>25.754999999999999</v>
    <v>26.43</v>
    <v>25.885000000000002</v>
    <v>25.93</v>
    <v>26.01</v>
    <v>26.04</v>
    <v>26.55</v>
    <v>26.17</v>
    <v>26.395</v>
    <v>25.844999999999999</v>
    <v>25.32</v>
    <v>25.535</v>
    <v>25.015000000000001</v>
    <v>24.38</v>
    <v>23.864999999999998</v>
    <v>23.605</v>
    <v>23.535</v>
    <v>23.594999999999999</v>
    <v>23.414999999999999</v>
    <v>23.594999999999999</v>
    <v>23.27</v>
    <v>22.914999999999999</v>
  </a>
  <a r="1" c="208">
    <v>21.574999999999999</v>
    <v>22.37</v>
    <v>22.48</v>
    <v>22.945</v>
    <v>22.73</v>
    <v>22.92</v>
    <v>22.84</v>
    <v>22.914999999999999</v>
    <v>22.765000000000001</v>
    <v>23.135000000000002</v>
    <v>23.02</v>
    <v>22.675000000000001</v>
    <v>22.664999999999999</v>
    <v>22.565000000000001</v>
    <v>22.684999999999999</v>
    <v>22.52</v>
    <v>21.975000000000001</v>
    <v>21.844999999999999</v>
    <v>22.074999999999999</v>
    <v>21.5</v>
    <v>21.61</v>
    <v>21.64</v>
    <v>21.49</v>
    <v>21.065000000000001</v>
    <v>20.664999999999999</v>
    <v>21.155000000000001</v>
    <v>21.38</v>
    <v>21.434999999999999</v>
    <v>21.094999999999999</v>
    <v>20.625</v>
    <v>20.86</v>
    <v>20.89</v>
    <v>20.66</v>
    <v>20.96</v>
    <v>20.88</v>
    <v>20.844999999999999</v>
    <v>20.625</v>
    <v>20.574999999999999</v>
    <v>20.984999999999999</v>
    <v>21.495000000000001</v>
    <v>21.11</v>
    <v>21.12</v>
    <v>20.6</v>
    <v>21.1</v>
    <v>20.765000000000001</v>
    <v>20.71</v>
    <v>20.515000000000001</v>
    <v>21.03</v>
    <v>20.745000000000001</v>
    <v>20.54</v>
    <v>20.5</v>
    <v>20.635000000000002</v>
    <v>20.66</v>
    <v>20.515000000000001</v>
    <v>20.170000000000002</v>
    <v>19.91</v>
    <v>20.03</v>
    <v>19.988</v>
    <v>20.245000000000001</v>
    <v>19.690000000000001</v>
    <v>19.100000000000001</v>
    <v>19.094000000000001</v>
    <v>19.059999999999999</v>
    <v>19.91</v>
    <v>19.82</v>
    <v>19.712</v>
    <v>20.61</v>
    <v>20.454999999999998</v>
    <v>20.524999999999999</v>
    <v>20.59</v>
    <v>21.21</v>
    <v>22.31</v>
    <v>22.82</v>
    <v>23.22</v>
    <v>23</v>
    <v>23.16</v>
    <v>23.25</v>
    <v>22.975000000000001</v>
    <v>22.83</v>
    <v>22.895</v>
    <v>22.785</v>
    <v>23</v>
    <v>23.434999999999999</v>
    <v>24.024999999999999</v>
    <v>24.4</v>
    <v>25.004999999999999</v>
    <v>24.934999999999999</v>
    <v>24.85</v>
    <v>25.83</v>
    <v>25.094999999999999</v>
    <v>25.47</v>
    <v>25.995000000000001</v>
    <v>25.114999999999998</v>
    <v>24.745000000000001</v>
    <v>24.565000000000001</v>
    <v>25.364999999999998</v>
    <v>26.44</v>
    <v>28.094999999999999</v>
    <v>28.67</v>
    <v>28</v>
    <v>27.76</v>
    <v>28.54</v>
    <v>28.45</v>
    <v>29.475000000000001</v>
    <v>29.684999999999999</v>
    <v>29.145</v>
    <v>28.725000000000001</v>
    <v>27.295000000000002</v>
    <v>27.555</v>
    <v>26.23</v>
    <v>26.215</v>
    <v>26.305</v>
    <v>27.204999999999998</v>
    <v>27.85</v>
    <v>27.11</v>
    <v>26.97</v>
    <v>27.065000000000001</v>
    <v>27.22</v>
    <v>27.47</v>
    <v>27.34</v>
    <v>27.065000000000001</v>
    <v>26.51</v>
    <v>26.31</v>
    <v>26.29</v>
    <v>26.795000000000002</v>
    <v>26.765000000000001</v>
    <v>26.29</v>
    <v>26.465</v>
    <v>26.78</v>
    <v>25.64</v>
    <v>25.3</v>
    <v>25.704999999999998</v>
    <v>25.515000000000001</v>
    <v>25.04</v>
    <v>24.765000000000001</v>
    <v>24.27</v>
    <v>23.895</v>
    <v>23.54</v>
    <v>23.504999999999999</v>
    <v>24.21</v>
    <v>24.24</v>
    <v>23.495000000000001</v>
    <v>23.43</v>
    <v>23.75</v>
    <v>23.56</v>
    <v>23.03</v>
    <v>23.7</v>
    <v>24.35</v>
    <v>25.01</v>
    <v>25.67</v>
    <v>25.41</v>
    <v>25.33</v>
    <v>25.47</v>
    <v>25.835000000000001</v>
    <v>25.58</v>
    <v>25.975000000000001</v>
    <v>26.245000000000001</v>
    <v>26.46</v>
    <v>26.35</v>
    <v>25.41</v>
    <v>25.38</v>
    <v>24.7</v>
    <v>25.23</v>
    <v>24.934999999999999</v>
    <v>25.15</v>
    <v>24.9</v>
    <v>25.135000000000002</v>
    <v>25.38</v>
    <v>25.17</v>
    <v>24.824999999999999</v>
    <v>24.71</v>
    <v>24.954999999999998</v>
    <v>24.99</v>
    <v>25.135000000000002</v>
    <v>25.72</v>
    <v>25.02</v>
    <v>24.824999999999999</v>
    <v>25.274999999999999</v>
    <v>24.9</v>
    <v>24.785</v>
    <v>24.785</v>
    <v>25.19</v>
    <v>24.98</v>
    <v>25.94</v>
    <v>25.895</v>
    <v>26.114999999999998</v>
    <v>25.754999999999999</v>
    <v>26.43</v>
    <v>25.885000000000002</v>
    <v>25.93</v>
    <v>26.01</v>
    <v>26.04</v>
    <v>26.55</v>
    <v>26.17</v>
    <v>26.395</v>
    <v>25.844999999999999</v>
    <v>25.32</v>
    <v>25.535</v>
    <v>25.015000000000001</v>
    <v>24.38</v>
    <v>23.864999999999998</v>
    <v>23.605</v>
    <v>23.535</v>
    <v>23.594999999999999</v>
    <v>23.414999999999999</v>
    <v>23.594999999999999</v>
    <v>23.27</v>
    <v>22.914999999999999</v>
  </a>
  <a r="1" c="254">
    <v>23.16</v>
    <v>23.43</v>
    <v>23.9</v>
    <v>24.23</v>
    <v>23.835000000000001</v>
    <v>24.09</v>
    <v>24.094999999999999</v>
    <v>23.824999999999999</v>
    <v>23.395</v>
    <v>22.94</v>
    <v>22.67</v>
    <v>21.504999999999999</v>
    <v>22.425000000000001</v>
    <v>22.5</v>
    <v>22.3</v>
    <v>21.07</v>
    <v>21.375</v>
    <v>21.135000000000002</v>
    <v>20.8</v>
    <v>20.74</v>
    <v>20.655000000000001</v>
    <v>19.736000000000001</v>
    <v>20.67</v>
    <v>20.85</v>
    <v>21.1</v>
    <v>21.17</v>
    <v>21.4</v>
    <v>21.155000000000001</v>
    <v>21.405000000000001</v>
    <v>21.29</v>
    <v>22.204999999999998</v>
    <v>22.265000000000001</v>
    <v>22.254999999999999</v>
    <v>22.364999999999998</v>
    <v>21.984999999999999</v>
    <v>21.62</v>
    <v>21.445</v>
    <v>21.145</v>
    <v>21.04</v>
    <v>21.4</v>
    <v>21.065000000000001</v>
    <v>21.44</v>
    <v>21.82</v>
    <v>21.85</v>
    <v>21.26</v>
    <v>21.545000000000002</v>
    <v>21.574999999999999</v>
    <v>22.37</v>
    <v>22.48</v>
    <v>22.945</v>
    <v>22.73</v>
    <v>22.92</v>
    <v>22.84</v>
    <v>22.914999999999999</v>
    <v>22.765000000000001</v>
    <v>23.135000000000002</v>
    <v>23.02</v>
    <v>22.675000000000001</v>
    <v>22.664999999999999</v>
    <v>22.565000000000001</v>
    <v>22.684999999999999</v>
    <v>22.52</v>
    <v>21.975000000000001</v>
    <v>21.844999999999999</v>
    <v>22.074999999999999</v>
    <v>21.5</v>
    <v>21.61</v>
    <v>21.64</v>
    <v>21.49</v>
    <v>21.065000000000001</v>
    <v>20.664999999999999</v>
    <v>21.155000000000001</v>
    <v>21.38</v>
    <v>21.434999999999999</v>
    <v>21.094999999999999</v>
    <v>20.625</v>
    <v>20.86</v>
    <v>20.89</v>
    <v>20.66</v>
    <v>20.96</v>
    <v>20.88</v>
    <v>20.844999999999999</v>
    <v>20.625</v>
    <v>20.574999999999999</v>
    <v>20.984999999999999</v>
    <v>21.495000000000001</v>
    <v>21.11</v>
    <v>21.12</v>
    <v>20.6</v>
    <v>21.1</v>
    <v>20.765000000000001</v>
    <v>20.71</v>
    <v>20.515000000000001</v>
    <v>21.03</v>
    <v>20.745000000000001</v>
    <v>20.54</v>
    <v>20.5</v>
    <v>20.635000000000002</v>
    <v>20.66</v>
    <v>20.515000000000001</v>
    <v>20.170000000000002</v>
    <v>19.91</v>
    <v>20.03</v>
    <v>19.988</v>
    <v>20.245000000000001</v>
    <v>19.690000000000001</v>
    <v>19.100000000000001</v>
    <v>19.094000000000001</v>
    <v>19.059999999999999</v>
    <v>19.91</v>
    <v>19.82</v>
    <v>19.712</v>
    <v>20.61</v>
    <v>20.454999999999998</v>
    <v>20.524999999999999</v>
    <v>20.59</v>
    <v>21.21</v>
    <v>22.31</v>
    <v>22.82</v>
    <v>23.22</v>
    <v>23</v>
    <v>23.16</v>
    <v>23.25</v>
    <v>22.975000000000001</v>
    <v>22.83</v>
    <v>22.895</v>
    <v>22.785</v>
    <v>23</v>
    <v>23.434999999999999</v>
    <v>24.024999999999999</v>
    <v>24.4</v>
    <v>25.004999999999999</v>
    <v>24.934999999999999</v>
    <v>24.85</v>
    <v>25.83</v>
    <v>25.094999999999999</v>
    <v>25.47</v>
    <v>25.995000000000001</v>
    <v>25.114999999999998</v>
    <v>24.745000000000001</v>
    <v>24.565000000000001</v>
    <v>25.364999999999998</v>
    <v>26.44</v>
    <v>28.094999999999999</v>
    <v>28.67</v>
    <v>28</v>
    <v>27.76</v>
    <v>28.54</v>
    <v>28.45</v>
    <v>29.475000000000001</v>
    <v>29.684999999999999</v>
    <v>29.145</v>
    <v>28.725000000000001</v>
    <v>27.295000000000002</v>
    <v>27.555</v>
    <v>26.23</v>
    <v>26.215</v>
    <v>26.305</v>
    <v>27.204999999999998</v>
    <v>27.85</v>
    <v>27.11</v>
    <v>26.97</v>
    <v>27.065000000000001</v>
    <v>27.22</v>
    <v>27.47</v>
    <v>27.34</v>
    <v>27.065000000000001</v>
    <v>26.51</v>
    <v>26.31</v>
    <v>26.29</v>
    <v>26.795000000000002</v>
    <v>26.765000000000001</v>
    <v>26.29</v>
    <v>26.465</v>
    <v>26.78</v>
    <v>25.64</v>
    <v>25.3</v>
    <v>25.704999999999998</v>
    <v>25.515000000000001</v>
    <v>25.04</v>
    <v>24.765000000000001</v>
    <v>24.27</v>
    <v>23.895</v>
    <v>23.54</v>
    <v>23.504999999999999</v>
    <v>24.21</v>
    <v>24.24</v>
    <v>23.495000000000001</v>
    <v>23.43</v>
    <v>23.75</v>
    <v>23.56</v>
    <v>23.03</v>
    <v>23.7</v>
    <v>24.35</v>
    <v>25.01</v>
    <v>25.67</v>
    <v>25.41</v>
    <v>25.33</v>
    <v>25.47</v>
    <v>25.835000000000001</v>
    <v>25.58</v>
    <v>25.975000000000001</v>
    <v>26.245000000000001</v>
    <v>26.46</v>
    <v>26.35</v>
    <v>25.41</v>
    <v>25.38</v>
    <v>24.7</v>
    <v>25.23</v>
    <v>24.934999999999999</v>
    <v>25.15</v>
    <v>24.9</v>
    <v>25.135000000000002</v>
    <v>25.38</v>
    <v>25.17</v>
    <v>24.824999999999999</v>
    <v>24.71</v>
    <v>24.954999999999998</v>
    <v>24.99</v>
    <v>25.135000000000002</v>
    <v>25.72</v>
    <v>25.02</v>
    <v>24.824999999999999</v>
    <v>25.274999999999999</v>
    <v>24.9</v>
    <v>24.785</v>
    <v>24.785</v>
    <v>25.19</v>
    <v>24.98</v>
    <v>25.94</v>
    <v>25.895</v>
    <v>26.114999999999998</v>
    <v>25.754999999999999</v>
    <v>26.43</v>
    <v>25.885000000000002</v>
    <v>25.93</v>
    <v>26.01</v>
    <v>26.04</v>
    <v>26.55</v>
    <v>26.17</v>
    <v>26.395</v>
    <v>25.844999999999999</v>
    <v>25.32</v>
    <v>25.535</v>
    <v>25.015000000000001</v>
    <v>24.38</v>
    <v>23.864999999999998</v>
    <v>23.605</v>
    <v>23.535</v>
    <v>23.594999999999999</v>
    <v>23.414999999999999</v>
    <v>23.594999999999999</v>
    <v>23.27</v>
    <v>22.914999999999999</v>
  </a>
  <a r="1" c="763">
    <v>5.39</v>
    <v>5.42</v>
    <v>5.41</v>
    <v>5.4059999999999997</v>
    <v>5.3360000000000003</v>
    <v>5.3419999999999996</v>
    <v>5.38</v>
    <v>5.4379999999999997</v>
    <v>5.51</v>
    <v>5.5270000000000001</v>
    <v>5.5049999999999999</v>
    <v>5.5220000000000002</v>
    <v>5.5090000000000003</v>
    <v>5.5270000000000001</v>
    <v>5.5110000000000001</v>
    <v>5.5330000000000004</v>
    <v>5.5759999999999996</v>
    <v>5.5940000000000003</v>
    <v>5.468</v>
    <v>5.4950000000000001</v>
    <v>5.4989999999999997</v>
    <v>5.4960000000000004</v>
    <v>5.5389999999999997</v>
    <v>5.5330000000000004</v>
    <v>5.5350000000000001</v>
    <v>5.5229999999999997</v>
    <v>5.5019999999999998</v>
    <v>5.5270000000000001</v>
    <v>5.5640000000000001</v>
    <v>5.625</v>
    <v>5.6420000000000003</v>
    <v>5.6669999999999998</v>
    <v>5.6920000000000002</v>
    <v>5.6989999999999998</v>
    <v>5.726</v>
    <v>5.7569999999999997</v>
    <v>5.7489999999999997</v>
    <v>5.7380000000000004</v>
    <v>5.7530000000000001</v>
    <v>5.8029999999999999</v>
    <v>5.7720000000000002</v>
    <v>5.78</v>
    <v>5.7919999999999998</v>
    <v>5.7670000000000003</v>
    <v>5.7949999999999999</v>
    <v>5.7809999999999997</v>
    <v>5.798</v>
    <v>5.8120000000000003</v>
    <v>5.8419999999999996</v>
    <v>5.8170000000000002</v>
    <v>5.82</v>
    <v>5.8230000000000004</v>
    <v>5.835</v>
    <v>5.8579999999999997</v>
    <v>5.8449999999999998</v>
    <v>5.8120000000000003</v>
    <v>5.8550000000000004</v>
    <v>5.8540000000000001</v>
    <v>5.8659999999999997</v>
    <v>5.8209999999999997</v>
    <v>5.8470000000000004</v>
    <v>5.8739999999999997</v>
    <v>5.9340000000000002</v>
    <v>5.9340000000000002</v>
    <v>5.9779999999999998</v>
    <v>5.992</v>
    <v>5.9850000000000003</v>
    <v>5.9989999999999997</v>
    <v>5.9880000000000004</v>
    <v>5.9740000000000002</v>
    <v>5.931</v>
    <v>5.9710000000000001</v>
    <v>5.96</v>
    <v>5.9820000000000002</v>
    <v>5.9809999999999999</v>
    <v>5.9710000000000001</v>
    <v>5.984</v>
    <v>6.0339999999999998</v>
    <v>5.9779999999999998</v>
    <v>6.0010000000000003</v>
    <v>6.0350000000000001</v>
    <v>6.0720000000000001</v>
    <v>6.0659999999999998</v>
    <v>6.03</v>
    <v>6.0250000000000004</v>
    <v>6.1</v>
    <v>6.1269999999999998</v>
    <v>6.09</v>
    <v>6.0880000000000001</v>
    <v>6.0780000000000003</v>
    <v>6.0949999999999998</v>
    <v>6.1360000000000001</v>
    <v>6.1420000000000003</v>
    <v>6.1319999999999997</v>
    <v>6.1580000000000004</v>
    <v>6.1719999999999997</v>
    <v>6.1580000000000004</v>
    <v>6.1340000000000003</v>
    <v>6.1719999999999997</v>
    <v>6.165</v>
    <v>6.1559999999999997</v>
    <v>6.1360000000000001</v>
    <v>6.1539999999999999</v>
    <v>6.1749999999999998</v>
    <v>6.1840000000000002</v>
    <v>6.2770000000000001</v>
    <v>6.274</v>
    <v>6.2569999999999997</v>
    <v>6.2549999999999999</v>
    <v>6.2750000000000004</v>
    <v>6.3070000000000004</v>
    <v>6.2539999999999996</v>
    <v>6.258</v>
    <v>6.2619999999999996</v>
    <v>6.1980000000000004</v>
    <v>6.21</v>
    <v>6.194</v>
    <v>6.19</v>
    <v>6.1890000000000001</v>
    <v>6.2050000000000001</v>
    <v>6.2169999999999996</v>
    <v>6.125</v>
    <v>6.077</v>
    <v>6.0890000000000004</v>
    <v>6.069</v>
    <v>6.0910000000000002</v>
    <v>6.1479999999999997</v>
    <v>6.1440000000000001</v>
    <v>6.0979999999999999</v>
    <v>6.1749999999999998</v>
    <v>6.18</v>
    <v>6.1689999999999996</v>
    <v>6.1310000000000002</v>
    <v>6.1950000000000003</v>
    <v>6.218</v>
    <v>6.2619999999999996</v>
    <v>6.26</v>
    <v>6.29</v>
    <v>6.3330000000000002</v>
    <v>6.3440000000000003</v>
    <v>6.3319999999999999</v>
    <v>6.375</v>
    <v>6.3170000000000002</v>
    <v>6.3010000000000002</v>
    <v>6.3440000000000003</v>
    <v>6.3209999999999997</v>
    <v>6.3140000000000001</v>
    <v>6.3049999999999997</v>
    <v>6.2880000000000003</v>
    <v>6.2960000000000003</v>
    <v>6.266</v>
    <v>6.2149999999999999</v>
    <v>6.2210000000000001</v>
    <v>6.2169999999999996</v>
    <v>6.2590000000000003</v>
    <v>6.2439999999999998</v>
    <v>6.3140000000000001</v>
    <v>6.3319999999999999</v>
    <v>6.351</v>
    <v>6.3609999999999998</v>
    <v>6.34</v>
    <v>6.3780000000000001</v>
    <v>6.3620000000000001</v>
    <v>6.36</v>
    <v>6.3620000000000001</v>
    <v>6.42</v>
    <v>6.4249999999999998</v>
    <v>6.444</v>
    <v>6.4340000000000002</v>
    <v>6.444</v>
    <v>6.4359999999999999</v>
    <v>6.4119999999999999</v>
    <v>6.3920000000000003</v>
    <v>6.4249999999999998</v>
    <v>6.4020000000000001</v>
    <v>6.3840000000000003</v>
    <v>6.4020000000000001</v>
    <v>6.4219999999999997</v>
    <v>6.4020000000000001</v>
    <v>6.4160000000000004</v>
    <v>6.415</v>
    <v>6.4619999999999997</v>
    <v>6.4859999999999998</v>
    <v>6.5279999999999996</v>
    <v>6.516</v>
    <v>6.5339999999999998</v>
    <v>6.5090000000000003</v>
    <v>6.5039999999999996</v>
    <v>6.431</v>
    <v>6.4660000000000002</v>
    <v>6.4720000000000004</v>
    <v>6.4210000000000003</v>
    <v>6.43</v>
    <v>6.4710000000000001</v>
    <v>6.4669999999999996</v>
    <v>6.4690000000000003</v>
    <v>6.5339999999999998</v>
    <v>6.4619999999999997</v>
    <v>6.2670000000000003</v>
    <v>6.141</v>
    <v>6.1929999999999996</v>
    <v>6.2679999999999998</v>
    <v>6.2539999999999996</v>
    <v>6.2629999999999999</v>
    <v>6.258</v>
    <v>6.3040000000000003</v>
    <v>6.3220000000000001</v>
    <v>6.42</v>
    <v>6.4219999999999997</v>
    <v>6.444</v>
    <v>6.4349999999999996</v>
    <v>6.4630000000000001</v>
    <v>6.468</v>
    <v>6.4809999999999999</v>
    <v>6.4870000000000001</v>
    <v>6.51</v>
    <v>6.5220000000000002</v>
    <v>6.5839999999999996</v>
    <v>6.57</v>
    <v>6.61</v>
    <v>6.5529999999999999</v>
    <v>6.4969999999999999</v>
    <v>6.4530000000000003</v>
    <v>6.39</v>
    <v>6.4630000000000001</v>
    <v>6.4669999999999996</v>
    <v>6.444</v>
    <v>6.4989999999999997</v>
    <v>6.5410000000000004</v>
    <v>6.5330000000000004</v>
    <v>6.5670000000000002</v>
    <v>6.5430000000000001</v>
    <v>6.6050000000000004</v>
    <v>6.5549999999999997</v>
    <v>6.59</v>
    <v>6.6139999999999999</v>
    <v>6.6</v>
    <v>6.6429999999999998</v>
    <v>6.7</v>
    <v>6.6520000000000001</v>
    <v>6.6440000000000001</v>
    <v>6.67</v>
    <v>6.6390000000000002</v>
    <v>6.6580000000000004</v>
    <v>6.6619999999999999</v>
    <v>6.6619999999999999</v>
    <v>6.7229999999999999</v>
    <v>6.7169999999999996</v>
    <v>6.7389999999999999</v>
    <v>6.7990000000000004</v>
    <v>6.7919999999999998</v>
    <v>6.774</v>
    <v>6.806</v>
    <v>6.7939999999999996</v>
    <v>6.7560000000000002</v>
    <v>6.734</v>
    <v>6.726</v>
    <v>6.726</v>
    <v>6.7409999999999997</v>
    <v>6.7460000000000004</v>
    <v>6.74</v>
    <v>6.665</v>
    <v>6.5789999999999997</v>
    <v>6.6289999999999996</v>
    <v>6.577</v>
    <v>6.5949999999999998</v>
    <v>6.694</v>
    <v>6.7329999999999997</v>
    <v>6.7489999999999997</v>
    <v>6.7869999999999999</v>
    <v>6.7320000000000002</v>
    <v>6.7350000000000003</v>
    <v>6.6760000000000002</v>
    <v>6.5940000000000003</v>
    <v>6.6310000000000002</v>
    <v>6.6050000000000004</v>
    <v>6.6040000000000001</v>
    <v>6.6909999999999998</v>
    <v>6.7779999999999996</v>
    <v>6.7670000000000003</v>
    <v>6.7279999999999998</v>
    <v>6.6909999999999998</v>
    <v>6.726</v>
    <v>6.766</v>
    <v>6.8120000000000003</v>
    <v>6.7969999999999997</v>
    <v>6.7939999999999996</v>
    <v>6.782</v>
    <v>6.7649999999999997</v>
    <v>6.7729999999999997</v>
    <v>6.7709999999999999</v>
    <v>6.7750000000000004</v>
    <v>6.742</v>
    <v>6.7350000000000003</v>
    <v>6.6929999999999996</v>
    <v>6.665</v>
    <v>6.665</v>
    <v>6.5949999999999998</v>
    <v>6.6020000000000003</v>
    <v>6.5940000000000003</v>
    <v>6.6609999999999996</v>
    <v>6.5960000000000001</v>
    <v>6.7110000000000003</v>
    <v>6.6870000000000003</v>
    <v>6.7389999999999999</v>
    <v>6.74</v>
    <v>6.7329999999999997</v>
    <v>6.7629999999999999</v>
    <v>6.6970000000000001</v>
    <v>6.6719999999999997</v>
    <v>6.69</v>
    <v>6.78</v>
    <v>6.7949999999999999</v>
    <v>6.8440000000000003</v>
    <v>6.81</v>
    <v>6.8230000000000004</v>
    <v>6.8520000000000003</v>
    <v>6.8440000000000003</v>
    <v>6.8230000000000004</v>
    <v>6.7919999999999998</v>
    <v>6.8230000000000004</v>
    <v>6.8659999999999997</v>
    <v>6.8760000000000003</v>
    <v>6.9370000000000003</v>
    <v>6.8659999999999997</v>
    <v>6.8760000000000003</v>
    <v>6.8840000000000003</v>
    <v>6.92</v>
    <v>6.891</v>
    <v>6.9489999999999998</v>
    <v>6.9340000000000002</v>
    <v>6.9109999999999996</v>
    <v>6.9749999999999996</v>
    <v>6.923</v>
    <v>6.9809999999999999</v>
    <v>6.9749999999999996</v>
    <v>7.0039999999999996</v>
    <v>7.0030000000000001</v>
    <v>7.0069999999999997</v>
    <v>6.9779999999999998</v>
    <v>6.952</v>
    <v>6.984</v>
    <v>6.98</v>
    <v>6.9160000000000004</v>
    <v>6.9509999999999996</v>
    <v>6.806</v>
    <v>6.6980000000000004</v>
    <v>6.7149999999999999</v>
    <v>6.6989999999999998</v>
    <v>6.7169999999999996</v>
    <v>6.5419999999999998</v>
    <v>6.548</v>
    <v>6.5279999999999996</v>
    <v>6.577</v>
    <v>6.6379999999999999</v>
    <v>6.633</v>
    <v>6.6719999999999997</v>
    <v>6.6790000000000003</v>
    <v>6.6260000000000003</v>
    <v>6.7080000000000002</v>
    <v>6.6980000000000004</v>
    <v>6.6760000000000002</v>
    <v>6.6769999999999996</v>
    <v>6.5890000000000004</v>
    <v>6.5540000000000003</v>
    <v>6.5990000000000002</v>
    <v>6.569</v>
    <v>6.3380000000000001</v>
    <v>6.06</v>
    <v>5.851</v>
    <v>6.0030000000000001</v>
    <v>5.7009999999999996</v>
    <v>5.9169999999999998</v>
    <v>5.8849999999999998</v>
    <v>6.0570000000000004</v>
    <v>6.1269999999999998</v>
    <v>6.07</v>
    <v>6.0220000000000002</v>
    <v>5.992</v>
    <v>6.13</v>
    <v>6.1529999999999996</v>
    <v>6.1749999999999998</v>
    <v>6.19</v>
    <v>6.2249999999999996</v>
    <v>6.2560000000000002</v>
    <v>6.3959999999999999</v>
    <v>6.3650000000000002</v>
    <v>6.306</v>
    <v>6.319</v>
    <v>6.4050000000000002</v>
    <v>6.4109999999999996</v>
    <v>6.5810000000000004</v>
    <v>6.5780000000000003</v>
    <v>6.5190000000000001</v>
    <v>6.5220000000000002</v>
    <v>6.5579999999999998</v>
    <v>6.5359999999999996</v>
    <v>6.56</v>
    <v>6.5110000000000001</v>
    <v>6.452</v>
    <v>6.375</v>
    <v>6.4349999999999996</v>
    <v>6.48</v>
    <v>6.4669999999999996</v>
    <v>6.4530000000000003</v>
    <v>6.4349999999999996</v>
    <v>6.3949999999999996</v>
    <v>6.45</v>
    <v>6.4669999999999996</v>
    <v>6.46</v>
    <v>6.5060000000000002</v>
    <v>6.5140000000000002</v>
    <v>6.5380000000000003</v>
    <v>6.5110000000000001</v>
    <v>6.4640000000000004</v>
    <v>6.4210000000000003</v>
    <v>6.4420000000000002</v>
    <v>6.4279999999999999</v>
    <v>6.4089999999999998</v>
    <v>6.3609999999999998</v>
    <v>6.3739999999999997</v>
    <v>6.3579999999999997</v>
    <v>6.4080000000000004</v>
    <v>6.3769999999999998</v>
    <v>6.4119999999999999</v>
    <v>6.4509999999999996</v>
    <v>6.4340000000000002</v>
    <v>6.4660000000000002</v>
    <v>6.4889999999999999</v>
    <v>6.5229999999999997</v>
    <v>6.4850000000000003</v>
    <v>6.4930000000000003</v>
    <v>6.5369999999999999</v>
    <v>6.5209999999999999</v>
    <v>6.5830000000000002</v>
    <v>6.5149999999999997</v>
    <v>6.5010000000000003</v>
    <v>6.52</v>
    <v>6.4390000000000001</v>
    <v>6.5380000000000003</v>
    <v>6.524</v>
    <v>6.5190000000000001</v>
    <v>6.5010000000000003</v>
    <v>6.5549999999999997</v>
    <v>6.5510000000000002</v>
    <v>6.5449999999999999</v>
    <v>6.5910000000000002</v>
    <v>6.6369999999999996</v>
    <v>6.6470000000000002</v>
    <v>6.5979999999999999</v>
    <v>6.4530000000000003</v>
    <v>6.5270000000000001</v>
    <v>6.5220000000000002</v>
    <v>6.5149999999999997</v>
    <v>6.55</v>
    <v>6.5709999999999997</v>
    <v>6.6059999999999999</v>
    <v>6.6130000000000004</v>
    <v>6.633</v>
    <v>6.6150000000000002</v>
    <v>6.5789999999999997</v>
    <v>6.5869999999999997</v>
    <v>6.6239999999999997</v>
    <v>6.6130000000000004</v>
    <v>6.6310000000000002</v>
    <v>6.665</v>
    <v>6.6239999999999997</v>
    <v>6.609</v>
    <v>6.64</v>
    <v>6.61</v>
    <v>6.5720000000000001</v>
    <v>6.59</v>
    <v>6.5149999999999997</v>
    <v>6.5279999999999996</v>
    <v>6.5759999999999996</v>
    <v>6.5629999999999997</v>
    <v>6.5629999999999997</v>
    <v>6.5629999999999997</v>
    <v>6.5609999999999999</v>
    <v>6.6219999999999999</v>
    <v>6.6070000000000002</v>
    <v>6.5919999999999996</v>
    <v>6.5419999999999998</v>
    <v>6.569</v>
    <v>6.6319999999999997</v>
    <v>6.64</v>
    <v>6.6459999999999999</v>
    <v>6.6660000000000004</v>
    <v>6.6539999999999999</v>
    <v>6.6379999999999999</v>
    <v>6.6520000000000001</v>
    <v>6.6580000000000004</v>
    <v>6.6849999999999996</v>
    <v>6.782</v>
    <v>6.82</v>
    <v>6.8550000000000004</v>
    <v>6.8710000000000004</v>
    <v>6.8360000000000003</v>
    <v>6.86</v>
    <v>6.8680000000000003</v>
    <v>6.7430000000000003</v>
    <v>6.782</v>
    <v>6.7679999999999998</v>
    <v>6.7960000000000003</v>
    <v>6.8010000000000002</v>
    <v>6.7679999999999998</v>
    <v>6.8719999999999999</v>
    <v>6.9029999999999996</v>
    <v>6.8739999999999997</v>
    <v>6.8860000000000001</v>
    <v>6.915</v>
    <v>6.9560000000000004</v>
    <v>6.9470000000000001</v>
    <v>6.9589999999999996</v>
    <v>6.9820000000000002</v>
    <v>6.9729999999999999</v>
    <v>6.9630000000000001</v>
    <v>6.9539999999999997</v>
    <v>6.9850000000000003</v>
    <v>6.915</v>
    <v>6.8639999999999999</v>
    <v>6.9509999999999996</v>
    <v>7.0019999999999998</v>
    <v>7.069</v>
    <v>6.9880000000000004</v>
    <v>6.9459999999999997</v>
    <v>6.9320000000000004</v>
    <v>6.8259999999999996</v>
    <v>6.8419999999999996</v>
    <v>6.859</v>
    <v>6.8540000000000001</v>
    <v>6.9189999999999996</v>
    <v>6.9320000000000004</v>
    <v>7.0039999999999996</v>
    <v>6.9950000000000001</v>
    <v>7.008</v>
    <v>7.0060000000000002</v>
    <v>7.0069999999999997</v>
    <v>7.032</v>
    <v>7.0739999999999998</v>
    <v>7.085</v>
    <v>7.0759999999999996</v>
    <v>7.0819999999999999</v>
    <v>7.0839999999999996</v>
    <v>7.0810000000000004</v>
    <v>7.04</v>
    <v>7.0640000000000001</v>
    <v>7.0220000000000002</v>
    <v>6.9820000000000002</v>
    <v>7.0439999999999996</v>
    <v>7.07</v>
    <v>7.0679999999999996</v>
    <v>7.0780000000000003</v>
    <v>7.1</v>
    <v>7.1219999999999999</v>
    <v>7.1139999999999999</v>
    <v>7.1779999999999999</v>
    <v>7.22</v>
    <v>7.2190000000000003</v>
    <v>7.2190000000000003</v>
    <v>7.2759999999999998</v>
    <v>7.2640000000000002</v>
    <v>7.2560000000000002</v>
    <v>7.2610000000000001</v>
    <v>7.335</v>
    <v>7.3159999999999998</v>
    <v>7.24</v>
    <v>7.1710000000000003</v>
    <v>7.1859999999999999</v>
    <v>7.2510000000000003</v>
    <v>7.2229999999999999</v>
    <v>7.21</v>
    <v>7.2009999999999996</v>
    <v>7.2119999999999997</v>
    <v>7.1630000000000003</v>
    <v>7.2240000000000002</v>
    <v>7.3129999999999997</v>
    <v>7.31</v>
    <v>7.3890000000000002</v>
    <v>7.34</v>
    <v>7.4089999999999998</v>
    <v>7.41</v>
    <v>7.4320000000000004</v>
    <v>7.4589999999999996</v>
    <v>7.3979999999999997</v>
    <v>7.4109999999999996</v>
    <v>7.3959999999999999</v>
    <v>7.4279999999999999</v>
    <v>7.4820000000000002</v>
    <v>7.4329999999999998</v>
    <v>7.4589999999999996</v>
    <v>7.4450000000000003</v>
    <v>7.4809999999999999</v>
    <v>7.4930000000000003</v>
    <v>7.4880000000000004</v>
    <v>7.5069999999999997</v>
    <v>7.46</v>
    <v>7.3360000000000003</v>
    <v>7.4029999999999996</v>
    <v>7.3650000000000002</v>
    <v>7.2759999999999998</v>
    <v>7.2240000000000002</v>
    <v>7.327</v>
    <v>7.2919999999999998</v>
    <v>7.2460000000000004</v>
    <v>7.2549999999999999</v>
    <v>7.274</v>
    <v>7.2960000000000003</v>
    <v>7.234</v>
    <v>7.15</v>
    <v>7.0830000000000002</v>
    <v>7.1</v>
    <v>7.1440000000000001</v>
    <v>7.2169999999999996</v>
    <v>7.1769999999999996</v>
    <v>7.1059999999999999</v>
    <v>7.149</v>
    <v>7.1360000000000001</v>
    <v>7.2560000000000002</v>
    <v>7.2590000000000003</v>
    <v>7.2050000000000001</v>
    <v>7.3639999999999999</v>
    <v>7.3760000000000003</v>
    <v>7.3769999999999998</v>
    <v>7.335</v>
    <v>7.3879999999999999</v>
    <v>7.3810000000000002</v>
    <v>7.4359999999999999</v>
    <v>7.5389999999999997</v>
    <v>7.5449999999999999</v>
    <v>7.5369999999999999</v>
    <v>7.51</v>
    <v>7.585</v>
    <v>7.57</v>
    <v>7.54</v>
    <v>7.5060000000000002</v>
    <v>7.4939999999999998</v>
    <v>7.6120000000000001</v>
    <v>7.5629999999999997</v>
    <v>7.6239999999999997</v>
    <v>7.7370000000000001</v>
    <v>7.7169999999999996</v>
    <v>7.7480000000000002</v>
    <v>7.7960000000000003</v>
    <v>7.7290000000000001</v>
    <v>7.7889999999999997</v>
    <v>7.9189999999999996</v>
    <v>7.8819999999999997</v>
    <v>7.8479999999999999</v>
    <v>7.8659999999999997</v>
    <v>7.9189999999999996</v>
    <v>7.87</v>
    <v>8.0150000000000006</v>
    <v>8.08</v>
    <v>8.0500000000000007</v>
    <v>8.0220000000000002</v>
    <v>8.0489999999999995</v>
    <v>8.077</v>
    <v>8.0980000000000008</v>
    <v>8.125</v>
    <v>8.11</v>
    <v>8.1110000000000007</v>
    <v>8.0939999999999994</v>
    <v>8.07</v>
    <v>7.9880000000000004</v>
    <v>7.992</v>
    <v>8.0340000000000007</v>
    <v>8.1639999999999997</v>
    <v>8.2059999999999995</v>
    <v>8.18</v>
    <v>8.2159999999999993</v>
    <v>8.2110000000000003</v>
    <v>8.2070000000000007</v>
    <v>8.24</v>
    <v>8.173</v>
    <v>8.218</v>
    <v>8.2469999999999999</v>
    <v>8.2330000000000005</v>
    <v>8.2550000000000008</v>
    <v>8.3149999999999995</v>
    <v>8.3109999999999999</v>
    <v>8.2769999999999992</v>
    <v>8.3369999999999997</v>
    <v>8.3070000000000004</v>
    <v>8.2750000000000004</v>
    <v>8.2360000000000007</v>
    <v>8.3420000000000005</v>
    <v>8.3719999999999999</v>
    <v>8.3770000000000007</v>
    <v>8.3420000000000005</v>
    <v>8.3290000000000006</v>
    <v>8.3520000000000003</v>
    <v>8.3119999999999994</v>
    <v>8.3000000000000007</v>
    <v>8.3249999999999993</v>
    <v>8.3650000000000002</v>
    <v>8.327</v>
    <v>8.4</v>
    <v>8.4079999999999995</v>
    <v>8.4689999999999994</v>
    <v>8.423</v>
    <v>8.3550000000000004</v>
    <v>8.3450000000000006</v>
    <v>8.4090000000000007</v>
    <v>8.5169999999999995</v>
    <v>8.5259999999999998</v>
    <v>8.5389999999999997</v>
    <v>8.577</v>
    <v>8.5950000000000006</v>
    <v>8.58</v>
    <v>8.5779999999999994</v>
    <v>8.6170000000000009</v>
    <v>8.5670000000000002</v>
    <v>8.5410000000000004</v>
    <v>8.4930000000000003</v>
    <v>8.5139999999999993</v>
    <v>8.4239999999999995</v>
    <v>8.4570000000000007</v>
    <v>8.4499999999999993</v>
    <v>8.4809999999999999</v>
    <v>8.4809999999999999</v>
    <v>8.4849999999999994</v>
    <v>8.5340000000000007</v>
    <v>8.4730000000000008</v>
    <v>8.4499999999999993</v>
    <v>8.4619999999999997</v>
    <v>8.5289999999999999</v>
    <v>8.5190000000000001</v>
    <v>8.4849999999999994</v>
    <v>8.4320000000000004</v>
    <v>8.3409999999999993</v>
    <v>8.31</v>
    <v>8.3949999999999996</v>
    <v>8.4149999999999991</v>
    <v>8.3889999999999993</v>
    <v>8.42</v>
    <v>8.4619999999999997</v>
    <v>8.4060000000000006</v>
    <v>8.4589999999999996</v>
    <v>8.4710000000000001</v>
    <v>8.4510000000000005</v>
    <v>8.3919999999999995</v>
    <v>8.4600000000000009</v>
    <v>8.44</v>
    <v>8.4440000000000008</v>
    <v>8.4640000000000004</v>
    <v>8.4730000000000008</v>
    <v>8.5239999999999991</v>
    <v>8.5459999999999994</v>
    <v>8.5790000000000006</v>
    <v>8.5920000000000005</v>
    <v>8.5399999999999991</v>
    <v>8.59</v>
    <v>8.6189999999999998</v>
    <v>8.609</v>
    <v>8.6310000000000002</v>
    <v>8.6530000000000005</v>
    <v>8.6479999999999997</v>
    <v>8.6270000000000007</v>
    <v>8.6519999999999992</v>
    <v>8.7110000000000003</v>
    <v>8.7040000000000006</v>
    <v>8.6980000000000004</v>
  </a>
  <a r="1" c="208">
    <v>7.1139999999999999</v>
    <v>7.1779999999999999</v>
    <v>7.22</v>
    <v>7.2190000000000003</v>
    <v>7.2190000000000003</v>
    <v>7.2759999999999998</v>
    <v>7.2640000000000002</v>
    <v>7.2560000000000002</v>
    <v>7.2610000000000001</v>
    <v>7.335</v>
    <v>7.3159999999999998</v>
    <v>7.24</v>
    <v>7.1710000000000003</v>
    <v>7.1859999999999999</v>
    <v>7.2510000000000003</v>
    <v>7.2229999999999999</v>
    <v>7.21</v>
    <v>7.2009999999999996</v>
    <v>7.2119999999999997</v>
    <v>7.1630000000000003</v>
    <v>7.2240000000000002</v>
    <v>7.3129999999999997</v>
    <v>7.31</v>
    <v>7.3890000000000002</v>
    <v>7.34</v>
    <v>7.4089999999999998</v>
    <v>7.41</v>
    <v>7.4320000000000004</v>
    <v>7.4589999999999996</v>
    <v>7.3979999999999997</v>
    <v>7.4109999999999996</v>
    <v>7.3959999999999999</v>
    <v>7.4279999999999999</v>
    <v>7.4820000000000002</v>
    <v>7.4329999999999998</v>
    <v>7.4589999999999996</v>
    <v>7.4450000000000003</v>
    <v>7.4809999999999999</v>
    <v>7.4930000000000003</v>
    <v>7.4880000000000004</v>
    <v>7.5069999999999997</v>
    <v>7.46</v>
    <v>7.3360000000000003</v>
    <v>7.4029999999999996</v>
    <v>7.3650000000000002</v>
    <v>7.2759999999999998</v>
    <v>7.2240000000000002</v>
    <v>7.327</v>
    <v>7.2919999999999998</v>
    <v>7.2460000000000004</v>
    <v>7.2549999999999999</v>
    <v>7.274</v>
    <v>7.2960000000000003</v>
    <v>7.234</v>
    <v>7.15</v>
    <v>7.0830000000000002</v>
    <v>7.1</v>
    <v>7.1440000000000001</v>
    <v>7.2169999999999996</v>
    <v>7.1769999999999996</v>
    <v>7.1059999999999999</v>
    <v>7.149</v>
    <v>7.1360000000000001</v>
    <v>7.2560000000000002</v>
    <v>7.2590000000000003</v>
    <v>7.2050000000000001</v>
    <v>7.3639999999999999</v>
    <v>7.3760000000000003</v>
    <v>7.3769999999999998</v>
    <v>7.335</v>
    <v>7.3879999999999999</v>
    <v>7.3810000000000002</v>
    <v>7.4359999999999999</v>
    <v>7.5389999999999997</v>
    <v>7.5449999999999999</v>
    <v>7.5369999999999999</v>
    <v>7.51</v>
    <v>7.585</v>
    <v>7.57</v>
    <v>7.54</v>
    <v>7.5060000000000002</v>
    <v>7.4939999999999998</v>
    <v>7.6120000000000001</v>
    <v>7.5629999999999997</v>
    <v>7.6239999999999997</v>
    <v>7.7370000000000001</v>
    <v>7.7169999999999996</v>
    <v>7.7480000000000002</v>
    <v>7.7960000000000003</v>
    <v>7.7290000000000001</v>
    <v>7.7889999999999997</v>
    <v>7.9189999999999996</v>
    <v>7.8819999999999997</v>
    <v>7.8479999999999999</v>
    <v>7.8659999999999997</v>
    <v>7.9189999999999996</v>
    <v>7.87</v>
    <v>8.0150000000000006</v>
    <v>8.08</v>
    <v>8.0500000000000007</v>
    <v>8.0220000000000002</v>
    <v>8.0489999999999995</v>
    <v>8.077</v>
    <v>8.0980000000000008</v>
    <v>8.125</v>
    <v>8.11</v>
    <v>8.1110000000000007</v>
    <v>8.0939999999999994</v>
    <v>8.07</v>
    <v>7.9880000000000004</v>
    <v>7.992</v>
    <v>8.0340000000000007</v>
    <v>8.1639999999999997</v>
    <v>8.2059999999999995</v>
    <v>8.18</v>
    <v>8.2159999999999993</v>
    <v>8.2110000000000003</v>
    <v>8.2070000000000007</v>
    <v>8.24</v>
    <v>8.173</v>
    <v>8.218</v>
    <v>8.2469999999999999</v>
    <v>8.2330000000000005</v>
    <v>8.2550000000000008</v>
    <v>8.3149999999999995</v>
    <v>8.3109999999999999</v>
    <v>8.2769999999999992</v>
    <v>8.3369999999999997</v>
    <v>8.3070000000000004</v>
    <v>8.2750000000000004</v>
    <v>8.2360000000000007</v>
    <v>8.3420000000000005</v>
    <v>8.3719999999999999</v>
    <v>8.3770000000000007</v>
    <v>8.3420000000000005</v>
    <v>8.3290000000000006</v>
    <v>8.3520000000000003</v>
    <v>8.3119999999999994</v>
    <v>8.3000000000000007</v>
    <v>8.3249999999999993</v>
    <v>8.3650000000000002</v>
    <v>8.327</v>
    <v>8.4</v>
    <v>8.4079999999999995</v>
    <v>8.4689999999999994</v>
    <v>8.423</v>
    <v>8.3550000000000004</v>
    <v>8.3450000000000006</v>
    <v>8.4090000000000007</v>
    <v>8.5169999999999995</v>
    <v>8.5259999999999998</v>
    <v>8.5389999999999997</v>
    <v>8.577</v>
    <v>8.5950000000000006</v>
    <v>8.58</v>
    <v>8.5779999999999994</v>
    <v>8.6170000000000009</v>
    <v>8.5670000000000002</v>
    <v>8.5410000000000004</v>
    <v>8.4930000000000003</v>
    <v>8.5139999999999993</v>
    <v>8.4239999999999995</v>
    <v>8.4570000000000007</v>
    <v>8.4499999999999993</v>
    <v>8.4809999999999999</v>
    <v>8.4809999999999999</v>
    <v>8.4849999999999994</v>
    <v>8.5340000000000007</v>
    <v>8.4730000000000008</v>
    <v>8.4499999999999993</v>
    <v>8.4619999999999997</v>
    <v>8.5289999999999999</v>
    <v>8.5190000000000001</v>
    <v>8.4849999999999994</v>
    <v>8.4320000000000004</v>
    <v>8.3409999999999993</v>
    <v>8.31</v>
    <v>8.3949999999999996</v>
    <v>8.4149999999999991</v>
    <v>8.3889999999999993</v>
    <v>8.42</v>
    <v>8.4619999999999997</v>
    <v>8.4060000000000006</v>
    <v>8.4589999999999996</v>
    <v>8.4710000000000001</v>
    <v>8.4510000000000005</v>
    <v>8.3919999999999995</v>
    <v>8.4600000000000009</v>
    <v>8.44</v>
    <v>8.4440000000000008</v>
    <v>8.4640000000000004</v>
    <v>8.4730000000000008</v>
    <v>8.5239999999999991</v>
    <v>8.5459999999999994</v>
    <v>8.5790000000000006</v>
    <v>8.5920000000000005</v>
    <v>8.5399999999999991</v>
    <v>8.59</v>
    <v>8.6189999999999998</v>
    <v>8.609</v>
    <v>8.6310000000000002</v>
    <v>8.6530000000000005</v>
    <v>8.6479999999999997</v>
    <v>8.6270000000000007</v>
    <v>8.6519999999999992</v>
    <v>8.7110000000000003</v>
    <v>8.7040000000000006</v>
    <v>8.6980000000000004</v>
  </a>
  <a r="1" c="254">
    <v>6.8860000000000001</v>
    <v>6.915</v>
    <v>6.9560000000000004</v>
    <v>6.9470000000000001</v>
    <v>6.9589999999999996</v>
    <v>6.9820000000000002</v>
    <v>6.9729999999999999</v>
    <v>6.9630000000000001</v>
    <v>6.9539999999999997</v>
    <v>6.9850000000000003</v>
    <v>6.915</v>
    <v>6.8639999999999999</v>
    <v>6.9509999999999996</v>
    <v>7.0019999999999998</v>
    <v>7.069</v>
    <v>6.9880000000000004</v>
    <v>6.9459999999999997</v>
    <v>6.9320000000000004</v>
    <v>6.8259999999999996</v>
    <v>6.8419999999999996</v>
    <v>6.859</v>
    <v>6.8540000000000001</v>
    <v>6.9189999999999996</v>
    <v>6.9320000000000004</v>
    <v>7.0039999999999996</v>
    <v>6.9950000000000001</v>
    <v>7.008</v>
    <v>7.0060000000000002</v>
    <v>7.0069999999999997</v>
    <v>7.032</v>
    <v>7.0739999999999998</v>
    <v>7.085</v>
    <v>7.0759999999999996</v>
    <v>7.0819999999999999</v>
    <v>7.0839999999999996</v>
    <v>7.0810000000000004</v>
    <v>7.04</v>
    <v>7.0640000000000001</v>
    <v>7.0220000000000002</v>
    <v>6.9820000000000002</v>
    <v>7.0439999999999996</v>
    <v>7.07</v>
    <v>7.0679999999999996</v>
    <v>7.0780000000000003</v>
    <v>7.1</v>
    <v>7.1219999999999999</v>
    <v>7.1139999999999999</v>
    <v>7.1779999999999999</v>
    <v>7.22</v>
    <v>7.2190000000000003</v>
    <v>7.2190000000000003</v>
    <v>7.2759999999999998</v>
    <v>7.2640000000000002</v>
    <v>7.2560000000000002</v>
    <v>7.2610000000000001</v>
    <v>7.335</v>
    <v>7.3159999999999998</v>
    <v>7.24</v>
    <v>7.1710000000000003</v>
    <v>7.1859999999999999</v>
    <v>7.2510000000000003</v>
    <v>7.2229999999999999</v>
    <v>7.21</v>
    <v>7.2009999999999996</v>
    <v>7.2119999999999997</v>
    <v>7.1630000000000003</v>
    <v>7.2240000000000002</v>
    <v>7.3129999999999997</v>
    <v>7.31</v>
    <v>7.3890000000000002</v>
    <v>7.34</v>
    <v>7.4089999999999998</v>
    <v>7.41</v>
    <v>7.4320000000000004</v>
    <v>7.4589999999999996</v>
    <v>7.3979999999999997</v>
    <v>7.4109999999999996</v>
    <v>7.3959999999999999</v>
    <v>7.4279999999999999</v>
    <v>7.4820000000000002</v>
    <v>7.4329999999999998</v>
    <v>7.4589999999999996</v>
    <v>7.4450000000000003</v>
    <v>7.4809999999999999</v>
    <v>7.4930000000000003</v>
    <v>7.4880000000000004</v>
    <v>7.5069999999999997</v>
    <v>7.46</v>
    <v>7.3360000000000003</v>
    <v>7.4029999999999996</v>
    <v>7.3650000000000002</v>
    <v>7.2759999999999998</v>
    <v>7.2240000000000002</v>
    <v>7.327</v>
    <v>7.2919999999999998</v>
    <v>7.2460000000000004</v>
    <v>7.2549999999999999</v>
    <v>7.274</v>
    <v>7.2960000000000003</v>
    <v>7.234</v>
    <v>7.15</v>
    <v>7.0830000000000002</v>
    <v>7.1</v>
    <v>7.1440000000000001</v>
    <v>7.2169999999999996</v>
    <v>7.1769999999999996</v>
    <v>7.1059999999999999</v>
    <v>7.149</v>
    <v>7.1360000000000001</v>
    <v>7.2560000000000002</v>
    <v>7.2590000000000003</v>
    <v>7.2050000000000001</v>
    <v>7.3639999999999999</v>
    <v>7.3760000000000003</v>
    <v>7.3769999999999998</v>
    <v>7.335</v>
    <v>7.3879999999999999</v>
    <v>7.3810000000000002</v>
    <v>7.4359999999999999</v>
    <v>7.5389999999999997</v>
    <v>7.5449999999999999</v>
    <v>7.5369999999999999</v>
    <v>7.51</v>
    <v>7.585</v>
    <v>7.57</v>
    <v>7.54</v>
    <v>7.5060000000000002</v>
    <v>7.4939999999999998</v>
    <v>7.6120000000000001</v>
    <v>7.5629999999999997</v>
    <v>7.6239999999999997</v>
    <v>7.7370000000000001</v>
    <v>7.7169999999999996</v>
    <v>7.7480000000000002</v>
    <v>7.7960000000000003</v>
    <v>7.7290000000000001</v>
    <v>7.7889999999999997</v>
    <v>7.9189999999999996</v>
    <v>7.8819999999999997</v>
    <v>7.8479999999999999</v>
    <v>7.8659999999999997</v>
    <v>7.9189999999999996</v>
    <v>7.87</v>
    <v>8.0150000000000006</v>
    <v>8.08</v>
    <v>8.0500000000000007</v>
    <v>8.0220000000000002</v>
    <v>8.0489999999999995</v>
    <v>8.077</v>
    <v>8.0980000000000008</v>
    <v>8.125</v>
    <v>8.11</v>
    <v>8.1110000000000007</v>
    <v>8.0939999999999994</v>
    <v>8.07</v>
    <v>7.9880000000000004</v>
    <v>7.992</v>
    <v>8.0340000000000007</v>
    <v>8.1639999999999997</v>
    <v>8.2059999999999995</v>
    <v>8.18</v>
    <v>8.2159999999999993</v>
    <v>8.2110000000000003</v>
    <v>8.2070000000000007</v>
    <v>8.24</v>
    <v>8.173</v>
    <v>8.218</v>
    <v>8.2469999999999999</v>
    <v>8.2330000000000005</v>
    <v>8.2550000000000008</v>
    <v>8.3149999999999995</v>
    <v>8.3109999999999999</v>
    <v>8.2769999999999992</v>
    <v>8.3369999999999997</v>
    <v>8.3070000000000004</v>
    <v>8.2750000000000004</v>
    <v>8.2360000000000007</v>
    <v>8.3420000000000005</v>
    <v>8.3719999999999999</v>
    <v>8.3770000000000007</v>
    <v>8.3420000000000005</v>
    <v>8.3290000000000006</v>
    <v>8.3520000000000003</v>
    <v>8.3119999999999994</v>
    <v>8.3000000000000007</v>
    <v>8.3249999999999993</v>
    <v>8.3650000000000002</v>
    <v>8.327</v>
    <v>8.4</v>
    <v>8.4079999999999995</v>
    <v>8.4689999999999994</v>
    <v>8.423</v>
    <v>8.3550000000000004</v>
    <v>8.3450000000000006</v>
    <v>8.4090000000000007</v>
    <v>8.5169999999999995</v>
    <v>8.5259999999999998</v>
    <v>8.5389999999999997</v>
    <v>8.577</v>
    <v>8.5950000000000006</v>
    <v>8.58</v>
    <v>8.5779999999999994</v>
    <v>8.6170000000000009</v>
    <v>8.5670000000000002</v>
    <v>8.5410000000000004</v>
    <v>8.4930000000000003</v>
    <v>8.5139999999999993</v>
    <v>8.4239999999999995</v>
    <v>8.4570000000000007</v>
    <v>8.4499999999999993</v>
    <v>8.4809999999999999</v>
    <v>8.4809999999999999</v>
    <v>8.4849999999999994</v>
    <v>8.5340000000000007</v>
    <v>8.4730000000000008</v>
    <v>8.4499999999999993</v>
    <v>8.4619999999999997</v>
    <v>8.5289999999999999</v>
    <v>8.5190000000000001</v>
    <v>8.4849999999999994</v>
    <v>8.4320000000000004</v>
    <v>8.3409999999999993</v>
    <v>8.31</v>
    <v>8.3949999999999996</v>
    <v>8.4149999999999991</v>
    <v>8.3889999999999993</v>
    <v>8.42</v>
    <v>8.4619999999999997</v>
    <v>8.4060000000000006</v>
    <v>8.4589999999999996</v>
    <v>8.4710000000000001</v>
    <v>8.4510000000000005</v>
    <v>8.3919999999999995</v>
    <v>8.4600000000000009</v>
    <v>8.44</v>
    <v>8.4440000000000008</v>
    <v>8.4640000000000004</v>
    <v>8.4730000000000008</v>
    <v>8.5239999999999991</v>
    <v>8.5459999999999994</v>
    <v>8.5790000000000006</v>
    <v>8.5920000000000005</v>
    <v>8.5399999999999991</v>
    <v>8.59</v>
    <v>8.6189999999999998</v>
    <v>8.609</v>
    <v>8.6310000000000002</v>
    <v>8.6530000000000005</v>
    <v>8.6479999999999997</v>
    <v>8.6270000000000007</v>
    <v>8.6519999999999992</v>
    <v>8.7110000000000003</v>
    <v>8.7040000000000006</v>
    <v>8.6980000000000004</v>
  </a>
  <a r="1" c="209">
    <v>120.05</v>
    <v>121.15</v>
    <v>121.3</v>
    <v>120.4</v>
    <v>124.25</v>
    <v>123.75</v>
    <v>121</v>
    <v>122.05</v>
    <v>116.55</v>
    <v>116.75</v>
    <v>116.25</v>
    <v>117.45</v>
    <v>116.1</v>
    <v>114.75</v>
    <v>114.8</v>
    <v>117.55</v>
    <v>117.55</v>
    <v>117.15</v>
    <v>118.75</v>
    <v>119.7</v>
    <v>120.1</v>
    <v>121.15</v>
    <v>121.75</v>
    <v>122.55</v>
    <v>124.25</v>
    <v>122.1</v>
    <v>134.19999999999999</v>
    <v>133.1</v>
    <v>132.94999999999999</v>
    <v>133.55000000000001</v>
    <v>134</v>
    <v>135.30000000000001</v>
    <v>136.65</v>
    <v>137.35</v>
    <v>137.75</v>
    <v>139.44999999999999</v>
    <v>140.1</v>
    <v>140.9</v>
    <v>141.75</v>
    <v>141.85</v>
    <v>142.35</v>
    <v>140.75</v>
    <v>138.4</v>
    <v>133.25</v>
    <v>134.15</v>
    <v>131.69999999999999</v>
    <v>129</v>
    <v>127.35</v>
    <v>130.19999999999999</v>
    <v>130.65</v>
    <v>129.94999999999999</v>
    <v>129.35</v>
    <v>129.30000000000001</v>
    <v>130.5</v>
    <v>129</v>
    <v>126.15</v>
    <v>123.95</v>
    <v>126.65</v>
    <v>127.35</v>
    <v>128.80000000000001</v>
    <v>127.1</v>
    <v>126.1</v>
    <v>126.55</v>
    <v>128.35</v>
    <v>132.6</v>
    <v>131.6</v>
    <v>130.6</v>
    <v>136.35</v>
    <v>136.9</v>
    <v>135.65</v>
    <v>134.5</v>
    <v>135.4</v>
    <v>133.9</v>
    <v>134.6</v>
    <v>137.5</v>
    <v>136.80000000000001</v>
    <v>133.65</v>
    <v>130.75</v>
    <v>131.05000000000001</v>
    <v>127.6</v>
    <v>127.75</v>
    <v>128.55000000000001</v>
    <v>126.15</v>
    <v>128.5</v>
    <v>125.8</v>
    <v>129.05000000000001</v>
    <v>133.5</v>
    <v>131.55000000000001</v>
    <v>128.80000000000001</v>
    <v>129.15</v>
    <v>128</v>
    <v>126.05</v>
    <v>127.45</v>
    <v>124.65</v>
    <v>124.5</v>
    <v>122.95</v>
    <v>124.6</v>
    <v>123.1</v>
    <v>121.7</v>
    <v>125.65</v>
    <v>124.1</v>
    <v>125.25</v>
    <v>124.35</v>
    <v>125.05</v>
    <v>123.35</v>
    <v>122.55</v>
    <v>123.15</v>
    <v>123.55</v>
    <v>124.25</v>
    <v>123.8</v>
    <v>122.75</v>
    <v>122.85</v>
    <v>123.35</v>
    <v>125.9</v>
    <v>127.85</v>
    <v>129.19999999999999</v>
    <v>130.30000000000001</v>
    <v>130.65</v>
    <v>129.65</v>
    <v>130.65</v>
    <v>129.1</v>
    <v>129.15</v>
    <v>131.35</v>
    <v>130.1</v>
    <v>126.85</v>
    <v>127.8</v>
    <v>124.3</v>
    <v>126.9</v>
    <v>127.9</v>
    <v>125.25</v>
    <v>123.5</v>
    <v>118.25</v>
    <v>119.35</v>
    <v>119</v>
    <v>119.35</v>
    <v>119.4</v>
    <v>119.65</v>
    <v>120.2</v>
    <v>117.95</v>
    <v>118.25</v>
    <v>118.45</v>
    <v>119.25</v>
    <v>118</v>
    <v>118.35</v>
    <v>117.9</v>
    <v>118.8</v>
    <v>118.3</v>
    <v>123.85</v>
    <v>122.55</v>
    <v>125.1</v>
    <v>126.8</v>
    <v>125.8</v>
    <v>126.6</v>
    <v>125.35</v>
    <v>124.5</v>
    <v>123.3</v>
    <v>123.3</v>
    <v>121.95</v>
    <v>120.85</v>
    <v>119.95</v>
    <v>119.4</v>
    <v>120.35</v>
    <v>119.4</v>
    <v>119.3</v>
    <v>118.65</v>
    <v>119.6</v>
    <v>119.5</v>
    <v>114.85</v>
    <v>114.35</v>
    <v>113.15</v>
    <v>114.1</v>
    <v>111.6</v>
    <v>113.15</v>
    <v>113.95</v>
    <v>113.6</v>
    <v>114.5</v>
    <v>111.8</v>
    <v>110.55</v>
    <v>111.45</v>
    <v>110.7</v>
    <v>110.6</v>
    <v>112</v>
    <v>112.9</v>
    <v>110.8</v>
    <v>111.95</v>
    <v>112.3</v>
    <v>110.9</v>
    <v>110.5</v>
    <v>111.3</v>
    <v>111.15</v>
    <v>108.5</v>
    <v>106.95</v>
    <v>105.6</v>
    <v>106.8</v>
    <v>106.15</v>
    <v>109.25</v>
    <v>108</v>
    <v>106.95</v>
    <v>107.05</v>
    <v>107.6</v>
    <v>106.6</v>
    <v>106.4</v>
    <v>107.65</v>
    <v>108.05</v>
    <v>106.65</v>
    <v>106.5</v>
    <v>107</v>
    <v>105.95</v>
    <v>106.45</v>
  </a>
  <a r="1" c="256">
    <v>122.85</v>
    <v>120.4</v>
    <v>120</v>
    <v>117.4</v>
    <v>116.15</v>
    <v>116.4</v>
    <v>115.9</v>
    <v>115.45</v>
    <v>116.2</v>
    <v>117.15</v>
    <v>116.45</v>
    <v>115.6</v>
    <v>116.95</v>
    <v>118.4</v>
    <v>119.9</v>
    <v>120.6</v>
    <v>119.5</v>
    <v>118.5</v>
    <v>116.7</v>
    <v>117.85</v>
    <v>116.8</v>
    <v>119.2</v>
    <v>119.4</v>
    <v>121</v>
    <v>122.05</v>
    <v>122.3</v>
    <v>122.25</v>
    <v>122.55</v>
    <v>121.85</v>
    <v>119.4</v>
    <v>119.5</v>
    <v>120.6</v>
    <v>120.95</v>
    <v>120.35</v>
    <v>116.6</v>
    <v>119.8</v>
    <v>119.3</v>
    <v>120.15</v>
    <v>120.45</v>
    <v>119.75</v>
    <v>120.25</v>
    <v>119.8</v>
    <v>119.9</v>
    <v>119.8</v>
    <v>119.65</v>
    <v>119.9</v>
    <v>120.45</v>
    <v>120.05</v>
    <v>121.15</v>
    <v>121.3</v>
    <v>120.4</v>
    <v>124.25</v>
    <v>123.75</v>
    <v>121</v>
    <v>122.05</v>
    <v>116.55</v>
    <v>116.75</v>
    <v>116.25</v>
    <v>117.45</v>
    <v>116.1</v>
    <v>114.75</v>
    <v>114.8</v>
    <v>117.55</v>
    <v>117.55</v>
    <v>117.15</v>
    <v>118.75</v>
    <v>119.7</v>
    <v>120.1</v>
    <v>121.15</v>
    <v>121.75</v>
    <v>122.55</v>
    <v>124.25</v>
    <v>122.1</v>
    <v>134.19999999999999</v>
    <v>133.1</v>
    <v>132.94999999999999</v>
    <v>133.55000000000001</v>
    <v>134</v>
    <v>135.30000000000001</v>
    <v>136.65</v>
    <v>137.35</v>
    <v>137.75</v>
    <v>139.44999999999999</v>
    <v>140.1</v>
    <v>140.9</v>
    <v>141.75</v>
    <v>141.85</v>
    <v>142.35</v>
    <v>140.75</v>
    <v>138.4</v>
    <v>133.25</v>
    <v>134.15</v>
    <v>131.69999999999999</v>
    <v>129</v>
    <v>127.35</v>
    <v>130.19999999999999</v>
    <v>130.65</v>
    <v>129.94999999999999</v>
    <v>129.35</v>
    <v>129.30000000000001</v>
    <v>130.5</v>
    <v>129</v>
    <v>126.15</v>
    <v>123.95</v>
    <v>126.65</v>
    <v>127.35</v>
    <v>128.80000000000001</v>
    <v>127.1</v>
    <v>126.1</v>
    <v>126.55</v>
    <v>128.35</v>
    <v>132.6</v>
    <v>131.6</v>
    <v>130.6</v>
    <v>136.35</v>
    <v>136.9</v>
    <v>135.65</v>
    <v>134.5</v>
    <v>135.4</v>
    <v>133.9</v>
    <v>134.6</v>
    <v>137.5</v>
    <v>136.80000000000001</v>
    <v>133.65</v>
    <v>130.75</v>
    <v>131.05000000000001</v>
    <v>127.6</v>
    <v>127.75</v>
    <v>128.55000000000001</v>
    <v>126.15</v>
    <v>128.5</v>
    <v>125.8</v>
    <v>129.05000000000001</v>
    <v>133.5</v>
    <v>131.55000000000001</v>
    <v>128.80000000000001</v>
    <v>129.15</v>
    <v>128</v>
    <v>126.05</v>
    <v>127.45</v>
    <v>124.65</v>
    <v>124.5</v>
    <v>122.95</v>
    <v>124.6</v>
    <v>123.1</v>
    <v>121.7</v>
    <v>125.65</v>
    <v>124.1</v>
    <v>125.25</v>
    <v>124.35</v>
    <v>125.05</v>
    <v>123.35</v>
    <v>122.55</v>
    <v>123.15</v>
    <v>123.55</v>
    <v>124.25</v>
    <v>123.8</v>
    <v>122.75</v>
    <v>122.85</v>
    <v>123.35</v>
    <v>125.9</v>
    <v>127.85</v>
    <v>129.19999999999999</v>
    <v>130.30000000000001</v>
    <v>130.65</v>
    <v>129.65</v>
    <v>130.65</v>
    <v>129.1</v>
    <v>129.15</v>
    <v>131.35</v>
    <v>130.1</v>
    <v>126.85</v>
    <v>127.8</v>
    <v>124.3</v>
    <v>126.9</v>
    <v>127.9</v>
    <v>125.25</v>
    <v>123.5</v>
    <v>118.25</v>
    <v>119.35</v>
    <v>119</v>
    <v>119.35</v>
    <v>119.4</v>
    <v>119.65</v>
    <v>120.2</v>
    <v>117.95</v>
    <v>118.25</v>
    <v>118.45</v>
    <v>119.25</v>
    <v>118</v>
    <v>118.35</v>
    <v>117.9</v>
    <v>118.8</v>
    <v>118.3</v>
    <v>123.85</v>
    <v>122.55</v>
    <v>125.1</v>
    <v>126.8</v>
    <v>125.8</v>
    <v>126.6</v>
    <v>125.35</v>
    <v>124.5</v>
    <v>123.3</v>
    <v>123.3</v>
    <v>121.95</v>
    <v>120.85</v>
    <v>119.95</v>
    <v>119.4</v>
    <v>120.35</v>
    <v>119.4</v>
    <v>119.3</v>
    <v>118.65</v>
    <v>119.6</v>
    <v>119.5</v>
    <v>114.85</v>
    <v>114.35</v>
    <v>113.15</v>
    <v>114.1</v>
    <v>111.6</v>
    <v>113.15</v>
    <v>113.95</v>
    <v>113.6</v>
    <v>114.5</v>
    <v>111.8</v>
    <v>110.55</v>
    <v>111.45</v>
    <v>110.7</v>
    <v>110.6</v>
    <v>112</v>
    <v>112.9</v>
    <v>110.8</v>
    <v>111.95</v>
    <v>112.3</v>
    <v>110.9</v>
    <v>110.5</v>
    <v>111.3</v>
    <v>111.15</v>
    <v>108.5</v>
    <v>106.95</v>
    <v>105.6</v>
    <v>106.8</v>
    <v>106.15</v>
    <v>109.25</v>
    <v>108</v>
    <v>106.95</v>
    <v>107.05</v>
    <v>107.6</v>
    <v>106.6</v>
    <v>106.4</v>
    <v>107.65</v>
    <v>108.05</v>
    <v>106.65</v>
    <v>106.5</v>
    <v>107</v>
    <v>105.95</v>
    <v>106.45</v>
  </a>
  <a r="1" c="767">
    <v>99.9</v>
    <v>101.08</v>
    <v>100.76</v>
    <v>100.48</v>
    <v>102</v>
    <v>103.08</v>
    <v>104.48</v>
    <v>105.36</v>
    <v>106.18</v>
    <v>106.38</v>
    <v>105.5</v>
    <v>105.2</v>
    <v>105.66</v>
    <v>106.56</v>
    <v>106.56</v>
    <v>107.1</v>
    <v>107.62</v>
    <v>109.04</v>
    <v>108.36</v>
    <v>109.38</v>
    <v>108.96</v>
    <v>109</v>
    <v>109.72</v>
    <v>109.98</v>
    <v>110.48</v>
    <v>110.54</v>
    <v>111.12</v>
    <v>112.12</v>
    <v>112.3</v>
    <v>113.32</v>
    <v>113.38</v>
    <v>115.3</v>
    <v>115.68</v>
    <v>115.68</v>
    <v>115.84</v>
    <v>116.1</v>
    <v>115.4</v>
    <v>114.78</v>
    <v>116.02</v>
    <v>115.58</v>
    <v>112.96</v>
    <v>113.3</v>
    <v>113.62</v>
    <v>113.64</v>
    <v>114.38</v>
    <v>114.44</v>
    <v>113.56</v>
    <v>113.7</v>
    <v>113.94</v>
    <v>112.94</v>
    <v>114.52</v>
    <v>113.88</v>
    <v>114.1</v>
    <v>115.22</v>
    <v>115.06</v>
    <v>114.5</v>
    <v>116.68</v>
    <v>117.22</v>
    <v>116.68</v>
    <v>115.76</v>
    <v>117.38</v>
    <v>116.74</v>
    <v>117.46</v>
    <v>116.04</v>
    <v>117.42</v>
    <v>117.8</v>
    <v>118.26</v>
    <v>116.9</v>
    <v>116.84</v>
    <v>117.08</v>
    <v>117.08</v>
    <v>117</v>
    <v>118.3</v>
    <v>118.74</v>
    <v>117.66</v>
    <v>116.76</v>
    <v>116.14</v>
    <v>116.18</v>
    <v>114.86</v>
    <v>115.24</v>
    <v>115.54</v>
    <v>113.24</v>
    <v>114.12</v>
    <v>114.44</v>
    <v>115.14</v>
    <v>115.52</v>
    <v>116.76</v>
    <v>116.2</v>
    <v>117.64</v>
    <v>118.48</v>
    <v>118.4</v>
    <v>117.3</v>
    <v>117.14</v>
    <v>117.7</v>
    <v>117.2</v>
    <v>118.88</v>
    <v>118.54</v>
    <v>118.64</v>
    <v>119.08</v>
    <v>119.78</v>
    <v>117</v>
    <v>117</v>
    <v>117.1</v>
    <v>117.16</v>
    <v>116.68</v>
    <v>116.76</v>
    <v>116.36</v>
    <v>115.96</v>
    <v>118.46</v>
    <v>120.06</v>
    <v>118.76</v>
    <v>117.25</v>
    <v>118.25</v>
    <v>116.25</v>
    <v>114.45</v>
    <v>115.95</v>
    <v>114.55</v>
    <v>112.9</v>
    <v>112.75</v>
    <v>113.05</v>
    <v>113.05</v>
    <v>111.95</v>
    <v>112.3</v>
    <v>113.55</v>
    <v>113.35</v>
    <v>113.55</v>
    <v>111.5</v>
    <v>111.55</v>
    <v>110.15</v>
    <v>111.1</v>
    <v>110.6</v>
    <v>110.25</v>
    <v>110.1</v>
    <v>110.85</v>
    <v>111.3</v>
    <v>112.5</v>
    <v>113.9</v>
    <v>115.1</v>
    <v>115.6</v>
    <v>115.8</v>
    <v>115.9</v>
    <v>116.6</v>
    <v>116</v>
    <v>115.05</v>
    <v>115.5</v>
    <v>115.6</v>
    <v>115.2</v>
    <v>114.65</v>
    <v>114.15</v>
    <v>115.45</v>
    <v>114.5</v>
    <v>113.15</v>
    <v>114.5</v>
    <v>114.45</v>
    <v>114.9</v>
    <v>113.5</v>
    <v>113.8</v>
    <v>113.7</v>
    <v>110.75</v>
    <v>104.8</v>
    <v>100.75</v>
    <v>103.1</v>
    <v>100.4</v>
    <v>98.14</v>
    <v>98.3</v>
    <v>100.5</v>
    <v>100.4</v>
    <v>102.4</v>
    <v>101.8</v>
    <v>102.9</v>
    <v>101.5</v>
    <v>101.15</v>
    <v>98.9</v>
    <v>98.38</v>
    <v>100.9</v>
    <v>101.35</v>
    <v>102.8</v>
    <v>103.3</v>
    <v>105.2</v>
    <v>105.65</v>
    <v>103.1</v>
    <v>103.9</v>
    <v>104.35</v>
    <v>105.75</v>
    <v>105.4</v>
    <v>105.3</v>
    <v>105.45</v>
    <v>106.2</v>
    <v>105.55</v>
    <v>107.05</v>
    <v>106.4</v>
    <v>105.5</v>
    <v>104.45</v>
    <v>108.05</v>
    <v>105.55</v>
    <v>106.65</v>
    <v>105.6</v>
    <v>103.1</v>
    <v>102.25</v>
    <v>101</v>
    <v>100.6</v>
    <v>103.7</v>
    <v>102.85</v>
    <v>103.45</v>
    <v>102.65</v>
    <v>103.25</v>
    <v>103.5</v>
    <v>104.55</v>
    <v>105.5</v>
    <v>106</v>
    <v>105.35</v>
    <v>105.6</v>
    <v>105.9</v>
    <v>106.85</v>
    <v>106.75</v>
    <v>106.65</v>
    <v>107.35</v>
    <v>107.6</v>
    <v>108.15</v>
    <v>108.3</v>
    <v>107.95</v>
    <v>107.6</v>
    <v>109.85</v>
    <v>109.1</v>
    <v>109.8</v>
    <v>109.85</v>
    <v>109.9</v>
    <v>108.1</v>
    <v>109.5</v>
    <v>109.6</v>
    <v>110.6</v>
    <v>110.35</v>
    <v>110.6</v>
    <v>109.85</v>
    <v>109.3</v>
    <v>109.95</v>
    <v>108.9</v>
    <v>109.75</v>
    <v>110.6</v>
    <v>104.95</v>
    <v>104.35</v>
    <v>104.95</v>
    <v>102.05</v>
    <v>104.9</v>
    <v>105.3</v>
    <v>105.6</v>
    <v>107.75</v>
    <v>107.55</v>
    <v>107.65</v>
    <v>107.3</v>
    <v>106.3</v>
    <v>107.25</v>
    <v>107.25</v>
    <v>107.3</v>
    <v>105.4</v>
    <v>104.8</v>
    <v>104.55</v>
    <v>104.3</v>
    <v>100.75</v>
    <v>103.65</v>
    <v>103.25</v>
    <v>101.95</v>
    <v>102.7</v>
    <v>103.2</v>
    <v>102.35</v>
    <v>102.1</v>
    <v>101</v>
    <v>100.6</v>
    <v>100.25</v>
    <v>101.4</v>
    <v>99.9</v>
    <v>98.6</v>
    <v>100.3</v>
    <v>100.55</v>
    <v>100.95</v>
    <v>100.3</v>
    <v>100.25</v>
    <v>100.65</v>
    <v>100.7</v>
    <v>100.4</v>
    <v>99.12</v>
    <v>97.4</v>
    <v>99.12</v>
    <v>99.86</v>
    <v>97.26</v>
    <v>97.16</v>
    <v>98.62</v>
    <v>100.9</v>
    <v>101.1</v>
    <v>101.15</v>
    <v>100.95</v>
    <v>101.1</v>
    <v>100.75</v>
    <v>101.2</v>
    <v>99.8</v>
    <v>99.52</v>
    <v>99.24</v>
    <v>98.48</v>
    <v>97.98</v>
    <v>98.24</v>
    <v>97.98</v>
    <v>99.06</v>
    <v>98.72</v>
    <v>99.74</v>
    <v>99.7</v>
    <v>98.92</v>
    <v>99.96</v>
    <v>101.15</v>
    <v>99.74</v>
    <v>100.1</v>
    <v>99.06</v>
    <v>98.76</v>
    <v>99.14</v>
    <v>99.94</v>
    <v>101.05</v>
    <v>102.6</v>
    <v>103</v>
    <v>102.9</v>
    <v>102.85</v>
    <v>103.95</v>
    <v>102.35</v>
    <v>103.45</v>
    <v>104.5</v>
    <v>103.1</v>
    <v>104.5</v>
    <v>104.5</v>
    <v>104.15</v>
    <v>105.65</v>
    <v>105.4</v>
    <v>107.25</v>
    <v>109.85</v>
    <v>108.2</v>
    <v>106.8</v>
    <v>107.05</v>
    <v>108</v>
    <v>108.35</v>
    <v>109.2</v>
    <v>110.1</v>
    <v>108.5</v>
    <v>108.2</v>
    <v>108.55</v>
    <v>109.3</v>
    <v>109.45</v>
    <v>110.8</v>
    <v>110.55</v>
    <v>111.1</v>
    <v>111.65</v>
    <v>111.75</v>
    <v>117.4</v>
    <v>118.85</v>
    <v>117</v>
    <v>116</v>
    <v>114.6</v>
    <v>116.15</v>
    <v>116.05</v>
    <v>117.3</v>
    <v>118.25</v>
    <v>119.4</v>
    <v>119.75</v>
    <v>118.85</v>
    <v>118.25</v>
    <v>118.4</v>
    <v>119.3</v>
    <v>118.8</v>
    <v>119.2</v>
    <v>118.7</v>
    <v>116.3</v>
    <v>117.5</v>
    <v>118.25</v>
    <v>117.75</v>
    <v>112.3</v>
    <v>107</v>
    <v>109.6</v>
    <v>107.8</v>
    <v>111.85</v>
    <v>113.25</v>
    <v>115.75</v>
    <v>118.15</v>
    <v>120</v>
    <v>119.7</v>
    <v>117.9</v>
    <v>119.5</v>
    <v>120.4</v>
    <v>120.85</v>
    <v>121</v>
    <v>122</v>
    <v>122.6</v>
    <v>125.55</v>
    <v>125.3</v>
    <v>125.85</v>
    <v>125.6</v>
    <v>125.6</v>
    <v>125.95</v>
    <v>123.65</v>
    <v>123.1</v>
    <v>124</v>
    <v>126.2</v>
    <v>127.25</v>
    <v>127.55</v>
    <v>128.80000000000001</v>
    <v>129.35</v>
    <v>129.4</v>
    <v>128.5</v>
    <v>129.35</v>
    <v>128.55000000000001</v>
    <v>128.19999999999999</v>
    <v>127.9</v>
    <v>125.85</v>
    <v>127.8</v>
    <v>127.5</v>
    <v>127.25</v>
    <v>126.9</v>
    <v>126.6</v>
    <v>125.85</v>
    <v>125.25</v>
    <v>125.7</v>
    <v>126.15</v>
    <v>124.65</v>
    <v>125.25</v>
    <v>124.3</v>
    <v>123.85</v>
    <v>121.05</v>
    <v>121.7</v>
    <v>120.95</v>
    <v>122.95</v>
    <v>123.05</v>
    <v>123.9</v>
    <v>125</v>
    <v>125.1</v>
    <v>125.45</v>
    <v>124.95</v>
    <v>125.25</v>
    <v>124.25</v>
    <v>125.3</v>
    <v>125</v>
    <v>127.05</v>
    <v>126.15</v>
    <v>125.8</v>
    <v>125.25</v>
    <v>123.8</v>
    <v>122.7</v>
    <v>124.4</v>
    <v>124.8</v>
    <v>124.6</v>
    <v>122.75</v>
    <v>125.05</v>
    <v>123.7</v>
    <v>124.2</v>
    <v>123.35</v>
    <v>125.15</v>
    <v>124.9</v>
    <v>121.6</v>
    <v>118.75</v>
    <v>119.95</v>
    <v>120.6</v>
    <v>121.4</v>
    <v>122.8</v>
    <v>123.65</v>
    <v>124.9</v>
    <v>125</v>
    <v>126.6</v>
    <v>127.9</v>
    <v>129.6</v>
    <v>128</v>
    <v>129</v>
    <v>128.6</v>
    <v>128.65</v>
    <v>129</v>
    <v>121.5</v>
    <v>114.45</v>
    <v>115.7</v>
    <v>117.1</v>
    <v>115.9</v>
    <v>115.45</v>
    <v>113.05</v>
    <v>114.3</v>
    <v>115.9</v>
    <v>115.55</v>
    <v>117.3</v>
    <v>117.65</v>
    <v>118.35</v>
    <v>118.6</v>
    <v>118.5</v>
    <v>119.55</v>
    <v>117.85</v>
    <v>116.4</v>
    <v>117.25</v>
    <v>117.6</v>
    <v>116.95</v>
    <v>117.15</v>
    <v>115.55</v>
    <v>115.25</v>
    <v>116.75</v>
    <v>116.3</v>
    <v>117.95</v>
    <v>118.4</v>
    <v>118.45</v>
    <v>117.95</v>
    <v>115.6</v>
    <v>115.6</v>
    <v>116.95</v>
    <v>118.45</v>
    <v>117.45</v>
    <v>118.35</v>
    <v>119.45</v>
    <v>120.4</v>
    <v>121.8</v>
    <v>121.4</v>
    <v>121.45</v>
    <v>120.85</v>
    <v>122.2</v>
    <v>122.85</v>
    <v>120.4</v>
    <v>120</v>
    <v>117.4</v>
    <v>116.15</v>
    <v>116.4</v>
    <v>115.9</v>
    <v>115.45</v>
    <v>116.2</v>
    <v>117.15</v>
    <v>116.45</v>
    <v>115.6</v>
    <v>116.95</v>
    <v>118.4</v>
    <v>119.9</v>
    <v>120.6</v>
    <v>119.5</v>
    <v>118.5</v>
    <v>116.7</v>
    <v>117.85</v>
    <v>116.8</v>
    <v>119.2</v>
    <v>119.4</v>
    <v>121</v>
    <v>122.05</v>
    <v>122.3</v>
    <v>122.25</v>
    <v>122.55</v>
    <v>121.85</v>
    <v>119.4</v>
    <v>119.5</v>
    <v>120.6</v>
    <v>120.95</v>
    <v>120.35</v>
    <v>116.6</v>
    <v>119.8</v>
    <v>119.3</v>
    <v>120.15</v>
    <v>120.45</v>
    <v>119.75</v>
    <v>120.25</v>
    <v>119.8</v>
    <v>119.9</v>
    <v>119.8</v>
    <v>119.65</v>
    <v>119.9</v>
    <v>120.45</v>
    <v>120.05</v>
    <v>121.15</v>
    <v>121.3</v>
    <v>120.4</v>
    <v>124.25</v>
    <v>123.75</v>
    <v>121</v>
    <v>122.05</v>
    <v>116.55</v>
    <v>116.75</v>
    <v>116.25</v>
    <v>117.45</v>
    <v>116.1</v>
    <v>114.75</v>
    <v>114.8</v>
    <v>117.55</v>
    <v>117.55</v>
    <v>117.15</v>
    <v>118.75</v>
    <v>119.7</v>
    <v>120.1</v>
    <v>121.15</v>
    <v>121.75</v>
    <v>122.55</v>
    <v>124.25</v>
    <v>122.1</v>
    <v>134.19999999999999</v>
    <v>133.1</v>
    <v>132.94999999999999</v>
    <v>133.55000000000001</v>
    <v>134</v>
    <v>135.30000000000001</v>
    <v>136.65</v>
    <v>137.35</v>
    <v>137.75</v>
    <v>139.44999999999999</v>
    <v>140.1</v>
    <v>140.9</v>
    <v>141.75</v>
    <v>141.85</v>
    <v>142.35</v>
    <v>140.75</v>
    <v>138.4</v>
    <v>133.25</v>
    <v>134.15</v>
    <v>131.69999999999999</v>
    <v>129</v>
    <v>127.35</v>
    <v>130.19999999999999</v>
    <v>130.65</v>
    <v>129.94999999999999</v>
    <v>129.35</v>
    <v>129.30000000000001</v>
    <v>130.5</v>
    <v>129</v>
    <v>126.15</v>
    <v>123.95</v>
    <v>126.65</v>
    <v>127.35</v>
    <v>128.80000000000001</v>
    <v>127.1</v>
    <v>126.1</v>
    <v>126.55</v>
    <v>128.35</v>
    <v>132.6</v>
    <v>131.6</v>
    <v>130.6</v>
    <v>136.35</v>
    <v>136.9</v>
    <v>135.65</v>
    <v>134.5</v>
    <v>135.4</v>
    <v>133.9</v>
    <v>134.6</v>
    <v>137.5</v>
    <v>136.80000000000001</v>
    <v>133.65</v>
    <v>130.75</v>
    <v>131.05000000000001</v>
    <v>127.6</v>
    <v>127.75</v>
    <v>128.55000000000001</v>
    <v>126.15</v>
    <v>128.5</v>
    <v>125.8</v>
    <v>129.05000000000001</v>
    <v>133.5</v>
    <v>131.55000000000001</v>
    <v>128.80000000000001</v>
    <v>129.15</v>
    <v>128</v>
    <v>126.05</v>
    <v>127.45</v>
    <v>124.65</v>
    <v>124.5</v>
    <v>122.95</v>
    <v>124.6</v>
    <v>123.1</v>
    <v>121.7</v>
    <v>125.65</v>
    <v>124.1</v>
    <v>125.25</v>
    <v>124.35</v>
    <v>125.05</v>
    <v>123.35</v>
    <v>122.55</v>
    <v>123.15</v>
    <v>123.55</v>
    <v>124.25</v>
    <v>123.8</v>
    <v>122.75</v>
    <v>122.85</v>
    <v>123.35</v>
    <v>125.9</v>
    <v>127.85</v>
    <v>129.19999999999999</v>
    <v>130.30000000000001</v>
    <v>130.65</v>
    <v>129.65</v>
    <v>130.65</v>
    <v>129.1</v>
    <v>129.15</v>
    <v>131.35</v>
    <v>130.1</v>
    <v>126.85</v>
    <v>127.8</v>
    <v>124.3</v>
    <v>126.9</v>
    <v>127.9</v>
    <v>125.25</v>
    <v>123.5</v>
    <v>118.25</v>
    <v>119.35</v>
    <v>119</v>
    <v>119.35</v>
    <v>119.4</v>
    <v>119.65</v>
    <v>120.2</v>
    <v>117.95</v>
    <v>118.25</v>
    <v>118.45</v>
    <v>119.25</v>
    <v>118</v>
    <v>118.35</v>
    <v>117.9</v>
    <v>118.8</v>
    <v>118.3</v>
    <v>123.85</v>
    <v>122.55</v>
    <v>125.1</v>
    <v>126.8</v>
    <v>125.8</v>
    <v>126.6</v>
    <v>125.35</v>
    <v>124.5</v>
    <v>123.3</v>
    <v>123.3</v>
    <v>121.95</v>
    <v>120.85</v>
    <v>119.95</v>
    <v>119.4</v>
    <v>120.35</v>
    <v>119.4</v>
    <v>119.3</v>
    <v>118.65</v>
    <v>119.6</v>
    <v>119.5</v>
    <v>114.85</v>
    <v>114.35</v>
    <v>113.15</v>
    <v>114.1</v>
    <v>111.6</v>
    <v>113.15</v>
    <v>113.95</v>
    <v>113.6</v>
    <v>114.5</v>
    <v>111.8</v>
    <v>110.55</v>
    <v>111.45</v>
    <v>110.7</v>
    <v>110.6</v>
    <v>112</v>
    <v>112.9</v>
    <v>110.8</v>
    <v>111.95</v>
    <v>112.3</v>
    <v>110.9</v>
    <v>110.5</v>
    <v>111.3</v>
    <v>111.15</v>
    <v>108.5</v>
    <v>106.95</v>
    <v>105.6</v>
    <v>106.8</v>
    <v>106.15</v>
    <v>109.25</v>
    <v>108</v>
    <v>106.95</v>
    <v>107.05</v>
    <v>107.6</v>
    <v>106.6</v>
    <v>106.4</v>
    <v>107.65</v>
    <v>108.05</v>
    <v>106.65</v>
    <v>106.5</v>
    <v>107</v>
    <v>105.95</v>
    <v>106.45</v>
  </a>
  <a r="1" c="254">
    <v>224.19</v>
    <v>223.5</v>
    <v>223.7</v>
    <v>223.67</v>
    <v>223.9</v>
    <v>223.81</v>
    <v>223.77</v>
    <v>223.55</v>
    <v>223.5</v>
    <v>223.3</v>
    <v>223.48</v>
    <v>223.23</v>
    <v>223.39</v>
    <v>223.67</v>
    <v>224.1</v>
    <v>223.46</v>
    <v>223.04</v>
    <v>223.1</v>
    <v>222.69</v>
    <v>222.99</v>
    <v>222.52</v>
    <v>222.9</v>
    <v>223.14</v>
    <v>223.65</v>
    <v>223.75</v>
    <v>223.68</v>
    <v>223.54</v>
    <v>222.79</v>
    <v>222.74</v>
    <v>222.76</v>
    <v>222.51</v>
    <v>222.17</v>
    <v>221.41</v>
    <v>221.64</v>
    <v>221.58</v>
    <v>221.83</v>
    <v>221.56</v>
    <v>221.86</v>
    <v>221.98</v>
    <v>221.87</v>
    <v>221.99</v>
    <v>221.35</v>
    <v>221.16</v>
    <v>221.99</v>
    <v>222.63</v>
    <v>222.19</v>
    <v>221.64</v>
    <v>221.92</v>
    <v>222.37</v>
    <v>222.85</v>
    <v>222.85</v>
    <v>222.88</v>
    <v>223.28</v>
    <v>222.97</v>
    <v>223.36</v>
    <v>223.71</v>
    <v>223.26</v>
    <v>223.3</v>
    <v>223.06</v>
    <v>222.73</v>
    <v>223.05</v>
    <v>223.08</v>
    <v>223.65</v>
    <v>223.54</v>
    <v>223.72</v>
    <v>223.96</v>
    <v>223.9</v>
    <v>223.6</v>
    <v>223.22</v>
    <v>223.52</v>
    <v>223.7</v>
    <v>223.55</v>
    <v>223.73</v>
    <v>224.32</v>
    <v>224.49</v>
    <v>224.98</v>
    <v>225.07</v>
    <v>225.18</v>
    <v>225.41</v>
    <v>225.5</v>
    <v>225.44</v>
    <v>225.68</v>
    <v>226.01</v>
    <v>226.14</v>
    <v>226.18</v>
    <v>226.43</v>
    <v>227.09</v>
    <v>226.09</v>
    <v>224.57</v>
    <v>225.1</v>
    <v>223.7</v>
    <v>223.05</v>
    <v>223.09</v>
    <v>223.91</v>
    <v>222.72</v>
    <v>221.73</v>
    <v>221.34</v>
    <v>221.84</v>
    <v>222.69</v>
    <v>222</v>
    <v>221.58</v>
    <v>220.06</v>
    <v>220.76</v>
    <v>220.4</v>
    <v>221.56</v>
    <v>219.79</v>
    <v>219.15</v>
    <v>220.16</v>
    <v>220.84</v>
    <v>221.36</v>
    <v>221.24</v>
    <v>219.78</v>
    <v>222.79</v>
    <v>221.96</v>
    <v>220.99</v>
    <v>220.54</v>
    <v>221.46</v>
    <v>221.21</v>
    <v>221.23</v>
    <v>222.69</v>
    <v>222.44</v>
    <v>221.91</v>
    <v>221.96</v>
    <v>221.98</v>
    <v>221.86</v>
    <v>221.33</v>
    <v>220.96</v>
    <v>220.42</v>
    <v>221.76</v>
    <v>220.8</v>
    <v>221.21</v>
    <v>222.48</v>
    <v>222.54</v>
    <v>222.61</v>
    <v>222.06</v>
    <v>221.06</v>
    <v>220.96</v>
    <v>221.91</v>
    <v>220.26</v>
    <v>220.32</v>
    <v>220.02</v>
    <v>221.54</v>
    <v>221.28</v>
    <v>222.28</v>
    <v>223.68</v>
    <v>223.13</v>
    <v>223.13</v>
    <v>223.59</v>
    <v>224.02</v>
    <v>223.03</v>
    <v>223.4</v>
    <v>222.45</v>
    <v>222.43</v>
    <v>222.18</v>
    <v>221.93</v>
    <v>221.89</v>
    <v>221.68</v>
    <v>222.54</v>
    <v>223.09</v>
    <v>223.72</v>
    <v>223.96</v>
    <v>224.12</v>
    <v>224.35</v>
    <v>223.27</v>
    <v>223.77</v>
    <v>224.35</v>
    <v>224.92</v>
    <v>225.19</v>
    <v>225.14</v>
    <v>225</v>
    <v>224.95</v>
    <v>224.68</v>
    <v>224.46</v>
    <v>224.01</v>
    <v>223.85</v>
    <v>223.26</v>
    <v>221.72</v>
    <v>222.35</v>
    <v>222.69</v>
    <v>222.1</v>
    <v>222.03</v>
    <v>222.02</v>
    <v>221.64</v>
    <v>221.63</v>
    <v>221.3</v>
    <v>221.15</v>
    <v>221.04</v>
    <v>220.41</v>
    <v>221.13</v>
    <v>221.82</v>
    <v>222.26</v>
    <v>221.5</v>
    <v>221.44</v>
    <v>220.88</v>
    <v>221.87</v>
    <v>222.52</v>
    <v>222.58</v>
    <v>222.25</v>
    <v>222.36</v>
    <v>221.56</v>
    <v>221.65</v>
    <v>221.99</v>
    <v>222.19</v>
    <v>221.12</v>
    <v>220.89</v>
    <v>220.09</v>
    <v>220.22</v>
    <v>220.25</v>
    <v>220.3</v>
    <v>220.39</v>
    <v>221.27</v>
    <v>220.96</v>
    <v>220.49</v>
    <v>220.33</v>
    <v>219.6</v>
    <v>219.47</v>
    <v>218.87</v>
    <v>219.52</v>
    <v>219.57</v>
    <v>218.92</v>
    <v>219.39</v>
    <v>218.22</v>
    <v>216.98</v>
    <v>217.17</v>
    <v>216.9</v>
    <v>216.65</v>
    <v>217</v>
    <v>217.48</v>
    <v>216.48</v>
    <v>217.68</v>
    <v>217.45</v>
    <v>216.15</v>
    <v>215.37</v>
    <v>215.43</v>
    <v>214.77</v>
    <v>214.62</v>
    <v>215.05</v>
    <v>214.51</v>
    <v>215.75</v>
    <v>215.39</v>
    <v>216.3</v>
    <v>215.56</v>
    <v>215.49</v>
    <v>215.65</v>
    <v>215.66</v>
    <v>216.03</v>
    <v>215.82</v>
    <v>216.94</v>
    <v>216.88</v>
    <v>215.86</v>
    <v>216.55</v>
    <v>215.84</v>
    <v>215.95</v>
    <v>216.23</v>
  </a>
  <a r="1" c="761">
    <v>202.36</v>
    <v>202.54</v>
    <v>201.72</v>
    <v>202.34</v>
    <v>202.69</v>
    <v>203.06</v>
    <v>203.35</v>
    <v>204</v>
    <v>204.75</v>
    <v>205.97</v>
    <v>204.53</v>
    <v>205.65</v>
    <v>206.5</v>
    <v>205.94</v>
    <v>205.19</v>
    <v>205.19</v>
    <v>206.95</v>
    <v>206.45</v>
    <v>207.53</v>
    <v>207.3</v>
    <v>207.25</v>
    <v>208.02</v>
    <v>208</v>
    <v>207.21</v>
    <v>206.94</v>
    <v>208.14</v>
    <v>209.02</v>
    <v>209.98</v>
    <v>209.49</v>
    <v>211.16</v>
    <v>211.2</v>
    <v>213.01</v>
    <v>213.56</v>
    <v>213.84</v>
    <v>212.66</v>
    <v>212.44</v>
    <v>213.36</v>
    <v>214.17</v>
    <v>215.5</v>
    <v>216.91</v>
    <v>215.95</v>
    <v>217.31</v>
    <v>217.91</v>
    <v>218.4</v>
    <v>218.32</v>
    <v>219.19</v>
    <v>218.22</v>
    <v>216.96</v>
    <v>216.3</v>
    <v>216.99</v>
    <v>215.76</v>
    <v>215.2</v>
    <v>215.21</v>
    <v>214.48</v>
    <v>214.4</v>
    <v>214.5</v>
    <v>215.54</v>
    <v>214.83</v>
    <v>214.68</v>
    <v>213.66</v>
    <v>213.24</v>
    <v>213.7</v>
    <v>214.1</v>
    <v>213.06</v>
    <v>213.27</v>
    <v>214.19</v>
    <v>214.29</v>
    <v>215.07</v>
    <v>214.4</v>
    <v>215.84</v>
    <v>216.05</v>
    <v>214.7</v>
    <v>213.62</v>
    <v>213.95</v>
    <v>213.74</v>
    <v>212.96</v>
    <v>212.73</v>
    <v>213.22</v>
    <v>212.93</v>
    <v>213.62</v>
    <v>213.82</v>
    <v>213.26</v>
    <v>212.95</v>
    <v>213.66</v>
    <v>212.47</v>
    <v>212.85</v>
    <v>214.06</v>
    <v>212.97</v>
    <v>212.69</v>
    <v>212.68</v>
    <v>213.48</v>
    <v>213.23</v>
    <v>213.62</v>
    <v>214.98</v>
    <v>215.1</v>
    <v>215.75</v>
    <v>216.37</v>
    <v>215.55</v>
    <v>215.57</v>
    <v>215.15</v>
    <v>214.32</v>
    <v>214.06</v>
    <v>213.98</v>
    <v>214.11</v>
    <v>214.11</v>
    <v>214.6</v>
    <v>215.58</v>
    <v>214.84</v>
    <v>215.36</v>
    <v>216.01</v>
    <v>215.5</v>
    <v>213.72</v>
    <v>214.01</v>
    <v>214.86</v>
    <v>214.29</v>
    <v>213.85</v>
    <v>215.01</v>
    <v>214.17</v>
    <v>213.52</v>
    <v>215.22</v>
    <v>213.93</v>
    <v>213.14</v>
    <v>213.46</v>
    <v>213.15</v>
    <v>213.09</v>
    <v>213.47</v>
    <v>213.37</v>
    <v>212.19</v>
    <v>211.68</v>
    <v>212.51</v>
    <v>213.31</v>
    <v>212.62</v>
    <v>213.02</v>
    <v>213.76</v>
    <v>214.26</v>
    <v>214.9</v>
    <v>214.44</v>
    <v>213.63</v>
    <v>213.55</v>
    <v>213.7</v>
    <v>213.28</v>
    <v>215.05</v>
    <v>214.83</v>
    <v>213.93</v>
    <v>213.62</v>
    <v>214</v>
    <v>213.65</v>
    <v>212.8</v>
    <v>213.06</v>
    <v>213.53</v>
    <v>212.86</v>
    <v>211.74</v>
    <v>211.96</v>
    <v>212.31</v>
    <v>213.38</v>
    <v>213.88</v>
    <v>214.61</v>
    <v>213.69</v>
    <v>212.65</v>
    <v>211.43</v>
    <v>211.58</v>
    <v>213.01</v>
    <v>213.29</v>
    <v>214.36</v>
    <v>214</v>
    <v>214.47</v>
    <v>214</v>
    <v>213.91</v>
    <v>213.76</v>
    <v>213.83</v>
    <v>214</v>
    <v>213.48</v>
    <v>213.15</v>
    <v>212.72</v>
    <v>211.92</v>
    <v>212.01</v>
    <v>213</v>
    <v>212.83</v>
    <v>213.71</v>
    <v>214.14</v>
    <v>213.19</v>
    <v>214.23</v>
    <v>215.13</v>
    <v>214.96</v>
    <v>215.41</v>
    <v>215.92</v>
    <v>215.99</v>
    <v>216.25</v>
    <v>215.45</v>
    <v>215.2</v>
    <v>215.58</v>
    <v>215.42</v>
    <v>215.87</v>
    <v>215.99</v>
    <v>216.67</v>
    <v>216.83</v>
    <v>217.75</v>
    <v>218.41</v>
    <v>218.89</v>
    <v>218.41</v>
    <v>218.82</v>
    <v>217.9</v>
    <v>217.88</v>
    <v>218.62</v>
    <v>218.39</v>
    <v>219.5</v>
    <v>219.49</v>
    <v>218.58</v>
    <v>218.62</v>
    <v>219.35</v>
    <v>219.51</v>
    <v>218.64</v>
    <v>219.29</v>
    <v>218.98</v>
    <v>217.98</v>
    <v>218.59</v>
    <v>218.15</v>
    <v>218.2</v>
    <v>218.06</v>
    <v>218.39</v>
    <v>219.69</v>
    <v>220.01</v>
    <v>219.97</v>
    <v>220.32</v>
    <v>220.85</v>
    <v>221.41</v>
    <v>220.71</v>
    <v>220.71</v>
    <v>221.41</v>
    <v>221.06</v>
    <v>220.18</v>
    <v>219.98</v>
    <v>219.85</v>
    <v>220.41</v>
    <v>220.87</v>
    <v>220.29</v>
    <v>220.74</v>
    <v>220.88</v>
    <v>221.2</v>
    <v>222.81</v>
    <v>221.74</v>
    <v>221.01</v>
    <v>220.45</v>
    <v>220.06</v>
    <v>219.72</v>
    <v>219.98</v>
    <v>219.84</v>
    <v>219.7</v>
    <v>219.94</v>
    <v>220.94</v>
    <v>221.63</v>
    <v>221.41</v>
    <v>221.85</v>
    <v>220.39</v>
    <v>219.45</v>
    <v>220.07</v>
    <v>220.91</v>
    <v>220.4</v>
    <v>220.51</v>
    <v>219.82</v>
    <v>219.22</v>
    <v>219.2</v>
    <v>218.89</v>
    <v>219.03</v>
    <v>218.7</v>
    <v>218.95</v>
    <v>218.41</v>
    <v>219.17</v>
    <v>220.24</v>
    <v>220.06</v>
    <v>219.6</v>
    <v>220.48</v>
    <v>220.6</v>
    <v>220.23</v>
    <v>220.61</v>
    <v>220.3</v>
    <v>220.82</v>
    <v>221.46</v>
    <v>221.99</v>
    <v>221.97</v>
    <v>222.6</v>
    <v>223.46</v>
    <v>224.31</v>
    <v>224.78</v>
    <v>224.72</v>
    <v>224.83</v>
    <v>224.78</v>
    <v>224.58</v>
    <v>224.74</v>
    <v>224.89</v>
    <v>224.28</v>
    <v>223.47</v>
    <v>222.57</v>
    <v>222.35</v>
    <v>222.58</v>
    <v>222.55</v>
    <v>221.36</v>
    <v>221.88</v>
    <v>221.45</v>
    <v>220.65</v>
    <v>221.01</v>
    <v>220.7</v>
    <v>219.68</v>
    <v>219.8</v>
    <v>219.24</v>
    <v>218.8</v>
    <v>218.27</v>
    <v>217.66</v>
    <v>217.37</v>
    <v>216.88</v>
    <v>218.73</v>
    <v>218.58</v>
    <v>218.84</v>
    <v>219.28</v>
    <v>219.62</v>
    <v>219.32</v>
    <v>219.34</v>
    <v>218.85</v>
    <v>219.16</v>
    <v>218.83</v>
    <v>218.83</v>
    <v>219.68</v>
    <v>220.3</v>
    <v>221.93</v>
    <v>221.7</v>
    <v>222.21</v>
    <v>222.48</v>
    <v>221.87</v>
    <v>222.26</v>
    <v>220.93</v>
    <v>220.42</v>
    <v>221.63</v>
    <v>221.53</v>
    <v>220.96</v>
    <v>220.62</v>
    <v>219.81</v>
    <v>219.87</v>
    <v>220.77</v>
    <v>220.89</v>
    <v>221.33</v>
    <v>221.64</v>
    <v>221.64</v>
    <v>222</v>
    <v>221</v>
    <v>220.79</v>
    <v>217.01</v>
    <v>215.73</v>
    <v>216.19</v>
    <v>216.6</v>
    <v>215.9</v>
    <v>216.08</v>
    <v>216.01</v>
    <v>215.82</v>
    <v>217.22</v>
    <v>216.89</v>
    <v>217.22</v>
    <v>217.17</v>
    <v>217.71</v>
    <v>217.54</v>
    <v>217.5</v>
    <v>217.15</v>
    <v>217.46</v>
    <v>217.88</v>
    <v>218.03</v>
    <v>219.09</v>
    <v>218.31</v>
    <v>219.33</v>
    <v>219.81</v>
    <v>218.9</v>
    <v>219.29</v>
    <v>219.2</v>
    <v>219.61</v>
    <v>220.15</v>
    <v>220.93</v>
    <v>220.95</v>
    <v>220.95</v>
    <v>221.42</v>
    <v>222</v>
    <v>221.65</v>
    <v>222.72</v>
    <v>222.16</v>
    <v>221.56</v>
    <v>221.85</v>
    <v>222.38</v>
    <v>221.62</v>
    <v>221.58</v>
    <v>221.5</v>
    <v>222.5</v>
    <v>221.77</v>
    <v>221.34</v>
    <v>220.28</v>
    <v>219.81</v>
    <v>219.75</v>
    <v>220.71</v>
    <v>221.41</v>
    <v>221.21</v>
    <v>220.99</v>
    <v>220.31</v>
    <v>220.44</v>
    <v>221.14</v>
    <v>221.46</v>
    <v>222.36</v>
    <v>221.86</v>
    <v>222.63</v>
    <v>222.58</v>
    <v>222.65</v>
    <v>222.57</v>
    <v>222.39</v>
    <v>221.55</v>
    <v>222</v>
    <v>222.33</v>
    <v>222.72</v>
    <v>222.38</v>
    <v>223.22</v>
    <v>222.21</v>
    <v>222.54</v>
    <v>222.24</v>
    <v>222.78</v>
    <v>222.1</v>
    <v>222.36</v>
    <v>222.7</v>
    <v>222.4</v>
    <v>222.19</v>
    <v>222.24</v>
    <v>222.08</v>
    <v>221.93</v>
    <v>222.66</v>
    <v>221.68</v>
    <v>222.22</v>
    <v>222.47</v>
    <v>221.83</v>
    <v>221.47</v>
    <v>221.44</v>
    <v>220.74</v>
    <v>220.5</v>
    <v>220.45</v>
    <v>220.75</v>
    <v>221.07</v>
    <v>221.17</v>
    <v>220.93</v>
    <v>222.21</v>
    <v>222.7</v>
    <v>222.59</v>
    <v>221.25</v>
    <v>220.89</v>
    <v>221.36</v>
    <v>221.4</v>
    <v>221.1</v>
    <v>221.59</v>
    <v>221.8</v>
    <v>222.52</v>
    <v>222.59</v>
    <v>222.29</v>
    <v>222.53</v>
    <v>221.81</v>
    <v>221.5</v>
    <v>220.94</v>
    <v>221.96</v>
    <v>221.51</v>
    <v>220.64</v>
    <v>220.69</v>
    <v>221.24</v>
    <v>220.59</v>
    <v>221.1</v>
    <v>220.26</v>
    <v>220.59</v>
    <v>220.64</v>
    <v>220.91</v>
    <v>220.56</v>
    <v>220.32</v>
    <v>219.49</v>
    <v>220.3</v>
    <v>220.8</v>
    <v>221.56</v>
    <v>222.37</v>
    <v>221.79</v>
    <v>221.93</v>
    <v>222.14</v>
    <v>221.39</v>
    <v>221.76</v>
    <v>221.84</v>
    <v>222.06</v>
    <v>221.62</v>
    <v>221.06</v>
    <v>221.01</v>
    <v>221.08</v>
    <v>221</v>
    <v>220.64</v>
    <v>221.04</v>
    <v>221.66</v>
    <v>221.76</v>
    <v>221.78</v>
    <v>221.92</v>
    <v>221.99</v>
    <v>221.7</v>
    <v>221.58</v>
    <v>222.28</v>
    <v>222</v>
    <v>222.82</v>
    <v>223</v>
    <v>223.55</v>
    <v>224.41</v>
    <v>224.53</v>
    <v>224.01</v>
    <v>224.13</v>
    <v>224.39</v>
    <v>224.47</v>
    <v>224.19</v>
    <v>223.5</v>
    <v>223.7</v>
    <v>223.67</v>
    <v>223.9</v>
    <v>223.81</v>
    <v>223.77</v>
    <v>223.55</v>
    <v>223.5</v>
    <v>223.3</v>
    <v>223.48</v>
    <v>223.23</v>
    <v>223.39</v>
    <v>223.67</v>
    <v>224.1</v>
    <v>223.46</v>
    <v>223.04</v>
    <v>223.1</v>
    <v>222.69</v>
    <v>222.99</v>
    <v>222.52</v>
    <v>222.9</v>
    <v>223.14</v>
    <v>223.65</v>
    <v>223.75</v>
    <v>223.68</v>
    <v>223.54</v>
    <v>222.79</v>
    <v>222.74</v>
    <v>222.76</v>
    <v>222.51</v>
    <v>222.17</v>
    <v>221.41</v>
    <v>221.64</v>
    <v>221.58</v>
    <v>221.83</v>
    <v>221.56</v>
    <v>221.86</v>
    <v>221.98</v>
    <v>221.87</v>
    <v>221.99</v>
    <v>221.35</v>
    <v>221.16</v>
    <v>221.99</v>
    <v>222.63</v>
    <v>222.19</v>
    <v>221.64</v>
    <v>221.92</v>
    <v>222.37</v>
    <v>222.85</v>
    <v>222.85</v>
    <v>222.88</v>
    <v>223.28</v>
    <v>222.97</v>
    <v>223.36</v>
    <v>223.71</v>
    <v>223.26</v>
    <v>223.3</v>
    <v>223.06</v>
    <v>222.73</v>
    <v>223.05</v>
    <v>223.08</v>
    <v>223.65</v>
    <v>223.54</v>
    <v>223.72</v>
    <v>223.96</v>
    <v>223.9</v>
    <v>223.6</v>
    <v>223.22</v>
    <v>223.52</v>
    <v>223.7</v>
    <v>223.55</v>
    <v>223.73</v>
    <v>224.32</v>
    <v>224.49</v>
    <v>224.98</v>
    <v>225.07</v>
    <v>225.18</v>
    <v>225.41</v>
    <v>225.5</v>
    <v>225.44</v>
    <v>225.68</v>
    <v>226.01</v>
    <v>226.14</v>
    <v>226.18</v>
    <v>226.43</v>
    <v>227.09</v>
    <v>226.09</v>
    <v>224.57</v>
    <v>225.1</v>
    <v>223.7</v>
    <v>223.05</v>
    <v>223.09</v>
    <v>223.91</v>
    <v>222.72</v>
    <v>221.73</v>
    <v>221.34</v>
    <v>221.84</v>
    <v>222.69</v>
    <v>222</v>
    <v>221.58</v>
    <v>220.06</v>
    <v>220.76</v>
    <v>220.4</v>
    <v>221.56</v>
    <v>219.79</v>
    <v>219.15</v>
    <v>220.16</v>
    <v>220.84</v>
    <v>221.36</v>
    <v>221.24</v>
    <v>219.78</v>
    <v>222.79</v>
    <v>221.96</v>
    <v>220.99</v>
    <v>220.54</v>
    <v>221.46</v>
    <v>221.21</v>
    <v>221.23</v>
    <v>222.69</v>
    <v>222.44</v>
    <v>221.91</v>
    <v>221.96</v>
    <v>221.98</v>
    <v>221.86</v>
    <v>221.33</v>
    <v>220.96</v>
    <v>220.42</v>
    <v>221.76</v>
    <v>220.8</v>
    <v>221.21</v>
    <v>222.48</v>
    <v>222.54</v>
    <v>222.61</v>
    <v>222.06</v>
    <v>221.06</v>
    <v>220.96</v>
    <v>221.91</v>
    <v>220.26</v>
    <v>220.32</v>
    <v>220.02</v>
    <v>221.54</v>
    <v>221.28</v>
    <v>222.28</v>
    <v>223.68</v>
    <v>223.13</v>
    <v>223.13</v>
    <v>223.59</v>
    <v>224.02</v>
    <v>223.03</v>
    <v>223.4</v>
    <v>222.45</v>
    <v>222.43</v>
    <v>222.18</v>
    <v>221.93</v>
    <v>221.89</v>
    <v>221.68</v>
    <v>222.54</v>
    <v>223.09</v>
    <v>223.72</v>
    <v>223.96</v>
    <v>224.12</v>
    <v>224.35</v>
    <v>223.27</v>
    <v>223.77</v>
    <v>224.35</v>
    <v>224.92</v>
    <v>225.19</v>
    <v>225.14</v>
    <v>225</v>
    <v>224.95</v>
    <v>224.68</v>
    <v>224.46</v>
    <v>224.01</v>
    <v>223.85</v>
    <v>223.26</v>
    <v>221.72</v>
    <v>222.35</v>
    <v>222.69</v>
    <v>222.1</v>
    <v>222.03</v>
    <v>222.02</v>
    <v>221.64</v>
    <v>221.63</v>
    <v>221.3</v>
    <v>221.15</v>
    <v>221.04</v>
    <v>220.41</v>
    <v>221.13</v>
    <v>221.82</v>
    <v>222.26</v>
    <v>221.5</v>
    <v>221.44</v>
    <v>220.88</v>
    <v>221.87</v>
    <v>222.52</v>
    <v>222.58</v>
    <v>222.25</v>
    <v>222.36</v>
    <v>221.56</v>
    <v>221.65</v>
    <v>221.99</v>
    <v>222.19</v>
    <v>221.12</v>
    <v>220.89</v>
    <v>220.09</v>
    <v>220.22</v>
    <v>220.25</v>
    <v>220.3</v>
    <v>220.39</v>
    <v>221.27</v>
    <v>220.96</v>
    <v>220.49</v>
    <v>220.33</v>
    <v>219.6</v>
    <v>219.47</v>
    <v>218.87</v>
    <v>219.52</v>
    <v>219.57</v>
    <v>218.92</v>
    <v>219.39</v>
    <v>218.22</v>
    <v>216.98</v>
    <v>217.17</v>
    <v>216.9</v>
    <v>216.65</v>
    <v>217</v>
    <v>217.48</v>
    <v>216.48</v>
    <v>217.68</v>
    <v>217.45</v>
    <v>216.15</v>
    <v>215.37</v>
    <v>215.43</v>
    <v>214.77</v>
    <v>214.62</v>
    <v>215.05</v>
    <v>214.51</v>
    <v>215.75</v>
    <v>215.39</v>
    <v>216.3</v>
    <v>215.56</v>
    <v>215.49</v>
    <v>215.65</v>
    <v>215.66</v>
    <v>216.03</v>
    <v>215.82</v>
    <v>216.94</v>
    <v>216.88</v>
    <v>215.86</v>
    <v>216.55</v>
    <v>215.84</v>
    <v>215.95</v>
    <v>216.23</v>
  </a>
  <a r="1" c="208">
    <v>221.64</v>
    <v>221.92</v>
    <v>222.37</v>
    <v>222.85</v>
    <v>222.85</v>
    <v>222.88</v>
    <v>223.28</v>
    <v>222.97</v>
    <v>223.36</v>
    <v>223.71</v>
    <v>223.26</v>
    <v>223.3</v>
    <v>223.06</v>
    <v>222.73</v>
    <v>223.05</v>
    <v>223.08</v>
    <v>223.65</v>
    <v>223.54</v>
    <v>223.72</v>
    <v>223.96</v>
    <v>223.9</v>
    <v>223.6</v>
    <v>223.22</v>
    <v>223.52</v>
    <v>223.7</v>
    <v>223.55</v>
    <v>223.73</v>
    <v>224.32</v>
    <v>224.49</v>
    <v>224.98</v>
    <v>225.07</v>
    <v>225.18</v>
    <v>225.41</v>
    <v>225.5</v>
    <v>225.44</v>
    <v>225.68</v>
    <v>226.01</v>
    <v>226.14</v>
    <v>226.18</v>
    <v>226.43</v>
    <v>227.09</v>
    <v>226.09</v>
    <v>224.57</v>
    <v>225.1</v>
    <v>223.7</v>
    <v>223.05</v>
    <v>223.09</v>
    <v>223.91</v>
    <v>222.72</v>
    <v>221.73</v>
    <v>221.34</v>
    <v>221.84</v>
    <v>222.69</v>
    <v>222</v>
    <v>221.58</v>
    <v>220.06</v>
    <v>220.76</v>
    <v>220.4</v>
    <v>221.56</v>
    <v>219.79</v>
    <v>219.15</v>
    <v>220.16</v>
    <v>220.84</v>
    <v>221.36</v>
    <v>221.24</v>
    <v>219.78</v>
    <v>222.79</v>
    <v>221.96</v>
    <v>220.99</v>
    <v>220.54</v>
    <v>221.46</v>
    <v>221.21</v>
    <v>221.23</v>
    <v>222.69</v>
    <v>222.44</v>
    <v>221.91</v>
    <v>221.96</v>
    <v>221.98</v>
    <v>221.86</v>
    <v>221.33</v>
    <v>220.96</v>
    <v>220.42</v>
    <v>221.76</v>
    <v>220.8</v>
    <v>221.21</v>
    <v>222.48</v>
    <v>222.54</v>
    <v>222.61</v>
    <v>222.06</v>
    <v>221.06</v>
    <v>220.96</v>
    <v>221.91</v>
    <v>220.26</v>
    <v>220.32</v>
    <v>220.02</v>
    <v>221.54</v>
    <v>221.28</v>
    <v>222.28</v>
    <v>223.68</v>
    <v>223.13</v>
    <v>223.13</v>
    <v>223.59</v>
    <v>224.02</v>
    <v>223.03</v>
    <v>223.4</v>
    <v>222.45</v>
    <v>222.43</v>
    <v>222.18</v>
    <v>221.93</v>
    <v>221.89</v>
    <v>221.68</v>
    <v>222.54</v>
    <v>223.09</v>
    <v>223.72</v>
    <v>223.96</v>
    <v>224.12</v>
    <v>224.35</v>
    <v>223.27</v>
    <v>223.77</v>
    <v>224.35</v>
    <v>224.92</v>
    <v>225.19</v>
    <v>225.14</v>
    <v>225</v>
    <v>224.95</v>
    <v>224.68</v>
    <v>224.46</v>
    <v>224.01</v>
    <v>223.85</v>
    <v>223.26</v>
    <v>221.72</v>
    <v>222.35</v>
    <v>222.69</v>
    <v>222.1</v>
    <v>222.03</v>
    <v>222.02</v>
    <v>221.64</v>
    <v>221.63</v>
    <v>221.3</v>
    <v>221.15</v>
    <v>221.04</v>
    <v>220.41</v>
    <v>221.13</v>
    <v>221.82</v>
    <v>222.26</v>
    <v>221.5</v>
    <v>221.44</v>
    <v>220.88</v>
    <v>221.87</v>
    <v>222.52</v>
    <v>222.58</v>
    <v>222.25</v>
    <v>222.36</v>
    <v>221.56</v>
    <v>221.65</v>
    <v>221.99</v>
    <v>222.19</v>
    <v>221.12</v>
    <v>220.89</v>
    <v>220.09</v>
    <v>220.22</v>
    <v>220.25</v>
    <v>220.3</v>
    <v>220.39</v>
    <v>221.27</v>
    <v>220.96</v>
    <v>220.49</v>
    <v>220.33</v>
    <v>219.6</v>
    <v>219.47</v>
    <v>218.87</v>
    <v>219.52</v>
    <v>219.57</v>
    <v>218.92</v>
    <v>219.39</v>
    <v>218.22</v>
    <v>216.98</v>
    <v>217.17</v>
    <v>216.9</v>
    <v>216.65</v>
    <v>217</v>
    <v>217.48</v>
    <v>216.48</v>
    <v>217.68</v>
    <v>217.45</v>
    <v>216.15</v>
    <v>215.37</v>
    <v>215.43</v>
    <v>214.77</v>
    <v>214.62</v>
    <v>215.05</v>
    <v>214.51</v>
    <v>215.75</v>
    <v>215.39</v>
    <v>216.3</v>
    <v>215.56</v>
    <v>215.49</v>
    <v>215.65</v>
    <v>215.66</v>
    <v>216.03</v>
    <v>215.82</v>
    <v>216.94</v>
    <v>216.88</v>
    <v>215.86</v>
    <v>216.55</v>
    <v>215.84</v>
    <v>215.95</v>
    <v>216.23</v>
  </a>
  <a r="1" c="254">
    <v>18.2</v>
    <v>18.346</v>
    <v>18.623999999999999</v>
    <v>18.347999999999999</v>
    <v>18.558</v>
    <v>18.404</v>
    <v>18.173999999999999</v>
    <v>18.161999999999999</v>
    <v>18.114000000000001</v>
    <v>18.164000000000001</v>
    <v>18.262</v>
    <v>17.934000000000001</v>
    <v>18.36</v>
    <v>18.353999999999999</v>
    <v>18.344000000000001</v>
    <v>18.29</v>
    <v>18.224</v>
    <v>17.984000000000002</v>
    <v>17.742000000000001</v>
    <v>17.664000000000001</v>
    <v>17.600000000000001</v>
    <v>17.314</v>
    <v>17.664000000000001</v>
    <v>17.686</v>
    <v>17.635999999999999</v>
    <v>17.585999999999999</v>
    <v>17.670000000000002</v>
    <v>17.782</v>
    <v>17.611999999999998</v>
    <v>17.437999999999999</v>
    <v>17.518000000000001</v>
    <v>17.704000000000001</v>
    <v>17.559999999999999</v>
    <v>17.332000000000001</v>
    <v>17.385999999999999</v>
    <v>17.224</v>
    <v>17.236000000000001</v>
    <v>17.138000000000002</v>
    <v>16.818000000000001</v>
    <v>16.97</v>
    <v>17.152000000000001</v>
    <v>17.32</v>
    <v>17.276</v>
    <v>17.148</v>
    <v>17.12</v>
    <v>17.212</v>
    <v>17.646000000000001</v>
    <v>17.675999999999998</v>
    <v>17.946000000000002</v>
    <v>17.686</v>
    <v>17.748000000000001</v>
    <v>17.763999999999999</v>
    <v>18.16</v>
    <v>18.234000000000002</v>
    <v>18.141999999999999</v>
    <v>18.257999999999999</v>
    <v>17.856000000000002</v>
    <v>17.852</v>
    <v>17.61</v>
    <v>17.782</v>
    <v>17.899999999999999</v>
    <v>17.736000000000001</v>
    <v>17.588000000000001</v>
    <v>17.602</v>
    <v>17.832000000000001</v>
    <v>17.834</v>
    <v>17.602</v>
    <v>17.488</v>
    <v>17.277999999999999</v>
    <v>17.077999999999999</v>
    <v>17.14</v>
    <v>17.308</v>
    <v>17.448</v>
    <v>17.372</v>
    <v>17.302</v>
    <v>16.989999999999998</v>
    <v>16.978000000000002</v>
    <v>17.077999999999999</v>
    <v>17.068000000000001</v>
    <v>17.245999999999999</v>
    <v>17.207999999999998</v>
    <v>17.166</v>
    <v>17.239999999999998</v>
    <v>17.100000000000001</v>
    <v>17.07</v>
    <v>16.736000000000001</v>
    <v>16.716000000000001</v>
    <v>16.635999999999999</v>
    <v>16.234000000000002</v>
    <v>16.295999999999999</v>
    <v>16.138000000000002</v>
    <v>16.321999999999999</v>
    <v>16.494</v>
    <v>16.942</v>
    <v>16.768000000000001</v>
    <v>16.71</v>
    <v>16.841999999999999</v>
    <v>17.001999999999999</v>
    <v>16.899999999999999</v>
    <v>16.64</v>
    <v>16.276</v>
    <v>15.974</v>
    <v>15.917999999999999</v>
    <v>16.015999999999998</v>
    <v>16.28</v>
    <v>15.916</v>
    <v>15.884</v>
    <v>16.032</v>
    <v>15.96</v>
    <v>16.149999999999999</v>
    <v>16.059999999999999</v>
    <v>15.888</v>
    <v>16.361999999999998</v>
    <v>16.22</v>
    <v>16.286000000000001</v>
    <v>16.224</v>
    <v>16.404</v>
    <v>16.399999999999999</v>
    <v>16.684000000000001</v>
    <v>16.826000000000001</v>
    <v>16.776</v>
    <v>16.617999999999999</v>
    <v>16.658000000000001</v>
    <v>16.43</v>
    <v>16.423999999999999</v>
    <v>16.27</v>
    <v>16.167999999999999</v>
    <v>16.260000000000002</v>
    <v>16.308</v>
    <v>16.385999999999999</v>
    <v>16.334</v>
    <v>16.591999999999999</v>
    <v>16.591999999999999</v>
    <v>16.54</v>
    <v>16.635999999999999</v>
    <v>16.457999999999998</v>
    <v>17.018000000000001</v>
    <v>16.64</v>
    <v>16.294</v>
    <v>16.138000000000002</v>
    <v>16.248000000000001</v>
    <v>16.218</v>
    <v>15.965999999999999</v>
    <v>15.923999999999999</v>
    <v>16.032</v>
    <v>16.015999999999998</v>
    <v>15.874000000000001</v>
    <v>15.635999999999999</v>
    <v>15.74</v>
    <v>15.848000000000001</v>
    <v>16.428000000000001</v>
    <v>16.076000000000001</v>
    <v>16.018000000000001</v>
    <v>15.731999999999999</v>
    <v>15.644</v>
    <v>15.606</v>
    <v>15.646000000000001</v>
    <v>15.454000000000001</v>
    <v>15.722</v>
    <v>15.891999999999999</v>
    <v>15.593999999999999</v>
    <v>15.544</v>
    <v>15.414</v>
    <v>15.39</v>
    <v>15.52</v>
    <v>15.236000000000001</v>
    <v>15.234</v>
    <v>14.948</v>
    <v>14.837999999999999</v>
    <v>14.85</v>
    <v>14.948</v>
    <v>15.254</v>
    <v>14.91</v>
    <v>15.026</v>
    <v>15.26</v>
    <v>15.167999999999999</v>
    <v>15.513999999999999</v>
    <v>15.6</v>
    <v>15.618</v>
    <v>15.523999999999999</v>
    <v>15.641999999999999</v>
    <v>15.974</v>
    <v>15.93</v>
    <v>15.506</v>
    <v>15.981999999999999</v>
    <v>15.916</v>
    <v>15.768000000000001</v>
    <v>15.728</v>
    <v>15.752000000000001</v>
    <v>15.958</v>
    <v>15.992000000000001</v>
    <v>16.202000000000002</v>
    <v>16.102</v>
    <v>16.184000000000001</v>
    <v>16.302</v>
    <v>16.244</v>
    <v>16.256</v>
    <v>16.22</v>
    <v>16.367999999999999</v>
    <v>16.437999999999999</v>
    <v>16.154</v>
    <v>15.928000000000001</v>
    <v>15.8</v>
    <v>15.766</v>
    <v>15.888</v>
    <v>15.853999999999999</v>
    <v>15.89</v>
    <v>15.82</v>
    <v>15.944000000000001</v>
    <v>15.736000000000001</v>
    <v>15.763999999999999</v>
    <v>15.852</v>
    <v>15.766</v>
    <v>15.932</v>
    <v>15.805999999999999</v>
    <v>15.772</v>
    <v>15.73</v>
    <v>15.635999999999999</v>
    <v>15.794</v>
    <v>15.534000000000001</v>
    <v>15.536</v>
    <v>15.391999999999999</v>
    <v>15.27</v>
    <v>15.298</v>
    <v>15.456</v>
    <v>15.375999999999999</v>
    <v>15.257999999999999</v>
    <v>15.36</v>
    <v>15.454000000000001</v>
    <v>15.664</v>
    <v>15.848000000000001</v>
    <v>15.66</v>
    <v>15.536</v>
    <v>15.444000000000001</v>
    <v>15.474</v>
    <v>15.336</v>
    <v>15.423999999999999</v>
    <v>15.506</v>
    <v>15.196</v>
    <v>15.55</v>
    <v>15.48</v>
    <v>15.433999999999999</v>
    <v>15.316000000000001</v>
    <v>15.678000000000001</v>
    <v>15.61</v>
    <v>15.587999999999999</v>
    <v>15.474</v>
    <v>15.394</v>
    <v>15.292</v>
    <v>15.25</v>
    <v>15.18</v>
    <v>14.904</v>
    <v>14.622</v>
    <v>14.68</v>
  </a>
  <a r="1" c="761">
    <v>11.994</v>
    <v>12.42</v>
    <v>12.26</v>
    <v>12.311999999999999</v>
    <v>12.311999999999999</v>
    <v>12.401999999999999</v>
    <v>12.16</v>
    <v>12.256</v>
    <v>12.314</v>
    <v>12.544</v>
    <v>12.622</v>
    <v>12.577999999999999</v>
    <v>12.544</v>
    <v>12.462</v>
    <v>12.295999999999999</v>
    <v>12.496</v>
    <v>12.494</v>
    <v>12.884</v>
    <v>12.302</v>
    <v>12.314</v>
    <v>12.532</v>
    <v>12.343999999999999</v>
    <v>12.396000000000001</v>
    <v>12.522</v>
    <v>12.39</v>
    <v>12.25</v>
    <v>12.2</v>
    <v>12.023999999999999</v>
    <v>12.178000000000001</v>
    <v>12.064</v>
    <v>11.958</v>
    <v>11.756</v>
    <v>11.848000000000001</v>
    <v>11.784000000000001</v>
    <v>11.7</v>
    <v>11.8</v>
    <v>11.762</v>
    <v>11.622</v>
    <v>11.712</v>
    <v>11.827999999999999</v>
    <v>11.587999999999999</v>
    <v>11.715999999999999</v>
    <v>11.56</v>
    <v>11.624000000000001</v>
    <v>11.36</v>
    <v>11.292</v>
    <v>11.683999999999999</v>
    <v>11.71</v>
    <v>11.576000000000001</v>
    <v>11.714</v>
    <v>11.618</v>
    <v>11.52</v>
    <v>11.302</v>
    <v>11.222</v>
    <v>11.144</v>
    <v>11.215999999999999</v>
    <v>11.332000000000001</v>
    <v>11.183999999999999</v>
    <v>11.08</v>
    <v>10.722</v>
    <v>10.842000000000001</v>
    <v>10.69</v>
    <v>10.52</v>
    <v>10.942</v>
    <v>11.27</v>
    <v>11.302</v>
    <v>11.22</v>
    <v>11.016</v>
    <v>10.816000000000001</v>
    <v>10.794</v>
    <v>10.768000000000001</v>
    <v>10.62</v>
    <v>10.811999999999999</v>
    <v>11.375999999999999</v>
    <v>11.2</v>
    <v>11.076000000000001</v>
    <v>11.016</v>
    <v>11.342000000000001</v>
    <v>11.186</v>
    <v>11.24</v>
    <v>11.278</v>
    <v>11.507999999999999</v>
    <v>11.401999999999999</v>
    <v>11.304</v>
    <v>11.564</v>
    <v>11.64</v>
    <v>11.74</v>
    <v>11.628</v>
    <v>11.768000000000001</v>
    <v>11.433999999999999</v>
    <v>11.476000000000001</v>
    <v>11.654</v>
    <v>11.444000000000001</v>
    <v>11.314</v>
    <v>11.462</v>
    <v>11.3</v>
    <v>11.295999999999999</v>
    <v>11.628</v>
    <v>11.846</v>
    <v>11.901999999999999</v>
    <v>11.74</v>
    <v>11.742000000000001</v>
    <v>11.795999999999999</v>
    <v>11.74</v>
    <v>11.778</v>
    <v>11.798</v>
    <v>11.65</v>
    <v>11.59</v>
    <v>11.66</v>
    <v>11.596</v>
    <v>11.752000000000001</v>
    <v>11.994</v>
    <v>11.872</v>
    <v>11.894</v>
    <v>11.766</v>
    <v>11.821999999999999</v>
    <v>11.85</v>
    <v>11.922000000000001</v>
    <v>12.023999999999999</v>
    <v>11.842000000000001</v>
    <v>11.9</v>
    <v>11.714</v>
    <v>11.702</v>
    <v>11.858000000000001</v>
    <v>11.772</v>
    <v>11.93</v>
    <v>12.09</v>
    <v>12.276</v>
    <v>12.302</v>
    <v>12.592000000000001</v>
    <v>12.662000000000001</v>
    <v>12.561999999999999</v>
    <v>13.064</v>
    <v>13.156000000000001</v>
    <v>13.192</v>
    <v>13.09</v>
    <v>12.992000000000001</v>
    <v>13.244</v>
    <v>13.35</v>
    <v>13.61</v>
    <v>13.52</v>
    <v>13.561999999999999</v>
    <v>13.724</v>
    <v>13.948</v>
    <v>13.8</v>
    <v>13.56</v>
    <v>13.486000000000001</v>
    <v>13.314</v>
    <v>13.15</v>
    <v>13.284000000000001</v>
    <v>13.144</v>
    <v>13.042</v>
    <v>13.061999999999999</v>
    <v>12.752000000000001</v>
    <v>12.798</v>
    <v>12.912000000000001</v>
    <v>13.002000000000001</v>
    <v>13.006</v>
    <v>12.912000000000001</v>
    <v>12.997999999999999</v>
    <v>12.907999999999999</v>
    <v>12.846</v>
    <v>12.882</v>
    <v>12.907999999999999</v>
    <v>12.922000000000001</v>
    <v>12.942</v>
    <v>13.157999999999999</v>
    <v>12.968</v>
    <v>12.9</v>
    <v>12.996</v>
    <v>12.826000000000001</v>
    <v>12.866</v>
    <v>12.624000000000001</v>
    <v>12.644</v>
    <v>12.662000000000001</v>
    <v>12.656000000000001</v>
    <v>12.818</v>
    <v>12.784000000000001</v>
    <v>12.574</v>
    <v>12.476000000000001</v>
    <v>12.6</v>
    <v>12.618</v>
    <v>12.811999999999999</v>
    <v>12.916</v>
    <v>12.666</v>
    <v>12.602</v>
    <v>12.464</v>
    <v>12.417999999999999</v>
    <v>12.337999999999999</v>
    <v>12.54</v>
    <v>12.36</v>
    <v>12.316000000000001</v>
    <v>12.1</v>
    <v>12.125999999999999</v>
    <v>12.14</v>
    <v>12.068</v>
    <v>12.284000000000001</v>
    <v>12.212</v>
    <v>11.894</v>
    <v>11.824</v>
    <v>11.864000000000001</v>
    <v>12</v>
    <v>12.19</v>
    <v>12.103999999999999</v>
    <v>12.236000000000001</v>
    <v>12.247999999999999</v>
    <v>11.986000000000001</v>
    <v>12.327999999999999</v>
    <v>12.396000000000001</v>
    <v>12.061999999999999</v>
    <v>12.15</v>
    <v>12.076000000000001</v>
    <v>12.151999999999999</v>
    <v>11.914</v>
    <v>11.974</v>
    <v>11.81</v>
    <v>11.981999999999999</v>
    <v>12.055999999999999</v>
    <v>11.99</v>
    <v>11.965999999999999</v>
    <v>11.904</v>
    <v>11.866</v>
    <v>11.718</v>
    <v>11.747999999999999</v>
    <v>11.71</v>
    <v>11.788</v>
    <v>11.778</v>
    <v>11.79</v>
    <v>11.805999999999999</v>
    <v>11.95</v>
    <v>11.878</v>
    <v>12.172000000000001</v>
    <v>12.23</v>
    <v>12.462</v>
    <v>13.326000000000001</v>
    <v>13.242000000000001</v>
    <v>14.231999999999999</v>
    <v>14.513999999999999</v>
    <v>14.714</v>
    <v>14.94</v>
    <v>15.932</v>
    <v>16</v>
    <v>16.376000000000001</v>
    <v>16.821999999999999</v>
    <v>15.401999999999999</v>
    <v>15.183999999999999</v>
    <v>15.294</v>
    <v>15.407999999999999</v>
    <v>15.231999999999999</v>
    <v>14.523999999999999</v>
    <v>14.712</v>
    <v>14.272</v>
    <v>14.88</v>
    <v>14.644</v>
    <v>14.916</v>
    <v>14.898</v>
    <v>14.654</v>
    <v>14.782</v>
    <v>14.964</v>
    <v>14.907999999999999</v>
    <v>14.571999999999999</v>
    <v>14.49</v>
    <v>14.666</v>
    <v>14.734</v>
    <v>14.968</v>
    <v>14.821999999999999</v>
    <v>15.385999999999999</v>
    <v>14.778</v>
    <v>14.87</v>
    <v>14.47</v>
    <v>14.516</v>
    <v>14.404</v>
    <v>14.42</v>
    <v>14.532</v>
    <v>14.464</v>
    <v>14.577999999999999</v>
    <v>14.528</v>
    <v>14.292</v>
    <v>14.15</v>
    <v>14.103999999999999</v>
    <v>14.308</v>
    <v>14.162000000000001</v>
    <v>14.316000000000001</v>
    <v>14.422000000000001</v>
    <v>14.538</v>
    <v>14.326000000000001</v>
    <v>14.35</v>
    <v>14.53</v>
    <v>15.641999999999999</v>
    <v>15.01</v>
    <v>14.878</v>
    <v>14.97</v>
    <v>14.676</v>
    <v>14.528</v>
    <v>14.68</v>
    <v>14.672000000000001</v>
    <v>14.766</v>
    <v>14.808</v>
    <v>14.804</v>
    <v>14.874000000000001</v>
    <v>14.81</v>
    <v>14.75</v>
    <v>14.71</v>
    <v>14.49</v>
    <v>14.32</v>
    <v>14.244</v>
    <v>14.286</v>
    <v>14.028</v>
    <v>14.044</v>
    <v>14.27</v>
    <v>14.394</v>
    <v>14.362</v>
    <v>14.686</v>
    <v>14.89</v>
    <v>14.602</v>
    <v>14.484</v>
    <v>14.484</v>
    <v>14.676</v>
    <v>14.874000000000001</v>
    <v>14.836</v>
    <v>15.268000000000001</v>
    <v>15.48</v>
    <v>15.398</v>
    <v>15.337999999999999</v>
    <v>15.58</v>
    <v>15.208</v>
    <v>15.484</v>
    <v>15.747999999999999</v>
    <v>16.091999999999999</v>
    <v>16</v>
    <v>16.288</v>
    <v>16.18</v>
    <v>16.536000000000001</v>
    <v>16.82</v>
    <v>16.82</v>
    <v>16.84</v>
    <v>17.059999999999999</v>
    <v>17.513999999999999</v>
    <v>16.731999999999999</v>
    <v>16.797999999999998</v>
    <v>17.302</v>
    <v>17.34</v>
    <v>16.782</v>
    <v>16.658000000000001</v>
    <v>16.448</v>
    <v>16.77</v>
    <v>17.071999999999999</v>
    <v>16.968</v>
    <v>16.600000000000001</v>
    <v>16.611999999999998</v>
    <v>16.565999999999999</v>
    <v>16.706</v>
    <v>17.094000000000001</v>
    <v>17.456</v>
    <v>17.442</v>
    <v>17.463999999999999</v>
    <v>16.988</v>
    <v>16.815999999999999</v>
    <v>16.829999999999998</v>
    <v>16.704000000000001</v>
    <v>16.712</v>
    <v>16.952000000000002</v>
    <v>16.48</v>
    <v>16.402000000000001</v>
    <v>16.553999999999998</v>
    <v>16.321999999999999</v>
    <v>15.805999999999999</v>
    <v>14.856</v>
    <v>13.878</v>
    <v>14.032</v>
    <v>13.656000000000001</v>
    <v>14.032</v>
    <v>13.958</v>
    <v>14.571999999999999</v>
    <v>14.57</v>
    <v>14.252000000000001</v>
    <v>14.214</v>
    <v>14.396000000000001</v>
    <v>14.916</v>
    <v>14.884</v>
    <v>14.84</v>
    <v>14.798</v>
    <v>14.778</v>
    <v>14.79</v>
    <v>15.288</v>
    <v>15.414</v>
    <v>15.534000000000001</v>
    <v>15.173999999999999</v>
    <v>15.42</v>
    <v>15.422000000000001</v>
    <v>16.077999999999999</v>
    <v>16.015999999999998</v>
    <v>16.190000000000001</v>
    <v>15.846</v>
    <v>15.885999999999999</v>
    <v>15.773999999999999</v>
    <v>15.9</v>
    <v>15.866</v>
    <v>15.804</v>
    <v>15.696</v>
    <v>15.51</v>
    <v>15.464</v>
    <v>15.37</v>
    <v>15.422000000000001</v>
    <v>15.183999999999999</v>
    <v>15.141999999999999</v>
    <v>15.368</v>
    <v>15.624000000000001</v>
    <v>15.683999999999999</v>
    <v>15.618</v>
    <v>15.846</v>
    <v>15.766</v>
    <v>15.875999999999999</v>
    <v>15.698</v>
    <v>15.513999999999999</v>
    <v>15.676</v>
    <v>15.641999999999999</v>
    <v>15.46</v>
    <v>15.198</v>
    <v>15.295999999999999</v>
    <v>15.38</v>
    <v>15.682</v>
    <v>15.71</v>
    <v>15.616</v>
    <v>15.513999999999999</v>
    <v>15.385999999999999</v>
    <v>15.423999999999999</v>
    <v>15.332000000000001</v>
    <v>15.305999999999999</v>
    <v>15.254</v>
    <v>15.396000000000001</v>
    <v>15.532</v>
    <v>15.324</v>
    <v>15.452</v>
    <v>15.486000000000001</v>
    <v>15.632</v>
    <v>15.95</v>
    <v>15.864000000000001</v>
    <v>16.100000000000001</v>
    <v>16.277999999999999</v>
    <v>16.282</v>
    <v>16.372</v>
    <v>16.579999999999998</v>
    <v>16.542000000000002</v>
    <v>16.466000000000001</v>
    <v>16.68</v>
    <v>16.760000000000002</v>
    <v>16.646000000000001</v>
    <v>16.542000000000002</v>
    <v>16.058</v>
    <v>16.302</v>
    <v>16.443999999999999</v>
    <v>16.384</v>
    <v>16.423999999999999</v>
    <v>16.372</v>
    <v>16.393999999999998</v>
    <v>16.457999999999998</v>
    <v>16.925999999999998</v>
    <v>16.725999999999999</v>
    <v>16.882000000000001</v>
    <v>16.8</v>
    <v>16.827999999999999</v>
    <v>16.986000000000001</v>
    <v>17.238</v>
    <v>17.41</v>
    <v>17.399999999999999</v>
    <v>16.95</v>
    <v>16.984000000000002</v>
    <v>17.173999999999999</v>
    <v>17.268000000000001</v>
    <v>17.282</v>
    <v>17.206</v>
    <v>16.966000000000001</v>
    <v>17.143999999999998</v>
    <v>17.36</v>
    <v>17.64</v>
    <v>17.594000000000001</v>
    <v>17.858000000000001</v>
    <v>17.91</v>
    <v>17.995999999999999</v>
    <v>17.898</v>
    <v>18.254000000000001</v>
    <v>18.065999999999999</v>
    <v>18.123999999999999</v>
    <v>18.02</v>
    <v>17.905999999999999</v>
    <v>18.18</v>
    <v>18.263999999999999</v>
    <v>18.076000000000001</v>
    <v>18.37</v>
    <v>18.446000000000002</v>
    <v>18.558</v>
    <v>18.873999999999999</v>
    <v>18.698</v>
    <v>18.774000000000001</v>
    <v>18.652000000000001</v>
    <v>18.684000000000001</v>
    <v>18.602</v>
    <v>17.57</v>
    <v>18.094000000000001</v>
    <v>17.818000000000001</v>
    <v>17.974</v>
    <v>17.989999999999998</v>
    <v>17.786000000000001</v>
    <v>18.09</v>
    <v>18.036000000000001</v>
    <v>17.920000000000002</v>
    <v>18.2</v>
    <v>18.346</v>
    <v>18.623999999999999</v>
    <v>18.347999999999999</v>
    <v>18.558</v>
    <v>18.404</v>
    <v>18.173999999999999</v>
    <v>18.161999999999999</v>
    <v>18.114000000000001</v>
    <v>18.164000000000001</v>
    <v>18.262</v>
    <v>17.934000000000001</v>
    <v>18.36</v>
    <v>18.353999999999999</v>
    <v>18.344000000000001</v>
    <v>18.29</v>
    <v>18.224</v>
    <v>17.984000000000002</v>
    <v>17.742000000000001</v>
    <v>17.664000000000001</v>
    <v>17.600000000000001</v>
    <v>17.314</v>
    <v>17.664000000000001</v>
    <v>17.686</v>
    <v>17.635999999999999</v>
    <v>17.585999999999999</v>
    <v>17.670000000000002</v>
    <v>17.782</v>
    <v>17.611999999999998</v>
    <v>17.437999999999999</v>
    <v>17.518000000000001</v>
    <v>17.704000000000001</v>
    <v>17.559999999999999</v>
    <v>17.332000000000001</v>
    <v>17.385999999999999</v>
    <v>17.224</v>
    <v>17.236000000000001</v>
    <v>17.138000000000002</v>
    <v>16.818000000000001</v>
    <v>16.97</v>
    <v>17.152000000000001</v>
    <v>17.32</v>
    <v>17.276</v>
    <v>17.148</v>
    <v>17.12</v>
    <v>17.212</v>
    <v>17.646000000000001</v>
    <v>17.675999999999998</v>
    <v>17.946000000000002</v>
    <v>17.686</v>
    <v>17.748000000000001</v>
    <v>17.763999999999999</v>
    <v>18.16</v>
    <v>18.234000000000002</v>
    <v>18.141999999999999</v>
    <v>18.257999999999999</v>
    <v>17.856000000000002</v>
    <v>17.852</v>
    <v>17.61</v>
    <v>17.782</v>
    <v>17.899999999999999</v>
    <v>17.736000000000001</v>
    <v>17.588000000000001</v>
    <v>17.602</v>
    <v>17.832000000000001</v>
    <v>17.834</v>
    <v>17.602</v>
    <v>17.488</v>
    <v>17.277999999999999</v>
    <v>17.077999999999999</v>
    <v>17.14</v>
    <v>17.308</v>
    <v>17.448</v>
    <v>17.372</v>
    <v>17.302</v>
    <v>16.989999999999998</v>
    <v>16.978000000000002</v>
    <v>17.077999999999999</v>
    <v>17.068000000000001</v>
    <v>17.245999999999999</v>
    <v>17.207999999999998</v>
    <v>17.166</v>
    <v>17.239999999999998</v>
    <v>17.100000000000001</v>
    <v>17.07</v>
    <v>16.736000000000001</v>
    <v>16.716000000000001</v>
    <v>16.635999999999999</v>
    <v>16.234000000000002</v>
    <v>16.295999999999999</v>
    <v>16.138000000000002</v>
    <v>16.321999999999999</v>
    <v>16.494</v>
    <v>16.942</v>
    <v>16.768000000000001</v>
    <v>16.71</v>
    <v>16.841999999999999</v>
    <v>17.001999999999999</v>
    <v>16.899999999999999</v>
    <v>16.64</v>
    <v>16.276</v>
    <v>15.974</v>
    <v>15.917999999999999</v>
    <v>16.015999999999998</v>
    <v>16.28</v>
    <v>15.916</v>
    <v>15.884</v>
    <v>16.032</v>
    <v>15.96</v>
    <v>16.149999999999999</v>
    <v>16.059999999999999</v>
    <v>15.888</v>
    <v>16.361999999999998</v>
    <v>16.22</v>
    <v>16.286000000000001</v>
    <v>16.224</v>
    <v>16.404</v>
    <v>16.399999999999999</v>
    <v>16.684000000000001</v>
    <v>16.826000000000001</v>
    <v>16.776</v>
    <v>16.617999999999999</v>
    <v>16.658000000000001</v>
    <v>16.43</v>
    <v>16.423999999999999</v>
    <v>16.27</v>
    <v>16.167999999999999</v>
    <v>16.260000000000002</v>
    <v>16.308</v>
    <v>16.385999999999999</v>
    <v>16.334</v>
    <v>16.591999999999999</v>
    <v>16.591999999999999</v>
    <v>16.54</v>
    <v>16.635999999999999</v>
    <v>16.457999999999998</v>
    <v>17.018000000000001</v>
    <v>16.64</v>
    <v>16.294</v>
    <v>16.138000000000002</v>
    <v>16.248000000000001</v>
    <v>16.218</v>
    <v>15.965999999999999</v>
    <v>15.923999999999999</v>
    <v>16.032</v>
    <v>16.015999999999998</v>
    <v>15.874000000000001</v>
    <v>15.635999999999999</v>
    <v>15.74</v>
    <v>15.848000000000001</v>
    <v>16.428000000000001</v>
    <v>16.076000000000001</v>
    <v>16.018000000000001</v>
    <v>15.731999999999999</v>
    <v>15.644</v>
    <v>15.606</v>
    <v>15.646000000000001</v>
    <v>15.454000000000001</v>
    <v>15.722</v>
    <v>15.891999999999999</v>
    <v>15.593999999999999</v>
    <v>15.544</v>
    <v>15.414</v>
    <v>15.39</v>
    <v>15.52</v>
    <v>15.236000000000001</v>
    <v>15.234</v>
    <v>14.948</v>
    <v>14.837999999999999</v>
    <v>14.85</v>
    <v>14.948</v>
    <v>15.254</v>
    <v>14.91</v>
    <v>15.026</v>
    <v>15.26</v>
    <v>15.167999999999999</v>
    <v>15.513999999999999</v>
    <v>15.6</v>
    <v>15.618</v>
    <v>15.523999999999999</v>
    <v>15.641999999999999</v>
    <v>15.974</v>
    <v>15.93</v>
    <v>15.506</v>
    <v>15.981999999999999</v>
    <v>15.916</v>
    <v>15.768000000000001</v>
    <v>15.728</v>
    <v>15.752000000000001</v>
    <v>15.958</v>
    <v>15.992000000000001</v>
    <v>16.202000000000002</v>
    <v>16.102</v>
    <v>16.184000000000001</v>
    <v>16.302</v>
    <v>16.244</v>
    <v>16.256</v>
    <v>16.22</v>
    <v>16.367999999999999</v>
    <v>16.437999999999999</v>
    <v>16.154</v>
    <v>15.928000000000001</v>
    <v>15.8</v>
    <v>15.766</v>
    <v>15.888</v>
    <v>15.853999999999999</v>
    <v>15.89</v>
    <v>15.82</v>
    <v>15.944000000000001</v>
    <v>15.736000000000001</v>
    <v>15.763999999999999</v>
    <v>15.852</v>
    <v>15.766</v>
    <v>15.932</v>
    <v>15.805999999999999</v>
    <v>15.772</v>
    <v>15.73</v>
    <v>15.635999999999999</v>
    <v>15.794</v>
    <v>15.534000000000001</v>
    <v>15.536</v>
    <v>15.391999999999999</v>
    <v>15.27</v>
    <v>15.298</v>
    <v>15.456</v>
    <v>15.375999999999999</v>
    <v>15.257999999999999</v>
    <v>15.36</v>
    <v>15.454000000000001</v>
    <v>15.664</v>
    <v>15.848000000000001</v>
    <v>15.66</v>
    <v>15.536</v>
    <v>15.444000000000001</v>
    <v>15.474</v>
    <v>15.336</v>
    <v>15.423999999999999</v>
    <v>15.506</v>
    <v>15.196</v>
    <v>15.55</v>
    <v>15.48</v>
    <v>15.433999999999999</v>
    <v>15.316000000000001</v>
    <v>15.678000000000001</v>
    <v>15.61</v>
    <v>15.587999999999999</v>
    <v>15.474</v>
    <v>15.394</v>
    <v>15.292</v>
    <v>15.25</v>
    <v>15.18</v>
    <v>14.904</v>
    <v>14.622</v>
    <v>14.68</v>
  </a>
  <a r="1" c="208">
    <v>17.646000000000001</v>
    <v>17.675999999999998</v>
    <v>17.946000000000002</v>
    <v>17.686</v>
    <v>17.748000000000001</v>
    <v>17.763999999999999</v>
    <v>18.16</v>
    <v>18.234000000000002</v>
    <v>18.141999999999999</v>
    <v>18.257999999999999</v>
    <v>17.856000000000002</v>
    <v>17.852</v>
    <v>17.61</v>
    <v>17.782</v>
    <v>17.899999999999999</v>
    <v>17.736000000000001</v>
    <v>17.588000000000001</v>
    <v>17.602</v>
    <v>17.832000000000001</v>
    <v>17.834</v>
    <v>17.602</v>
    <v>17.488</v>
    <v>17.277999999999999</v>
    <v>17.077999999999999</v>
    <v>17.14</v>
    <v>17.308</v>
    <v>17.448</v>
    <v>17.372</v>
    <v>17.302</v>
    <v>16.989999999999998</v>
    <v>16.978000000000002</v>
    <v>17.077999999999999</v>
    <v>17.068000000000001</v>
    <v>17.245999999999999</v>
    <v>17.207999999999998</v>
    <v>17.166</v>
    <v>17.239999999999998</v>
    <v>17.100000000000001</v>
    <v>17.07</v>
    <v>16.736000000000001</v>
    <v>16.716000000000001</v>
    <v>16.635999999999999</v>
    <v>16.234000000000002</v>
    <v>16.295999999999999</v>
    <v>16.138000000000002</v>
    <v>16.321999999999999</v>
    <v>16.494</v>
    <v>16.942</v>
    <v>16.768000000000001</v>
    <v>16.71</v>
    <v>16.841999999999999</v>
    <v>17.001999999999999</v>
    <v>16.899999999999999</v>
    <v>16.64</v>
    <v>16.276</v>
    <v>15.974</v>
    <v>15.917999999999999</v>
    <v>16.015999999999998</v>
    <v>16.28</v>
    <v>15.916</v>
    <v>15.884</v>
    <v>16.032</v>
    <v>15.96</v>
    <v>16.149999999999999</v>
    <v>16.059999999999999</v>
    <v>15.888</v>
    <v>16.361999999999998</v>
    <v>16.22</v>
    <v>16.286000000000001</v>
    <v>16.224</v>
    <v>16.404</v>
    <v>16.399999999999999</v>
    <v>16.684000000000001</v>
    <v>16.826000000000001</v>
    <v>16.776</v>
    <v>16.617999999999999</v>
    <v>16.658000000000001</v>
    <v>16.43</v>
    <v>16.423999999999999</v>
    <v>16.27</v>
    <v>16.167999999999999</v>
    <v>16.260000000000002</v>
    <v>16.308</v>
    <v>16.385999999999999</v>
    <v>16.334</v>
    <v>16.591999999999999</v>
    <v>16.591999999999999</v>
    <v>16.54</v>
    <v>16.635999999999999</v>
    <v>16.457999999999998</v>
    <v>17.018000000000001</v>
    <v>16.64</v>
    <v>16.294</v>
    <v>16.138000000000002</v>
    <v>16.248000000000001</v>
    <v>16.218</v>
    <v>15.965999999999999</v>
    <v>15.923999999999999</v>
    <v>16.032</v>
    <v>16.015999999999998</v>
    <v>15.874000000000001</v>
    <v>15.635999999999999</v>
    <v>15.74</v>
    <v>15.848000000000001</v>
    <v>16.428000000000001</v>
    <v>16.076000000000001</v>
    <v>16.018000000000001</v>
    <v>15.731999999999999</v>
    <v>15.644</v>
    <v>15.606</v>
    <v>15.646000000000001</v>
    <v>15.454000000000001</v>
    <v>15.722</v>
    <v>15.891999999999999</v>
    <v>15.593999999999999</v>
    <v>15.544</v>
    <v>15.414</v>
    <v>15.39</v>
    <v>15.52</v>
    <v>15.236000000000001</v>
    <v>15.234</v>
    <v>14.948</v>
    <v>14.837999999999999</v>
    <v>14.85</v>
    <v>14.948</v>
    <v>15.254</v>
    <v>14.91</v>
    <v>15.026</v>
    <v>15.26</v>
    <v>15.167999999999999</v>
    <v>15.513999999999999</v>
    <v>15.6</v>
    <v>15.618</v>
    <v>15.523999999999999</v>
    <v>15.641999999999999</v>
    <v>15.974</v>
    <v>15.93</v>
    <v>15.506</v>
    <v>15.981999999999999</v>
    <v>15.916</v>
    <v>15.768000000000001</v>
    <v>15.728</v>
    <v>15.752000000000001</v>
    <v>15.958</v>
    <v>15.992000000000001</v>
    <v>16.202000000000002</v>
    <v>16.102</v>
    <v>16.184000000000001</v>
    <v>16.302</v>
    <v>16.244</v>
    <v>16.256</v>
    <v>16.22</v>
    <v>16.367999999999999</v>
    <v>16.437999999999999</v>
    <v>16.154</v>
    <v>15.928000000000001</v>
    <v>15.8</v>
    <v>15.766</v>
    <v>15.888</v>
    <v>15.853999999999999</v>
    <v>15.89</v>
    <v>15.82</v>
    <v>15.944000000000001</v>
    <v>15.736000000000001</v>
    <v>15.763999999999999</v>
    <v>15.852</v>
    <v>15.766</v>
    <v>15.932</v>
    <v>15.805999999999999</v>
    <v>15.772</v>
    <v>15.73</v>
    <v>15.635999999999999</v>
    <v>15.794</v>
    <v>15.534000000000001</v>
    <v>15.536</v>
    <v>15.391999999999999</v>
    <v>15.27</v>
    <v>15.298</v>
    <v>15.456</v>
    <v>15.375999999999999</v>
    <v>15.257999999999999</v>
    <v>15.36</v>
    <v>15.454000000000001</v>
    <v>15.664</v>
    <v>15.848000000000001</v>
    <v>15.66</v>
    <v>15.536</v>
    <v>15.444000000000001</v>
    <v>15.474</v>
    <v>15.336</v>
    <v>15.423999999999999</v>
    <v>15.506</v>
    <v>15.196</v>
    <v>15.55</v>
    <v>15.48</v>
    <v>15.433999999999999</v>
    <v>15.316000000000001</v>
    <v>15.678000000000001</v>
    <v>15.61</v>
    <v>15.587999999999999</v>
    <v>15.474</v>
    <v>15.394</v>
    <v>15.292</v>
    <v>15.25</v>
    <v>15.18</v>
    <v>14.904</v>
    <v>14.622</v>
    <v>14.68</v>
  </a>
  <a r="1" c="147">
    <v t="i">154</v>
    <v t="i">155</v>
    <v t="i">158</v>
    <v t="i">159</v>
    <v t="i">160</v>
    <v t="i">161</v>
    <v t="i">165</v>
    <v t="i">166</v>
    <v t="i">167</v>
    <v t="i">168</v>
    <v t="i">169</v>
    <v t="i">172</v>
    <v t="i">173</v>
    <v t="i">174</v>
    <v t="i">175</v>
    <v t="i">176</v>
    <v t="i">179</v>
    <v t="i">180</v>
    <v t="i">181</v>
    <v t="i">182</v>
    <v t="i">183</v>
    <v t="i">186</v>
    <v t="i">187</v>
    <v t="i">188</v>
    <v t="i">189</v>
    <v t="i">190</v>
    <v t="i">193</v>
    <v t="i">194</v>
    <v t="i">195</v>
    <v t="i">196</v>
    <v t="i">197</v>
    <v t="i">200</v>
    <v t="i">201</v>
    <v t="i">202</v>
    <v t="i">203</v>
    <v t="i">204</v>
    <v t="i">207</v>
    <v t="i">208</v>
    <v t="i">209</v>
    <v t="i">210</v>
    <v t="i">211</v>
    <v t="i">215</v>
    <v t="i">216</v>
    <v t="i">217</v>
    <v t="i">218</v>
    <v t="i">221</v>
    <v t="i">222</v>
    <v t="i">223</v>
    <v t="i">224</v>
    <v t="i">225</v>
    <v t="i">228</v>
    <v t="i">229</v>
    <v t="i">230</v>
    <v t="i">231</v>
    <v t="i">232</v>
    <v t="i">235</v>
    <v t="i">236</v>
    <v t="i">237</v>
    <v t="i">238</v>
    <v t="i">242</v>
    <v t="i">243</v>
    <v t="i">244</v>
    <v t="i">245</v>
    <v t="i">246</v>
    <v t="i">249</v>
    <v t="i">250</v>
    <v t="i">251</v>
    <v t="i">252</v>
    <v t="i">256</v>
    <v t="i">257</v>
    <v t="i">258</v>
    <v t="i">259</v>
    <v t="i">260</v>
    <v t="i">263</v>
    <v t="i">264</v>
    <v t="i">265</v>
    <v t="i">266</v>
    <v t="i">267</v>
    <v t="i">270</v>
    <v t="i">271</v>
    <v t="i">272</v>
    <v t="i">273</v>
    <v t="i">274</v>
    <v t="i">277</v>
    <v t="i">278</v>
    <v t="i">279</v>
    <v t="i">280</v>
    <v t="i">281</v>
    <v t="i">284</v>
    <v t="i">285</v>
    <v t="i">286</v>
    <v t="i">287</v>
    <v t="i">288</v>
    <v t="i">291</v>
    <v t="i">292</v>
    <v t="i">293</v>
    <v t="i">294</v>
    <v t="i">295</v>
    <v t="i">298</v>
    <v t="i">299</v>
    <v t="i">300</v>
    <v t="i">301</v>
    <v t="i">302</v>
    <v t="i">305</v>
    <v t="i">306</v>
    <v t="i">307</v>
    <v t="i">308</v>
    <v t="i">309</v>
    <v t="i">312</v>
    <v t="i">313</v>
    <v t="i">314</v>
    <v t="i">315</v>
    <v t="i">316</v>
    <v t="i">320</v>
    <v t="i">321</v>
    <v t="i">322</v>
    <v t="i">323</v>
    <v t="i">326</v>
    <v t="i">327</v>
    <v t="i">328</v>
    <v t="i">329</v>
    <v t="i">330</v>
    <v t="i">333</v>
    <v t="i">334</v>
    <v t="i">335</v>
    <v t="i">336</v>
    <v t="i">337</v>
    <v t="i">340</v>
    <v t="i">341</v>
    <v t="i">342</v>
    <v t="i">343</v>
    <v t="i">344</v>
    <v t="i">347</v>
    <v t="i">348</v>
    <v t="i">349</v>
    <v t="i">350</v>
    <v t="i">351</v>
    <v t="i">354</v>
    <v t="i">355</v>
    <v t="i">356</v>
    <v t="i">357</v>
    <v t="i">358</v>
    <v t="i">361</v>
    <v t="i">362</v>
    <v t="i">363</v>
    <v t="i">364</v>
    <v t="i">365</v>
  </a>
  <a r="1" c="147">
    <v>74.77</v>
    <v>74.875</v>
    <v>75.078400000000002</v>
    <v>75.385099999999994</v>
    <v>75.385000000000005</v>
    <v>75.519900000000007</v>
    <v>75.421199999999999</v>
    <v>75.537099999999995</v>
    <v>75.658900000000003</v>
    <v>75.715000000000003</v>
    <v>75.62</v>
    <v>75.7684</v>
    <v>75.875</v>
    <v>75.885000000000005</v>
    <v>75.784999999999997</v>
    <v>76.015000000000001</v>
    <v>76.004999999999995</v>
    <v>75.825000000000003</v>
    <v>75.894999999999996</v>
    <v>75.779799999999994</v>
    <v>75.924999999999997</v>
    <v>75.814999999999998</v>
    <v>75.724999999999994</v>
    <v>75.495000000000005</v>
    <v>75.611599999999996</v>
    <v>75.594999999999999</v>
    <v>75.42</v>
    <v>75.489999999999995</v>
    <v>75.732200000000006</v>
    <v>75.540000000000006</v>
    <v>75.7</v>
    <v>75.575000000000003</v>
    <v>75.459999999999994</v>
    <v>75.5</v>
    <v>75.425600000000003</v>
    <v>75.1524</v>
    <v>75.1648</v>
    <v>74.973100000000002</v>
    <v>75.265299999999996</v>
    <v>75.3</v>
    <v>75.281300000000002</v>
    <v>75.484999999999999</v>
    <v>75.495000000000005</v>
    <v>75.594999999999999</v>
    <v>75.642499999999998</v>
    <v>75.329400000000007</v>
    <v>75.33</v>
    <v>75.265000000000001</v>
    <v>75.325000000000003</v>
    <v>75.045000000000002</v>
    <v>75.064999999999998</v>
    <v>75.155000000000001</v>
    <v>75.12</v>
    <v>75.405000000000001</v>
    <v>75.405000000000001</v>
    <v>75.459100000000007</v>
    <v>75.504999999999995</v>
    <v>75.2</v>
    <v>75.364999999999995</v>
    <v>75.253799999999998</v>
    <v>75.344999999999999</v>
    <v>75.52</v>
    <v>75.585300000000004</v>
    <v>75.628900000000002</v>
    <v>75.64</v>
    <v>75.525000000000006</v>
    <v>75.194999999999993</v>
    <v>75.33</v>
    <v>75.375</v>
    <v>75.135000000000005</v>
    <v>75.06</v>
    <v>75.13</v>
    <v>75.040000000000006</v>
    <v>74.875</v>
    <v>75.015000000000001</v>
    <v>75.155000000000001</v>
    <v>75.165000000000006</v>
    <v>75.22</v>
    <v>75.069999999999993</v>
    <v>74.965000000000003</v>
    <v>74.864999999999995</v>
    <v>74.754999999999995</v>
    <v>74.81</v>
    <v>74.87</v>
    <v>74.988900000000001</v>
    <v>74.893100000000004</v>
    <v>74.995000000000005</v>
    <v>74.907499999999999</v>
    <v>74.775000000000006</v>
    <v>74.984999999999999</v>
    <v>75.040000000000006</v>
    <v>74.864999999999995</v>
    <v>74.995000000000005</v>
    <v>74.86</v>
    <v>74.894999999999996</v>
    <v>74.9405</v>
    <v>75.064999999999998</v>
    <v>75.015100000000004</v>
    <v>74.989999999999995</v>
    <v>75.004999999999995</v>
    <v>75.091899999999995</v>
    <v>74.98</v>
    <v>74.959999999999994</v>
    <v>75.004999999999995</v>
    <v>75.22</v>
    <v>75.144999999999996</v>
    <v>75.094999999999999</v>
    <v>74.825000000000003</v>
    <v>74.8232</v>
    <v>74.394999999999996</v>
    <v>74.444999999999993</v>
    <v>74.5154</v>
    <v>74.495000000000005</v>
    <v>74.430000000000007</v>
    <v>74.385000000000005</v>
    <v>74.084999999999994</v>
    <v>73.935000000000002</v>
    <v>73.877600000000001</v>
    <v>73.83</v>
    <v>73.814999999999998</v>
    <v>74.020399999999995</v>
    <v>73.875</v>
    <v>73.950400000000002</v>
    <v>73.974999999999994</v>
    <v>73.553100000000001</v>
    <v>73.41</v>
    <v>73.534800000000004</v>
    <v>73.27</v>
    <v>73.296400000000006</v>
    <v>73.2988</v>
    <v>73.205600000000004</v>
    <v>73.085400000000007</v>
    <v>73.19</v>
    <v>73.314999999999998</v>
    <v>73.355000000000004</v>
    <v>73.430000000000007</v>
    <v>73.42</v>
    <v>73.484999999999999</v>
    <v>73.540000000000006</v>
    <v>73.443600000000004</v>
    <v>73.671899999999994</v>
    <v>73.708699999999993</v>
    <v>73.553299999999993</v>
    <v>73.569800000000001</v>
    <v>73.5702</v>
    <v>73.920400000000001</v>
    <v>73.8446</v>
  </a>
  <a r="1" c="147">
    <v t="i">885</v>
    <v t="i">886</v>
    <v t="i">889</v>
    <v t="i">890</v>
    <v t="i">891</v>
    <v t="i">892</v>
    <v t="i">896</v>
    <v t="i">897</v>
    <v t="i">898</v>
    <v t="i">899</v>
    <v t="i">900</v>
    <v t="i">903</v>
    <v t="i">904</v>
    <v t="i">905</v>
    <v t="i">906</v>
    <v t="i">907</v>
    <v t="i">910</v>
    <v t="i">911</v>
    <v t="i">912</v>
    <v t="i">913</v>
    <v t="i">914</v>
    <v t="i">917</v>
    <v t="i">918</v>
    <v t="i">919</v>
    <v t="i">920</v>
    <v t="i">921</v>
    <v t="i">924</v>
    <v t="i">925</v>
    <v t="i">926</v>
    <v t="i">927</v>
    <v t="i">928</v>
    <v t="i">931</v>
    <v t="i">932</v>
    <v t="i">933</v>
    <v t="i">934</v>
    <v t="i">935</v>
    <v t="i">938</v>
    <v t="i">939</v>
    <v t="i">940</v>
    <v t="i">941</v>
    <v t="i">942</v>
    <v t="i">946</v>
    <v t="i">947</v>
    <v t="i">948</v>
    <v t="i">949</v>
    <v t="i">952</v>
    <v t="i">953</v>
    <v t="i">954</v>
    <v t="i">955</v>
    <v t="i">956</v>
    <v t="i">959</v>
    <v t="i">960</v>
    <v t="i">961</v>
    <v t="i">962</v>
    <v t="i">963</v>
    <v t="i">966</v>
    <v t="i">967</v>
    <v t="i">968</v>
    <v t="i">969</v>
    <v t="i">973</v>
    <v t="i">974</v>
    <v t="i">975</v>
    <v t="i">976</v>
    <v t="i">977</v>
    <v t="i">980</v>
    <v t="i">981</v>
    <v t="i">982</v>
    <v t="i">983</v>
    <v t="i">987</v>
    <v t="i">988</v>
    <v t="i">989</v>
    <v t="i">990</v>
    <v t="i">991</v>
    <v t="i">994</v>
    <v t="i">995</v>
    <v t="i">996</v>
    <v t="i">997</v>
    <v t="i">998</v>
    <v t="i">1001</v>
    <v t="i">1002</v>
    <v t="i">1003</v>
    <v t="i">1004</v>
    <v t="i">1005</v>
    <v t="i">1008</v>
    <v t="i">1009</v>
    <v t="i">1010</v>
    <v t="i">1011</v>
    <v t="i">1012</v>
    <v t="i">1015</v>
    <v t="i">1016</v>
    <v t="i">1017</v>
    <v t="i">1018</v>
    <v t="i">1019</v>
    <v t="i">1022</v>
    <v t="i">1023</v>
    <v t="i">1024</v>
    <v t="i">1025</v>
    <v t="i">1026</v>
    <v t="i">1029</v>
    <v t="i">1030</v>
    <v t="i">1031</v>
    <v t="i">1032</v>
    <v t="i">1033</v>
    <v t="i">1036</v>
    <v t="i">1037</v>
    <v t="i">1038</v>
    <v t="i">1039</v>
    <v t="i">1040</v>
    <v t="i">1043</v>
    <v t="i">1044</v>
    <v t="i">1045</v>
    <v t="i">1046</v>
    <v t="i">1047</v>
    <v t="i">1051</v>
    <v t="i">1052</v>
    <v t="i">1053</v>
    <v t="i">1054</v>
    <v t="i">1057</v>
    <v t="i">1058</v>
    <v t="i">1059</v>
    <v t="i">1060</v>
    <v t="i">1061</v>
    <v t="i">1064</v>
    <v t="i">1065</v>
    <v t="i">1066</v>
    <v t="i">1067</v>
    <v t="i">1068</v>
    <v t="i">1071</v>
    <v t="i">1072</v>
    <v t="i">1073</v>
    <v t="i">1074</v>
    <v t="i">1075</v>
    <v t="i">1078</v>
    <v t="i">1079</v>
    <v t="i">1080</v>
    <v t="i">1081</v>
    <v t="i">1082</v>
    <v t="i">1085</v>
    <v t="i">1086</v>
    <v t="i">1087</v>
    <v t="i">1088</v>
    <v t="i">1089</v>
    <v t="i">1092</v>
    <v t="i">1093</v>
    <v t="i">1094</v>
    <v t="i">1095</v>
    <v t="i">1096</v>
  </a>
  <a r="1" c="147">
    <v t="i">85</v>
    <v t="i">86</v>
    <v t="i">89</v>
    <v t="i">90</v>
    <v t="i">91</v>
    <v t="i">92</v>
    <v t="i">96</v>
    <v t="i">97</v>
    <v t="i">98</v>
    <v t="i">99</v>
    <v t="i">100</v>
    <v t="i">103</v>
    <v t="i">104</v>
    <v t="i">105</v>
    <v t="i">106</v>
    <v t="i">107</v>
    <v t="i">110</v>
    <v t="i">111</v>
    <v t="i">112</v>
    <v t="i">113</v>
    <v t="i">114</v>
    <v t="i">117</v>
    <v t="i">118</v>
    <v t="i">119</v>
    <v t="i">120</v>
    <v t="i">121</v>
    <v t="i">124</v>
    <v t="i">125</v>
    <v t="i">126</v>
    <v t="i">127</v>
    <v t="i">128</v>
    <v t="i">131</v>
    <v t="i">132</v>
    <v t="i">133</v>
    <v t="i">134</v>
    <v t="i">135</v>
    <v t="i">138</v>
    <v t="i">139</v>
    <v t="i">140</v>
    <v t="i">141</v>
    <v t="i">142</v>
    <v t="i">146</v>
    <v t="i">147</v>
    <v t="i">148</v>
    <v t="i">149</v>
    <v t="i">152</v>
    <v t="i">153</v>
    <v t="i">154</v>
    <v t="i">155</v>
    <v t="i">156</v>
    <v t="i">159</v>
    <v t="i">160</v>
    <v t="i">161</v>
    <v t="i">162</v>
    <v t="i">163</v>
    <v t="i">166</v>
    <v t="i">167</v>
    <v t="i">168</v>
    <v t="i">169</v>
    <v t="i">173</v>
    <v t="i">174</v>
    <v t="i">175</v>
    <v t="i">176</v>
    <v t="i">177</v>
    <v t="i">180</v>
    <v t="i">181</v>
    <v t="i">182</v>
    <v t="i">183</v>
    <v t="i">187</v>
    <v t="i">188</v>
    <v t="i">189</v>
    <v t="i">190</v>
    <v t="i">191</v>
    <v t="i">194</v>
    <v t="i">195</v>
    <v t="i">196</v>
    <v t="i">197</v>
    <v t="i">198</v>
    <v t="i">201</v>
    <v t="i">202</v>
    <v t="i">203</v>
    <v t="i">204</v>
    <v t="i">205</v>
    <v t="i">208</v>
    <v t="i">209</v>
    <v t="i">210</v>
    <v t="i">211</v>
    <v t="i">212</v>
    <v t="i">215</v>
    <v t="i">216</v>
    <v t="i">217</v>
    <v t="i">218</v>
    <v t="i">219</v>
    <v t="i">222</v>
    <v t="i">223</v>
    <v t="i">224</v>
    <v t="i">225</v>
    <v t="i">226</v>
    <v t="i">229</v>
    <v t="i">230</v>
    <v t="i">231</v>
    <v t="i">232</v>
    <v t="i">233</v>
    <v t="i">236</v>
    <v t="i">237</v>
    <v t="i">238</v>
    <v t="i">239</v>
    <v t="i">240</v>
    <v t="i">243</v>
    <v t="i">244</v>
    <v t="i">245</v>
    <v t="i">246</v>
    <v t="i">247</v>
    <v t="i">251</v>
    <v t="i">252</v>
    <v t="i">253</v>
    <v t="i">254</v>
    <v t="i">257</v>
    <v t="i">258</v>
    <v t="i">259</v>
    <v t="i">260</v>
    <v t="i">261</v>
    <v t="i">264</v>
    <v t="i">265</v>
    <v t="i">266</v>
    <v t="i">267</v>
    <v t="i">268</v>
    <v t="i">271</v>
    <v t="i">272</v>
    <v t="i">273</v>
    <v t="i">274</v>
    <v t="i">275</v>
    <v t="i">278</v>
    <v t="i">279</v>
    <v t="i">280</v>
    <v t="i">281</v>
    <v t="i">282</v>
    <v t="i">285</v>
    <v t="i">286</v>
    <v t="i">287</v>
    <v t="i">288</v>
    <v t="i">289</v>
    <v t="i">292</v>
    <v t="i">293</v>
    <v t="i">294</v>
    <v t="i">295</v>
    <v t="i">296</v>
  </a>
  <a r="1" c="257">
    <v>41.8</v>
    <v>42.49</v>
    <v>43.15</v>
    <v>43.71</v>
    <v>44.39</v>
    <v>44.05</v>
    <v>43.83</v>
    <v>43.95</v>
    <v>43.35</v>
    <v>43.26</v>
    <v>42.24</v>
    <v>41.2</v>
    <v>42.59</v>
    <v>42.54</v>
    <v>42.71</v>
    <v>42.1</v>
    <v>42.3</v>
    <v>41.78</v>
    <v>40.93</v>
    <v>41.12</v>
    <v>41.41</v>
    <v>39.979999999999997</v>
    <v>41.09</v>
    <v>40.78</v>
    <v>41.8</v>
    <v>41.65</v>
    <v>41.77</v>
    <v>41.82</v>
    <v>42.1</v>
    <v>42.16</v>
    <v>42.24</v>
    <v>42.36</v>
    <v>42.77</v>
    <v>42.96</v>
    <v>42.75</v>
    <v>42.24</v>
    <v>41.56</v>
    <v>41.33</v>
    <v>40.99</v>
    <v>40.42</v>
    <v>41.06</v>
    <v>41.53</v>
    <v>41.91</v>
    <v>42.11</v>
    <v>42.23</v>
    <v>42.15</v>
    <v>42.34</v>
    <v>42.14</v>
    <v>41.89</v>
    <v>42.07</v>
    <v>42.04</v>
    <v>42.31</v>
    <v>41.32</v>
    <v>41.73</v>
    <v>42.01</v>
    <v>42.04</v>
    <v>41.24</v>
    <v>41.94</v>
    <v>41.7</v>
    <v>40.96</v>
    <v>40.94</v>
    <v>40.81</v>
    <v>41.19</v>
    <v>41.33</v>
    <v>41.69</v>
    <v>42.36</v>
    <v>42.41</v>
    <v>40.96</v>
    <v>41.38</v>
    <v>41.45</v>
    <v>40.380000000000003</v>
    <v>39.6</v>
    <v>39.42</v>
    <v>40.299999999999997</v>
    <v>41.15</v>
    <v>41.18</v>
    <v>40.950000000000003</v>
    <v>40.090000000000003</v>
    <v>39.83</v>
    <v>39.619999999999997</v>
    <v>39.79</v>
    <v>40.61</v>
    <v>40.24</v>
    <v>40.32</v>
    <v>39.92</v>
    <v>40.25</v>
    <v>40.98</v>
    <v>40.31</v>
    <v>39.75</v>
    <v>39.549999999999997</v>
    <v>39.229999999999997</v>
    <v>39.93</v>
    <v>40.08</v>
    <v>39.79</v>
    <v>39.619999999999997</v>
    <v>40.340000000000003</v>
    <v>40.18</v>
    <v>39.76</v>
    <v>39.159999999999997</v>
    <v>39.6</v>
    <v>39.65</v>
    <v>39.450000000000003</v>
    <v>39.020000000000003</v>
    <v>38.65</v>
    <v>38.799999999999997</v>
    <v>38.659999999999997</v>
    <v>38.909999999999997</v>
    <v>38.130000000000003</v>
    <v>37.21</v>
    <v>36.83</v>
    <v>37.07</v>
    <v>38.54</v>
    <v>38.479999999999997</v>
    <v>38.369999999999997</v>
    <v>40.07</v>
    <v>40.020000000000003</v>
    <v>40.67</v>
    <v>40.81</v>
    <v>41.61</v>
    <v>42.52</v>
    <v>43.13</v>
    <v>43.97</v>
    <v>43.57</v>
    <v>43.94</v>
    <v>44.54</v>
    <v>44.67</v>
    <v>45.05</v>
    <v>45.01</v>
    <v>44.39</v>
    <v>44.9</v>
    <v>44.45</v>
    <v>45.31</v>
    <v>45.386400000000002</v>
    <v>45.83</v>
    <v>46.86</v>
    <v>47.68</v>
    <v>48.16</v>
    <v>48.92</v>
    <v>47.84</v>
    <v>48.71</v>
    <v>49.95</v>
    <v>49.33</v>
    <v>48.33</v>
    <v>47.99</v>
    <v>48.99</v>
    <v>48.84</v>
    <v>49.78</v>
    <v>50.450499999999998</v>
    <v>50.36</v>
    <v>49.93</v>
    <v>50.86</v>
    <v>51.77</v>
    <v>52.92</v>
    <v>53.53</v>
    <v>52.97</v>
    <v>51.85</v>
    <v>50.17</v>
    <v>50.07</v>
    <v>48.19</v>
    <v>48.08</v>
    <v>47.99</v>
    <v>49.42</v>
    <v>50.83</v>
    <v>50.19</v>
    <v>50.15</v>
    <v>50.52</v>
    <v>50.71</v>
    <v>50.81</v>
    <v>49.18</v>
    <v>49.15</v>
    <v>48.42</v>
    <v>48.16</v>
    <v>48.37</v>
    <v>49.8</v>
    <v>49.58</v>
    <v>48.89</v>
    <v>49.06</v>
    <v>49.5</v>
    <v>48.05</v>
    <v>48.07</v>
    <v>49.84</v>
    <v>49.95</v>
    <v>49.6</v>
    <v>49.72</v>
    <v>49.33</v>
    <v>48.85</v>
    <v>48.06</v>
    <v>48.6</v>
    <v>49.32</v>
    <v>49.53</v>
    <v>48.63</v>
    <v>48.83</v>
    <v>47.65</v>
    <v>47.43</v>
    <v>46.68</v>
    <v>48.31</v>
    <v>47.77</v>
    <v>48.88</v>
    <v>50.88</v>
    <v>51.35</v>
    <v>51.23</v>
    <v>51.79</v>
    <v>51.5</v>
    <v>51.23</v>
    <v>51.65</v>
    <v>52.18</v>
    <v>51.88</v>
    <v>52.19</v>
    <v>50.79</v>
    <v>50.65</v>
    <v>50.41</v>
    <v>50.41</v>
    <v>49.64</v>
    <v>49.92</v>
    <v>50.09</v>
    <v>51.48</v>
    <v>51.89</v>
    <v>51.161299999999997</v>
    <v>50.96</v>
    <v>51.01</v>
    <v>51.51</v>
    <v>51.58</v>
    <v>51.78</v>
    <v>51.8</v>
    <v>51.54</v>
    <v>51.29</v>
    <v>51.96</v>
    <v>50.98</v>
    <v>50.7</v>
    <v>51.12</v>
    <v>51.75</v>
    <v>51.83</v>
    <v>53.05</v>
    <v>53.66</v>
    <v>53.41</v>
    <v>52.9</v>
    <v>53.76</v>
    <v>53.42</v>
    <v>53.58</v>
    <v>54.04</v>
    <v>53.64</v>
    <v>54.67</v>
    <v>54.91</v>
    <v>55.58</v>
    <v>55.08</v>
    <v>54.96</v>
    <v>54.36</v>
    <v>53.91</v>
    <v>53.64</v>
    <v>53.17</v>
    <v>51.98</v>
    <v>51.61</v>
    <v>52.08</v>
    <v>51.54</v>
    <v>52.12</v>
    <v>50.78</v>
    <v>51.15</v>
  </a>
  <a r="1" c="210">
    <v>42.14</v>
    <v>41.89</v>
    <v>42.07</v>
    <v>42.04</v>
    <v>42.31</v>
    <v>41.32</v>
    <v>41.73</v>
    <v>42.01</v>
    <v>42.04</v>
    <v>41.24</v>
    <v>41.94</v>
    <v>41.7</v>
    <v>40.96</v>
    <v>40.94</v>
    <v>40.81</v>
    <v>41.19</v>
    <v>41.33</v>
    <v>41.69</v>
    <v>42.36</v>
    <v>42.41</v>
    <v>40.96</v>
    <v>41.38</v>
    <v>41.45</v>
    <v>40.380000000000003</v>
    <v>39.6</v>
    <v>39.42</v>
    <v>40.299999999999997</v>
    <v>41.15</v>
    <v>41.18</v>
    <v>40.950000000000003</v>
    <v>40.090000000000003</v>
    <v>39.83</v>
    <v>39.619999999999997</v>
    <v>39.79</v>
    <v>40.61</v>
    <v>40.24</v>
    <v>40.32</v>
    <v>39.92</v>
    <v>40.25</v>
    <v>40.98</v>
    <v>40.31</v>
    <v>39.75</v>
    <v>39.549999999999997</v>
    <v>39.229999999999997</v>
    <v>39.93</v>
    <v>40.08</v>
    <v>39.79</v>
    <v>39.619999999999997</v>
    <v>40.340000000000003</v>
    <v>40.18</v>
    <v>39.76</v>
    <v>39.159999999999997</v>
    <v>39.6</v>
    <v>39.65</v>
    <v>39.450000000000003</v>
    <v>39.020000000000003</v>
    <v>38.65</v>
    <v>38.799999999999997</v>
    <v>38.659999999999997</v>
    <v>38.909999999999997</v>
    <v>38.130000000000003</v>
    <v>37.21</v>
    <v>36.83</v>
    <v>37.07</v>
    <v>38.54</v>
    <v>38.479999999999997</v>
    <v>38.369999999999997</v>
    <v>40.07</v>
    <v>40.020000000000003</v>
    <v>40.67</v>
    <v>40.81</v>
    <v>41.61</v>
    <v>42.52</v>
    <v>43.13</v>
    <v>43.97</v>
    <v>43.57</v>
    <v>43.94</v>
    <v>44.54</v>
    <v>44.67</v>
    <v>45.05</v>
    <v>45.01</v>
    <v>44.39</v>
    <v>44.9</v>
    <v>44.45</v>
    <v>45.31</v>
    <v>45.386400000000002</v>
    <v>45.83</v>
    <v>46.86</v>
    <v>47.68</v>
    <v>48.16</v>
    <v>48.92</v>
    <v>47.84</v>
    <v>48.71</v>
    <v>49.95</v>
    <v>49.33</v>
    <v>48.33</v>
    <v>47.99</v>
    <v>48.99</v>
    <v>48.84</v>
    <v>49.78</v>
    <v>50.450499999999998</v>
    <v>50.36</v>
    <v>49.93</v>
    <v>50.86</v>
    <v>51.77</v>
    <v>52.92</v>
    <v>53.53</v>
    <v>52.97</v>
    <v>51.85</v>
    <v>50.17</v>
    <v>50.07</v>
    <v>48.19</v>
    <v>48.08</v>
    <v>47.99</v>
    <v>49.42</v>
    <v>50.83</v>
    <v>50.19</v>
    <v>50.15</v>
    <v>50.52</v>
    <v>50.71</v>
    <v>50.81</v>
    <v>49.18</v>
    <v>49.15</v>
    <v>48.42</v>
    <v>48.16</v>
    <v>48.37</v>
    <v>49.8</v>
    <v>49.58</v>
    <v>48.89</v>
    <v>49.06</v>
    <v>49.5</v>
    <v>48.05</v>
    <v>48.07</v>
    <v>49.84</v>
    <v>49.95</v>
    <v>49.6</v>
    <v>49.72</v>
    <v>49.33</v>
    <v>48.85</v>
    <v>48.06</v>
    <v>48.6</v>
    <v>49.32</v>
    <v>49.53</v>
    <v>48.63</v>
    <v>48.83</v>
    <v>47.65</v>
    <v>47.43</v>
    <v>46.68</v>
    <v>48.31</v>
    <v>47.77</v>
    <v>48.88</v>
    <v>50.88</v>
    <v>51.35</v>
    <v>51.23</v>
    <v>51.79</v>
    <v>51.5</v>
    <v>51.23</v>
    <v>51.65</v>
    <v>52.18</v>
    <v>51.88</v>
    <v>52.19</v>
    <v>50.79</v>
    <v>50.65</v>
    <v>50.41</v>
    <v>50.41</v>
    <v>49.64</v>
    <v>49.92</v>
    <v>50.09</v>
    <v>51.48</v>
    <v>51.89</v>
    <v>51.161299999999997</v>
    <v>50.96</v>
    <v>51.01</v>
    <v>51.51</v>
    <v>51.58</v>
    <v>51.78</v>
    <v>51.8</v>
    <v>51.54</v>
    <v>51.29</v>
    <v>51.96</v>
    <v>50.98</v>
    <v>50.7</v>
    <v>51.12</v>
    <v>51.75</v>
    <v>51.83</v>
    <v>53.05</v>
    <v>53.66</v>
    <v>53.41</v>
    <v>52.9</v>
    <v>53.76</v>
    <v>53.42</v>
    <v>53.58</v>
    <v>54.04</v>
    <v>53.64</v>
    <v>54.67</v>
    <v>54.91</v>
    <v>55.58</v>
    <v>55.08</v>
    <v>54.96</v>
    <v>54.36</v>
    <v>53.91</v>
    <v>53.64</v>
    <v>53.17</v>
    <v>51.98</v>
    <v>51.61</v>
    <v>52.08</v>
    <v>51.54</v>
    <v>52.12</v>
    <v>50.78</v>
    <v>51.15</v>
  </a>
  <a r="1" c="772">
    <v>21.114999999999998</v>
    <v>21.12</v>
    <v>21.155000000000001</v>
    <v>20.594999999999999</v>
    <v>20.8125</v>
    <v>20.745000000000001</v>
    <v>20.84</v>
    <v>21.204999999999998</v>
    <v>21.725000000000001</v>
    <v>22.0275</v>
    <v>22.17</v>
    <v>22.5</v>
    <v>22.524999999999999</v>
    <v>22.77</v>
    <v>22.85</v>
    <v>23.015000000000001</v>
    <v>23.4</v>
    <v>23.535</v>
    <v>23.42</v>
    <v>23.495000000000001</v>
    <v>23.76</v>
    <v>23.625</v>
    <v>23.785</v>
    <v>23.81</v>
    <v>23.66</v>
    <v>23.71</v>
    <v>23.8</v>
    <v>23.79</v>
    <v>23.6</v>
    <v>23.69</v>
    <v>23.28</v>
    <v>23.51</v>
    <v>23.504999999999999</v>
    <v>23.574999999999999</v>
    <v>23.795000000000002</v>
    <v>23.84</v>
    <v>24.13</v>
    <v>24.31</v>
    <v>24.37</v>
    <v>24.614999999999998</v>
    <v>24.535</v>
    <v>24.605</v>
    <v>24.66</v>
    <v>24.465</v>
    <v>24.565000000000001</v>
    <v>-99999901</v>
    <v>24.614999999999998</v>
    <v>24.73</v>
    <v>24.75</v>
    <v>24.065000000000001</v>
    <v>23.77</v>
    <v>23.72</v>
    <v>23.74</v>
    <v>24.035</v>
    <v>24.24</v>
    <v>24.44</v>
    <v>24.385000000000002</v>
    <v>24.73</v>
    <v>24.75</v>
    <v>24.93</v>
    <v>24.67</v>
    <v>25.22</v>
    <v>25.52</v>
    <v>26.02</v>
    <v>25.97</v>
    <v>26.41</v>
    <v>26.63</v>
    <v>26.28</v>
    <v>26.13</v>
    <v>26.27</v>
    <v>25.74</v>
    <v>25.76</v>
    <v>26.23</v>
    <v>26.37</v>
    <v>26.34</v>
    <v>26.59</v>
    <v>26.81</v>
    <v>27.11</v>
    <v>27.31</v>
    <v>26.7</v>
    <v>26.7</v>
    <v>26.72</v>
    <v>26.815000000000001</v>
    <v>26.65</v>
    <v>26.02</v>
    <v>25.91</v>
    <v>27.06</v>
    <v>27.16</v>
    <v>27.22</v>
    <v>27.08</v>
    <v>27.08</v>
    <v>27.11</v>
    <v>27.63</v>
    <v>27.95</v>
    <v>27.36</v>
    <v>27.66</v>
    <v>28.08</v>
    <v>27.95</v>
    <v>27.55</v>
    <v>28.01</v>
    <v>27.79</v>
    <v>27.81</v>
    <v>27.41</v>
    <v>27.65</v>
    <v>27.64</v>
    <v>27.73</v>
    <v>28.33</v>
    <v>28.19</v>
    <v>28.14</v>
    <v>28.12</v>
    <v>27.81</v>
    <v>27.87</v>
    <v>27.59</v>
    <v>27.86</v>
    <v>27.93</v>
    <v>27.56</v>
    <v>27.56</v>
    <v>27.28</v>
    <v>27.33</v>
    <v>27.55</v>
    <v>27.675000000000001</v>
    <v>27.6</v>
    <v>27.07</v>
    <v>26.81</v>
    <v>26.67</v>
    <v>25.96</v>
    <v>25.65</v>
    <v>26.27</v>
    <v>26.41</v>
    <v>26.02</v>
    <v>26.89</v>
    <v>26.85</v>
    <v>26.76</v>
    <v>26.1</v>
    <v>26.27</v>
    <v>27.25</v>
    <v>-99999901</v>
    <v>27.61</v>
    <v>27.53</v>
    <v>27.53</v>
    <v>27.59</v>
    <v>27.79</v>
    <v>27.86</v>
    <v>28.51</v>
    <v>28.8</v>
    <v>28.51</v>
    <v>28.8</v>
    <v>28.91</v>
    <v>29.03</v>
    <v>29.43</v>
    <v>29.4</v>
    <v>-99999901</v>
    <v>29.84</v>
    <v>29.74</v>
    <v>29.3</v>
    <v>28.56</v>
    <v>29.14</v>
    <v>29.17</v>
    <v>29.96</v>
    <v>30.05</v>
    <v>30.03</v>
    <v>30.3</v>
    <v>30.53</v>
    <v>31.55</v>
    <v>31.85</v>
    <v>31.97</v>
    <v>32.21</v>
    <v>32.5</v>
    <v>32.94</v>
    <v>32.67</v>
    <v>32.07</v>
    <v>31.64</v>
    <v>31.67</v>
    <v>31.71</v>
    <v>31.78</v>
    <v>32.11</v>
    <v>31.92</v>
    <v>32.14</v>
    <v>32.58</v>
    <v>32.69</v>
    <v>32.89</v>
    <v>33.090000000000003</v>
    <v>33.18</v>
    <v>33.39</v>
    <v>32.83</v>
    <v>33.270000000000003</v>
    <v>33.369999999999997</v>
    <v>33.03</v>
    <v>32.14</v>
    <v>31.62</v>
    <v>31.57</v>
    <v>31.65</v>
    <v>32.22</v>
    <v>31.09</v>
    <v>30.66</v>
    <v>30.59</v>
    <v>30.45</v>
    <v>30.05</v>
    <v>30.99</v>
    <v>30.55</v>
    <v>29.36</v>
    <v>28.5</v>
    <v>28.75</v>
    <v>29.16</v>
    <v>28.98</v>
    <v>29.28</v>
    <v>29.57</v>
    <v>30.29</v>
    <v>30.7</v>
    <v>31.29</v>
    <v>31.38</v>
    <v>31.56</v>
    <v>31.87</v>
    <v>31.91</v>
    <v>31.77</v>
    <v>31.77</v>
    <v>31.6326</v>
    <v>31.58</v>
    <v>31.19</v>
    <v>31.59</v>
    <v>31.16</v>
    <v>31.46</v>
    <v>30.45</v>
    <v>29.92</v>
    <v>29.8</v>
    <v>29.18</v>
    <v>29.34</v>
    <v>29.79</v>
    <v>29.83</v>
    <v>30.98</v>
    <v>31.29</v>
    <v>30.97</v>
    <v>31.1</v>
    <v>30.9</v>
    <v>31.84</v>
    <v>31.6</v>
    <v>31.63</v>
    <v>31.67</v>
    <v>31.99</v>
    <v>32.11</v>
    <v>31.98</v>
    <v>32</v>
    <v>31.33</v>
    <v>31.63</v>
    <v>31.74</v>
    <v>31.81</v>
    <v>32.159999999999997</v>
    <v>32.340000000000003</v>
    <v>32.729999999999997</v>
    <v>32.82</v>
    <v>32.86</v>
    <v>33.200000000000003</v>
    <v>32.89</v>
    <v>32.67</v>
    <v>33.18</v>
    <v>33.090000000000003</v>
    <v>33.049999999999997</v>
    <v>33.29</v>
    <v>33.03</v>
    <v>32.880000000000003</v>
    <v>33.340000000000003</v>
    <v>33.130000000000003</v>
    <v>33.32</v>
    <v>33.18</v>
    <v>31.98</v>
    <v>32.21</v>
    <v>32.14</v>
    <v>32.44</v>
    <v>33.119999999999997</v>
    <v>33.729999999999997</v>
    <v>33.79</v>
    <v>33.450000000000003</v>
    <v>33.619999999999997</v>
    <v>33.549999999999997</v>
    <v>33.630000000000003</v>
    <v>32.799999999999997</v>
    <v>32.909999999999997</v>
    <v>32.92</v>
    <v>32.76</v>
    <v>33.26</v>
    <v>33.1</v>
    <v>33.25</v>
    <v>33.369999999999997</v>
    <v>32.86</v>
    <v>33.17</v>
    <v>33.35</v>
    <v>33.700000000000003</v>
    <v>33.72</v>
    <v>34.299999999999997</v>
    <v>34.42</v>
    <v>34.409999999999997</v>
    <v>34.270000000000003</v>
    <v>34.03</v>
    <v>34.409999999999997</v>
    <v>34.26</v>
    <v>34.32</v>
    <v>34.590000000000003</v>
    <v>34.71</v>
    <v>34.82</v>
    <v>34.07</v>
    <v>34.24</v>
    <v>34.380000000000003</v>
    <v>34.69</v>
    <v>34.923200000000001</v>
    <v>34.43</v>
    <v>34.130000000000003</v>
    <v>34.28</v>
    <v>33.869999999999997</v>
    <v>34.090000000000003</v>
    <v>34.96</v>
    <v>34.22</v>
    <v>33.96</v>
    <v>33.83</v>
    <v>33</v>
    <v>32.619999999999997</v>
    <v>32.86</v>
    <v>33.409999999999997</v>
    <v>33.47</v>
    <v>33.76</v>
    <v>33.94</v>
    <v>33.65</v>
    <v>34.590000000000003</v>
    <v>34.54</v>
    <v>34.6</v>
    <v>32.47</v>
    <v>33.159999999999997</v>
    <v>33.18</v>
    <v>32.94</v>
    <v>33.56</v>
    <v>32.4</v>
    <v>32.85</v>
    <v>33.11</v>
    <v>33.42</v>
    <v>33.28</v>
    <v>33.71</v>
    <v>33.840000000000003</v>
    <v>33.520000000000003</v>
    <v>34.08</v>
    <v>34.25</v>
    <v>34.5</v>
    <v>34.54</v>
    <v>34.58</v>
    <v>34.46</v>
    <v>34.380000000000003</v>
    <v>33.61</v>
    <v>32.770000000000003</v>
    <v>33.409999999999997</v>
    <v>32.85</v>
    <v>31.98</v>
    <v>32.049999999999997</v>
    <v>30.95</v>
    <v>31.02</v>
    <v>31.42</v>
    <v>30.75</v>
    <v>30.21</v>
    <v>29.87</v>
    <v>30.49</v>
    <v>29.97</v>
    <v>30.51</v>
    <v>30.48</v>
    <v>30.39</v>
    <v>30.63</v>
    <v>30.52</v>
    <v>30.45</v>
    <v>31.15</v>
    <v>31.23</v>
    <v>30.63</v>
    <v>30.39</v>
    <v>29.59</v>
    <v>29.05</v>
    <v>29.69</v>
    <v>29.96</v>
    <v>28.27</v>
    <v>26.66</v>
    <v>25.73</v>
    <v>27.02</v>
    <v>26.15</v>
    <v>27.82</v>
    <v>28.06</v>
    <v>28.96</v>
    <v>29</v>
    <v>28.26</v>
    <v>27.67</v>
    <v>27.46</v>
    <v>28.52</v>
    <v>29.09</v>
    <v>29.48</v>
    <v>29.43</v>
    <v>29.81</v>
    <v>29.59</v>
    <v>31</v>
    <v>31</v>
    <v>30.846399999999999</v>
    <v>30.64</v>
    <v>30.44</v>
    <v>31.16</v>
    <v>31.06</v>
    <v>32.25</v>
    <v>33.21</v>
    <v>33.56</v>
    <v>33.61</v>
    <v>33.44</v>
    <v>33.44</v>
    <v>33.380000000000003</v>
    <v>33.51</v>
    <v>33.01</v>
    <v>32.53</v>
    <v>-99999901</v>
    <v>33.19</v>
    <v>33.29</v>
    <v>33.46</v>
    <v>33.1</v>
    <v>33.31</v>
    <v>33.94</v>
    <v>34.14</v>
    <v>34.44</v>
    <v>34.229999999999997</v>
    <v>34.39</v>
    <v>34.22</v>
    <v>34.61</v>
    <v>34.69</v>
    <v>34.47</v>
    <v>34.799999999999997</v>
    <v>34.68</v>
    <v>34.65</v>
    <v>34.22</v>
    <v>34.54</v>
    <v>34.630000000000003</v>
    <v>35.4</v>
    <v>35.68</v>
    <v>35.93</v>
    <v>36.29</v>
    <v>36.28</v>
    <v>36.049999999999997</v>
    <v>36.4</v>
    <v>37.01</v>
    <v>36.75</v>
    <v>36.78</v>
    <v>36.729999999999997</v>
    <v>36.909999999999997</v>
    <v>37.049999999999997</v>
    <v>37.090000000000003</v>
    <v>36.89</v>
    <v>37.47</v>
    <v>37.03</v>
    <v>37.770000000000003</v>
    <v>37.71</v>
    <v>37.96</v>
    <v>37.49</v>
    <v>37.43</v>
    <v>37.86</v>
    <v>37.979999999999997</v>
    <v>38.119999999999997</v>
    <v>38.26</v>
    <v>38.270000000000003</v>
    <v>38.549999999999997</v>
    <v>37.47</v>
    <v>38.07</v>
    <v>37.89</v>
    <v>38.25</v>
    <v>38.65</v>
    <v>38.770000000000003</v>
    <v>39.03</v>
    <v>39.11</v>
    <v>39.25</v>
    <v>39.1</v>
    <v>38.93</v>
    <v>38.840000000000003</v>
    <v>38.590000000000003</v>
    <v>37.82</v>
    <v>37.93</v>
    <v>38.520000000000003</v>
    <v>38.5212</v>
    <v>38.380000000000003</v>
    <v>38.6</v>
    <v>38.82</v>
    <v>38.31</v>
    <v>38.369999999999997</v>
    <v>37.590000000000003</v>
    <v>38.130000000000003</v>
    <v>38.26</v>
    <v>38.39</v>
    <v>38.9</v>
    <v>38.56</v>
    <v>39.53</v>
    <v>39.630000000000003</v>
    <v>39.67</v>
    <v>39.81</v>
    <v>39.85</v>
    <v>39.42</v>
    <v>40.1</v>
    <v>40.159999999999997</v>
    <v>40.770000000000003</v>
    <v>41.02</v>
    <v>40.58</v>
    <v>40.53</v>
    <v>40.450000000000003</v>
    <v>40.880000000000003</v>
    <v>41.01</v>
    <v>41.25</v>
    <v>41.6</v>
    <v>41.88</v>
    <v>41.86</v>
    <v>41.49</v>
    <v>42.02</v>
    <v>42.12</v>
    <v>41.18</v>
    <v>41.48</v>
    <v>40.86</v>
    <v>41.31</v>
    <v>41.45</v>
    <v>40.840000000000003</v>
    <v>41.95</v>
    <v>41.85</v>
    <v>41.28</v>
    <v>41.8</v>
    <v>42.49</v>
    <v>43.15</v>
    <v>43.71</v>
    <v>44.39</v>
    <v>44.05</v>
    <v>43.83</v>
    <v>43.95</v>
    <v>43.35</v>
    <v>43.26</v>
    <v>42.24</v>
    <v>41.2</v>
    <v>42.59</v>
    <v>42.54</v>
    <v>42.71</v>
    <v>42.1</v>
    <v>42.3</v>
    <v>41.78</v>
    <v>40.93</v>
    <v>41.12</v>
    <v>41.41</v>
    <v>39.979999999999997</v>
    <v>41.09</v>
    <v>40.78</v>
    <v>41.8</v>
    <v>41.65</v>
    <v>41.77</v>
    <v>41.82</v>
    <v>42.1</v>
    <v>42.16</v>
    <v>42.24</v>
    <v>42.36</v>
    <v>42.77</v>
    <v>42.96</v>
    <v>42.75</v>
    <v>42.24</v>
    <v>41.56</v>
    <v>41.33</v>
    <v>40.99</v>
    <v>40.42</v>
    <v>41.06</v>
    <v>41.53</v>
    <v>41.91</v>
    <v>42.11</v>
    <v>42.23</v>
    <v>42.15</v>
    <v>42.34</v>
    <v>42.14</v>
    <v>41.89</v>
    <v>42.07</v>
    <v>42.04</v>
    <v>42.31</v>
    <v>41.32</v>
    <v>41.73</v>
    <v>42.01</v>
    <v>42.04</v>
    <v>41.24</v>
    <v>41.94</v>
    <v>41.7</v>
    <v>40.96</v>
    <v>40.94</v>
    <v>40.81</v>
    <v>41.19</v>
    <v>41.33</v>
    <v>41.69</v>
    <v>42.36</v>
    <v>42.41</v>
    <v>40.96</v>
    <v>41.38</v>
    <v>41.45</v>
    <v>40.380000000000003</v>
    <v>39.6</v>
    <v>39.42</v>
    <v>40.299999999999997</v>
    <v>41.15</v>
    <v>41.18</v>
    <v>40.950000000000003</v>
    <v>40.090000000000003</v>
    <v>39.83</v>
    <v>39.619999999999997</v>
    <v>39.79</v>
    <v>40.61</v>
    <v>40.24</v>
    <v>40.32</v>
    <v>39.92</v>
    <v>40.25</v>
    <v>40.98</v>
    <v>40.31</v>
    <v>39.75</v>
    <v>39.549999999999997</v>
    <v>39.229999999999997</v>
    <v>39.93</v>
    <v>40.08</v>
    <v>39.79</v>
    <v>39.619999999999997</v>
    <v>40.340000000000003</v>
    <v>40.18</v>
    <v>39.76</v>
    <v>39.159999999999997</v>
    <v>39.6</v>
    <v>39.65</v>
    <v>39.450000000000003</v>
    <v>39.020000000000003</v>
    <v>38.65</v>
    <v>38.799999999999997</v>
    <v>38.659999999999997</v>
    <v>38.909999999999997</v>
    <v>38.130000000000003</v>
    <v>37.21</v>
    <v>36.83</v>
    <v>37.07</v>
    <v>38.54</v>
    <v>38.479999999999997</v>
    <v>38.369999999999997</v>
    <v>40.07</v>
    <v>40.020000000000003</v>
    <v>40.67</v>
    <v>40.81</v>
    <v>41.61</v>
    <v>42.52</v>
    <v>43.13</v>
    <v>43.97</v>
    <v>43.57</v>
    <v>43.94</v>
    <v>44.54</v>
    <v>44.67</v>
    <v>45.05</v>
    <v>45.01</v>
    <v>44.39</v>
    <v>44.9</v>
    <v>44.45</v>
    <v>45.31</v>
    <v>45.386400000000002</v>
    <v>45.83</v>
    <v>46.86</v>
    <v>47.68</v>
    <v>48.16</v>
    <v>48.92</v>
    <v>47.84</v>
    <v>48.71</v>
    <v>49.95</v>
    <v>49.33</v>
    <v>48.33</v>
    <v>47.99</v>
    <v>48.99</v>
    <v>48.84</v>
    <v>49.78</v>
    <v>50.450499999999998</v>
    <v>50.36</v>
    <v>49.93</v>
    <v>50.86</v>
    <v>51.77</v>
    <v>52.92</v>
    <v>53.53</v>
    <v>52.97</v>
    <v>51.85</v>
    <v>50.17</v>
    <v>50.07</v>
    <v>48.19</v>
    <v>48.08</v>
    <v>47.99</v>
    <v>49.42</v>
    <v>50.83</v>
    <v>50.19</v>
    <v>50.15</v>
    <v>50.52</v>
    <v>50.71</v>
    <v>50.81</v>
    <v>49.18</v>
    <v>49.15</v>
    <v>48.42</v>
    <v>48.16</v>
    <v>48.37</v>
    <v>49.8</v>
    <v>49.58</v>
    <v>48.89</v>
    <v>49.06</v>
    <v>49.5</v>
    <v>48.05</v>
    <v>48.07</v>
    <v>49.84</v>
    <v>49.95</v>
    <v>49.6</v>
    <v>49.72</v>
    <v>49.33</v>
    <v>48.85</v>
    <v>48.06</v>
    <v>48.6</v>
    <v>49.32</v>
    <v>49.53</v>
    <v>48.63</v>
    <v>48.83</v>
    <v>47.65</v>
    <v>47.43</v>
    <v>46.68</v>
    <v>48.31</v>
    <v>47.77</v>
    <v>48.88</v>
    <v>50.88</v>
    <v>51.35</v>
    <v>51.23</v>
    <v>51.79</v>
    <v>51.5</v>
    <v>51.23</v>
    <v>51.65</v>
    <v>52.18</v>
    <v>51.88</v>
    <v>52.19</v>
    <v>50.79</v>
    <v>50.65</v>
    <v>50.41</v>
    <v>50.41</v>
    <v>49.64</v>
    <v>49.92</v>
    <v>50.09</v>
    <v>51.48</v>
    <v>51.89</v>
    <v>51.161299999999997</v>
    <v>50.96</v>
    <v>51.01</v>
    <v>51.51</v>
    <v>51.58</v>
    <v>51.78</v>
    <v>51.8</v>
    <v>51.54</v>
    <v>51.29</v>
    <v>51.96</v>
    <v>50.98</v>
    <v>50.7</v>
    <v>51.12</v>
    <v>51.75</v>
    <v>51.83</v>
    <v>53.05</v>
    <v>53.66</v>
    <v>53.41</v>
    <v>52.9</v>
    <v>53.76</v>
    <v>53.42</v>
    <v>53.58</v>
    <v>54.04</v>
    <v>53.64</v>
    <v>54.67</v>
    <v>54.91</v>
    <v>55.58</v>
    <v>55.08</v>
    <v>54.96</v>
    <v>54.36</v>
    <v>53.91</v>
    <v>53.64</v>
    <v>53.17</v>
    <v>51.98</v>
    <v>51.61</v>
    <v>52.08</v>
    <v>51.54</v>
    <v>52.12</v>
    <v>50.78</v>
    <v>51.15</v>
  </a>
  <a r="1" c="209">
    <v>76.78</v>
    <v>76.040000000000006</v>
    <v>74.400000000000006</v>
    <v>75.08</v>
    <v>74.94</v>
    <v>76.2</v>
    <v>76.819999999999993</v>
    <v>77.36</v>
    <v>77.58</v>
    <v>76.28</v>
    <v>76.52</v>
    <v>75.44</v>
    <v>74.040000000000006</v>
    <v>73.599999999999994</v>
    <v>67.400000000000006</v>
    <v>68.260000000000005</v>
    <v>67.540000000000006</v>
    <v>66</v>
    <v>66.16</v>
    <v>66.540000000000006</v>
    <v>66.099999999999994</v>
    <v>65.84</v>
    <v>68.959999999999994</v>
    <v>70.28</v>
    <v>71.88</v>
    <v>71.819999999999993</v>
    <v>69.16</v>
    <v>69.819999999999993</v>
    <v>70</v>
    <v>69.02</v>
    <v>72.28</v>
    <v>72.319999999999993</v>
    <v>72.599999999999994</v>
    <v>72.44</v>
    <v>72.28</v>
    <v>74.12</v>
    <v>73.599999999999994</v>
    <v>72.040000000000006</v>
    <v>72.06</v>
    <v>72.42</v>
    <v>72.7</v>
    <v>72.64</v>
    <v>71.22</v>
    <v>69.94</v>
    <v>70.94</v>
    <v>70.040000000000006</v>
    <v>70.2</v>
    <v>69.2</v>
    <v>69.3</v>
    <v>69</v>
    <v>70.239999999999995</v>
    <v>71.92</v>
    <v>72.84</v>
    <v>73.12</v>
    <v>70.78</v>
    <v>69.42</v>
    <v>68.5</v>
    <v>68.28</v>
    <v>68.319999999999993</v>
    <v>67.739999999999995</v>
    <v>67.8</v>
    <v>67.16</v>
    <v>69.3</v>
    <v>69.040000000000006</v>
    <v>69.06</v>
    <v>69.239999999999995</v>
    <v>69.260000000000005</v>
    <v>69</v>
    <v>68.66</v>
    <v>69.180000000000007</v>
    <v>67.319999999999993</v>
    <v>67.540000000000006</v>
    <v>67.900000000000006</v>
    <v>67.48</v>
    <v>68.14</v>
    <v>67.959999999999994</v>
    <v>66.42</v>
    <v>68.08</v>
    <v>68.099999999999994</v>
    <v>67.56</v>
    <v>66.58</v>
    <v>67.400000000000006</v>
    <v>66.099999999999994</v>
    <v>66.739999999999995</v>
    <v>65.2</v>
    <v>64.459999999999994</v>
    <v>64.92</v>
    <v>63.28</v>
    <v>62.8</v>
    <v>61.82</v>
    <v>62.78</v>
    <v>61.44</v>
    <v>61.86</v>
    <v>61.24</v>
    <v>62.5</v>
    <v>63.5</v>
    <v>63.5</v>
    <v>62.86</v>
    <v>61.86</v>
    <v>61.72</v>
    <v>61.28</v>
    <v>63.02</v>
    <v>61.86</v>
    <v>60.94</v>
    <v>61.36</v>
    <v>64.040000000000006</v>
    <v>64.3</v>
    <v>63.66</v>
    <v>64.42</v>
    <v>64.180000000000007</v>
    <v>65.3</v>
    <v>66.34</v>
    <v>66</v>
    <v>67.180000000000007</v>
    <v>66.459999999999994</v>
    <v>66.2</v>
    <v>65.8</v>
    <v>65.7</v>
    <v>65.06</v>
    <v>66.64</v>
    <v>67.62</v>
    <v>69.540000000000006</v>
    <v>69.98</v>
    <v>72.12</v>
    <v>72.040000000000006</v>
    <v>71.739999999999995</v>
    <v>72.2</v>
    <v>73.959999999999994</v>
    <v>73.400000000000006</v>
    <v>72.5</v>
    <v>74</v>
    <v>73.180000000000007</v>
    <v>72.42</v>
    <v>72.42</v>
    <v>72.2</v>
    <v>71.72</v>
    <v>71.86</v>
    <v>72.760000000000005</v>
    <v>72.98</v>
    <v>73.14</v>
    <v>71.459999999999994</v>
    <v>69.88</v>
    <v>68.44</v>
    <v>70</v>
    <v>70.760000000000005</v>
    <v>72.239999999999995</v>
    <v>70.58</v>
    <v>68.34</v>
    <v>67.52</v>
    <v>67.8</v>
    <v>68.02</v>
    <v>68</v>
    <v>68.16</v>
    <v>68.22</v>
    <v>68</v>
    <v>67.3</v>
    <v>67.02</v>
    <v>67.98</v>
    <v>67.239999999999995</v>
    <v>65.239999999999995</v>
    <v>65.48</v>
    <v>65.680000000000007</v>
    <v>66.180000000000007</v>
    <v>66.319999999999993</v>
    <v>66.14</v>
    <v>65.44</v>
    <v>65.72</v>
    <v>64.7</v>
    <v>64.400000000000006</v>
    <v>64.28</v>
    <v>64.540000000000006</v>
    <v>64.260000000000005</v>
    <v>63.6</v>
    <v>63.72</v>
    <v>63.58</v>
    <v>64.92</v>
    <v>62.96</v>
    <v>61.76</v>
    <v>61.38</v>
    <v>62.28</v>
    <v>61.58</v>
    <v>60.92</v>
    <v>61.38</v>
    <v>60.54</v>
    <v>60.26</v>
    <v>60.9</v>
    <v>60.32</v>
    <v>60.14</v>
    <v>59.56</v>
    <v>59.5</v>
    <v>58.76</v>
    <v>58.7</v>
    <v>57.58</v>
    <v>59.12</v>
    <v>57.76</v>
    <v>58.82</v>
    <v>58.78</v>
    <v>59.28</v>
    <v>58.7</v>
    <v>59.3</v>
    <v>58.74</v>
    <v>60.28</v>
    <v>61.22</v>
    <v>61.56</v>
    <v>60.6</v>
    <v>61.02</v>
    <v>60.82</v>
    <v>62.38</v>
    <v>62.24</v>
  </a>
  <a r="1" c="767">
    <v>53.9</v>
    <v>54.26</v>
    <v>54.87</v>
    <v>56.2</v>
    <v>55.17</v>
    <v>55.7</v>
    <v>56.15</v>
    <v>57.17</v>
    <v>57.11</v>
    <v>57.05</v>
    <v>56.84</v>
    <v>56.85</v>
    <v>56.91</v>
    <v>57.38</v>
    <v>57.37</v>
    <v>58.03</v>
    <v>58.12</v>
    <v>57.53</v>
    <v>57.4</v>
    <v>57.54</v>
    <v>57.43</v>
    <v>58.19</v>
    <v>58.55</v>
    <v>58.66</v>
    <v>59.12</v>
    <v>59.08</v>
    <v>59.05</v>
    <v>59.15</v>
    <v>58.97</v>
    <v>58.59</v>
    <v>58.79</v>
    <v>58.62</v>
    <v>58.72</v>
    <v>59.14</v>
    <v>59.22</v>
    <v>59.48</v>
    <v>59.55</v>
    <v>59.31</v>
    <v>58.2</v>
    <v>57.98</v>
    <v>58.27</v>
    <v>57.88</v>
    <v>58.12</v>
    <v>58.3</v>
    <v>58.32</v>
    <v>58.41</v>
    <v>58.51</v>
    <v>58.68</v>
    <v>59.57</v>
    <v>60.56</v>
    <v>60.57</v>
    <v>60.51</v>
    <v>60.93</v>
    <v>61</v>
    <v>61.06</v>
    <v>60.51</v>
    <v>60.88</v>
    <v>61.55</v>
    <v>61.78</v>
    <v>61.5</v>
    <v>61.42</v>
    <v>61.6</v>
    <v>61.6</v>
    <v>61.54</v>
    <v>61.35</v>
    <v>61.1</v>
    <v>61.29</v>
    <v>62.24</v>
    <v>61.82</v>
    <v>61.74</v>
    <v>61.41</v>
    <v>60.94</v>
    <v>61.72</v>
    <v>61.94</v>
    <v>61.54</v>
    <v>61.63</v>
    <v>60.89</v>
    <v>61.01</v>
    <v>60.98</v>
    <v>60.72</v>
    <v>61.13</v>
    <v>61.3</v>
    <v>61.52</v>
    <v>61.68</v>
    <v>61.7</v>
    <v>61.64</v>
    <v>60.71</v>
    <v>60.4</v>
    <v>60.58</v>
    <v>59.72</v>
    <v>59.02</v>
    <v>58.72</v>
    <v>59.08</v>
    <v>59.21</v>
    <v>58.73</v>
    <v>58.88</v>
    <v>58.75</v>
    <v>58.97</v>
    <v>59.16</v>
    <v>59.54</v>
    <v>59.41</v>
    <v>59.6</v>
    <v>59.34</v>
    <v>59.29</v>
    <v>59.38</v>
    <v>59.15</v>
    <v>59.57</v>
    <v>59.32</v>
    <v>60.01</v>
    <v>59.73</v>
    <v>59.89</v>
    <v>58.98</v>
    <v>58.52</v>
    <v>58</v>
    <v>57.98</v>
    <v>57.68</v>
    <v>57.56</v>
    <v>57.52</v>
    <v>57.62</v>
    <v>57.78</v>
    <v>57.76</v>
    <v>57.62</v>
    <v>58.54</v>
    <v>59.06</v>
    <v>59.44</v>
    <v>59.94</v>
    <v>59.6</v>
    <v>59.76</v>
    <v>59.3</v>
    <v>58.3</v>
    <v>58.66</v>
    <v>58.66</v>
    <v>59.46</v>
    <v>57.74</v>
    <v>58.1</v>
    <v>58.72</v>
    <v>59.32</v>
    <v>59.28</v>
    <v>59.5</v>
    <v>60</v>
    <v>59.4</v>
    <v>59.62</v>
    <v>59.86</v>
    <v>59.94</v>
    <v>59.94</v>
    <v>60</v>
    <v>59.76</v>
    <v>59.24</v>
    <v>59.18</v>
    <v>59.28</v>
    <v>58.78</v>
    <v>58.52</v>
    <v>58.86</v>
    <v>59.12</v>
    <v>59.24</v>
    <v>59.64</v>
    <v>59.36</v>
    <v>59.86</v>
    <v>60.02</v>
    <v>59.34</v>
    <v>59.54</v>
    <v>60</v>
    <v>59.76</v>
    <v>58.8</v>
    <v>59.08</v>
    <v>59.26</v>
    <v>58.92</v>
    <v>57.4</v>
    <v>58.54</v>
    <v>58.86</v>
    <v>58.16</v>
    <v>58.08</v>
    <v>57.24</v>
    <v>57.08</v>
    <v>57.7</v>
    <v>57.8</v>
    <v>58.14</v>
    <v>58.86</v>
    <v>58.56</v>
    <v>58.08</v>
    <v>57.82</v>
    <v>58.14</v>
    <v>58.6</v>
    <v>59.06</v>
    <v>58.36</v>
    <v>58.4</v>
    <v>58.76</v>
    <v>58.94</v>
    <v>58.5</v>
    <v>58.7</v>
    <v>58.56</v>
    <v>58.2</v>
    <v>58.4</v>
    <v>59.04</v>
    <v>58.48</v>
    <v>58.84</v>
    <v>60.16</v>
    <v>59.82</v>
    <v>61.54</v>
    <v>60.5</v>
    <v>60.18</v>
    <v>60.74</v>
    <v>60.52</v>
    <v>60.1</v>
    <v>60.14</v>
    <v>60</v>
    <v>60.62</v>
    <v>60.4</v>
    <v>60.5</v>
    <v>60.72</v>
    <v>60.58</v>
    <v>60.32</v>
    <v>60.86</v>
    <v>60.82</v>
    <v>61.24</v>
    <v>61.48</v>
    <v>62.24</v>
    <v>62.44</v>
    <v>62.8</v>
    <v>63.2</v>
    <v>63.78</v>
    <v>64.459999999999994</v>
    <v>64.42</v>
    <v>65.22</v>
    <v>65.739999999999995</v>
    <v>66.08</v>
    <v>65.78</v>
    <v>65.38</v>
    <v>65.08</v>
    <v>65.3</v>
    <v>64.7</v>
    <v>64.52</v>
    <v>64.64</v>
    <v>64.459999999999994</v>
    <v>64.94</v>
    <v>65.42</v>
    <v>65</v>
    <v>65.08</v>
    <v>65.56</v>
    <v>65.34</v>
    <v>65.3</v>
    <v>64.959999999999994</v>
    <v>64.459999999999994</v>
    <v>64.02</v>
    <v>64.400000000000006</v>
    <v>64.44</v>
    <v>64.680000000000007</v>
    <v>64.72</v>
    <v>64.92</v>
    <v>65.099999999999994</v>
    <v>65.599999999999994</v>
    <v>65.42</v>
    <v>65.14</v>
    <v>64.8</v>
    <v>64.66</v>
    <v>64.36</v>
    <v>64</v>
    <v>65.760000000000005</v>
    <v>65.78</v>
    <v>67.44</v>
    <v>67.06</v>
    <v>66.2</v>
    <v>65.7</v>
    <v>66.06</v>
    <v>66.2</v>
    <v>66.64</v>
    <v>65.48</v>
    <v>65.540000000000006</v>
    <v>65.52</v>
    <v>65.56</v>
    <v>64.66</v>
    <v>64.5</v>
    <v>65.28</v>
    <v>64.98</v>
    <v>64.98</v>
    <v>65.040000000000006</v>
    <v>65.16</v>
    <v>64.48</v>
    <v>65.459999999999994</v>
    <v>64.760000000000005</v>
    <v>64.28</v>
    <v>64.540000000000006</v>
    <v>64.7</v>
    <v>64.66</v>
    <v>64.84</v>
    <v>64.8</v>
    <v>64.739999999999995</v>
    <v>64.98</v>
    <v>64.86</v>
    <v>64.3</v>
    <v>64.16</v>
    <v>64.760000000000005</v>
    <v>65</v>
    <v>65.239999999999995</v>
    <v>65.38</v>
    <v>64.94</v>
    <v>64.319999999999993</v>
    <v>64.44</v>
    <v>64.08</v>
    <v>64.22</v>
    <v>64.06</v>
    <v>64.78</v>
    <v>64.5</v>
    <v>65.12</v>
    <v>64.88</v>
    <v>64.739999999999995</v>
    <v>64.540000000000006</v>
    <v>65.540000000000006</v>
    <v>64.760000000000005</v>
    <v>65.56</v>
    <v>64.400000000000006</v>
    <v>63.98</v>
    <v>63.7</v>
    <v>64.14</v>
    <v>64.459999999999994</v>
    <v>65.02</v>
    <v>65.44</v>
    <v>65.42</v>
    <v>65.16</v>
    <v>65.040000000000006</v>
    <v>64.94</v>
    <v>66.400000000000006</v>
    <v>67.44</v>
    <v>66.94</v>
    <v>67.88</v>
    <v>67.48</v>
    <v>66.52</v>
    <v>65.42</v>
    <v>65.680000000000007</v>
    <v>66.22</v>
    <v>66.900000000000006</v>
    <v>66.64</v>
    <v>66.599999999999994</v>
    <v>67.2</v>
    <v>66.86</v>
    <v>67.16</v>
    <v>68.02</v>
    <v>67.78</v>
    <v>67.88</v>
    <v>68.2</v>
    <v>68.48</v>
    <v>69.86</v>
    <v>69.52</v>
    <v>69.16</v>
    <v>68.42</v>
    <v>68.86</v>
    <v>68.88</v>
    <v>72.34</v>
    <v>70.739999999999995</v>
    <v>70.44</v>
    <v>71.819999999999993</v>
    <v>72.34</v>
    <v>71.38</v>
    <v>70.62</v>
    <v>70.66</v>
    <v>71.44</v>
    <v>71.8</v>
    <v>70.819999999999993</v>
    <v>71.459999999999994</v>
    <v>71.56</v>
    <v>71.88</v>
    <v>70.7</v>
    <v>71.06</v>
    <v>70.540000000000006</v>
    <v>70.819999999999993</v>
    <v>70.819999999999993</v>
    <v>70.84</v>
    <v>70.64</v>
    <v>70.42</v>
    <v>72.98</v>
    <v>72.319999999999993</v>
    <v>69.34</v>
    <v>71.38</v>
    <v>69.72</v>
    <v>70.319999999999993</v>
    <v>71.2</v>
    <v>71.98</v>
    <v>72.959999999999994</v>
    <v>73.680000000000007</v>
    <v>73.739999999999995</v>
    <v>73.739999999999995</v>
    <v>74.319999999999993</v>
    <v>75.180000000000007</v>
    <v>74.78</v>
    <v>74.8</v>
    <v>75.02</v>
    <v>75.959999999999994</v>
    <v>76.94</v>
    <v>75.06</v>
    <v>74.739999999999995</v>
    <v>75</v>
    <v>74.2</v>
    <v>74.36</v>
    <v>71.959999999999994</v>
    <v>71.319999999999993</v>
    <v>71.900000000000006</v>
    <v>73.5</v>
    <v>74.3</v>
    <v>74.58</v>
    <v>75.28</v>
    <v>75.680000000000007</v>
    <v>75.84</v>
    <v>75.64</v>
    <v>75.959999999999994</v>
    <v>75.64</v>
    <v>75.400000000000006</v>
    <v>75.22</v>
    <v>75.239999999999995</v>
    <v>75.12</v>
    <v>74.680000000000007</v>
    <v>74.38</v>
    <v>74.28</v>
    <v>74.099999999999994</v>
    <v>73.88</v>
    <v>73.58</v>
    <v>73.099999999999994</v>
    <v>73.22</v>
    <v>72.62</v>
    <v>72.36</v>
    <v>71.66</v>
    <v>71.959999999999994</v>
    <v>71.239999999999995</v>
    <v>71.58</v>
    <v>71.58</v>
    <v>71.44</v>
    <v>69.78</v>
    <v>69.5</v>
    <v>69.5</v>
    <v>69.36</v>
    <v>70.2</v>
    <v>69.42</v>
    <v>69.02</v>
    <v>69.08</v>
    <v>68.12</v>
    <v>67.58</v>
    <v>67.94</v>
    <v>68.2</v>
    <v>67.84</v>
    <v>68.22</v>
    <v>67.88</v>
    <v>67.52</v>
    <v>67.680000000000007</v>
    <v>68.06</v>
    <v>67.180000000000007</v>
    <v>67.16</v>
    <v>67.180000000000007</v>
    <v>67.3</v>
    <v>66.78</v>
    <v>65.78</v>
    <v>66.36</v>
    <v>71.239999999999995</v>
    <v>71.88</v>
    <v>72.5</v>
    <v>73.040000000000006</v>
    <v>72.319999999999993</v>
    <v>71.78</v>
    <v>71.36</v>
    <v>71.900000000000006</v>
    <v>70.86</v>
    <v>70.78</v>
    <v>71.52</v>
    <v>71.7</v>
    <v>72.06</v>
    <v>71.7</v>
    <v>72.239999999999995</v>
    <v>74.52</v>
    <v>73.84</v>
    <v>73.239999999999995</v>
    <v>72.7</v>
    <v>72.040000000000006</v>
    <v>71.72</v>
    <v>71.040000000000006</v>
    <v>71.180000000000007</v>
    <v>71.5</v>
    <v>73.319999999999993</v>
    <v>74.319999999999993</v>
    <v>74.98</v>
    <v>75.08</v>
    <v>74.72</v>
    <v>74.72</v>
    <v>74.3</v>
    <v>74.8</v>
    <v>74.64</v>
    <v>74.22</v>
    <v>74.28</v>
    <v>73.900000000000006</v>
    <v>73.48</v>
    <v>73.760000000000005</v>
    <v>72.599999999999994</v>
    <v>72.5</v>
    <v>72.5</v>
    <v>72.62</v>
    <v>73.02</v>
    <v>73.319999999999993</v>
    <v>74.16</v>
    <v>73.44</v>
    <v>73.84</v>
    <v>73.16</v>
    <v>72.3</v>
    <v>72.14</v>
    <v>72.459999999999994</v>
    <v>75.900000000000006</v>
    <v>75.88</v>
    <v>74.72</v>
    <v>75.28</v>
    <v>75.180000000000007</v>
    <v>76.3</v>
    <v>77.52</v>
    <v>77.7</v>
    <v>78.02</v>
    <v>78.66</v>
    <v>78.239999999999995</v>
    <v>77.78</v>
    <v>78.040000000000006</v>
    <v>78.06</v>
    <v>77.02</v>
    <v>77.260000000000005</v>
    <v>76.680000000000007</v>
    <v>76.72</v>
    <v>77.16</v>
    <v>77.099999999999994</v>
    <v>77.400000000000006</v>
    <v>78.2</v>
    <v>78.180000000000007</v>
    <v>78.98</v>
    <v>79.34</v>
    <v>79.599999999999994</v>
    <v>78.540000000000006</v>
    <v>78.260000000000005</v>
    <v>77.739999999999995</v>
    <v>77.66</v>
    <v>77.14</v>
    <v>78.459999999999994</v>
    <v>77.14</v>
    <v>77.180000000000007</v>
    <v>77.5</v>
    <v>77.400000000000006</v>
    <v>77</v>
    <v>77.400000000000006</v>
    <v>76.7</v>
    <v>76.62</v>
    <v>76.12</v>
    <v>76.180000000000007</v>
    <v>76.08</v>
    <v>75.66</v>
    <v>75.12</v>
    <v>75.760000000000005</v>
    <v>76.099999999999994</v>
    <v>77.040000000000006</v>
    <v>76.98</v>
    <v>77.459999999999994</v>
    <v>78.260000000000005</v>
    <v>77.760000000000005</v>
    <v>76.98</v>
    <v>76.48</v>
    <v>76.88</v>
    <v>76.739999999999995</v>
    <v>77.02</v>
    <v>76.78</v>
    <v>76.040000000000006</v>
    <v>74.400000000000006</v>
    <v>75.08</v>
    <v>74.94</v>
    <v>76.2</v>
    <v>76.819999999999993</v>
    <v>77.36</v>
    <v>77.58</v>
    <v>76.28</v>
    <v>76.52</v>
    <v>75.44</v>
    <v>74.040000000000006</v>
    <v>73.599999999999994</v>
    <v>67.400000000000006</v>
    <v>68.260000000000005</v>
    <v>67.540000000000006</v>
    <v>66</v>
    <v>66.16</v>
    <v>66.540000000000006</v>
    <v>66.099999999999994</v>
    <v>65.84</v>
    <v>68.959999999999994</v>
    <v>70.28</v>
    <v>71.88</v>
    <v>71.819999999999993</v>
    <v>69.16</v>
    <v>69.819999999999993</v>
    <v>70</v>
    <v>69.02</v>
    <v>72.28</v>
    <v>72.319999999999993</v>
    <v>72.599999999999994</v>
    <v>72.44</v>
    <v>72.28</v>
    <v>74.12</v>
    <v>73.599999999999994</v>
    <v>72.040000000000006</v>
    <v>72.06</v>
    <v>72.42</v>
    <v>72.7</v>
    <v>72.64</v>
    <v>71.22</v>
    <v>69.94</v>
    <v>70.94</v>
    <v>70.040000000000006</v>
    <v>70.2</v>
    <v>69.2</v>
    <v>69.3</v>
    <v>69</v>
    <v>70.239999999999995</v>
    <v>71.92</v>
    <v>72.84</v>
    <v>73.12</v>
    <v>70.78</v>
    <v>69.42</v>
    <v>68.5</v>
    <v>68.28</v>
    <v>68.319999999999993</v>
    <v>67.739999999999995</v>
    <v>67.8</v>
    <v>67.16</v>
    <v>69.3</v>
    <v>69.040000000000006</v>
    <v>69.06</v>
    <v>69.239999999999995</v>
    <v>69.260000000000005</v>
    <v>69</v>
    <v>68.66</v>
    <v>69.180000000000007</v>
    <v>67.319999999999993</v>
    <v>67.540000000000006</v>
    <v>67.900000000000006</v>
    <v>67.48</v>
    <v>68.14</v>
    <v>67.959999999999994</v>
    <v>66.42</v>
    <v>68.08</v>
    <v>68.099999999999994</v>
    <v>67.56</v>
    <v>66.58</v>
    <v>67.400000000000006</v>
    <v>66.099999999999994</v>
    <v>66.739999999999995</v>
    <v>65.2</v>
    <v>64.459999999999994</v>
    <v>64.92</v>
    <v>63.28</v>
    <v>62.8</v>
    <v>61.82</v>
    <v>62.78</v>
    <v>61.44</v>
    <v>61.86</v>
    <v>61.24</v>
    <v>62.5</v>
    <v>63.5</v>
    <v>63.5</v>
    <v>62.86</v>
    <v>61.86</v>
    <v>61.72</v>
    <v>61.28</v>
    <v>63.02</v>
    <v>61.86</v>
    <v>60.94</v>
    <v>61.36</v>
    <v>64.040000000000006</v>
    <v>64.3</v>
    <v>63.66</v>
    <v>64.42</v>
    <v>64.180000000000007</v>
    <v>65.3</v>
    <v>66.34</v>
    <v>66</v>
    <v>67.180000000000007</v>
    <v>66.459999999999994</v>
    <v>66.2</v>
    <v>65.8</v>
    <v>65.7</v>
    <v>65.06</v>
    <v>66.64</v>
    <v>67.62</v>
    <v>69.540000000000006</v>
    <v>69.98</v>
    <v>72.12</v>
    <v>72.040000000000006</v>
    <v>71.739999999999995</v>
    <v>72.2</v>
    <v>73.959999999999994</v>
    <v>73.400000000000006</v>
    <v>72.5</v>
    <v>74</v>
    <v>73.180000000000007</v>
    <v>72.42</v>
    <v>72.42</v>
    <v>72.2</v>
    <v>71.72</v>
    <v>71.86</v>
    <v>72.760000000000005</v>
    <v>72.98</v>
    <v>73.14</v>
    <v>71.459999999999994</v>
    <v>69.88</v>
    <v>68.44</v>
    <v>70</v>
    <v>70.760000000000005</v>
    <v>72.239999999999995</v>
    <v>70.58</v>
    <v>68.34</v>
    <v>67.52</v>
    <v>67.8</v>
    <v>68.02</v>
    <v>68</v>
    <v>68.16</v>
    <v>68.22</v>
    <v>68</v>
    <v>67.3</v>
    <v>67.02</v>
    <v>67.98</v>
    <v>67.239999999999995</v>
    <v>65.239999999999995</v>
    <v>65.48</v>
    <v>65.680000000000007</v>
    <v>66.180000000000007</v>
    <v>66.319999999999993</v>
    <v>66.14</v>
    <v>65.44</v>
    <v>65.72</v>
    <v>64.7</v>
    <v>64.400000000000006</v>
    <v>64.28</v>
    <v>64.540000000000006</v>
    <v>64.260000000000005</v>
    <v>63.6</v>
    <v>63.72</v>
    <v>63.58</v>
    <v>64.92</v>
    <v>62.96</v>
    <v>61.76</v>
    <v>61.38</v>
    <v>62.28</v>
    <v>61.58</v>
    <v>60.92</v>
    <v>61.38</v>
    <v>60.54</v>
    <v>60.26</v>
    <v>60.9</v>
    <v>60.32</v>
    <v>60.14</v>
    <v>59.56</v>
    <v>59.5</v>
    <v>58.76</v>
    <v>58.7</v>
    <v>57.58</v>
    <v>59.12</v>
    <v>57.76</v>
    <v>58.82</v>
    <v>58.78</v>
    <v>59.28</v>
    <v>58.7</v>
    <v>59.3</v>
    <v>58.74</v>
    <v>60.28</v>
    <v>61.22</v>
    <v>61.56</v>
    <v>60.6</v>
    <v>61.02</v>
    <v>60.82</v>
    <v>62.38</v>
    <v>62.24</v>
  </a>
  <a r="1" c="256">
    <v>78.239999999999995</v>
    <v>77.78</v>
    <v>78.040000000000006</v>
    <v>78.06</v>
    <v>77.02</v>
    <v>77.260000000000005</v>
    <v>76.680000000000007</v>
    <v>76.72</v>
    <v>77.16</v>
    <v>77.099999999999994</v>
    <v>77.400000000000006</v>
    <v>78.2</v>
    <v>78.180000000000007</v>
    <v>78.98</v>
    <v>79.34</v>
    <v>79.599999999999994</v>
    <v>78.540000000000006</v>
    <v>78.260000000000005</v>
    <v>77.739999999999995</v>
    <v>77.66</v>
    <v>77.14</v>
    <v>78.459999999999994</v>
    <v>77.14</v>
    <v>77.180000000000007</v>
    <v>77.5</v>
    <v>77.400000000000006</v>
    <v>77</v>
    <v>77.400000000000006</v>
    <v>76.7</v>
    <v>76.62</v>
    <v>76.12</v>
    <v>76.180000000000007</v>
    <v>76.08</v>
    <v>75.66</v>
    <v>75.12</v>
    <v>75.760000000000005</v>
    <v>76.099999999999994</v>
    <v>77.040000000000006</v>
    <v>76.98</v>
    <v>77.459999999999994</v>
    <v>78.260000000000005</v>
    <v>77.760000000000005</v>
    <v>76.98</v>
    <v>76.48</v>
    <v>76.88</v>
    <v>76.739999999999995</v>
    <v>77.02</v>
    <v>76.78</v>
    <v>76.040000000000006</v>
    <v>74.400000000000006</v>
    <v>75.08</v>
    <v>74.94</v>
    <v>76.2</v>
    <v>76.819999999999993</v>
    <v>77.36</v>
    <v>77.58</v>
    <v>76.28</v>
    <v>76.52</v>
    <v>75.44</v>
    <v>74.040000000000006</v>
    <v>73.599999999999994</v>
    <v>67.400000000000006</v>
    <v>68.260000000000005</v>
    <v>67.540000000000006</v>
    <v>66</v>
    <v>66.16</v>
    <v>66.540000000000006</v>
    <v>66.099999999999994</v>
    <v>65.84</v>
    <v>68.959999999999994</v>
    <v>70.28</v>
    <v>71.88</v>
    <v>71.819999999999993</v>
    <v>69.16</v>
    <v>69.819999999999993</v>
    <v>70</v>
    <v>69.02</v>
    <v>72.28</v>
    <v>72.319999999999993</v>
    <v>72.599999999999994</v>
    <v>72.44</v>
    <v>72.28</v>
    <v>74.12</v>
    <v>73.599999999999994</v>
    <v>72.040000000000006</v>
    <v>72.06</v>
    <v>72.42</v>
    <v>72.7</v>
    <v>72.64</v>
    <v>71.22</v>
    <v>69.94</v>
    <v>70.94</v>
    <v>70.040000000000006</v>
    <v>70.2</v>
    <v>69.2</v>
    <v>69.3</v>
    <v>69</v>
    <v>70.239999999999995</v>
    <v>71.92</v>
    <v>72.84</v>
    <v>73.12</v>
    <v>70.78</v>
    <v>69.42</v>
    <v>68.5</v>
    <v>68.28</v>
    <v>68.319999999999993</v>
    <v>67.739999999999995</v>
    <v>67.8</v>
    <v>67.16</v>
    <v>69.3</v>
    <v>69.040000000000006</v>
    <v>69.06</v>
    <v>69.239999999999995</v>
    <v>69.260000000000005</v>
    <v>69</v>
    <v>68.66</v>
    <v>69.180000000000007</v>
    <v>67.319999999999993</v>
    <v>67.540000000000006</v>
    <v>67.900000000000006</v>
    <v>67.48</v>
    <v>68.14</v>
    <v>67.959999999999994</v>
    <v>66.42</v>
    <v>68.08</v>
    <v>68.099999999999994</v>
    <v>67.56</v>
    <v>66.58</v>
    <v>67.400000000000006</v>
    <v>66.099999999999994</v>
    <v>66.739999999999995</v>
    <v>65.2</v>
    <v>64.459999999999994</v>
    <v>64.92</v>
    <v>63.28</v>
    <v>62.8</v>
    <v>61.82</v>
    <v>62.78</v>
    <v>61.44</v>
    <v>61.86</v>
    <v>61.24</v>
    <v>62.5</v>
    <v>63.5</v>
    <v>63.5</v>
    <v>62.86</v>
    <v>61.86</v>
    <v>61.72</v>
    <v>61.28</v>
    <v>63.02</v>
    <v>61.86</v>
    <v>60.94</v>
    <v>61.36</v>
    <v>64.040000000000006</v>
    <v>64.3</v>
    <v>63.66</v>
    <v>64.42</v>
    <v>64.180000000000007</v>
    <v>65.3</v>
    <v>66.34</v>
    <v>66</v>
    <v>67.180000000000007</v>
    <v>66.459999999999994</v>
    <v>66.2</v>
    <v>65.8</v>
    <v>65.7</v>
    <v>65.06</v>
    <v>66.64</v>
    <v>67.62</v>
    <v>69.540000000000006</v>
    <v>69.98</v>
    <v>72.12</v>
    <v>72.040000000000006</v>
    <v>71.739999999999995</v>
    <v>72.2</v>
    <v>73.959999999999994</v>
    <v>73.400000000000006</v>
    <v>72.5</v>
    <v>74</v>
    <v>73.180000000000007</v>
    <v>72.42</v>
    <v>72.42</v>
    <v>72.2</v>
    <v>71.72</v>
    <v>71.86</v>
    <v>72.760000000000005</v>
    <v>72.98</v>
    <v>73.14</v>
    <v>71.459999999999994</v>
    <v>69.88</v>
    <v>68.44</v>
    <v>70</v>
    <v>70.760000000000005</v>
    <v>72.239999999999995</v>
    <v>70.58</v>
    <v>68.34</v>
    <v>67.52</v>
    <v>67.8</v>
    <v>68.02</v>
    <v>68</v>
    <v>68.16</v>
    <v>68.22</v>
    <v>68</v>
    <v>67.3</v>
    <v>67.02</v>
    <v>67.98</v>
    <v>67.239999999999995</v>
    <v>65.239999999999995</v>
    <v>65.48</v>
    <v>65.680000000000007</v>
    <v>66.180000000000007</v>
    <v>66.319999999999993</v>
    <v>66.14</v>
    <v>65.44</v>
    <v>65.72</v>
    <v>64.7</v>
    <v>64.400000000000006</v>
    <v>64.28</v>
    <v>64.540000000000006</v>
    <v>64.260000000000005</v>
    <v>63.6</v>
    <v>63.72</v>
    <v>63.58</v>
    <v>64.92</v>
    <v>62.96</v>
    <v>61.76</v>
    <v>61.38</v>
    <v>62.28</v>
    <v>61.58</v>
    <v>60.92</v>
    <v>61.38</v>
    <v>60.54</v>
    <v>60.26</v>
    <v>60.9</v>
    <v>60.32</v>
    <v>60.14</v>
    <v>59.56</v>
    <v>59.5</v>
    <v>58.76</v>
    <v>58.7</v>
    <v>57.58</v>
    <v>59.12</v>
    <v>57.76</v>
    <v>58.82</v>
    <v>58.78</v>
    <v>59.28</v>
    <v>58.7</v>
    <v>59.3</v>
    <v>58.74</v>
    <v>60.28</v>
    <v>61.22</v>
    <v>61.56</v>
    <v>60.6</v>
    <v>61.02</v>
    <v>60.82</v>
    <v>62.38</v>
    <v>62.24</v>
  </a>
  <a r="1" c="208">
    <v>16.239999999999998</v>
    <v>16.22</v>
    <v>16.95</v>
    <v>16.600000000000001</v>
    <v>17</v>
    <v>17.149999999999999</v>
    <v>17.13</v>
    <v>17.29</v>
    <v>17</v>
    <v>17.21</v>
    <v>17.52</v>
    <v>17.010000000000002</v>
    <v>17.420000000000002</v>
    <v>17.510000000000002</v>
    <v>18.02</v>
    <v>18.010000000000002</v>
    <v>17.64</v>
    <v>17.73</v>
    <v>17.68</v>
    <v>17.46</v>
    <v>17.579999999999998</v>
    <v>17.91</v>
    <v>18.010000000000002</v>
    <v>18.11</v>
    <v>17.98</v>
    <v>18.02</v>
    <v>18.21</v>
    <v>18</v>
    <v>17.649999999999999</v>
    <v>17.32</v>
    <v>17.48</v>
    <v>17.91</v>
    <v>18.27</v>
    <v>17.96</v>
    <v>18.010000000000002</v>
    <v>18.21</v>
    <v>18.25</v>
    <v>18.27</v>
    <v>18.55</v>
    <v>18.62</v>
    <v>18.600000000000001</v>
    <v>17.89</v>
    <v>17.010000000000002</v>
    <v>17.75</v>
    <v>17.260000000000002</v>
    <v>16.96</v>
    <v>16.62</v>
    <v>17.079999999999998</v>
    <v>16.920000000000002</v>
    <v>16.649999999999999</v>
    <v>16.829999999999998</v>
    <v>16.440000000000001</v>
    <v>16.63</v>
    <v>16.760000000000002</v>
    <v>17.11</v>
    <v>17.23</v>
    <v>17.440000000000001</v>
    <v>17.3</v>
    <v>17.36</v>
    <v>17.05</v>
    <v>17.02</v>
    <v>17.28</v>
    <v>17.34</v>
    <v>18.3</v>
    <v>18.25</v>
    <v>18.05</v>
    <v>19.09</v>
    <v>18.97</v>
    <v>19.5</v>
    <v>19.25</v>
    <v>19.22</v>
    <v>19.149999999999999</v>
    <v>19.2</v>
    <v>19.989999999999998</v>
    <v>19.66</v>
    <v>19.77</v>
    <v>19.8</v>
    <v>19.809999999999999</v>
    <v>19.79</v>
    <v>20.18</v>
    <v>20.28</v>
    <v>20.28</v>
    <v>20.04</v>
    <v>19.79</v>
    <v>19.39</v>
    <v>21.32</v>
    <v>21.04</v>
    <v>21.46</v>
    <v>21.08</v>
    <v>21.18</v>
    <v>21.2</v>
    <v>21.78</v>
    <v>21.3</v>
    <v>20.5</v>
    <v>20.68</v>
    <v>20.74</v>
    <v>20.14</v>
    <v>20.100000000000001</v>
    <v>20.2</v>
    <v>19.850000000000001</v>
    <v>18.100000000000001</v>
    <v>17.68</v>
    <v>17.809999999999999</v>
    <v>17.89</v>
    <v>17.510000000000002</v>
    <v>17.510000000000002</v>
    <v>17.84</v>
    <v>17.29</v>
    <v>17.02</v>
    <v>16.36</v>
    <v>16.149999999999999</v>
    <v>16.02</v>
    <v>16.809999999999999</v>
    <v>17.329999999999998</v>
    <v>17.149999999999999</v>
    <v>17.03</v>
    <v>17.04</v>
    <v>16.850000000000001</v>
    <v>16.100000000000001</v>
    <v>15.83</v>
    <v>15.33</v>
    <v>15.35</v>
    <v>15.28</v>
    <v>15.29</v>
    <v>15.2</v>
    <v>15.24</v>
    <v>15.91</v>
    <v>15.88</v>
    <v>15.62</v>
    <v>15.34</v>
    <v>15.19</v>
    <v>15.08</v>
    <v>14.95</v>
    <v>14.69</v>
    <v>14.74</v>
    <v>14.75</v>
    <v>14.82</v>
    <v>14.57</v>
    <v>14.46</v>
    <v>14.41</v>
    <v>13.92</v>
    <v>13.78</v>
    <v>13.66</v>
    <v>13.63</v>
    <v>13.56</v>
    <v>13.62</v>
    <v>14.02</v>
    <v>13.51</v>
    <v>13.64</v>
    <v>13.2</v>
    <v>13.91</v>
    <v>13.7</v>
    <v>13.63</v>
    <v>13.65</v>
    <v>13.72</v>
    <v>13.65</v>
    <v>13.45</v>
    <v>13.53</v>
    <v>13.34</v>
    <v>13.16</v>
    <v>13.03</v>
    <v>13.03</v>
    <v>13.01</v>
    <v>12.93</v>
    <v>12.97</v>
    <v>12.72</v>
    <v>12.75</v>
    <v>12.76</v>
    <v>13.24</v>
    <v>13.25</v>
    <v>12.91</v>
    <v>12.77</v>
    <v>13</v>
    <v>12.87</v>
    <v>12.87</v>
    <v>12.42</v>
    <v>12.25</v>
    <v>12.41</v>
    <v>12.11</v>
    <v>12.35</v>
    <v>12.7</v>
    <v>12.65</v>
    <v>12.64</v>
    <v>13.06</v>
    <v>12.92</v>
    <v>13</v>
    <v>13.23</v>
    <v>13.26</v>
    <v>13.16</v>
    <v>13.22</v>
    <v>13.43</v>
    <v>13.14</v>
    <v>12.93</v>
    <v>12.92</v>
    <v>12.99</v>
    <v>12.75</v>
    <v>12.79</v>
    <v>12.86</v>
    <v>12.73</v>
    <v>12.67</v>
    <v>12.85</v>
    <v>12.79</v>
    <v>12.95</v>
    <v>12.94</v>
    <v>12.66</v>
    <v>12.65</v>
    <v>12.38</v>
    <v>12.23</v>
  </a>
  <a r="1" c="254">
    <v>14.3</v>
    <v>14.61</v>
    <v>14.62</v>
    <v>14.6</v>
    <v>15.06</v>
    <v>15.39</v>
    <v>15.7</v>
    <v>15.9</v>
    <v>15.72</v>
    <v>15.73</v>
    <v>15.59</v>
    <v>15.67</v>
    <v>15.87</v>
    <v>16.079999999999998</v>
    <v>16.2</v>
    <v>16.23</v>
    <v>15.78</v>
    <v>15.65</v>
    <v>15.33</v>
    <v>15.51</v>
    <v>15.7</v>
    <v>15.61</v>
    <v>16.04</v>
    <v>16.05</v>
    <v>16.14</v>
    <v>16.12</v>
    <v>16.170000000000002</v>
    <v>16.190000000000001</v>
    <v>16.170000000000002</v>
    <v>15.94</v>
    <v>15.91</v>
    <v>16.190000000000001</v>
    <v>16.25</v>
    <v>16.239999999999998</v>
    <v>16.22</v>
    <v>16.21</v>
    <v>16.170000000000002</v>
    <v>16.309999999999999</v>
    <v>16.14</v>
    <v>15.95</v>
    <v>16.25</v>
    <v>16.28</v>
    <v>16.47</v>
    <v>16.170000000000002</v>
    <v>16.149999999999999</v>
    <v>16.14</v>
    <v>16.239999999999998</v>
    <v>16.22</v>
    <v>16.95</v>
    <v>16.600000000000001</v>
    <v>17</v>
    <v>17.149999999999999</v>
    <v>17.13</v>
    <v>17.29</v>
    <v>17</v>
    <v>17.21</v>
    <v>17.52</v>
    <v>17.010000000000002</v>
    <v>17.420000000000002</v>
    <v>17.510000000000002</v>
    <v>18.02</v>
    <v>18.010000000000002</v>
    <v>17.64</v>
    <v>17.73</v>
    <v>17.68</v>
    <v>17.46</v>
    <v>17.579999999999998</v>
    <v>17.91</v>
    <v>18.010000000000002</v>
    <v>18.11</v>
    <v>17.98</v>
    <v>18.02</v>
    <v>18.21</v>
    <v>18</v>
    <v>17.649999999999999</v>
    <v>17.32</v>
    <v>17.48</v>
    <v>17.91</v>
    <v>18.27</v>
    <v>17.96</v>
    <v>18.010000000000002</v>
    <v>18.21</v>
    <v>18.25</v>
    <v>18.27</v>
    <v>18.55</v>
    <v>18.62</v>
    <v>18.600000000000001</v>
    <v>17.89</v>
    <v>17.010000000000002</v>
    <v>17.75</v>
    <v>17.260000000000002</v>
    <v>16.96</v>
    <v>16.62</v>
    <v>17.079999999999998</v>
    <v>16.920000000000002</v>
    <v>16.649999999999999</v>
    <v>16.829999999999998</v>
    <v>16.440000000000001</v>
    <v>16.63</v>
    <v>16.760000000000002</v>
    <v>17.11</v>
    <v>17.23</v>
    <v>17.440000000000001</v>
    <v>17.3</v>
    <v>17.36</v>
    <v>17.05</v>
    <v>17.02</v>
    <v>17.28</v>
    <v>17.34</v>
    <v>18.3</v>
    <v>18.25</v>
    <v>18.05</v>
    <v>19.09</v>
    <v>18.97</v>
    <v>19.5</v>
    <v>19.25</v>
    <v>19.22</v>
    <v>19.149999999999999</v>
    <v>19.2</v>
    <v>19.989999999999998</v>
    <v>19.66</v>
    <v>19.77</v>
    <v>19.8</v>
    <v>19.809999999999999</v>
    <v>19.79</v>
    <v>20.18</v>
    <v>20.28</v>
    <v>20.28</v>
    <v>20.04</v>
    <v>19.79</v>
    <v>19.39</v>
    <v>21.32</v>
    <v>21.04</v>
    <v>21.46</v>
    <v>21.08</v>
    <v>21.18</v>
    <v>21.2</v>
    <v>21.78</v>
    <v>21.3</v>
    <v>20.5</v>
    <v>20.68</v>
    <v>20.74</v>
    <v>20.14</v>
    <v>20.100000000000001</v>
    <v>20.2</v>
    <v>19.850000000000001</v>
    <v>18.100000000000001</v>
    <v>17.68</v>
    <v>17.809999999999999</v>
    <v>17.89</v>
    <v>17.510000000000002</v>
    <v>17.510000000000002</v>
    <v>17.84</v>
    <v>17.29</v>
    <v>17.02</v>
    <v>16.36</v>
    <v>16.149999999999999</v>
    <v>16.02</v>
    <v>16.809999999999999</v>
    <v>17.329999999999998</v>
    <v>17.149999999999999</v>
    <v>17.03</v>
    <v>17.04</v>
    <v>16.850000000000001</v>
    <v>16.100000000000001</v>
    <v>15.83</v>
    <v>15.33</v>
    <v>15.35</v>
    <v>15.28</v>
    <v>15.29</v>
    <v>15.2</v>
    <v>15.24</v>
    <v>15.91</v>
    <v>15.88</v>
    <v>15.62</v>
    <v>15.34</v>
    <v>15.19</v>
    <v>15.08</v>
    <v>14.95</v>
    <v>14.69</v>
    <v>14.74</v>
    <v>14.75</v>
    <v>14.82</v>
    <v>14.57</v>
    <v>14.46</v>
    <v>14.41</v>
    <v>13.92</v>
    <v>13.78</v>
    <v>13.66</v>
    <v>13.63</v>
    <v>13.56</v>
    <v>13.62</v>
    <v>14.02</v>
    <v>13.51</v>
    <v>13.64</v>
    <v>13.2</v>
    <v>13.91</v>
    <v>13.7</v>
    <v>13.63</v>
    <v>13.65</v>
    <v>13.72</v>
    <v>13.65</v>
    <v>13.45</v>
    <v>13.53</v>
    <v>13.34</v>
    <v>13.16</v>
    <v>13.03</v>
    <v>13.03</v>
    <v>13.01</v>
    <v>12.93</v>
    <v>12.97</v>
    <v>12.72</v>
    <v>12.75</v>
    <v>12.76</v>
    <v>13.24</v>
    <v>13.25</v>
    <v>12.91</v>
    <v>12.77</v>
    <v>13</v>
    <v>12.87</v>
    <v>12.87</v>
    <v>12.42</v>
    <v>12.25</v>
    <v>12.41</v>
    <v>12.11</v>
    <v>12.35</v>
    <v>12.7</v>
    <v>12.65</v>
    <v>12.64</v>
    <v>13.06</v>
    <v>12.92</v>
    <v>13</v>
    <v>13.23</v>
    <v>13.26</v>
    <v>13.16</v>
    <v>13.22</v>
    <v>13.43</v>
    <v>13.14</v>
    <v>12.93</v>
    <v>12.92</v>
    <v>12.99</v>
    <v>12.75</v>
    <v>12.79</v>
    <v>12.86</v>
    <v>12.73</v>
    <v>12.67</v>
    <v>12.85</v>
    <v>12.79</v>
    <v>12.95</v>
    <v>12.94</v>
    <v>12.66</v>
    <v>12.65</v>
    <v>12.38</v>
    <v>12.23</v>
  </a>
  <a r="1" c="761">
    <v>7.19</v>
    <v>7.1349999999999998</v>
    <v>6.9950000000000001</v>
    <v>6.8949999999999996</v>
    <v>6.9950000000000001</v>
    <v>7.0750000000000002</v>
    <v>7.1050000000000004</v>
    <v>7.22</v>
    <v>7.6449999999999996</v>
    <v>7.66</v>
    <v>7.65</v>
    <v>7.64</v>
    <v>7.72</v>
    <v>7.85</v>
    <v>7.7149999999999999</v>
    <v>7.75</v>
    <v>7.91</v>
    <v>7.875</v>
    <v>7.76</v>
    <v>7.99</v>
    <v>8.0050000000000008</v>
    <v>7.8949999999999996</v>
    <v>7.8949999999999996</v>
    <v>7.9349999999999996</v>
    <v>8</v>
    <v>7.9</v>
    <v>7.89</v>
    <v>7.97</v>
    <v>7.99</v>
    <v>8.5399999999999991</v>
    <v>8.73</v>
    <v>8.57</v>
    <v>8.6199999999999992</v>
    <v>8.6649999999999991</v>
    <v>8.75</v>
    <v>8.7799999999999994</v>
    <v>8.7449999999999992</v>
    <v>8.74</v>
    <v>8.8350000000000009</v>
    <v>8.8800000000000008</v>
    <v>8.7550000000000008</v>
    <v>9.09</v>
    <v>9.1199999999999992</v>
    <v>8.9949999999999992</v>
    <v>9.1</v>
    <v>9.1199999999999992</v>
    <v>9.0500000000000007</v>
    <v>9.0649999999999995</v>
    <v>9.125</v>
    <v>8.8650000000000002</v>
    <v>8.8350000000000009</v>
    <v>8.7550000000000008</v>
    <v>8.82</v>
    <v>8.85</v>
    <v>8.8000000000000007</v>
    <v>8.8249999999999993</v>
    <v>9</v>
    <v>8.9550000000000001</v>
    <v>8.84</v>
    <v>8.82</v>
    <v>8.9499999999999993</v>
    <v>8.86</v>
    <v>8.8849999999999998</v>
    <v>8.9450000000000003</v>
    <v>9.01</v>
    <v>9.2100000000000009</v>
    <v>9.08</v>
    <v>9.15</v>
    <v>9.1999999999999993</v>
    <v>9.1850000000000005</v>
    <v>9.14</v>
    <v>9.1199999999999992</v>
    <v>9.0749999999999993</v>
    <v>9.2650000000000006</v>
    <v>9.1300000000000008</v>
    <v>9.27</v>
    <v>9.4</v>
    <v>9.4450000000000003</v>
    <v>9.4649999999999999</v>
    <v>9.4749999999999996</v>
    <v>9.36</v>
    <v>9.4600000000000009</v>
    <v>9.5250000000000004</v>
    <v>9.4600000000000009</v>
    <v>9.42</v>
    <v>9.31</v>
    <v>9.35</v>
    <v>9.3149999999999995</v>
    <v>8.9550000000000001</v>
    <v>8.44</v>
    <v>8.7899999999999991</v>
    <v>8.75</v>
    <v>8.8000000000000007</v>
    <v>8.9149999999999991</v>
    <v>9.0549999999999997</v>
    <v>9.24</v>
    <v>9.25</v>
    <v>9.3699999999999992</v>
    <v>9.52</v>
    <v>9.64</v>
    <v>9.6999999999999993</v>
    <v>9.4350000000000005</v>
    <v>9.4049999999999994</v>
    <v>9.3450000000000006</v>
    <v>9.375</v>
    <v>9.6999999999999993</v>
    <v>9.7349999999999994</v>
    <v>9.18</v>
    <v>9.3249999999999993</v>
    <v>9.0449999999999999</v>
    <v>9.1999999999999993</v>
    <v>9.0399999999999991</v>
    <v>9.0350000000000001</v>
    <v>9</v>
    <v>8.85</v>
    <v>8.82</v>
    <v>8.7850000000000001</v>
    <v>8.7050000000000001</v>
    <v>8.6999999999999993</v>
    <v>8.65</v>
    <v>8.61</v>
    <v>8.56</v>
    <v>8.4250000000000007</v>
    <v>8.5449999999999999</v>
    <v>8.49</v>
    <v>8.57</v>
    <v>8.7899999999999991</v>
    <v>8.8450000000000006</v>
    <v>8.8000000000000007</v>
    <v>8.9600000000000009</v>
    <v>8.93</v>
    <v>8.8650000000000002</v>
    <v>8.9049999999999994</v>
    <v>8.9250000000000007</v>
    <v>8.9350000000000005</v>
    <v>9.3350000000000009</v>
    <v>9.25</v>
    <v>9.33</v>
    <v>9.4749999999999996</v>
    <v>9.51</v>
    <v>9.4600000000000009</v>
    <v>9.6</v>
    <v>9.51</v>
    <v>9.49</v>
    <v>9.1999999999999993</v>
    <v>9.2750000000000004</v>
    <v>9.1850000000000005</v>
    <v>9.2200000000000006</v>
    <v>9.1649999999999991</v>
    <v>9.3550000000000004</v>
    <v>9.27</v>
    <v>9.125</v>
    <v>9.2550000000000008</v>
    <v>9.3049999999999997</v>
    <v>9.1999999999999993</v>
    <v>9.2449999999999992</v>
    <v>9.3550000000000004</v>
    <v>9.4499999999999993</v>
    <v>9.4250000000000007</v>
    <v>9.6</v>
    <v>9.26</v>
    <v>9.4649999999999999</v>
    <v>9.3849999999999998</v>
    <v>9.2449999999999992</v>
    <v>9.19</v>
    <v>9.4450000000000003</v>
    <v>9.4600000000000009</v>
    <v>9.5</v>
    <v>9.57</v>
    <v>9.68</v>
    <v>9.5449999999999999</v>
    <v>9.5500000000000007</v>
    <v>9.7249999999999996</v>
    <v>9.6199999999999992</v>
    <v>9.64</v>
    <v>9.66</v>
    <v>9.73</v>
    <v>9.64</v>
    <v>9.73</v>
    <v>9.6999999999999993</v>
    <v>9.6999999999999993</v>
    <v>9.7200000000000006</v>
    <v>9.7949999999999999</v>
    <v>9.7949999999999999</v>
    <v>9.7050000000000001</v>
    <v>9.7249999999999996</v>
    <v>9.5850000000000009</v>
    <v>9.5250000000000004</v>
    <v>9.5150000000000006</v>
    <v>9.51</v>
    <v>9.49</v>
    <v>9.2200000000000006</v>
    <v>9.1199999999999992</v>
    <v>9.1549999999999994</v>
    <v>9.0250000000000004</v>
    <v>9.1549999999999994</v>
    <v>9.0649999999999995</v>
    <v>8.9949999999999992</v>
    <v>9.3049999999999997</v>
    <v>8.94</v>
    <v>8.89</v>
    <v>9.02</v>
    <v>8.9700000000000006</v>
    <v>8.875</v>
    <v>9.1199999999999992</v>
    <v>9.19</v>
    <v>9.2850000000000001</v>
    <v>9.125</v>
    <v>9.19</v>
    <v>9.16</v>
    <v>9.25</v>
    <v>9.3249999999999993</v>
    <v>9.48</v>
    <v>9.3949999999999996</v>
    <v>9.4250000000000007</v>
    <v>9.42</v>
    <v>9.6300000000000008</v>
    <v>9.7799999999999994</v>
    <v>9.67</v>
    <v>9.6999999999999993</v>
    <v>9.6150000000000002</v>
    <v>9.3650000000000002</v>
    <v>9.2799999999999994</v>
    <v>9.25</v>
    <v>9.2750000000000004</v>
    <v>9.1449999999999996</v>
    <v>9.3249999999999993</v>
    <v>9.3149999999999995</v>
    <v>9.4</v>
    <v>9.3000000000000007</v>
    <v>9.2799999999999994</v>
    <v>9.3949999999999996</v>
    <v>9.2650000000000006</v>
    <v>9.1950000000000003</v>
    <v>9.25</v>
    <v>9.2100000000000009</v>
    <v>9.43</v>
    <v>9.5150000000000006</v>
    <v>9.375</v>
    <v>9.44</v>
    <v>9.375</v>
    <v>9.19</v>
    <v>9.32</v>
    <v>9.2100000000000009</v>
    <v>9.2200000000000006</v>
    <v>9.2799999999999994</v>
    <v>9.2200000000000006</v>
    <v>9.32</v>
    <v>9.5850000000000009</v>
    <v>9.61</v>
    <v>9.59</v>
    <v>9.6750000000000007</v>
    <v>9.64</v>
    <v>9.5850000000000009</v>
    <v>9.5150000000000006</v>
    <v>9.66</v>
    <v>9.68</v>
    <v>9.625</v>
    <v>9.9350000000000005</v>
    <v>9.8149999999999995</v>
    <v>9.9450000000000003</v>
    <v>9.91</v>
    <v>9.9049999999999994</v>
    <v>9.9550000000000001</v>
    <v>10.050000000000001</v>
    <v>9.9649999999999999</v>
    <v>10.33</v>
    <v>10.47</v>
    <v>10.46</v>
    <v>10.42</v>
    <v>10.59</v>
    <v>10.3</v>
    <v>10.130000000000001</v>
    <v>10.210000000000001</v>
    <v>9.98</v>
    <v>10.11</v>
    <v>9.81</v>
    <v>10.029999999999999</v>
    <v>10.4</v>
    <v>10.39</v>
    <v>10.4</v>
    <v>10.39</v>
    <v>10.5</v>
    <v>10.39</v>
    <v>10.35</v>
    <v>10.38</v>
    <v>10.39</v>
    <v>10.28</v>
    <v>10.25</v>
    <v>10.52</v>
    <v>10.62</v>
    <v>10.62</v>
    <v>10.54</v>
    <v>10.51</v>
    <v>10.62</v>
    <v>10.52</v>
    <v>10.34</v>
    <v>10.47</v>
    <v>10.35</v>
    <v>10.46</v>
    <v>10.45</v>
    <v>10.47</v>
    <v>10.42</v>
    <v>10.36</v>
    <v>10.39</v>
    <v>10.34</v>
    <v>10.38</v>
    <v>10.23</v>
    <v>10.07</v>
    <v>10.11</v>
    <v>10.36</v>
    <v>10.59</v>
    <v>10.47</v>
    <v>10.47</v>
    <v>10.46</v>
    <v>10.7</v>
    <v>10.96</v>
    <v>10.92</v>
    <v>10.85</v>
    <v>11.1</v>
    <v>11.06</v>
    <v>11.2</v>
    <v>11.24</v>
    <v>11.28</v>
    <v>11.18</v>
    <v>11.26</v>
    <v>11.18</v>
    <v>11.16</v>
    <v>11.19</v>
    <v>11.17</v>
    <v>11.2</v>
    <v>11.49</v>
    <v>11.48</v>
    <v>11.58</v>
    <v>11.54</v>
    <v>11.52</v>
    <v>11.5</v>
    <v>11.49</v>
    <v>11.35</v>
    <v>11.38</v>
    <v>11.47</v>
    <v>11.58</v>
    <v>11.51</v>
    <v>11.54</v>
    <v>11.27</v>
    <v>11.37</v>
    <v>11.42</v>
    <v>11.21</v>
    <v>11.04</v>
    <v>10.92</v>
    <v>10.89</v>
    <v>10.92</v>
    <v>11.06</v>
    <v>11.04</v>
    <v>10.9</v>
    <v>11.19</v>
    <v>11.12</v>
    <v>11.06</v>
    <v>11.1</v>
    <v>11.15</v>
    <v>11.96</v>
    <v>12.02</v>
    <v>12</v>
    <v>11.91</v>
    <v>12</v>
    <v>12.05</v>
    <v>11.3</v>
    <v>10.91</v>
    <v>10.19</v>
    <v>10.56</v>
    <v>10.33</v>
    <v>10.73</v>
    <v>10.42</v>
    <v>10.7</v>
    <v>10.7</v>
    <v>10.95</v>
    <v>11.04</v>
    <v>11.13</v>
    <v>11.25</v>
    <v>11.36</v>
    <v>11.5</v>
    <v>11.63</v>
    <v>11.72</v>
    <v>11.88</v>
    <v>12.07</v>
    <v>12.19</v>
    <v>12.16</v>
    <v>12.28</v>
    <v>12.5</v>
    <v>12.69</v>
    <v>12.74</v>
    <v>12.72</v>
    <v>12.64</v>
    <v>12.74</v>
    <v>12.82</v>
    <v>12.05</v>
    <v>12.23</v>
    <v>12.11</v>
    <v>12.09</v>
    <v>11.79</v>
    <v>11.9</v>
    <v>11.99</v>
    <v>11.81</v>
    <v>11.87</v>
    <v>11.93</v>
    <v>11.79</v>
    <v>11.68</v>
    <v>11.82</v>
    <v>12.31</v>
    <v>12.29</v>
    <v>12.48</v>
    <v>12.53</v>
    <v>12.53</v>
    <v>12.4</v>
    <v>12.19</v>
    <v>12.26</v>
    <v>12.3</v>
    <v>12.39</v>
    <v>12.07</v>
    <v>12.05</v>
    <v>12.06</v>
    <v>12.06</v>
    <v>12.12</v>
    <v>12.26</v>
    <v>12.36</v>
    <v>12.17</v>
    <v>12.02</v>
    <v>11.86</v>
    <v>11.81</v>
    <v>11.92</v>
    <v>12.04</v>
    <v>12.17</v>
    <v>12.49</v>
    <v>12.82</v>
    <v>12.59</v>
    <v>12.48</v>
    <v>12.3</v>
    <v>12.54</v>
    <v>12.56</v>
    <v>12.81</v>
    <v>12.81</v>
    <v>12.46</v>
    <v>12.56</v>
    <v>12.71</v>
    <v>12.57</v>
    <v>12.7</v>
    <v>12.68</v>
    <v>12.8</v>
    <v>13.53</v>
    <v>13.37</v>
    <v>13.81</v>
    <v>13.94</v>
    <v>14</v>
    <v>14.22</v>
    <v>14.2</v>
    <v>14.36</v>
    <v>14.32</v>
    <v>14.36</v>
    <v>14.37</v>
    <v>14.65</v>
    <v>14.62</v>
    <v>14.71</v>
    <v>14.71</v>
    <v>14.86</v>
    <v>14.74</v>
    <v>14.67</v>
    <v>14.73</v>
    <v>14.74</v>
    <v>14.59</v>
    <v>14.41</v>
    <v>14.33</v>
    <v>14.34</v>
    <v>14.31</v>
    <v>14.48</v>
    <v>14.54</v>
    <v>14.6</v>
    <v>14.61</v>
    <v>14.81</v>
    <v>14.91</v>
    <v>14.93</v>
    <v>14.76</v>
    <v>14.79</v>
    <v>14.67</v>
    <v>14.62</v>
    <v>14.76</v>
    <v>14.84</v>
    <v>14.48</v>
    <v>14.42</v>
    <v>14.5</v>
    <v>14.45</v>
    <v>14.44</v>
    <v>14.1</v>
    <v>14.2</v>
    <v>14.48</v>
    <v>14.27</v>
    <v>14.3</v>
    <v>14.25</v>
    <v>14.07</v>
    <v>13.98</v>
    <v>14.14</v>
    <v>13.96</v>
    <v>13.92</v>
    <v>14.04</v>
    <v>13.98</v>
    <v>14.06</v>
    <v>14.08</v>
    <v>14.37</v>
    <v>14.3</v>
    <v>14.61</v>
    <v>14.62</v>
    <v>14.6</v>
    <v>15.06</v>
    <v>15.39</v>
    <v>15.7</v>
    <v>15.9</v>
    <v>15.72</v>
    <v>15.73</v>
    <v>15.59</v>
    <v>15.67</v>
    <v>15.87</v>
    <v>16.079999999999998</v>
    <v>16.2</v>
    <v>16.23</v>
    <v>15.78</v>
    <v>15.65</v>
    <v>15.33</v>
    <v>15.51</v>
    <v>15.7</v>
    <v>15.61</v>
    <v>16.04</v>
    <v>16.05</v>
    <v>16.14</v>
    <v>16.12</v>
    <v>16.170000000000002</v>
    <v>16.190000000000001</v>
    <v>16.170000000000002</v>
    <v>15.94</v>
    <v>15.91</v>
    <v>16.190000000000001</v>
    <v>16.25</v>
    <v>16.239999999999998</v>
    <v>16.22</v>
    <v>16.21</v>
    <v>16.170000000000002</v>
    <v>16.309999999999999</v>
    <v>16.14</v>
    <v>15.95</v>
    <v>16.25</v>
    <v>16.28</v>
    <v>16.47</v>
    <v>16.170000000000002</v>
    <v>16.149999999999999</v>
    <v>16.14</v>
    <v>16.239999999999998</v>
    <v>16.22</v>
    <v>16.95</v>
    <v>16.600000000000001</v>
    <v>17</v>
    <v>17.149999999999999</v>
    <v>17.13</v>
    <v>17.29</v>
    <v>17</v>
    <v>17.21</v>
    <v>17.52</v>
    <v>17.010000000000002</v>
    <v>17.420000000000002</v>
    <v>17.510000000000002</v>
    <v>18.02</v>
    <v>18.010000000000002</v>
    <v>17.64</v>
    <v>17.73</v>
    <v>17.68</v>
    <v>17.46</v>
    <v>17.579999999999998</v>
    <v>17.91</v>
    <v>18.010000000000002</v>
    <v>18.11</v>
    <v>17.98</v>
    <v>18.02</v>
    <v>18.21</v>
    <v>18</v>
    <v>17.649999999999999</v>
    <v>17.32</v>
    <v>17.48</v>
    <v>17.91</v>
    <v>18.27</v>
    <v>17.96</v>
    <v>18.010000000000002</v>
    <v>18.21</v>
    <v>18.25</v>
    <v>18.27</v>
    <v>18.55</v>
    <v>18.62</v>
    <v>18.600000000000001</v>
    <v>17.89</v>
    <v>17.010000000000002</v>
    <v>17.75</v>
    <v>17.260000000000002</v>
    <v>16.96</v>
    <v>16.62</v>
    <v>17.079999999999998</v>
    <v>16.920000000000002</v>
    <v>16.649999999999999</v>
    <v>16.829999999999998</v>
    <v>16.440000000000001</v>
    <v>16.63</v>
    <v>16.760000000000002</v>
    <v>17.11</v>
    <v>17.23</v>
    <v>17.440000000000001</v>
    <v>17.3</v>
    <v>17.36</v>
    <v>17.05</v>
    <v>17.02</v>
    <v>17.28</v>
    <v>17.34</v>
    <v>18.3</v>
    <v>18.25</v>
    <v>18.05</v>
    <v>19.09</v>
    <v>18.97</v>
    <v>19.5</v>
    <v>19.25</v>
    <v>19.22</v>
    <v>19.149999999999999</v>
    <v>19.2</v>
    <v>19.989999999999998</v>
    <v>19.66</v>
    <v>19.77</v>
    <v>19.8</v>
    <v>19.809999999999999</v>
    <v>19.79</v>
    <v>20.18</v>
    <v>20.28</v>
    <v>20.28</v>
    <v>20.04</v>
    <v>19.79</v>
    <v>19.39</v>
    <v>21.32</v>
    <v>21.04</v>
    <v>21.46</v>
    <v>21.08</v>
    <v>21.18</v>
    <v>21.2</v>
    <v>21.78</v>
    <v>21.3</v>
    <v>20.5</v>
    <v>20.68</v>
    <v>20.74</v>
    <v>20.14</v>
    <v>20.100000000000001</v>
    <v>20.2</v>
    <v>19.850000000000001</v>
    <v>18.100000000000001</v>
    <v>17.68</v>
    <v>17.809999999999999</v>
    <v>17.89</v>
    <v>17.510000000000002</v>
    <v>17.510000000000002</v>
    <v>17.84</v>
    <v>17.29</v>
    <v>17.02</v>
    <v>16.36</v>
    <v>16.149999999999999</v>
    <v>16.02</v>
    <v>16.809999999999999</v>
    <v>17.329999999999998</v>
    <v>17.149999999999999</v>
    <v>17.03</v>
    <v>17.04</v>
    <v>16.850000000000001</v>
    <v>16.100000000000001</v>
    <v>15.83</v>
    <v>15.33</v>
    <v>15.35</v>
    <v>15.28</v>
    <v>15.29</v>
    <v>15.2</v>
    <v>15.24</v>
    <v>15.91</v>
    <v>15.88</v>
    <v>15.62</v>
    <v>15.34</v>
    <v>15.19</v>
    <v>15.08</v>
    <v>14.95</v>
    <v>14.69</v>
    <v>14.74</v>
    <v>14.75</v>
    <v>14.82</v>
    <v>14.57</v>
    <v>14.46</v>
    <v>14.41</v>
    <v>13.92</v>
    <v>13.78</v>
    <v>13.66</v>
    <v>13.63</v>
    <v>13.56</v>
    <v>13.62</v>
    <v>14.02</v>
    <v>13.51</v>
    <v>13.64</v>
    <v>13.2</v>
    <v>13.91</v>
    <v>13.7</v>
    <v>13.63</v>
    <v>13.65</v>
    <v>13.72</v>
    <v>13.65</v>
    <v>13.45</v>
    <v>13.53</v>
    <v>13.34</v>
    <v>13.16</v>
    <v>13.03</v>
    <v>13.03</v>
    <v>13.01</v>
    <v>12.93</v>
    <v>12.97</v>
    <v>12.72</v>
    <v>12.75</v>
    <v>12.76</v>
    <v>13.24</v>
    <v>13.25</v>
    <v>12.91</v>
    <v>12.77</v>
    <v>13</v>
    <v>12.87</v>
    <v>12.87</v>
    <v>12.42</v>
    <v>12.25</v>
    <v>12.41</v>
    <v>12.11</v>
    <v>12.35</v>
    <v>12.7</v>
    <v>12.65</v>
    <v>12.64</v>
    <v>13.06</v>
    <v>12.92</v>
    <v>13</v>
    <v>13.23</v>
    <v>13.26</v>
    <v>13.16</v>
    <v>13.22</v>
    <v>13.43</v>
    <v>13.14</v>
    <v>12.93</v>
    <v>12.92</v>
    <v>12.99</v>
    <v>12.75</v>
    <v>12.79</v>
    <v>12.86</v>
    <v>12.73</v>
    <v>12.67</v>
    <v>12.85</v>
    <v>12.79</v>
    <v>12.95</v>
    <v>12.94</v>
    <v>12.66</v>
    <v>12.65</v>
    <v>12.38</v>
    <v>12.23</v>
  </a>
  <a r="1" c="761">
    <v>75.48</v>
    <v>75.95</v>
    <v>75.56</v>
    <v>74.819999999999993</v>
    <v>74.27</v>
    <v>74.180000000000007</v>
    <v>74.84</v>
    <v>75.760000000000005</v>
    <v>76.78</v>
    <v>77.12</v>
    <v>77.08</v>
    <v>77.75</v>
    <v>77.510000000000005</v>
    <v>77.62</v>
    <v>77.77</v>
    <v>78.27</v>
    <v>78.72</v>
    <v>78.87</v>
    <v>78.510000000000005</v>
    <v>78.61</v>
    <v>78.61</v>
    <v>78.709999999999994</v>
    <v>79.540000000000006</v>
    <v>79.42</v>
    <v>79.08</v>
    <v>79.099999999999994</v>
    <v>78.8</v>
    <v>78.89</v>
    <v>79.16</v>
    <v>80.010000000000005</v>
    <v>79.92</v>
    <v>80.349999999999994</v>
    <v>80.52</v>
    <v>80.510000000000005</v>
    <v>81.05</v>
    <v>81.44</v>
    <v>81.47</v>
    <v>81.89</v>
    <v>81.33</v>
    <v>81.99</v>
    <v>82.19</v>
    <v>82.17</v>
    <v>82.42</v>
    <v>81.59</v>
    <v>81.900000000000006</v>
    <v>81.36</v>
    <v>81.92</v>
    <v>81.599999999999994</v>
    <v>82.1</v>
    <v>81.87</v>
    <v>81.69</v>
    <v>81.42</v>
    <v>81.56</v>
    <v>82.39</v>
    <v>82.4</v>
    <v>82.19</v>
    <v>82.62</v>
    <v>82.75</v>
    <v>83.14</v>
    <v>82.82</v>
    <v>83.08</v>
    <v>83.65</v>
    <v>84.52</v>
    <v>84.78</v>
    <v>85.13</v>
    <v>85.62</v>
    <v>85.54</v>
    <v>85.85</v>
    <v>86.17</v>
    <v>85.39</v>
    <v>84.94</v>
    <v>86.86</v>
    <v>87.11</v>
    <v>87.25</v>
    <v>87.82</v>
    <v>87.96</v>
    <v>88.1</v>
    <v>88.76</v>
    <v>87.95</v>
    <v>87.97</v>
    <v>88.32</v>
    <v>88.6</v>
    <v>88.31</v>
    <v>87.29</v>
    <v>87.2</v>
    <v>88.98</v>
    <v>89.33</v>
    <v>88.96</v>
    <v>88.68</v>
    <v>88.87</v>
    <v>89.16</v>
    <v>89.69</v>
    <v>89.74</v>
    <v>88.97</v>
    <v>89.1</v>
    <v>89.46</v>
    <v>89.45</v>
    <v>88.84</v>
    <v>89.72</v>
    <v>89.73</v>
    <v>89.6</v>
    <v>88.91</v>
    <v>89.95</v>
    <v>89.99</v>
    <v>90.33</v>
    <v>91.76</v>
    <v>91.72</v>
    <v>91.35</v>
    <v>91.53</v>
    <v>91.4</v>
    <v>92.15</v>
    <v>91.46</v>
    <v>91.47</v>
    <v>91.49</v>
    <v>90.92</v>
    <v>91.01</v>
    <v>90.41</v>
    <v>91.05</v>
    <v>91.22</v>
    <v>91.77</v>
    <v>91.57</v>
    <v>90.2</v>
    <v>89.73</v>
    <v>89.74</v>
    <v>88.76</v>
    <v>88.67</v>
    <v>89.72</v>
    <v>89.79</v>
    <v>88.66</v>
    <v>90.5</v>
    <v>90.42</v>
    <v>90.16</v>
    <v>89.24</v>
    <v>89.98</v>
    <v>90.74</v>
    <v>91.4</v>
    <v>91.47</v>
    <v>91.62</v>
    <v>91.91</v>
    <v>91.77</v>
    <v>91.63</v>
    <v>92.33</v>
    <v>92.89</v>
    <v>92.46</v>
    <v>92.99</v>
    <v>92.93</v>
    <v>93.16</v>
    <v>93.16</v>
    <v>92.85</v>
    <v>92.83</v>
    <v>92.62</v>
    <v>92.61</v>
    <v>91.89</v>
    <v>91.19</v>
    <v>91.94</v>
    <v>91.9</v>
    <v>93.08</v>
    <v>93.39</v>
    <v>94.1</v>
    <v>94.57</v>
    <v>94.72</v>
    <v>95.18</v>
    <v>95.41</v>
    <v>95.98</v>
    <v>96.2</v>
    <v>96.62</v>
    <v>96.85</v>
    <v>97.17</v>
    <v>96.95</v>
    <v>96.86</v>
    <v>96.71</v>
    <v>96.89</v>
    <v>96.9</v>
    <v>97.32</v>
    <v>96.59</v>
    <v>96.75</v>
    <v>96.92</v>
    <v>97</v>
    <v>97.14</v>
    <v>97.52</v>
    <v>97.86</v>
    <v>98</v>
    <v>97.58</v>
    <v>97.98</v>
    <v>98.29</v>
    <v>98.51</v>
    <v>97.18</v>
    <v>96.6</v>
    <v>96.07</v>
    <v>96.47</v>
    <v>97.53</v>
    <v>95.48</v>
    <v>95.19</v>
    <v>95.19</v>
    <v>95.51</v>
    <v>95.48</v>
    <v>96.89</v>
    <v>96.35</v>
    <v>92.19</v>
    <v>90.27</v>
    <v>90.94</v>
    <v>92.14</v>
    <v>92.09</v>
    <v>92.44</v>
    <v>92.67</v>
    <v>93.58</v>
    <v>93.72</v>
    <v>95.61</v>
    <v>95.7</v>
    <v>95.6</v>
    <v>95.63</v>
    <v>95.75</v>
    <v>95.46</v>
    <v>95.48</v>
    <v>95.56</v>
    <v>95.45</v>
    <v>96.57</v>
    <v>96.12</v>
    <v>96.91</v>
    <v>95.85</v>
    <v>94.77</v>
    <v>94.05</v>
    <v>92.72</v>
    <v>93.78</v>
    <v>94.45</v>
    <v>93.73</v>
    <v>95.41</v>
    <v>96.13</v>
    <v>95.68</v>
    <v>96.4</v>
    <v>95.99</v>
    <v>97.2</v>
    <v>96.68</v>
    <v>97.39</v>
    <v>97.2</v>
    <v>97.32</v>
    <v>97.27</v>
    <v>97.68</v>
    <v>97.53</v>
    <v>97.63</v>
    <v>98.14</v>
    <v>98.07</v>
    <v>98.74</v>
    <v>99.06</v>
    <v>99.22</v>
    <v>100</v>
    <v>100.35</v>
    <v>100.61</v>
    <v>101.6</v>
    <v>101.61</v>
    <v>101.6</v>
    <v>102.53</v>
    <v>102.35</v>
    <v>102.07</v>
    <v>102.38</v>
    <v>102.14</v>
    <v>101.94</v>
    <v>102.39</v>
    <v>102.23</v>
    <v>102.38</v>
    <v>102.04</v>
    <v>100.14</v>
    <v>100.54</v>
    <v>99.78</v>
    <v>100.16</v>
    <v>104.29</v>
    <v>104.9</v>
    <v>106.01</v>
    <v>107.02</v>
    <v>107.09</v>
    <v>107.57</v>
    <v>107.34</v>
    <v>105.84</v>
    <v>105.98</v>
    <v>105.85</v>
    <v>106.02</v>
    <v>107.51</v>
    <v>108.79</v>
    <v>108.48</v>
    <v>108.89</v>
    <v>107.78</v>
    <v>108.25</v>
    <v>108.55</v>
    <v>109.36</v>
    <v>109.23</v>
    <v>109.51</v>
    <v>109.36</v>
    <v>109.4</v>
    <v>108.9</v>
    <v>109.46</v>
    <v>110.17</v>
    <v>109.73</v>
    <v>109.24</v>
    <v>109.6</v>
    <v>109.18</v>
    <v>109.65</v>
    <v>107.95</v>
    <v>108.24</v>
    <v>108.12</v>
    <v>108.47</v>
    <v>107.79</v>
    <v>109.02</v>
    <v>109.06</v>
    <v>109.7</v>
    <v>108.67</v>
    <v>108.62</v>
    <v>108.62</v>
    <v>107.82</v>
    <v>107.56</v>
    <v>107.44</v>
    <v>109.31</v>
    <v>109.48</v>
    <v>110.65</v>
    <v>109.79</v>
    <v>109.75</v>
    <v>110.94</v>
    <v>111.08</v>
    <v>110.36</v>
    <v>108.03</v>
    <v>109.74</v>
    <v>110.04</v>
    <v>110.05</v>
    <v>111.45</v>
    <v>110.41</v>
    <v>110.37</v>
    <v>109.8</v>
    <v>111.06</v>
    <v>110.81</v>
    <v>111.48</v>
    <v>111.11</v>
    <v>110.3</v>
    <v>110.56</v>
    <v>110.46</v>
    <v>110.93</v>
    <v>111</v>
    <v>111.74</v>
    <v>110.39</v>
    <v>110.47</v>
    <v>109.07</v>
    <v>107.02</v>
    <v>108.38</v>
    <v>108.63</v>
    <v>107.19</v>
    <v>107.33</v>
    <v>103.63</v>
    <v>101.36</v>
    <v>101.62</v>
    <v>99.62</v>
    <v>98.95</v>
    <v>96.78</v>
    <v>97.81</v>
    <v>96.76</v>
    <v>98.03</v>
    <v>98.24</v>
    <v>97.69</v>
    <v>98.81</v>
    <v>98.98</v>
    <v>98.88</v>
    <v>101</v>
    <v>101.09</v>
    <v>100.68</v>
    <v>100.19</v>
    <v>97.87</v>
    <v>97.22</v>
    <v>98.69</v>
    <v>98.69</v>
    <v>93.16</v>
    <v>89.32</v>
    <v>85.99</v>
    <v>89.61</v>
    <v>85.66</v>
    <v>89.02</v>
    <v>87.81</v>
    <v>90.25</v>
    <v>90.84</v>
    <v>89.53</v>
    <v>88.06</v>
    <v>86.97</v>
    <v>90</v>
    <v>90.82</v>
    <v>91.4</v>
    <v>91.44</v>
    <v>91.94</v>
    <v>92.17</v>
    <v>94.72</v>
    <v>94.79</v>
    <v>94.19</v>
    <v>93.74</v>
    <v>95.49</v>
    <v>95.31</v>
    <v>99.06</v>
    <v>100.05</v>
    <v>99.76</v>
    <v>100.08</v>
    <v>100.89</v>
    <v>100.16</v>
    <v>100.21</v>
    <v>99.2</v>
    <v>98.17</v>
    <v>97.06</v>
    <v>97.87</v>
    <v>98.75</v>
    <v>99.24</v>
    <v>98.86</v>
    <v>98.69</v>
    <v>97.87</v>
    <v>99.42</v>
    <v>99.39</v>
    <v>99.44</v>
    <v>99.88</v>
    <v>99.77</v>
    <v>100.11</v>
    <v>100</v>
    <v>99</v>
    <v>98.73</v>
    <v>99.07</v>
    <v>99.1</v>
    <v>98.94</v>
    <v>97.99</v>
    <v>98.36</v>
    <v>98.2</v>
    <v>99.07</v>
    <v>99.26</v>
    <v>99.19</v>
    <v>99.89</v>
    <v>99.75</v>
    <v>99.72</v>
    <v>99.9</v>
    <v>101.12</v>
    <v>100.35</v>
    <v>100.76</v>
    <v>100.71</v>
    <v>101.05</v>
    <v>101.82</v>
    <v>101.34</v>
    <v>101.53</v>
    <v>102.36</v>
    <v>100.66</v>
    <v>102.79</v>
    <v>102.41</v>
    <v>102.52</v>
    <v>101.73</v>
    <v>102.27</v>
    <v>102.61</v>
    <v>103.03</v>
    <v>104.22</v>
    <v>104.72</v>
    <v>105.23</v>
    <v>105.81</v>
    <v>102.33</v>
    <v>103.4</v>
    <v>103.11</v>
    <v>103.24</v>
    <v>103.3</v>
    <v>103.67</v>
    <v>104.39</v>
    <v>104.35</v>
    <v>104.46</v>
    <v>105.04</v>
    <v>104.72</v>
    <v>104.6</v>
    <v>103.83</v>
    <v>104.29</v>
    <v>104.74</v>
    <v>104.93</v>
    <v>104.8</v>
    <v>105.86</v>
    <v>105.34</v>
    <v>104.71</v>
    <v>104.93</v>
    <v>103.78</v>
    <v>104.58</v>
    <v>105.56</v>
    <v>104.53</v>
    <v>105.16</v>
    <v>105.19</v>
    <v>105.88</v>
    <v>106.5</v>
    <v>106.68</v>
    <v>106.7</v>
    <v>105.92</v>
    <v>105.72</v>
    <v>106.74</v>
    <v>107.01</v>
    <v>107.4</v>
    <v>107.45</v>
    <v>107.36</v>
    <v>107.09</v>
    <v>107.29</v>
    <v>107.55</v>
    <v>107.41</v>
    <v>108.06</v>
    <v>108.57</v>
    <v>108.77</v>
    <v>109</v>
    <v>109.03</v>
    <v>110.1</v>
    <v>110.38</v>
    <v>108.35</v>
    <v>108.95</v>
    <v>108.23</v>
    <v>109.14</v>
    <v>108.49</v>
    <v>107.52</v>
    <v>109.37</v>
    <v>109.99</v>
    <v>109.36</v>
    <v>109.78</v>
    <v>110.84</v>
    <v>111.68</v>
    <v>111.89</v>
    <v>112.26</v>
    <v>112.65</v>
    <v>112.4</v>
    <v>112.62</v>
    <v>112.2</v>
    <v>112.35</v>
    <v>110.53</v>
    <v>108.83</v>
    <v>111.19</v>
    <v>111.46</v>
    <v>111.96</v>
    <v>110.36</v>
    <v>110.38</v>
    <v>109.91</v>
    <v>108.68</v>
    <v>109.03</v>
    <v>110.1</v>
    <v>108.42</v>
    <v>110.23</v>
    <v>110.2</v>
    <v>111.54</v>
    <v>111.47</v>
    <v>111.84</v>
    <v>111.39</v>
    <v>111.39</v>
    <v>111.23</v>
    <v>111.44</v>
    <v>112.01</v>
    <v>111.94</v>
    <v>111.87</v>
    <v>111.6</v>
    <v>110.81</v>
    <v>110.35</v>
    <v>110.24</v>
    <v>109.35</v>
    <v>109.15</v>
    <v>109.86</v>
    <v>110.44</v>
    <v>110.77</v>
    <v>110.94</v>
    <v>111.16</v>
    <v>111.33</v>
    <v>110.47</v>
    <v>111.86</v>
    <v>112.14</v>
    <v>112.68</v>
    <v>112.46</v>
    <v>113.28</v>
    <v>113.08</v>
    <v>113.32</v>
    <v>112.37</v>
    <v>113.85</v>
    <v>113.59</v>
    <v>111.75</v>
    <v>110.85</v>
    <v>111.04</v>
    <v>111.75</v>
    <v>111.58</v>
    <v>110.95</v>
    <v>110.6</v>
    <v>110.9</v>
    <v>109.63</v>
    <v>110.63</v>
    <v>112.08</v>
    <v>111.25</v>
    <v>110.77</v>
    <v>109.73</v>
    <v>110.62</v>
    <v>111.06</v>
    <v>111.01</v>
    <v>110.86</v>
    <v>109.62</v>
    <v>109.58</v>
    <v>109.4</v>
    <v>109.61</v>
    <v>110.8</v>
    <v>110.63</v>
    <v>110.76</v>
    <v>110.05</v>
    <v>110.67</v>
    <v>111.41</v>
    <v>111.09</v>
    <v>110.3</v>
    <v>111.23</v>
    <v>110.95</v>
    <v>112.01</v>
    <v>111.81</v>
    <v>110.47</v>
    <v>110.04</v>
    <v>111.13</v>
    <v>110.88</v>
    <v>110.42</v>
    <v>110.42</v>
    <v>110.56</v>
    <v>110.7</v>
    <v>110.12</v>
    <v>108.14</v>
    <v>107.43</v>
    <v>107.42</v>
    <v>107.61</v>
    <v>108.04</v>
    <v>107.08</v>
    <v>105.44</v>
    <v>105.7</v>
    <v>105.71</v>
    <v>107.58</v>
    <v>107.85</v>
    <v>107.31</v>
    <v>109.63</v>
    <v>110.07</v>
    <v>110.38</v>
    <v>110.35</v>
    <v>111.58</v>
    <v>112.33</v>
    <v>113.26</v>
    <v>114.47</v>
    <v>114.18</v>
    <v>114.4</v>
    <v>115.19</v>
    <v>115.62</v>
    <v>115.61</v>
    <v>115.55</v>
    <v>115.22</v>
    <v>115.65</v>
    <v>115.89</v>
    <v>116.67</v>
    <v>117.53</v>
    <v>118.44</v>
    <v>118.81</v>
    <v>119.02</v>
    <v>119.45</v>
    <v>118.78</v>
    <v>120.03</v>
    <v>121.92</v>
    <v>121.25</v>
    <v>120.28</v>
    <v>120.06</v>
    <v>120.99</v>
    <v>121.27</v>
    <v>122.53</v>
    <v>122.84</v>
    <v>122.7</v>
    <v>122.54</v>
    <v>123.05</v>
    <v>123.25</v>
    <v>123.8</v>
    <v>124.16</v>
    <v>123.77</v>
    <v>123.62</v>
    <v>123.13</v>
    <v>122.28</v>
    <v>120.32</v>
    <v>120.34</v>
    <v>120.12</v>
    <v>121.93</v>
    <v>123.73</v>
    <v>123.41</v>
    <v>123.08</v>
    <v>123.49</v>
    <v>123.81</v>
    <v>123.77</v>
    <v>122.8</v>
    <v>123.78</v>
    <v>122.72</v>
    <v>122.54</v>
    <v>122.74</v>
    <v>124.11</v>
    <v>125.07</v>
    <v>123.95</v>
    <v>124.26</v>
    <v>125.01</v>
    <v>124.12</v>
    <v>123.42</v>
    <v>124.73</v>
    <v>125.24</v>
    <v>125.5</v>
    <v>125.08</v>
    <v>125.25</v>
    <v>125.31</v>
    <v>123.81</v>
    <v>124.28</v>
    <v>124.65</v>
    <v>124.85</v>
    <v>123.07</v>
    <v>124.02</v>
    <v>123.28</v>
    <v>123.66</v>
    <v>122.7</v>
    <v>121.35</v>
    <v>122.51</v>
    <v>124.81</v>
    <v>126.68</v>
    <v>127.06</v>
    <v>126.86</v>
    <v>127.28</v>
    <v>127.36</v>
    <v>127.23</v>
    <v>127.26</v>
    <v>127.97</v>
    <v>127.45</v>
    <v>127.25</v>
    <v>126.08</v>
    <v>125.63</v>
    <v>124.72</v>
    <v>124.8</v>
    <v>124.4</v>
    <v>124.59</v>
    <v>124.84</v>
    <v>125.68</v>
    <v>126.96</v>
    <v>125.34</v>
    <v>125.2</v>
    <v>125.62</v>
    <v>126.44</v>
    <v>125.88</v>
    <v>125.62</v>
    <v>125.51</v>
    <v>124.61</v>
    <v>124.17</v>
    <v>125.48</v>
    <v>125.29</v>
    <v>124.72</v>
    <v>125.28</v>
    <v>125.9</v>
    <v>125.97</v>
    <v>127.65</v>
    <v>128.55000000000001</v>
    <v>128.33000000000001</v>
    <v>127.8</v>
    <v>128.32</v>
    <v>127.94</v>
    <v>128.16</v>
    <v>128.69</v>
    <v>128.53</v>
    <v>129.86000000000001</v>
    <v>131.12</v>
    <v>131.82</v>
    <v>131.66999999999999</v>
    <v>131.54</v>
    <v>131.94</v>
    <v>132.5</v>
    <v>131.86000000000001</v>
    <v>131.97</v>
    <v>130.63</v>
    <v>130.07</v>
    <v>130.47999999999999</v>
    <v>130.21</v>
    <v>130.80000000000001</v>
    <v>129.61000000000001</v>
    <v>129.62</v>
  </a>
  <a r="1" c="254">
    <v>109.78</v>
    <v>110.84</v>
    <v>111.68</v>
    <v>111.89</v>
    <v>112.26</v>
    <v>112.65</v>
    <v>112.4</v>
    <v>112.62</v>
    <v>112.2</v>
    <v>112.35</v>
    <v>110.53</v>
    <v>108.83</v>
    <v>111.19</v>
    <v>111.46</v>
    <v>111.96</v>
    <v>110.36</v>
    <v>110.38</v>
    <v>109.91</v>
    <v>108.68</v>
    <v>109.03</v>
    <v>110.1</v>
    <v>108.42</v>
    <v>110.23</v>
    <v>110.2</v>
    <v>111.54</v>
    <v>111.47</v>
    <v>111.84</v>
    <v>111.39</v>
    <v>111.39</v>
    <v>111.23</v>
    <v>111.44</v>
    <v>112.01</v>
    <v>111.94</v>
    <v>111.87</v>
    <v>111.6</v>
    <v>110.81</v>
    <v>110.35</v>
    <v>110.24</v>
    <v>109.35</v>
    <v>109.15</v>
    <v>109.86</v>
    <v>110.44</v>
    <v>110.77</v>
    <v>110.94</v>
    <v>111.16</v>
    <v>111.33</v>
    <v>110.47</v>
    <v>111.86</v>
    <v>112.14</v>
    <v>112.68</v>
    <v>112.46</v>
    <v>113.28</v>
    <v>113.08</v>
    <v>113.32</v>
    <v>112.37</v>
    <v>113.85</v>
    <v>113.59</v>
    <v>111.75</v>
    <v>110.85</v>
    <v>111.04</v>
    <v>111.75</v>
    <v>111.58</v>
    <v>110.95</v>
    <v>110.6</v>
    <v>110.9</v>
    <v>109.63</v>
    <v>110.63</v>
    <v>112.08</v>
    <v>111.25</v>
    <v>110.77</v>
    <v>109.73</v>
    <v>110.62</v>
    <v>111.06</v>
    <v>111.01</v>
    <v>110.86</v>
    <v>109.62</v>
    <v>109.58</v>
    <v>109.4</v>
    <v>109.61</v>
    <v>110.8</v>
    <v>110.63</v>
    <v>110.76</v>
    <v>110.05</v>
    <v>110.67</v>
    <v>111.41</v>
    <v>111.09</v>
    <v>110.3</v>
    <v>111.23</v>
    <v>110.95</v>
    <v>112.01</v>
    <v>111.81</v>
    <v>110.47</v>
    <v>110.04</v>
    <v>111.13</v>
    <v>110.88</v>
    <v>110.42</v>
    <v>110.42</v>
    <v>110.56</v>
    <v>110.7</v>
    <v>110.12</v>
    <v>108.14</v>
    <v>107.43</v>
    <v>107.42</v>
    <v>107.61</v>
    <v>108.04</v>
    <v>107.08</v>
    <v>105.44</v>
    <v>105.7</v>
    <v>105.71</v>
    <v>107.58</v>
    <v>107.85</v>
    <v>107.31</v>
    <v>109.63</v>
    <v>110.07</v>
    <v>110.38</v>
    <v>110.35</v>
    <v>111.58</v>
    <v>112.33</v>
    <v>113.26</v>
    <v>114.47</v>
    <v>114.18</v>
    <v>114.4</v>
    <v>115.19</v>
    <v>115.62</v>
    <v>115.61</v>
    <v>115.55</v>
    <v>115.22</v>
    <v>115.65</v>
    <v>115.89</v>
    <v>116.67</v>
    <v>117.53</v>
    <v>118.44</v>
    <v>118.81</v>
    <v>119.02</v>
    <v>119.45</v>
    <v>118.78</v>
    <v>120.03</v>
    <v>121.92</v>
    <v>121.25</v>
    <v>120.28</v>
    <v>120.06</v>
    <v>120.99</v>
    <v>121.27</v>
    <v>122.53</v>
    <v>122.84</v>
    <v>122.7</v>
    <v>122.54</v>
    <v>123.05</v>
    <v>123.25</v>
    <v>123.8</v>
    <v>124.16</v>
    <v>123.77</v>
    <v>123.62</v>
    <v>123.13</v>
    <v>122.28</v>
    <v>120.32</v>
    <v>120.34</v>
    <v>120.12</v>
    <v>121.93</v>
    <v>123.73</v>
    <v>123.41</v>
    <v>123.08</v>
    <v>123.49</v>
    <v>123.81</v>
    <v>123.77</v>
    <v>122.8</v>
    <v>123.78</v>
    <v>122.72</v>
    <v>122.54</v>
    <v>122.74</v>
    <v>124.11</v>
    <v>125.07</v>
    <v>123.95</v>
    <v>124.26</v>
    <v>125.01</v>
    <v>124.12</v>
    <v>123.42</v>
    <v>124.73</v>
    <v>125.24</v>
    <v>125.5</v>
    <v>125.08</v>
    <v>125.25</v>
    <v>125.31</v>
    <v>123.81</v>
    <v>124.28</v>
    <v>124.65</v>
    <v>124.85</v>
    <v>123.07</v>
    <v>124.02</v>
    <v>123.28</v>
    <v>123.66</v>
    <v>122.7</v>
    <v>121.35</v>
    <v>122.51</v>
    <v>124.81</v>
    <v>126.68</v>
    <v>127.06</v>
    <v>126.86</v>
    <v>127.28</v>
    <v>127.36</v>
    <v>127.23</v>
    <v>127.26</v>
    <v>127.97</v>
    <v>127.45</v>
    <v>127.25</v>
    <v>126.08</v>
    <v>125.63</v>
    <v>124.72</v>
    <v>124.8</v>
    <v>124.4</v>
    <v>124.59</v>
    <v>124.84</v>
    <v>125.68</v>
    <v>126.96</v>
    <v>125.34</v>
    <v>125.2</v>
    <v>125.62</v>
    <v>126.44</v>
    <v>125.88</v>
    <v>125.62</v>
    <v>125.51</v>
    <v>124.61</v>
    <v>124.17</v>
    <v>125.48</v>
    <v>125.29</v>
    <v>124.72</v>
    <v>125.28</v>
    <v>125.9</v>
    <v>125.97</v>
    <v>127.65</v>
    <v>128.55000000000001</v>
    <v>128.33000000000001</v>
    <v>127.8</v>
    <v>128.32</v>
    <v>127.94</v>
    <v>128.16</v>
    <v>128.69</v>
    <v>128.53</v>
    <v>129.86000000000001</v>
    <v>131.12</v>
    <v>131.82</v>
    <v>131.66999999999999</v>
    <v>131.54</v>
    <v>131.94</v>
    <v>132.5</v>
    <v>131.86000000000001</v>
    <v>131.97</v>
    <v>130.63</v>
    <v>130.07</v>
    <v>130.47999999999999</v>
    <v>130.21</v>
    <v>130.80000000000001</v>
    <v>129.61000000000001</v>
    <v>129.62</v>
  </a>
  <a r="1" c="208">
    <v>110.47</v>
    <v>111.86</v>
    <v>112.14</v>
    <v>112.68</v>
    <v>112.46</v>
    <v>113.28</v>
    <v>113.08</v>
    <v>113.32</v>
    <v>112.37</v>
    <v>113.85</v>
    <v>113.59</v>
    <v>111.75</v>
    <v>110.85</v>
    <v>111.04</v>
    <v>111.75</v>
    <v>111.58</v>
    <v>110.95</v>
    <v>110.6</v>
    <v>110.9</v>
    <v>109.63</v>
    <v>110.63</v>
    <v>112.08</v>
    <v>111.25</v>
    <v>110.77</v>
    <v>109.73</v>
    <v>110.62</v>
    <v>111.06</v>
    <v>111.01</v>
    <v>110.86</v>
    <v>109.62</v>
    <v>109.58</v>
    <v>109.4</v>
    <v>109.61</v>
    <v>110.8</v>
    <v>110.63</v>
    <v>110.76</v>
    <v>110.05</v>
    <v>110.67</v>
    <v>111.41</v>
    <v>111.09</v>
    <v>110.3</v>
    <v>111.23</v>
    <v>110.95</v>
    <v>112.01</v>
    <v>111.81</v>
    <v>110.47</v>
    <v>110.04</v>
    <v>111.13</v>
    <v>110.88</v>
    <v>110.42</v>
    <v>110.42</v>
    <v>110.56</v>
    <v>110.7</v>
    <v>110.12</v>
    <v>108.14</v>
    <v>107.43</v>
    <v>107.42</v>
    <v>107.61</v>
    <v>108.04</v>
    <v>107.08</v>
    <v>105.44</v>
    <v>105.7</v>
    <v>105.71</v>
    <v>107.58</v>
    <v>107.85</v>
    <v>107.31</v>
    <v>109.63</v>
    <v>110.07</v>
    <v>110.38</v>
    <v>110.35</v>
    <v>111.58</v>
    <v>112.33</v>
    <v>113.26</v>
    <v>114.47</v>
    <v>114.18</v>
    <v>114.4</v>
    <v>115.19</v>
    <v>115.62</v>
    <v>115.61</v>
    <v>115.55</v>
    <v>115.22</v>
    <v>115.65</v>
    <v>115.89</v>
    <v>116.67</v>
    <v>117.53</v>
    <v>118.44</v>
    <v>118.81</v>
    <v>119.02</v>
    <v>119.45</v>
    <v>118.78</v>
    <v>120.03</v>
    <v>121.92</v>
    <v>121.25</v>
    <v>120.28</v>
    <v>120.06</v>
    <v>120.99</v>
    <v>121.27</v>
    <v>122.53</v>
    <v>122.84</v>
    <v>122.7</v>
    <v>122.54</v>
    <v>123.05</v>
    <v>123.25</v>
    <v>123.8</v>
    <v>124.16</v>
    <v>123.77</v>
    <v>123.62</v>
    <v>123.13</v>
    <v>122.28</v>
    <v>120.32</v>
    <v>120.34</v>
    <v>120.12</v>
    <v>121.93</v>
    <v>123.73</v>
    <v>123.41</v>
    <v>123.08</v>
    <v>123.49</v>
    <v>123.81</v>
    <v>123.77</v>
    <v>122.8</v>
    <v>123.78</v>
    <v>122.72</v>
    <v>122.54</v>
    <v>122.74</v>
    <v>124.11</v>
    <v>125.07</v>
    <v>123.95</v>
    <v>124.26</v>
    <v>125.01</v>
    <v>124.12</v>
    <v>123.42</v>
    <v>124.73</v>
    <v>125.24</v>
    <v>125.5</v>
    <v>125.08</v>
    <v>125.25</v>
    <v>125.31</v>
    <v>123.81</v>
    <v>124.28</v>
    <v>124.65</v>
    <v>124.85</v>
    <v>123.07</v>
    <v>124.02</v>
    <v>123.28</v>
    <v>123.66</v>
    <v>122.7</v>
    <v>121.35</v>
    <v>122.51</v>
    <v>124.81</v>
    <v>126.68</v>
    <v>127.06</v>
    <v>126.86</v>
    <v>127.28</v>
    <v>127.36</v>
    <v>127.23</v>
    <v>127.26</v>
    <v>127.97</v>
    <v>127.45</v>
    <v>127.25</v>
    <v>126.08</v>
    <v>125.63</v>
    <v>124.72</v>
    <v>124.8</v>
    <v>124.4</v>
    <v>124.59</v>
    <v>124.84</v>
    <v>125.68</v>
    <v>126.96</v>
    <v>125.34</v>
    <v>125.2</v>
    <v>125.62</v>
    <v>126.44</v>
    <v>125.88</v>
    <v>125.62</v>
    <v>125.51</v>
    <v>124.61</v>
    <v>124.17</v>
    <v>125.48</v>
    <v>125.29</v>
    <v>124.72</v>
    <v>125.28</v>
    <v>125.9</v>
    <v>125.97</v>
    <v>127.65</v>
    <v>128.55000000000001</v>
    <v>128.33000000000001</v>
    <v>127.8</v>
    <v>128.32</v>
    <v>127.94</v>
    <v>128.16</v>
    <v>128.69</v>
    <v>128.53</v>
    <v>129.86000000000001</v>
    <v>131.12</v>
    <v>131.82</v>
    <v>131.66999999999999</v>
    <v>131.54</v>
    <v>131.94</v>
    <v>132.5</v>
    <v>131.86000000000001</v>
    <v>131.97</v>
    <v>130.63</v>
    <v>130.07</v>
    <v>130.47999999999999</v>
    <v>130.21</v>
    <v>130.80000000000001</v>
    <v>129.61000000000001</v>
    <v>129.62</v>
  </a>
  <a r="1" c="205">
    <v>12.49</v>
    <v>12.83</v>
    <v>13.9</v>
    <v>14.17</v>
    <v>14.25</v>
    <v>14.6</v>
    <v>14.26</v>
    <v>13.88</v>
    <v>13.51</v>
    <v>13.17</v>
    <v>12.78</v>
    <v>12.45</v>
    <v>12.45</v>
    <v>12.52</v>
    <v>12.66</v>
    <v>12.89</v>
    <v>12.77</v>
    <v>12.69</v>
    <v>12.89</v>
    <v>13.78</v>
    <v>13.37</v>
    <v>12.36</v>
    <v>12.18</v>
    <v>11.41</v>
    <v>10.45</v>
    <v>11.91</v>
    <v>12.27</v>
    <v>10.33</v>
    <v>9.7899999999999991</v>
    <v>9.36</v>
    <v>9.32</v>
    <v>9.2100000000000009</v>
    <v>9.42</v>
    <v>9.31</v>
    <v>9.26</v>
    <v>8.39</v>
    <v>8.4499999999999993</v>
    <v>8.39</v>
    <v>8.6199999999999992</v>
    <v>8.23</v>
    <v>7.89</v>
    <v>7.57</v>
    <v>7.95</v>
    <v>7.91</v>
    <v>7.6</v>
    <v>7.67</v>
    <v>7.93</v>
    <v>7.82</v>
    <v>7.39</v>
    <v>7.22</v>
    <v>7.14</v>
    <v>7.36</v>
    <v>6.91</v>
    <v>7.06</v>
    <v>6.83</v>
    <v>7.08</v>
    <v>6.93</v>
    <v>7.1</v>
    <v>6.79</v>
    <v>6.67</v>
    <v>6.42</v>
    <v>6.9</v>
    <v>6.95</v>
    <v>6.88</v>
    <v>6.84</v>
    <v>6.67</v>
    <v>6.96</v>
    <v>6.95</v>
    <v>6.92</v>
    <v>7.12</v>
    <v>7.29</v>
    <v>7.29</v>
    <v>7.71</v>
    <v>8.16</v>
    <v>8.02</v>
    <v>7.55</v>
    <v>7.45</v>
    <v>7.13</v>
    <v>7.14</v>
    <v>7.03</v>
    <v>6.84</v>
    <v>6.89</v>
    <v>7.09</v>
    <v>7.03</v>
    <v>6.71</v>
    <v>6.72</v>
    <v>7.46</v>
    <v>8.7100000000000009</v>
    <v>7.77</v>
    <v>7.51</v>
    <v>7.98</v>
    <v>7.69</v>
    <v>7.33</v>
    <v>7</v>
    <v>6.92</v>
    <v>6.89</v>
    <v>6.91</v>
    <v>7.1</v>
    <v>6.97</v>
    <v>7.14</v>
    <v>7.43</v>
    <v>7.4</v>
    <v>7.26</v>
    <v>7.17</v>
    <v>6.88</v>
    <v>6.89</v>
    <v>6.94</v>
    <v>6.54</v>
    <v>6.86</v>
    <v>7.31</v>
    <v>6.91</v>
    <v>7.17</v>
    <v>7.08</v>
    <v>7.4</v>
    <v>7.19</v>
    <v>6.84</v>
    <v>7.04</v>
    <v>6.6</v>
    <v>6.31</v>
    <v>6.33</v>
    <v>6.25</v>
    <v>6.36</v>
    <v>6.59</v>
    <v>7.05</v>
    <v>7.24</v>
    <v>7.05</v>
    <v>7.13</v>
    <v>6.94</v>
    <v>6.81</v>
    <v>6.91</v>
    <v>7.01</v>
    <v>6.71</v>
    <v>6.85</v>
    <v>6.85</v>
    <v>6.51</v>
    <v>6.5</v>
    <v>6.33</v>
    <v>6.28</v>
    <v>6.01</v>
    <v>5.93</v>
    <v>5.86</v>
    <v>6.07</v>
    <v>5.98</v>
    <v>5.72</v>
    <v>5.97</v>
    <v>5.95</v>
    <v>6.09</v>
    <v>6.13</v>
    <v>5.87</v>
    <v>5.69</v>
    <v>6.19</v>
    <v>6</v>
    <v>5.81</v>
    <v>6.4</v>
    <v>6.2</v>
    <v>6.23</v>
    <v>6.33</v>
    <v>6.34</v>
    <v>6.73</v>
    <v>6.64</v>
    <v>6.74</v>
    <v>6.49</v>
    <v>6.85</v>
    <v>6.83</v>
    <v>7.07</v>
    <v>6.94</v>
    <v>6.89</v>
    <v>6.9</v>
    <v>7.17</v>
    <v>7.11</v>
    <v>7.29</v>
    <v>7.24</v>
    <v>7.52</v>
    <v>7.28</v>
    <v>7.45</v>
    <v>7.34</v>
    <v>7.31</v>
    <v>7.16</v>
    <v>7.11</v>
    <v>6.95</v>
    <v>6.97</v>
    <v>7.02</v>
    <v>6.94</v>
    <v>6.72</v>
    <v>6.88</v>
    <v>6.7</v>
    <v>6.7</v>
    <v>6.65</v>
    <v>6.95</v>
    <v>6.92</v>
    <v>6.79</v>
    <v>6.8</v>
    <v>6.74</v>
    <v>6.48</v>
    <v>6.28</v>
    <v>6.11</v>
    <v>5.91</v>
    <v>5.79</v>
    <v>6.11</v>
    <v>5.83</v>
    <v>5.76</v>
    <v>5.79</v>
    <v>5.97</v>
    <v>5.91</v>
    <v>5.7</v>
  </a>
  <a r="1" c="252">
    <v>10.69</v>
    <v>10.88</v>
    <v>11.33</v>
    <v>11.55</v>
    <v>11.74</v>
    <v>10.83</v>
    <v>10.91</v>
    <v>10.98</v>
    <v>10.75</v>
    <v>11.03</v>
    <v>10.37</v>
    <v>10.89</v>
    <v>11.42</v>
    <v>10.56</v>
    <v>10.14</v>
    <v>10.07</v>
    <v>10.61</v>
    <v>10.15</v>
    <v>10.4</v>
    <v>10.050000000000001</v>
    <v>9.5</v>
    <v>9.85</v>
    <v>10.41</v>
    <v>11.49</v>
    <v>11.93</v>
    <v>12.68</v>
    <v>12.26</v>
    <v>12</v>
    <v>11.56</v>
    <v>12.2</v>
    <v>12.17</v>
    <v>12.16</v>
    <v>12.2</v>
    <v>12.6</v>
    <v>12.75</v>
    <v>12.24</v>
    <v>11.57</v>
    <v>12.09</v>
    <v>11.85</v>
    <v>12.97</v>
    <v>12.91</v>
    <v>13.12</v>
    <v>12.99</v>
    <v>12.71</v>
    <v>11.95</v>
    <v>11.62</v>
    <v>12.22</v>
    <v>12.49</v>
    <v>12.83</v>
    <v>13.9</v>
    <v>14.17</v>
    <v>14.25</v>
    <v>14.6</v>
    <v>14.26</v>
    <v>13.88</v>
    <v>13.51</v>
    <v>13.17</v>
    <v>12.78</v>
    <v>12.45</v>
    <v>12.45</v>
    <v>12.52</v>
    <v>12.66</v>
    <v>12.89</v>
    <v>12.77</v>
    <v>12.69</v>
    <v>12.89</v>
    <v>13.78</v>
    <v>13.37</v>
    <v>12.36</v>
    <v>12.18</v>
    <v>11.41</v>
    <v>10.45</v>
    <v>11.91</v>
    <v>12.27</v>
    <v>10.33</v>
    <v>9.7899999999999991</v>
    <v>9.36</v>
    <v>9.32</v>
    <v>9.2100000000000009</v>
    <v>9.42</v>
    <v>9.31</v>
    <v>9.26</v>
    <v>8.39</v>
    <v>8.4499999999999993</v>
    <v>8.39</v>
    <v>8.6199999999999992</v>
    <v>8.23</v>
    <v>7.89</v>
    <v>7.57</v>
    <v>7.95</v>
    <v>7.91</v>
    <v>7.6</v>
    <v>7.67</v>
    <v>7.93</v>
    <v>7.82</v>
    <v>7.39</v>
    <v>7.22</v>
    <v>7.14</v>
    <v>7.36</v>
    <v>6.91</v>
    <v>7.06</v>
    <v>6.83</v>
    <v>7.08</v>
    <v>6.93</v>
    <v>7.1</v>
    <v>6.79</v>
    <v>6.67</v>
    <v>6.42</v>
    <v>6.9</v>
    <v>6.95</v>
    <v>6.88</v>
    <v>6.84</v>
    <v>6.67</v>
    <v>6.96</v>
    <v>6.95</v>
    <v>6.92</v>
    <v>7.12</v>
    <v>7.29</v>
    <v>7.29</v>
    <v>7.71</v>
    <v>8.16</v>
    <v>8.02</v>
    <v>7.55</v>
    <v>7.45</v>
    <v>7.13</v>
    <v>7.14</v>
    <v>7.03</v>
    <v>6.84</v>
    <v>6.89</v>
    <v>7.09</v>
    <v>7.03</v>
    <v>6.71</v>
    <v>6.72</v>
    <v>7.46</v>
    <v>8.7100000000000009</v>
    <v>7.77</v>
    <v>7.51</v>
    <v>7.98</v>
    <v>7.69</v>
    <v>7.33</v>
    <v>7</v>
    <v>6.92</v>
    <v>6.89</v>
    <v>6.91</v>
    <v>7.1</v>
    <v>6.97</v>
    <v>7.14</v>
    <v>7.43</v>
    <v>7.4</v>
    <v>7.26</v>
    <v>7.17</v>
    <v>6.88</v>
    <v>6.89</v>
    <v>6.94</v>
    <v>6.54</v>
    <v>6.86</v>
    <v>7.31</v>
    <v>6.91</v>
    <v>7.17</v>
    <v>7.08</v>
    <v>7.4</v>
    <v>7.19</v>
    <v>6.84</v>
    <v>7.04</v>
    <v>6.6</v>
    <v>6.31</v>
    <v>6.33</v>
    <v>6.25</v>
    <v>6.36</v>
    <v>6.59</v>
    <v>7.05</v>
    <v>7.24</v>
    <v>7.05</v>
    <v>7.13</v>
    <v>6.94</v>
    <v>6.81</v>
    <v>6.91</v>
    <v>7.01</v>
    <v>6.71</v>
    <v>6.85</v>
    <v>6.85</v>
    <v>6.51</v>
    <v>6.5</v>
    <v>6.33</v>
    <v>6.28</v>
    <v>6.01</v>
    <v>5.93</v>
    <v>5.86</v>
    <v>6.07</v>
    <v>5.98</v>
    <v>5.72</v>
    <v>5.97</v>
    <v>5.95</v>
    <v>6.09</v>
    <v>6.13</v>
    <v>5.87</v>
    <v>5.69</v>
    <v>6.19</v>
    <v>6</v>
    <v>5.81</v>
    <v>6.4</v>
    <v>6.2</v>
    <v>6.23</v>
    <v>6.33</v>
    <v>6.34</v>
    <v>6.73</v>
    <v>6.64</v>
    <v>6.74</v>
    <v>6.49</v>
    <v>6.85</v>
    <v>6.83</v>
    <v>7.07</v>
    <v>6.94</v>
    <v>6.89</v>
    <v>6.9</v>
    <v>7.17</v>
    <v>7.11</v>
    <v>7.29</v>
    <v>7.24</v>
    <v>7.52</v>
    <v>7.28</v>
    <v>7.45</v>
    <v>7.34</v>
    <v>7.31</v>
    <v>7.16</v>
    <v>7.11</v>
    <v>6.95</v>
    <v>6.97</v>
    <v>7.02</v>
    <v>6.94</v>
    <v>6.72</v>
    <v>6.88</v>
    <v>6.7</v>
    <v>6.7</v>
    <v>6.65</v>
    <v>6.95</v>
    <v>6.92</v>
    <v>6.79</v>
    <v>6.8</v>
    <v>6.74</v>
    <v>6.48</v>
    <v>6.28</v>
    <v>6.11</v>
    <v>5.91</v>
    <v>5.79</v>
    <v>6.11</v>
    <v>5.83</v>
    <v>5.76</v>
    <v>5.79</v>
    <v>5.97</v>
    <v>5.91</v>
    <v>5.7</v>
  </a>
  <a r="1" c="754">
    <v>2.2999999999999998</v>
    <v>2.42</v>
    <v>2.29</v>
    <v>2.2999999999999998</v>
    <v>2.31</v>
    <v>2.37</v>
    <v>2.46</v>
    <v>2.4300000000000002</v>
    <v>2.64</v>
    <v>2.7</v>
    <v>2.61</v>
    <v>2.72</v>
    <v>2.73</v>
    <v>2.56</v>
    <v>2.5299999999999998</v>
    <v>2.5099999999999998</v>
    <v>2.64</v>
    <v>2.81</v>
    <v>2.69</v>
    <v>2.9</v>
    <v>2.89</v>
    <v>2.85</v>
    <v>3.18</v>
    <v>3.11</v>
    <v>3.45</v>
    <v>3.75</v>
    <v>3.72</v>
    <v>3.39</v>
    <v>3.71</v>
    <v>3.61</v>
    <v>3.56</v>
    <v>3.62</v>
    <v>3.64</v>
    <v>3.68</v>
    <v>3.39</v>
    <v>3.35</v>
    <v>3.46</v>
    <v>3.52</v>
    <v>3.47</v>
    <v>3.61</v>
    <v>3.87</v>
    <v>3.66</v>
    <v>3.88</v>
    <v>3.82</v>
    <v>3.81</v>
    <v>3.77</v>
    <v>3.82</v>
    <v>3.53</v>
    <v>3.36</v>
    <v>3.53</v>
    <v>3.39</v>
    <v>3.37</v>
    <v>3.46</v>
    <v>3.41</v>
    <v>3.44</v>
    <v>3.24</v>
    <v>3.19</v>
    <v>2.99</v>
    <v>3.01</v>
    <v>3.02</v>
    <v>2.93</v>
    <v>3.03</v>
    <v>2.99</v>
    <v>2.91</v>
    <v>2.97</v>
    <v>2.98</v>
    <v>3.14</v>
    <v>2.98</v>
    <v>2.89</v>
    <v>2.99</v>
    <v>3.21</v>
    <v>3.03</v>
    <v>3.09</v>
    <v>3.01</v>
    <v>3.2</v>
    <v>3.26</v>
    <v>3.34</v>
    <v>3.18</v>
    <v>3.23</v>
    <v>4.5599999999999996</v>
    <v>4.75</v>
    <v>4.18</v>
    <v>4.1900000000000004</v>
    <v>4.46</v>
    <v>4.3</v>
    <v>4.6500000000000004</v>
    <v>5.69</v>
    <v>5.62</v>
    <v>6.09</v>
    <v>6.91</v>
    <v>7.1</v>
    <v>6.56</v>
    <v>6.96</v>
    <v>6.9</v>
    <v>7.08</v>
    <v>6.51</v>
    <v>6.64</v>
    <v>7.01</v>
    <v>6.8</v>
    <v>6.9</v>
    <v>6.64</v>
    <v>6.2</v>
    <v>6.08</v>
    <v>5.95</v>
    <v>5.6</v>
    <v>5.42</v>
    <v>5.03</v>
    <v>5.17</v>
    <v>5.12</v>
    <v>5.1100000000000003</v>
    <v>5.09</v>
    <v>5.23</v>
    <v>5.26</v>
    <v>5.14</v>
    <v>5.21</v>
    <v>5.07</v>
    <v>4.8099999999999996</v>
    <v>4.8600000000000003</v>
    <v>4.45</v>
    <v>4.1399999999999997</v>
    <v>4.0199999999999996</v>
    <v>4.04</v>
    <v>4.0599999999999996</v>
    <v>3.94</v>
    <v>4.16</v>
    <v>4.63</v>
    <v>4.5</v>
    <v>4.4000000000000004</v>
    <v>4.54</v>
    <v>4.53</v>
    <v>4.3899999999999997</v>
    <v>4.49</v>
    <v>4.9000000000000004</v>
    <v>5.0599999999999996</v>
    <v>5.47</v>
    <v>6.45</v>
    <v>6.53</v>
    <v>6.23</v>
    <v>6.01</v>
    <v>6.09</v>
    <v>6.07</v>
    <v>6.66</v>
    <v>6.66</v>
    <v>6.77</v>
    <v>6.53</v>
    <v>6.03</v>
    <v>5.7</v>
    <v>5.66</v>
    <v>6.16</v>
    <v>6.24</v>
    <v>6.44</v>
    <v>6.95</v>
    <v>7.09</v>
    <v>7.16</v>
    <v>7.25</v>
    <v>7.76</v>
    <v>7.95</v>
    <v>7.5</v>
    <v>8.7799999999999994</v>
    <v>9.01</v>
    <v>9.86</v>
    <v>9.4600000000000009</v>
    <v>9.2899999999999991</v>
    <v>9.41</v>
    <v>7.85</v>
    <v>7.91</v>
    <v>7.17</v>
    <v>7.02</v>
    <v>7.18</v>
    <v>7.28</v>
    <v>7.26</v>
    <v>7.02</v>
    <v>7.15</v>
    <v>7.48</v>
    <v>7.85</v>
    <v>8.4600000000000009</v>
    <v>8.4600000000000009</v>
    <v>10.99</v>
    <v>11.75</v>
    <v>12.08</v>
    <v>13.07</v>
    <v>13.2</v>
    <v>13.48</v>
    <v>12.43</v>
    <v>12.32</v>
    <v>12.47</v>
    <v>14.56</v>
    <v>13.8</v>
    <v>12.24</v>
    <v>12.29</v>
    <v>13.1</v>
    <v>12.23</v>
    <v>12.16</v>
    <v>12.08</v>
    <v>11.11</v>
    <v>10.69</v>
    <v>10.59</v>
    <v>4.8899999999999997</v>
    <v>4.91</v>
    <v>4.8099999999999996</v>
    <v>4.62</v>
    <v>5.0599999999999996</v>
    <v>4.92</v>
    <v>4.87</v>
    <v>4.9000000000000004</v>
    <v>5.16</v>
    <v>5.2</v>
    <v>4.9800000000000004</v>
    <v>5.17</v>
    <v>5.18</v>
    <v>5.3</v>
    <v>5.31</v>
    <v>4.9000000000000004</v>
    <v>4.68</v>
    <v>4.8</v>
    <v>4.9400000000000004</v>
    <v>4.4800000000000004</v>
    <v>4.37</v>
    <v>4.37</v>
    <v>4.16</v>
    <v>4.3600000000000003</v>
    <v>4.43</v>
    <v>4.62</v>
    <v>4.57</v>
    <v>4.7699999999999996</v>
    <v>4.57</v>
    <v>4.68</v>
    <v>4.63</v>
    <v>4.72</v>
    <v>4.67</v>
    <v>4.51</v>
    <v>4.6399999999999997</v>
    <v>4.66</v>
    <v>5.21</v>
    <v>5.3</v>
    <v>5.34</v>
    <v>5.17</v>
    <v>5.61</v>
    <v>5.56</v>
    <v>5.87</v>
    <v>5.6</v>
    <v>5.46</v>
    <v>5.13</v>
    <v>5.14</v>
    <v>5.43</v>
    <v>5.27</v>
    <v>5.0599999999999996</v>
    <v>5.03</v>
    <v>4.92</v>
    <v>4.91</v>
    <v>4.8</v>
    <v>4.87</v>
    <v>4.6900000000000004</v>
    <v>4.71</v>
    <v>4.76</v>
    <v>5.0999999999999996</v>
    <v>5.03</v>
    <v>4.78</v>
    <v>4.5999999999999996</v>
    <v>4.57</v>
    <v>4.62</v>
    <v>4.72</v>
    <v>4.82</v>
    <v>4</v>
    <v>3.82</v>
    <v>4.0199999999999996</v>
    <v>4.01</v>
    <v>3.88</v>
    <v>3.71</v>
    <v>3.72</v>
    <v>3.74</v>
    <v>3.72</v>
    <v>3.83</v>
    <v>3.64</v>
    <v>3.8</v>
    <v>4.1100000000000003</v>
    <v>3.96</v>
    <v>3.98</v>
    <v>3.9</v>
    <v>3.87</v>
    <v>3.75</v>
    <v>3.79</v>
    <v>4.53</v>
    <v>4.57</v>
    <v>5.0599999999999996</v>
    <v>4.62</v>
    <v>4.75</v>
    <v>4.6399999999999997</v>
    <v>4.3499999999999996</v>
    <v>4.47</v>
    <v>4.57</v>
    <v>4.18</v>
    <v>3.96</v>
    <v>4.03</v>
    <v>3.99</v>
    <v>4.22</v>
    <v>4.1399999999999997</v>
    <v>4.01</v>
    <v>3.92</v>
    <v>3.82</v>
    <v>3.9</v>
    <v>3.95</v>
    <v>4.1500000000000004</v>
    <v>4.0199999999999996</v>
    <v>3.87</v>
    <v>3.83</v>
    <v>3.71</v>
    <v>3.65</v>
    <v>3.78</v>
    <v>3.74</v>
    <v>3.7</v>
    <v>3.82</v>
    <v>3.84</v>
    <v>3.94</v>
    <v>3.98</v>
    <v>3.86</v>
    <v>4.05</v>
    <v>3.95</v>
    <v>4.21</v>
    <v>3.99</v>
    <v>3.89</v>
    <v>4.08</v>
    <v>4.01</v>
    <v>4.03</v>
    <v>3.99</v>
    <v>4.1500000000000004</v>
    <v>3.86</v>
    <v>4.01</v>
    <v>4.16</v>
    <v>4.1500000000000004</v>
    <v>4.04</v>
    <v>3.88</v>
    <v>2.82</v>
    <v>2.76</v>
    <v>2.71</v>
    <v>2.58</v>
    <v>2.5299999999999998</v>
    <v>2.4300000000000002</v>
    <v>2.4500000000000002</v>
    <v>2.31</v>
    <v>2.41</v>
    <v>2.5499999999999998</v>
    <v>2.38</v>
    <v>2.42</v>
    <v>2.27</v>
    <v>2.29</v>
    <v>2.36</v>
    <v>2.29</v>
    <v>2.34</v>
    <v>2.46</v>
    <v>2.38</v>
    <v>2.4900000000000002</v>
    <v>2.4300000000000002</v>
    <v>2.4700000000000002</v>
    <v>2.5499999999999998</v>
    <v>2.52</v>
    <v>2.36</v>
    <v>2.34</v>
    <v>2.2400000000000002</v>
    <v>2.15</v>
    <v>2.1800000000000002</v>
    <v>2.2000000000000002</v>
    <v>1.98</v>
    <v>1.78</v>
    <v>1.76</v>
    <v>1.73</v>
    <v>2.06</v>
    <v>1.96</v>
    <v>2.0499999999999998</v>
    <v>2.09</v>
    <v>2.11</v>
    <v>2.0499999999999998</v>
    <v>2.1</v>
    <v>2.11</v>
    <v>2.15</v>
    <v>2.27</v>
    <v>2.34</v>
    <v>2.44</v>
    <v>2.38</v>
    <v>2.4500000000000002</v>
    <v>2.37</v>
    <v>2.4300000000000002</v>
    <v>2.5</v>
    <v>2.48</v>
    <v>2.52</v>
    <v>2.4</v>
    <v>2.87</v>
    <v>3.3</v>
    <v>3.55</v>
    <v>3.45</v>
    <v>3.27</v>
    <v>3.06</v>
    <v>3.21</v>
    <v>3.14</v>
    <v>3.05</v>
    <v>2.91</v>
    <v>3.27</v>
    <v>3.24</v>
    <v>3.43</v>
    <v>3.3</v>
    <v>3.18</v>
    <v>3.34</v>
    <v>3.28</v>
    <v>3.24</v>
    <v>3.3</v>
    <v>3.25</v>
    <v>3.37</v>
    <v>3.43</v>
    <v>3.58</v>
    <v>3.32</v>
    <v>3.17</v>
    <v>3.05</v>
    <v>3.21</v>
    <v>3.11</v>
    <v>3.15</v>
    <v>3.22</v>
    <v>3.23</v>
    <v>3.45</v>
    <v>3.25</v>
    <v>3.37</v>
    <v>3.66</v>
    <v>4.0199999999999996</v>
    <v>4.67</v>
    <v>4.41</v>
    <v>4.43</v>
    <v>4.26</v>
    <v>4.2300000000000004</v>
    <v>4.42</v>
    <v>4.45</v>
    <v>4.33</v>
    <v>4.26</v>
    <v>4.4800000000000004</v>
    <v>4.5199999999999996</v>
    <v>4.59</v>
    <v>4.67</v>
    <v>4.67</v>
    <v>4.7699999999999996</v>
    <v>4.8499999999999996</v>
    <v>4.9000000000000004</v>
    <v>4.8499999999999996</v>
    <v>4.96</v>
    <v>4.6100000000000003</v>
    <v>4.51</v>
    <v>4.6900000000000004</v>
    <v>4.45</v>
    <v>4.8499999999999996</v>
    <v>4.87</v>
    <v>4.58</v>
    <v>5.82</v>
    <v>5.78</v>
    <v>6.44</v>
    <v>7.25</v>
    <v>7.46</v>
    <v>7.7</v>
    <v>7.75</v>
    <v>8.0299999999999994</v>
    <v>7.67</v>
    <v>7.27</v>
    <v>7.19</v>
    <v>7.87</v>
    <v>8.24</v>
    <v>8.94</v>
    <v>9.18</v>
    <v>9.1300000000000008</v>
    <v>8.6</v>
    <v>8.0500000000000007</v>
    <v>7.82</v>
    <v>8.19</v>
    <v>8.86</v>
    <v>9.3800000000000008</v>
    <v>9.7200000000000006</v>
    <v>8.94</v>
    <v>9.73</v>
    <v>9.91</v>
    <v>9.7899999999999991</v>
    <v>11.91</v>
    <v>11.87</v>
    <v>11.92</v>
    <v>11.62</v>
    <v>11.85</v>
    <v>11.33</v>
    <v>11.48</v>
    <v>11.18</v>
    <v>11.38</v>
    <v>11.97</v>
    <v>11.61</v>
    <v>11.8</v>
    <v>11.97</v>
    <v>11.56</v>
    <v>11.86</v>
    <v>11.89</v>
    <v>12.63</v>
    <v>12.88</v>
    <v>11.6</v>
    <v>12.29</v>
    <v>12.44</v>
    <v>12.27</v>
    <v>11.88</v>
    <v>10.75</v>
    <v>11.03</v>
    <v>10.68</v>
    <v>10.25</v>
    <v>10.69</v>
    <v>10.88</v>
    <v>11.33</v>
    <v>11.55</v>
    <v>11.74</v>
    <v>10.83</v>
    <v>10.91</v>
    <v>10.98</v>
    <v>10.75</v>
    <v>11.03</v>
    <v>10.37</v>
    <v>10.89</v>
    <v>11.42</v>
    <v>10.56</v>
    <v>10.14</v>
    <v>10.07</v>
    <v>10.61</v>
    <v>10.15</v>
    <v>10.4</v>
    <v>10.050000000000001</v>
    <v>9.5</v>
    <v>9.85</v>
    <v>10.41</v>
    <v>11.49</v>
    <v>11.93</v>
    <v>12.68</v>
    <v>12.26</v>
    <v>12</v>
    <v>11.56</v>
    <v>12.2</v>
    <v>12.17</v>
    <v>12.16</v>
    <v>12.2</v>
    <v>12.6</v>
    <v>12.75</v>
    <v>12.24</v>
    <v>11.57</v>
    <v>12.09</v>
    <v>11.85</v>
    <v>12.97</v>
    <v>12.91</v>
    <v>13.12</v>
    <v>12.99</v>
    <v>12.71</v>
    <v>11.95</v>
    <v>11.62</v>
    <v>12.22</v>
    <v>12.49</v>
    <v>12.83</v>
    <v>13.9</v>
    <v>14.17</v>
    <v>14.25</v>
    <v>14.6</v>
    <v>14.26</v>
    <v>13.88</v>
    <v>13.51</v>
    <v>13.17</v>
    <v>12.78</v>
    <v>12.45</v>
    <v>12.45</v>
    <v>12.52</v>
    <v>12.66</v>
    <v>12.89</v>
    <v>12.77</v>
    <v>12.69</v>
    <v>12.89</v>
    <v>13.78</v>
    <v>13.37</v>
    <v>12.36</v>
    <v>12.18</v>
    <v>11.41</v>
    <v>10.45</v>
    <v>11.91</v>
    <v>12.27</v>
    <v>10.33</v>
    <v>9.7899999999999991</v>
    <v>9.36</v>
    <v>9.32</v>
    <v>9.2100000000000009</v>
    <v>9.42</v>
    <v>9.31</v>
    <v>9.26</v>
    <v>8.39</v>
    <v>8.4499999999999993</v>
    <v>8.39</v>
    <v>8.6199999999999992</v>
    <v>8.23</v>
    <v>7.89</v>
    <v>7.57</v>
    <v>7.95</v>
    <v>7.91</v>
    <v>7.6</v>
    <v>7.67</v>
    <v>7.93</v>
    <v>7.82</v>
    <v>7.39</v>
    <v>7.22</v>
    <v>7.14</v>
    <v>7.36</v>
    <v>6.91</v>
    <v>7.06</v>
    <v>6.83</v>
    <v>7.08</v>
    <v>6.93</v>
    <v>7.1</v>
    <v>6.79</v>
    <v>6.67</v>
    <v>6.42</v>
    <v>6.9</v>
    <v>6.95</v>
    <v>6.88</v>
    <v>6.84</v>
    <v>6.67</v>
    <v>6.96</v>
    <v>6.95</v>
    <v>6.92</v>
    <v>7.12</v>
    <v>7.29</v>
    <v>7.29</v>
    <v>7.71</v>
    <v>8.16</v>
    <v>8.02</v>
    <v>7.55</v>
    <v>7.45</v>
    <v>7.13</v>
    <v>7.14</v>
    <v>7.03</v>
    <v>6.84</v>
    <v>6.89</v>
    <v>7.09</v>
    <v>7.03</v>
    <v>6.71</v>
    <v>6.72</v>
    <v>7.46</v>
    <v>8.7100000000000009</v>
    <v>7.77</v>
    <v>7.51</v>
    <v>7.98</v>
    <v>7.69</v>
    <v>7.33</v>
    <v>7</v>
    <v>6.92</v>
    <v>6.89</v>
    <v>6.91</v>
    <v>7.1</v>
    <v>6.97</v>
    <v>7.14</v>
    <v>7.43</v>
    <v>7.4</v>
    <v>7.26</v>
    <v>7.17</v>
    <v>6.88</v>
    <v>6.89</v>
    <v>6.94</v>
    <v>6.54</v>
    <v>6.86</v>
    <v>7.31</v>
    <v>6.91</v>
    <v>7.17</v>
    <v>7.08</v>
    <v>7.4</v>
    <v>7.19</v>
    <v>6.84</v>
    <v>7.04</v>
    <v>6.6</v>
    <v>6.31</v>
    <v>6.33</v>
    <v>6.25</v>
    <v>6.36</v>
    <v>6.59</v>
    <v>7.05</v>
    <v>7.24</v>
    <v>7.05</v>
    <v>7.13</v>
    <v>6.94</v>
    <v>6.81</v>
    <v>6.91</v>
    <v>7.01</v>
    <v>6.71</v>
    <v>6.85</v>
    <v>6.85</v>
    <v>6.51</v>
    <v>6.5</v>
    <v>6.33</v>
    <v>6.28</v>
    <v>6.01</v>
    <v>5.93</v>
    <v>5.86</v>
    <v>6.07</v>
    <v>5.98</v>
    <v>5.72</v>
    <v>5.97</v>
    <v>5.95</v>
    <v>6.09</v>
    <v>6.13</v>
    <v>5.87</v>
    <v>5.69</v>
    <v>6.19</v>
    <v>6</v>
    <v>5.81</v>
    <v>6.4</v>
    <v>6.2</v>
    <v>6.23</v>
    <v>6.33</v>
    <v>6.34</v>
    <v>6.73</v>
    <v>6.64</v>
    <v>6.74</v>
    <v>6.49</v>
    <v>6.85</v>
    <v>6.83</v>
    <v>7.07</v>
    <v>6.94</v>
    <v>6.89</v>
    <v>6.9</v>
    <v>7.17</v>
    <v>7.11</v>
    <v>7.29</v>
    <v>7.24</v>
    <v>7.52</v>
    <v>7.28</v>
    <v>7.45</v>
    <v>7.34</v>
    <v>7.31</v>
    <v>7.16</v>
    <v>7.11</v>
    <v>6.95</v>
    <v>6.97</v>
    <v>7.02</v>
    <v>6.94</v>
    <v>6.72</v>
    <v>6.88</v>
    <v>6.7</v>
    <v>6.7</v>
    <v>6.65</v>
    <v>6.95</v>
    <v>6.92</v>
    <v>6.79</v>
    <v>6.8</v>
    <v>6.74</v>
    <v>6.48</v>
    <v>6.28</v>
    <v>6.11</v>
    <v>5.91</v>
    <v>5.79</v>
    <v>6.11</v>
    <v>5.83</v>
    <v>5.76</v>
    <v>5.79</v>
    <v>5.97</v>
    <v>5.91</v>
    <v>5.7</v>
  </a>
  <a r="1" c="208">
    <v>100.18</v>
    <v>101.09</v>
    <v>101.15</v>
    <v>101.83</v>
    <v>99.68</v>
    <v>101.03</v>
    <v>101.36</v>
    <v>101.76</v>
    <v>99.81</v>
    <v>101.95</v>
    <v>101.43</v>
    <v>99.16</v>
    <v>98.37</v>
    <v>98.21</v>
    <v>98.84</v>
    <v>99.02</v>
    <v>98.98</v>
    <v>99.88</v>
    <v>100.22</v>
    <v>96.73</v>
    <v>98.06</v>
    <v>98.9</v>
    <v>96.09</v>
    <v>94.63</v>
    <v>94.22</v>
    <v>96.02</v>
    <v>97.55</v>
    <v>97.73</v>
    <v>97.34</v>
    <v>95.22</v>
    <v>94.85</v>
    <v>94.36</v>
    <v>95.04</v>
    <v>97.17</v>
    <v>96.46</v>
    <v>96.8</v>
    <v>95.59</v>
    <v>96.7</v>
    <v>98.15</v>
    <v>96.74</v>
    <v>95.18</v>
    <v>95.72</v>
    <v>95.28</v>
    <v>96.78</v>
    <v>97.44</v>
    <v>96.53</v>
    <v>96.1</v>
    <v>97.6</v>
    <v>97.74</v>
    <v>96.94</v>
    <v>96.28</v>
    <v>97.05</v>
    <v>96.76</v>
    <v>96.47</v>
    <v>95.14</v>
    <v>94.03</v>
    <v>94.21</v>
    <v>93.96</v>
    <v>94.73</v>
    <v>93.2</v>
    <v>91.05</v>
    <v>90.66</v>
    <v>90.75</v>
    <v>93.66</v>
    <v>93.79</v>
    <v>93.18</v>
    <v>96.69</v>
    <v>96.06</v>
    <v>97.64</v>
    <v>98.09</v>
    <v>99.44</v>
    <v>101.39</v>
    <v>102.89</v>
    <v>104.77</v>
    <v>104.26</v>
    <v>105.15</v>
    <v>106.79</v>
    <v>107.13</v>
    <v>107.99</v>
    <v>107.62</v>
    <v>106.36</v>
    <v>107.39</v>
    <v>106.61</v>
    <v>108.16</v>
    <v>109.91</v>
    <v>111.9</v>
    <v>113.68</v>
    <v>114.6</v>
    <v>116.07</v>
    <v>113.95</v>
    <v>116.29</v>
    <v>119.55</v>
    <v>118.48</v>
    <v>115.94</v>
    <v>115.58</v>
    <v>117.76</v>
    <v>117.85</v>
    <v>120.37</v>
    <v>121.45</v>
    <v>121.54</v>
    <v>120.45</v>
    <v>122.4</v>
    <v>124.26</v>
    <v>127.63</v>
    <v>129.46</v>
    <v>128.78</v>
    <v>126.22</v>
    <v>123.1</v>
    <v>122.82</v>
    <v>118.05</v>
    <v>117.65</v>
    <v>118.3</v>
    <v>121.16</v>
    <v>124.29</v>
    <v>122.69</v>
    <v>123.04</v>
    <v>125.13</v>
    <v>125.74</v>
    <v>126.27</v>
    <v>122.74</v>
    <v>122.92</v>
    <v>121.06</v>
    <v>119.97</v>
    <v>120.53</v>
    <v>124.1</v>
    <v>123.84</v>
    <v>121.03</v>
    <v>121.94</v>
    <v>123.23</v>
    <v>119.34</v>
    <v>119.52</v>
    <v>123.65</v>
    <v>123.59</v>
    <v>123.15</v>
    <v>122.97</v>
    <v>122.01</v>
    <v>120.82</v>
    <v>118.68</v>
    <v>120.17</v>
    <v>122.2</v>
    <v>122.47</v>
    <v>120.62</v>
    <v>120.8</v>
    <v>118.07</v>
    <v>117.39</v>
    <v>115.7</v>
    <v>118.4</v>
    <v>117.13</v>
    <v>119.94</v>
    <v>124.57</v>
    <v>125.49</v>
    <v>125.45</v>
    <v>126.59</v>
    <v>126.03</v>
    <v>125.72</v>
    <v>127</v>
    <v>128.26</v>
    <v>127</v>
    <v>127.77</v>
    <v>124.07</v>
    <v>122.93</v>
    <v>121.99</v>
    <v>122.11</v>
    <v>120.35</v>
    <v>121.15</v>
    <v>121.56</v>
    <v>124.96</v>
    <v>126.37</v>
    <v>124.16</v>
    <v>123.77</v>
    <v>123.89</v>
    <v>124.9</v>
    <v>125.37</v>
    <v>125.9</v>
    <v>125.73</v>
    <v>125.01</v>
    <v>124.33</v>
    <v>126.01</v>
    <v>124.08</v>
    <v>123.49</v>
    <v>124.63</v>
    <v>126.73</v>
    <v>127.15</v>
    <v>130.21</v>
    <v>132.13</v>
    <v>132.19</v>
    <v>131.07</v>
    <v>132.71</v>
    <v>132.19</v>
    <v>133.19999999999999</v>
    <v>134.13</v>
    <v>134.77000000000001</v>
    <v>137.12</v>
    <v>138.34</v>
    <v>139.35</v>
    <v>138.84</v>
    <v>138.47</v>
    <v>137.16999999999999</v>
    <v>136.44</v>
    <v>135.1</v>
    <v>134.63</v>
    <v>130.49</v>
    <v>129.16999999999999</v>
    <v>130.63</v>
    <v>129.1</v>
    <v>130.84</v>
    <v>127.56</v>
    <v>128.41</v>
  </a>
  <a r="1" c="761">
    <v>57.16</v>
    <v>57.54</v>
    <v>57.6</v>
    <v>56.38</v>
    <v>56.62</v>
    <v>56.39</v>
    <v>56.87</v>
    <v>57.92</v>
    <v>58.99</v>
    <v>59.2</v>
    <v>59.48</v>
    <v>60.59</v>
    <v>60.6</v>
    <v>61.19</v>
    <v>61.61</v>
    <v>61.87</v>
    <v>62.11</v>
    <v>62.56</v>
    <v>62.25</v>
    <v>62.34</v>
    <v>62.63</v>
    <v>62.43</v>
    <v>63.14</v>
    <v>63.01</v>
    <v>62.49</v>
    <v>62.61</v>
    <v>62.55</v>
    <v>62.8</v>
    <v>62.72</v>
    <v>63.25</v>
    <v>62.55</v>
    <v>63.35</v>
    <v>63.46</v>
    <v>63.41</v>
    <v>64.23</v>
    <v>64.489999999999995</v>
    <v>64.88</v>
    <v>65.34</v>
    <v>64.61</v>
    <v>65.73</v>
    <v>65.3</v>
    <v>65.31</v>
    <v>65.510000000000005</v>
    <v>64.87</v>
    <v>65.040000000000006</v>
    <v>64.569999999999993</v>
    <v>65.09</v>
    <v>64.64</v>
    <v>63.92</v>
    <v>63.35</v>
    <v>62.93</v>
    <v>62.97</v>
    <v>63.72</v>
    <v>64.55</v>
    <v>64.930000000000007</v>
    <v>64.83</v>
    <v>65.62</v>
    <v>65.77</v>
    <v>66.42</v>
    <v>65.95</v>
    <v>67.34</v>
    <v>68</v>
    <v>69.31</v>
    <v>69.41</v>
    <v>70.36</v>
    <v>71.22</v>
    <v>70.25</v>
    <v>70.22</v>
    <v>70.400000000000006</v>
    <v>69.03</v>
    <v>69.02</v>
    <v>70.58</v>
    <v>71.260000000000005</v>
    <v>71.150000000000006</v>
    <v>71.7</v>
    <v>72.48</v>
    <v>73.150000000000006</v>
    <v>73.67</v>
    <v>72.44</v>
    <v>72.34</v>
    <v>72.28</v>
    <v>72.44</v>
    <v>72</v>
    <v>70.31</v>
    <v>69.77</v>
    <v>72.61</v>
    <v>72.819999999999993</v>
    <v>72.87</v>
    <v>72.63</v>
    <v>72.569999999999993</v>
    <v>72.88</v>
    <v>74.05</v>
    <v>74.540000000000006</v>
    <v>72.94</v>
    <v>73.59</v>
    <v>74.33</v>
    <v>73.91</v>
    <v>72.819999999999993</v>
    <v>74.09</v>
    <v>73.430000000000007</v>
    <v>73.77</v>
    <v>72.760000000000005</v>
    <v>73.540000000000006</v>
    <v>73.400000000000006</v>
    <v>73.819999999999993</v>
    <v>75.459999999999994</v>
    <v>75.38</v>
    <v>75.040000000000006</v>
    <v>75.11</v>
    <v>74.319999999999993</v>
    <v>74.64</v>
    <v>74.06</v>
    <v>74.41</v>
    <v>74.3</v>
    <v>73.38</v>
    <v>73.489999999999995</v>
    <v>72.81</v>
    <v>73.569999999999993</v>
    <v>74.2</v>
    <v>75.02</v>
    <v>74.72</v>
    <v>73.489999999999995</v>
    <v>72.599999999999994</v>
    <v>72.069999999999993</v>
    <v>70.14</v>
    <v>69.459999999999994</v>
    <v>70.84</v>
    <v>71.3</v>
    <v>70.239999999999995</v>
    <v>72.45</v>
    <v>72.180000000000007</v>
    <v>72.06</v>
    <v>70.8</v>
    <v>72.69</v>
    <v>73.39</v>
    <v>73.680000000000007</v>
    <v>73.53</v>
    <v>73.41</v>
    <v>73.599999999999994</v>
    <v>73.84</v>
    <v>73.849999999999994</v>
    <v>75.16</v>
    <v>75.849999999999994</v>
    <v>75.22</v>
    <v>76.02</v>
    <v>76.2</v>
    <v>76.400000000000006</v>
    <v>77.760000000000005</v>
    <v>77.38</v>
    <v>77.88</v>
    <v>78.12</v>
    <v>78.27</v>
    <v>76.95</v>
    <v>74.95</v>
    <v>76.099999999999994</v>
    <v>76.19</v>
    <v>78.36</v>
    <v>78.59</v>
    <v>79.040000000000006</v>
    <v>80.16</v>
    <v>80.61</v>
    <v>82.48</v>
    <v>83.51</v>
    <v>84.23</v>
    <v>84.63</v>
    <v>85.23</v>
    <v>85.97</v>
    <v>85.8</v>
    <v>84.49</v>
    <v>83.13</v>
    <v>83.4</v>
    <v>83.84</v>
    <v>83.85</v>
    <v>84.67</v>
    <v>84.07</v>
    <v>84.51</v>
    <v>85.28</v>
    <v>85.41</v>
    <v>85.91</v>
    <v>86.34</v>
    <v>86.69</v>
    <v>87.15</v>
    <v>85.37</v>
    <v>86.19</v>
    <v>86.47</v>
    <v>85.82</v>
    <v>82.94</v>
    <v>81.459999999999994</v>
    <v>81.73</v>
    <v>82.08</v>
    <v>83.73</v>
    <v>80.83</v>
    <v>79.67</v>
    <v>79.56</v>
    <v>79.489999999999995</v>
    <v>78.489999999999995</v>
    <v>81</v>
    <v>79.94</v>
    <v>75.8</v>
    <v>73.260000000000005</v>
    <v>74.209999999999994</v>
    <v>75.430000000000007</v>
    <v>75.13</v>
    <v>75.680000000000007</v>
    <v>76.5</v>
    <v>78.260000000000005</v>
    <v>78.75</v>
    <v>80.78</v>
    <v>80.760000000000005</v>
    <v>81.180000000000007</v>
    <v>81.180000000000007</v>
    <v>81.150000000000006</v>
    <v>80.489999999999995</v>
    <v>80.06</v>
    <v>80.260000000000005</v>
    <v>79.47</v>
    <v>80.87</v>
    <v>79.95</v>
    <v>80.72</v>
    <v>78.38</v>
    <v>76.63</v>
    <v>76.209999999999994</v>
    <v>74.41</v>
    <v>75.430000000000007</v>
    <v>76.5</v>
    <v>76.73</v>
    <v>79.319999999999993</v>
    <v>79.87</v>
    <v>78.83</v>
    <v>79.209999999999994</v>
    <v>78.7</v>
    <v>80.900000000000006</v>
    <v>80.2</v>
    <v>80.45</v>
    <v>80.31</v>
    <v>81.14</v>
    <v>81.48</v>
    <v>81.19</v>
    <v>81.290000000000006</v>
    <v>80.33</v>
    <v>81.040000000000006</v>
    <v>81.52</v>
    <v>82.1</v>
    <v>82.77</v>
    <v>83.39</v>
    <v>84.49</v>
    <v>84.81</v>
    <v>84.72</v>
    <v>85.88</v>
    <v>84.93</v>
    <v>84.55</v>
    <v>86.02</v>
    <v>85.81</v>
    <v>85.92</v>
    <v>86.6</v>
    <v>86.18</v>
    <v>85.69</v>
    <v>86.76</v>
    <v>86.28</v>
    <v>86.91</v>
    <v>86</v>
    <v>83.04</v>
    <v>83.76</v>
    <v>83.29</v>
    <v>83.8</v>
    <v>86.91</v>
    <v>88.08</v>
    <v>88.69</v>
    <v>88.61</v>
    <v>89.57</v>
    <v>89.71</v>
    <v>89.9</v>
    <v>87.94</v>
    <v>87.94</v>
    <v>87.99</v>
    <v>88.23</v>
    <v>89.86</v>
    <v>90.23</v>
    <v>89.78</v>
    <v>90.1</v>
    <v>87.99</v>
    <v>89.02</v>
    <v>89.62</v>
    <v>91.07</v>
    <v>91.02</v>
    <v>92.58</v>
    <v>92.57</v>
    <v>92.66</v>
    <v>92.1</v>
    <v>91.78</v>
    <v>92.9</v>
    <v>92.57</v>
    <v>92.23</v>
    <v>92.93</v>
    <v>93.09</v>
    <v>93.86</v>
    <v>92.41</v>
    <v>92.57</v>
    <v>93.04</v>
    <v>92.86</v>
    <v>92.45</v>
    <v>93.09</v>
    <v>93.33</v>
    <v>95.03</v>
    <v>93.36</v>
    <v>93.14</v>
    <v>92.92</v>
    <v>91.34</v>
    <v>90.34</v>
    <v>90.31</v>
    <v>92.06</v>
    <v>92.07</v>
    <v>93.04</v>
    <v>92.45</v>
    <v>91.73</v>
    <v>94.24</v>
    <v>94.16</v>
    <v>93.43</v>
    <v>87.74</v>
    <v>90.06</v>
    <v>90.45</v>
    <v>89.71</v>
    <v>91.85</v>
    <v>89.4</v>
    <v>90.11</v>
    <v>90.38</v>
    <v>91.75</v>
    <v>91.73</v>
    <v>93.07</v>
    <v>93.05</v>
    <v>92.02</v>
    <v>93.05</v>
    <v>92.89</v>
    <v>93.77</v>
    <v>94.08</v>
    <v>94.54</v>
    <v>93.55</v>
    <v>93.48</v>
    <v>91.23</v>
    <v>88.56</v>
    <v>90.1</v>
    <v>89.54</v>
    <v>87.14</v>
    <v>86.83</v>
    <v>83.68</v>
    <v>82.11</v>
    <v>82.5</v>
    <v>80.41</v>
    <v>78.91</v>
    <v>77.55</v>
    <v>79.14</v>
    <v>78.150000000000006</v>
    <v>79.62</v>
    <v>79.42</v>
    <v>79.06</v>
    <v>80.13</v>
    <v>80.05</v>
    <v>80.12</v>
    <v>82.16</v>
    <v>82.33</v>
    <v>80.88</v>
    <v>79.959999999999994</v>
    <v>77.69</v>
    <v>76.2</v>
    <v>78.05</v>
    <v>78.3</v>
    <v>72.59</v>
    <v>69.010000000000005</v>
    <v>67.180000000000007</v>
    <v>70.3</v>
    <v>67.03</v>
    <v>70.67</v>
    <v>70.14</v>
    <v>72.11</v>
    <v>72.83</v>
    <v>70.84</v>
    <v>69.14</v>
    <v>68.16</v>
    <v>71.59</v>
    <v>72.91</v>
    <v>73.83</v>
    <v>73.66</v>
    <v>74.55</v>
    <v>74.42</v>
    <v>77.8</v>
    <v>77.53</v>
    <v>76.94</v>
    <v>76.5</v>
    <v>78.83</v>
    <v>78.56</v>
    <v>82.54</v>
    <v>84.51</v>
    <v>85.08</v>
    <v>85.38</v>
    <v>85.32</v>
    <v>84.34</v>
    <v>84.26</v>
    <v>83.82</v>
    <v>83.06</v>
    <v>81.569999999999993</v>
    <v>82.5</v>
    <v>83.3</v>
    <v>83.68</v>
    <v>83.83</v>
    <v>83.05</v>
    <v>82.75</v>
    <v>84.59</v>
    <v>84.74</v>
    <v>85.32</v>
    <v>85.34</v>
    <v>85.47</v>
    <v>85.31</v>
    <v>85.49</v>
    <v>84.91</v>
    <v>84.24</v>
    <v>85.06</v>
    <v>85.13</v>
    <v>85.08</v>
    <v>84.25</v>
    <v>84.58</v>
    <v>84.7</v>
    <v>86.1</v>
    <v>86.87</v>
    <v>86.76</v>
    <v>87.57</v>
    <v>87.37</v>
    <v>86.54</v>
    <v>87.22</v>
    <v>88.86</v>
    <v>88.01</v>
    <v>88.52</v>
    <v>88.64</v>
    <v>89.17</v>
    <v>89.57</v>
    <v>89.41</v>
    <v>89.14</v>
    <v>91.11</v>
    <v>89.73</v>
    <v>91.87</v>
    <v>91.18</v>
    <v>91.33</v>
    <v>89.89</v>
    <v>89.98</v>
    <v>90.48</v>
    <v>91.02</v>
    <v>92.16</v>
    <v>93.15</v>
    <v>93.69</v>
    <v>94.51</v>
    <v>91.03</v>
    <v>92.4</v>
    <v>91.86</v>
    <v>92.3</v>
    <v>93.37</v>
    <v>93.48</v>
    <v>94.42</v>
    <v>94.02</v>
    <v>93.97</v>
    <v>94.14</v>
    <v>93.4</v>
    <v>92.75</v>
    <v>91.1</v>
    <v>91.49</v>
    <v>92.23</v>
    <v>92.55</v>
    <v>92.4</v>
    <v>93.3</v>
    <v>93.52</v>
    <v>92.04</v>
    <v>92.13</v>
    <v>90.59</v>
    <v>91.6</v>
    <v>92.36</v>
    <v>91.7</v>
    <v>93.05</v>
    <v>92.59</v>
    <v>94.68</v>
    <v>94.72</v>
    <v>94.96</v>
    <v>95.05</v>
    <v>94.55</v>
    <v>93.69</v>
    <v>96.04</v>
    <v>96.4</v>
    <v>97.61</v>
    <v>98.01</v>
    <v>97.4</v>
    <v>97.38</v>
    <v>97.17</v>
    <v>97.99</v>
    <v>98.3</v>
    <v>98.88</v>
    <v>100.07</v>
    <v>100.47</v>
    <v>101.03</v>
    <v>100.28</v>
    <v>101.84</v>
    <v>102.55</v>
    <v>99.58</v>
    <v>100.79</v>
    <v>99.22</v>
    <v>100.02</v>
    <v>100.14</v>
    <v>98.71</v>
    <v>101.53</v>
    <v>101.6</v>
    <v>100.2</v>
    <v>101.52</v>
    <v>102.84</v>
    <v>104.43</v>
    <v>105.5</v>
    <v>107.07</v>
    <v>107.23</v>
    <v>106.89</v>
    <v>107.29</v>
    <v>106.05</v>
    <v>105.87</v>
    <v>102.9</v>
    <v>100.07</v>
    <v>103.5</v>
    <v>103.06</v>
    <v>103.47</v>
    <v>101.39</v>
    <v>102.15</v>
    <v>100.92</v>
    <v>99.07</v>
    <v>99.97</v>
    <v>100.64</v>
    <v>97.4</v>
    <v>99.79</v>
    <v>98.83</v>
    <v>100.96</v>
    <v>100.54</v>
    <v>100.94</v>
    <v>100.78</v>
    <v>101.74</v>
    <v>101.47</v>
    <v>101.72</v>
    <v>102.26</v>
    <v>103.1</v>
    <v>103.5</v>
    <v>102.83</v>
    <v>100.75</v>
    <v>99.45</v>
    <v>98.82</v>
    <v>97.88</v>
    <v>96.7</v>
    <v>98.31</v>
    <v>99.34</v>
    <v>100.04</v>
    <v>100.31</v>
    <v>100.49</v>
    <v>100.9</v>
    <v>100.18</v>
    <v>101.09</v>
    <v>101.15</v>
    <v>101.83</v>
    <v>99.68</v>
    <v>101.03</v>
    <v>101.36</v>
    <v>101.76</v>
    <v>99.81</v>
    <v>101.95</v>
    <v>101.43</v>
    <v>99.16</v>
    <v>98.37</v>
    <v>98.21</v>
    <v>98.84</v>
    <v>99.02</v>
    <v>98.98</v>
    <v>99.88</v>
    <v>100.22</v>
    <v>96.73</v>
    <v>98.06</v>
    <v>98.9</v>
    <v>96.09</v>
    <v>94.63</v>
    <v>94.22</v>
    <v>96.02</v>
    <v>97.55</v>
    <v>97.73</v>
    <v>97.34</v>
    <v>95.22</v>
    <v>94.85</v>
    <v>94.36</v>
    <v>95.04</v>
    <v>97.17</v>
    <v>96.46</v>
    <v>96.8</v>
    <v>95.59</v>
    <v>96.7</v>
    <v>98.15</v>
    <v>96.74</v>
    <v>95.18</v>
    <v>95.72</v>
    <v>95.28</v>
    <v>96.78</v>
    <v>97.44</v>
    <v>96.53</v>
    <v>96.1</v>
    <v>97.6</v>
    <v>97.74</v>
    <v>96.94</v>
    <v>96.28</v>
    <v>97.05</v>
    <v>96.76</v>
    <v>96.47</v>
    <v>95.14</v>
    <v>94.03</v>
    <v>94.21</v>
    <v>93.96</v>
    <v>94.73</v>
    <v>93.2</v>
    <v>91.05</v>
    <v>90.66</v>
    <v>90.75</v>
    <v>93.66</v>
    <v>93.79</v>
    <v>93.18</v>
    <v>96.69</v>
    <v>96.06</v>
    <v>97.64</v>
    <v>98.09</v>
    <v>99.44</v>
    <v>101.39</v>
    <v>102.89</v>
    <v>104.77</v>
    <v>104.26</v>
    <v>105.15</v>
    <v>106.79</v>
    <v>107.13</v>
    <v>107.99</v>
    <v>107.62</v>
    <v>106.36</v>
    <v>107.39</v>
    <v>106.61</v>
    <v>108.16</v>
    <v>109.91</v>
    <v>111.9</v>
    <v>113.68</v>
    <v>114.6</v>
    <v>116.07</v>
    <v>113.95</v>
    <v>116.29</v>
    <v>119.55</v>
    <v>118.48</v>
    <v>115.94</v>
    <v>115.58</v>
    <v>117.76</v>
    <v>117.85</v>
    <v>120.37</v>
    <v>121.45</v>
    <v>121.54</v>
    <v>120.45</v>
    <v>122.4</v>
    <v>124.26</v>
    <v>127.63</v>
    <v>129.46</v>
    <v>128.78</v>
    <v>126.22</v>
    <v>123.1</v>
    <v>122.82</v>
    <v>118.05</v>
    <v>117.65</v>
    <v>118.3</v>
    <v>121.16</v>
    <v>124.29</v>
    <v>122.69</v>
    <v>123.04</v>
    <v>125.13</v>
    <v>125.74</v>
    <v>126.27</v>
    <v>122.74</v>
    <v>122.92</v>
    <v>121.06</v>
    <v>119.97</v>
    <v>120.53</v>
    <v>124.1</v>
    <v>123.84</v>
    <v>121.03</v>
    <v>121.94</v>
    <v>123.23</v>
    <v>119.34</v>
    <v>119.52</v>
    <v>123.65</v>
    <v>123.59</v>
    <v>123.15</v>
    <v>122.97</v>
    <v>122.01</v>
    <v>120.82</v>
    <v>118.68</v>
    <v>120.17</v>
    <v>122.2</v>
    <v>122.47</v>
    <v>120.62</v>
    <v>120.8</v>
    <v>118.07</v>
    <v>117.39</v>
    <v>115.7</v>
    <v>118.4</v>
    <v>117.13</v>
    <v>119.94</v>
    <v>124.57</v>
    <v>125.49</v>
    <v>125.45</v>
    <v>126.59</v>
    <v>126.03</v>
    <v>125.72</v>
    <v>127</v>
    <v>128.26</v>
    <v>127</v>
    <v>127.77</v>
    <v>124.07</v>
    <v>122.93</v>
    <v>121.99</v>
    <v>122.11</v>
    <v>120.35</v>
    <v>121.15</v>
    <v>121.56</v>
    <v>124.96</v>
    <v>126.37</v>
    <v>124.16</v>
    <v>123.77</v>
    <v>123.89</v>
    <v>124.9</v>
    <v>125.37</v>
    <v>125.9</v>
    <v>125.73</v>
    <v>125.01</v>
    <v>124.33</v>
    <v>126.01</v>
    <v>124.08</v>
    <v>123.49</v>
    <v>124.63</v>
    <v>126.73</v>
    <v>127.15</v>
    <v>130.21</v>
    <v>132.13</v>
    <v>132.19</v>
    <v>131.07</v>
    <v>132.71</v>
    <v>132.19</v>
    <v>133.19999999999999</v>
    <v>134.13</v>
    <v>134.77000000000001</v>
    <v>137.12</v>
    <v>138.34</v>
    <v>139.35</v>
    <v>138.84</v>
    <v>138.47</v>
    <v>137.16999999999999</v>
    <v>136.44</v>
    <v>135.1</v>
    <v>134.63</v>
    <v>130.49</v>
    <v>129.16999999999999</v>
    <v>130.63</v>
    <v>129.1</v>
    <v>130.84</v>
    <v>127.56</v>
    <v>128.41</v>
  </a>
  <a r="1" c="254">
    <v>101.52</v>
    <v>102.84</v>
    <v>104.43</v>
    <v>105.5</v>
    <v>107.07</v>
    <v>107.23</v>
    <v>106.89</v>
    <v>107.29</v>
    <v>106.05</v>
    <v>105.87</v>
    <v>102.9</v>
    <v>100.07</v>
    <v>103.5</v>
    <v>103.06</v>
    <v>103.47</v>
    <v>101.39</v>
    <v>102.15</v>
    <v>100.92</v>
    <v>99.07</v>
    <v>99.97</v>
    <v>100.64</v>
    <v>97.4</v>
    <v>99.79</v>
    <v>98.83</v>
    <v>100.96</v>
    <v>100.54</v>
    <v>100.94</v>
    <v>100.78</v>
    <v>101.74</v>
    <v>101.47</v>
    <v>101.72</v>
    <v>102.26</v>
    <v>103.1</v>
    <v>103.5</v>
    <v>102.83</v>
    <v>100.75</v>
    <v>99.45</v>
    <v>98.82</v>
    <v>97.88</v>
    <v>96.7</v>
    <v>98.31</v>
    <v>99.34</v>
    <v>100.04</v>
    <v>100.31</v>
    <v>100.49</v>
    <v>100.9</v>
    <v>100.18</v>
    <v>101.09</v>
    <v>101.15</v>
    <v>101.83</v>
    <v>99.68</v>
    <v>101.03</v>
    <v>101.36</v>
    <v>101.76</v>
    <v>99.81</v>
    <v>101.95</v>
    <v>101.43</v>
    <v>99.16</v>
    <v>98.37</v>
    <v>98.21</v>
    <v>98.84</v>
    <v>99.02</v>
    <v>98.98</v>
    <v>99.88</v>
    <v>100.22</v>
    <v>96.73</v>
    <v>98.06</v>
    <v>98.9</v>
    <v>96.09</v>
    <v>94.63</v>
    <v>94.22</v>
    <v>96.02</v>
    <v>97.55</v>
    <v>97.73</v>
    <v>97.34</v>
    <v>95.22</v>
    <v>94.85</v>
    <v>94.36</v>
    <v>95.04</v>
    <v>97.17</v>
    <v>96.46</v>
    <v>96.8</v>
    <v>95.59</v>
    <v>96.7</v>
    <v>98.15</v>
    <v>96.74</v>
    <v>95.18</v>
    <v>95.72</v>
    <v>95.28</v>
    <v>96.78</v>
    <v>97.44</v>
    <v>96.53</v>
    <v>96.1</v>
    <v>97.6</v>
    <v>97.74</v>
    <v>96.94</v>
    <v>96.28</v>
    <v>97.05</v>
    <v>96.76</v>
    <v>96.47</v>
    <v>95.14</v>
    <v>94.03</v>
    <v>94.21</v>
    <v>93.96</v>
    <v>94.73</v>
    <v>93.2</v>
    <v>91.05</v>
    <v>90.66</v>
    <v>90.75</v>
    <v>93.66</v>
    <v>93.79</v>
    <v>93.18</v>
    <v>96.69</v>
    <v>96.06</v>
    <v>97.64</v>
    <v>98.09</v>
    <v>99.44</v>
    <v>101.39</v>
    <v>102.89</v>
    <v>104.77</v>
    <v>104.26</v>
    <v>105.15</v>
    <v>106.79</v>
    <v>107.13</v>
    <v>107.99</v>
    <v>107.62</v>
    <v>106.36</v>
    <v>107.39</v>
    <v>106.61</v>
    <v>108.16</v>
    <v>109.91</v>
    <v>111.9</v>
    <v>113.68</v>
    <v>114.6</v>
    <v>116.07</v>
    <v>113.95</v>
    <v>116.29</v>
    <v>119.55</v>
    <v>118.48</v>
    <v>115.94</v>
    <v>115.58</v>
    <v>117.76</v>
    <v>117.85</v>
    <v>120.37</v>
    <v>121.45</v>
    <v>121.54</v>
    <v>120.45</v>
    <v>122.4</v>
    <v>124.26</v>
    <v>127.63</v>
    <v>129.46</v>
    <v>128.78</v>
    <v>126.22</v>
    <v>123.1</v>
    <v>122.82</v>
    <v>118.05</v>
    <v>117.65</v>
    <v>118.3</v>
    <v>121.16</v>
    <v>124.29</v>
    <v>122.69</v>
    <v>123.04</v>
    <v>125.13</v>
    <v>125.74</v>
    <v>126.27</v>
    <v>122.74</v>
    <v>122.92</v>
    <v>121.06</v>
    <v>119.97</v>
    <v>120.53</v>
    <v>124.1</v>
    <v>123.84</v>
    <v>121.03</v>
    <v>121.94</v>
    <v>123.23</v>
    <v>119.34</v>
    <v>119.52</v>
    <v>123.65</v>
    <v>123.59</v>
    <v>123.15</v>
    <v>122.97</v>
    <v>122.01</v>
    <v>120.82</v>
    <v>118.68</v>
    <v>120.17</v>
    <v>122.2</v>
    <v>122.47</v>
    <v>120.62</v>
    <v>120.8</v>
    <v>118.07</v>
    <v>117.39</v>
    <v>115.7</v>
    <v>118.4</v>
    <v>117.13</v>
    <v>119.94</v>
    <v>124.57</v>
    <v>125.49</v>
    <v>125.45</v>
    <v>126.59</v>
    <v>126.03</v>
    <v>125.72</v>
    <v>127</v>
    <v>128.26</v>
    <v>127</v>
    <v>127.77</v>
    <v>124.07</v>
    <v>122.93</v>
    <v>121.99</v>
    <v>122.11</v>
    <v>120.35</v>
    <v>121.15</v>
    <v>121.56</v>
    <v>124.96</v>
    <v>126.37</v>
    <v>124.16</v>
    <v>123.77</v>
    <v>123.89</v>
    <v>124.9</v>
    <v>125.37</v>
    <v>125.9</v>
    <v>125.73</v>
    <v>125.01</v>
    <v>124.33</v>
    <v>126.01</v>
    <v>124.08</v>
    <v>123.49</v>
    <v>124.63</v>
    <v>126.73</v>
    <v>127.15</v>
    <v>130.21</v>
    <v>132.13</v>
    <v>132.19</v>
    <v>131.07</v>
    <v>132.71</v>
    <v>132.19</v>
    <v>133.19999999999999</v>
    <v>134.13</v>
    <v>134.77000000000001</v>
    <v>137.12</v>
    <v>138.34</v>
    <v>139.35</v>
    <v>138.84</v>
    <v>138.47</v>
    <v>137.16999999999999</v>
    <v>136.44</v>
    <v>135.1</v>
    <v>134.63</v>
    <v>130.49</v>
    <v>129.16999999999999</v>
    <v>130.63</v>
    <v>129.1</v>
    <v>130.84</v>
    <v>127.56</v>
    <v>128.41</v>
  </a>
  <a r="1" c="254">
    <v>57.27</v>
    <v>57.35</v>
    <v>57.32</v>
    <v>57.33</v>
    <v>57.41</v>
    <v>57.46</v>
    <v>57.62</v>
    <v>57.7</v>
    <v>57.89</v>
    <v>57.87</v>
    <v>57.72</v>
    <v>57.59</v>
    <v>57.7</v>
    <v>57.76</v>
    <v>57.86</v>
    <v>57.77</v>
    <v>57.81</v>
    <v>57.78</v>
    <v>57.8</v>
    <v>58.14</v>
    <v>57.85</v>
    <v>57.66</v>
    <v>57.72</v>
    <v>57.61</v>
    <v>57.51</v>
    <v>57.56</v>
    <v>57.66</v>
    <v>57.52</v>
    <v>57.6</v>
    <v>57.57</v>
    <v>57.65</v>
    <v>57.67</v>
    <v>57.48</v>
    <v>57.23</v>
    <v>57.16</v>
    <v>56.91</v>
    <v>56.87</v>
    <v>56.9</v>
    <v>56.83</v>
    <v>56.89</v>
    <v>56.67</v>
    <v>56.94</v>
    <v>56.76</v>
    <v>56.65</v>
    <v>56.7</v>
    <v>56.92</v>
    <v>57.15</v>
    <v>57.42</v>
    <v>57.64</v>
    <v>57.76</v>
    <v>57.74</v>
    <v>57.91</v>
    <v>57.91</v>
    <v>57.97</v>
    <v>57.95</v>
    <v>57.91</v>
    <v>57.84</v>
    <v>57.73</v>
    <v>57.37</v>
    <v>57.45</v>
    <v>57.56</v>
    <v>57.73</v>
    <v>57.22</v>
    <v>57.14</v>
    <v>57.38</v>
    <v>57.25</v>
    <v>57.49</v>
    <v>57.91</v>
    <v>58.15</v>
    <v>58.07</v>
    <v>57.9</v>
    <v>58.08</v>
    <v>57.9</v>
    <v>57.88</v>
    <v>58.06</v>
    <v>58.12</v>
    <v>58.11</v>
    <v>58.13</v>
    <v>58.3</v>
    <v>58.4</v>
    <v>57.97</v>
    <v>58.04</v>
    <v>58.18</v>
    <v>58.34</v>
    <v>58.36</v>
    <v>58.35</v>
    <v>58.32</v>
    <v>58.26</v>
    <v>57.97</v>
    <v>58.01</v>
    <v>57.98</v>
    <v>57.51</v>
    <v>57.28</v>
    <v>58.02</v>
    <v>58.1</v>
    <v>57.77</v>
    <v>57.7</v>
    <v>57.58</v>
    <v>57.71</v>
    <v>57.54</v>
    <v>56.78</v>
    <v>56.45</v>
    <v>56.5</v>
    <v>56.3</v>
    <v>56.47</v>
    <v>56.57</v>
    <v>56.25</v>
    <v>56.45</v>
    <v>56.46</v>
    <v>56.59</v>
    <v>57.27</v>
    <v>56.87</v>
    <v>57.61</v>
    <v>57.4</v>
    <v>57.54</v>
    <v>57.41</v>
    <v>57.42</v>
    <v>57.39</v>
    <v>57.19</v>
    <v>57.53</v>
    <v>57.31</v>
    <v>57.36</v>
    <v>57.47</v>
    <v>57.47</v>
    <v>57.15</v>
    <v>57.15</v>
    <v>56.97</v>
    <v>56.74</v>
    <v>56.61</v>
    <v>56.79</v>
    <v>56.86</v>
    <v>57.02</v>
    <v>57.13</v>
    <v>57.1</v>
    <v>56.95</v>
    <v>56.81</v>
    <v>56.95</v>
    <v>56.93</v>
    <v>56.76</v>
    <v>56.57</v>
    <v>56.54</v>
    <v>56.91</v>
    <v>56.51</v>
    <v>56.7</v>
    <v>56.77</v>
    <v>56.7</v>
    <v>56.67</v>
    <v>56.53</v>
    <v>56.71</v>
    <v>56.89</v>
    <v>56.83</v>
    <v>56.79</v>
    <v>56.76</v>
    <v>56.63</v>
    <v>56.55</v>
    <v>56.67</v>
    <v>56.56</v>
    <v>56.91</v>
    <v>57.36</v>
    <v>57.65</v>
    <v>57.41</v>
    <v>57.38</v>
    <v>57.63</v>
    <v>57.6</v>
    <v>57.68</v>
    <v>57.7</v>
    <v>57.97</v>
    <v>58.04</v>
    <v>58.11</v>
    <v>58.06</v>
    <v>58.04</v>
    <v>58.07</v>
    <v>58.07</v>
    <v>58.02</v>
    <v>58.22</v>
    <v>58.14</v>
    <v>57.75</v>
    <v>57.96</v>
    <v>58.17</v>
    <v>58.14</v>
    <v>58.13</v>
    <v>58.07</v>
    <v>57.73</v>
    <v>57.56</v>
    <v>57.66</v>
    <v>57.71</v>
    <v>57.71</v>
    <v>57.37</v>
    <v>57.5</v>
    <v>57.65</v>
    <v>57.81</v>
    <v>57.63</v>
    <v>57.5</v>
    <v>57.52</v>
    <v>57.62</v>
    <v>57.84</v>
    <v>57.77</v>
    <v>58.08</v>
    <v>57.91</v>
    <v>57.92</v>
    <v>57.82</v>
    <v>57.78</v>
    <v>57.84</v>
    <v>57.67</v>
    <v>57.53</v>
    <v>57.5</v>
    <v>57.42</v>
    <v>56.88</v>
    <v>56.98</v>
    <v>57.16</v>
    <v>57.3</v>
    <v>57.45</v>
    <v>57.28</v>
    <v>57.12</v>
    <v>57.07</v>
    <v>57.2</v>
    <v>57.39</v>
    <v>57.5</v>
    <v>57.54</v>
    <v>57.4</v>
    <v>57.69</v>
    <v>57.55</v>
    <v>57.28</v>
    <v>57.32</v>
    <v>57.19</v>
    <v>57.17</v>
    <v>57.35</v>
    <v>57.21</v>
    <v>57.18</v>
    <v>57.39</v>
    <v>57.49</v>
    <v>57.86</v>
    <v>57.2</v>
    <v>57.11</v>
    <v>56.98</v>
    <v>57.15</v>
    <v>57.32</v>
    <v>57.59</v>
    <v>57.58</v>
    <v>58</v>
    <v>58.39</v>
    <v>58.61</v>
    <v>58.47</v>
    <v>58.82</v>
    <v>59</v>
    <v>59.08</v>
    <v>58.84</v>
    <v>58.48</v>
    <v>58.07</v>
    <v>58.27</v>
    <v>58.36</v>
    <v>58.35</v>
    <v>58.34</v>
    <v>58.29</v>
  </a>
  <a r="1" c="761">
    <v>58.72</v>
    <v>59</v>
    <v>58.88</v>
    <v>59.1</v>
    <v>59.37</v>
    <v>59.1</v>
    <v>59.3</v>
    <v>59.69</v>
    <v>59.95</v>
    <v>59.89</v>
    <v>59.97</v>
    <v>60.19</v>
    <v>60.1</v>
    <v>60.1</v>
    <v>59.98</v>
    <v>59.93</v>
    <v>59.99</v>
    <v>60.09</v>
    <v>59.8</v>
    <v>59.93</v>
    <v>59.8</v>
    <v>59.75</v>
    <v>59.83</v>
    <v>59.76</v>
    <v>59.69</v>
    <v>59.68</v>
    <v>59.61</v>
    <v>59.92</v>
    <v>59.88</v>
    <v>60.43</v>
    <v>60.38</v>
    <v>60.34</v>
    <v>60.67</v>
    <v>60.82</v>
    <v>60.84</v>
    <v>60.93</v>
    <v>60.67</v>
    <v>60.5</v>
    <v>60.61</v>
    <v>60.76</v>
    <v>60.68</v>
    <v>60.7</v>
    <v>60.72</v>
    <v>60.55</v>
    <v>60.42</v>
    <v>60.17</v>
    <v>60.31</v>
    <v>60.5</v>
    <v>60.46</v>
    <v>60.65</v>
    <v>60.5</v>
    <v>60.65</v>
    <v>60.63</v>
    <v>60.6</v>
    <v>60.46</v>
    <v>60.63</v>
    <v>60.92</v>
    <v>61.01</v>
    <v>60.8</v>
    <v>60.62</v>
    <v>60.55</v>
    <v>60.52</v>
    <v>60.45</v>
    <v>60.42</v>
    <v>60.51</v>
    <v>60.83</v>
    <v>60.77</v>
    <v>61.01</v>
    <v>60.84</v>
    <v>61.06</v>
    <v>61.21</v>
    <v>61.2</v>
    <v>61.21</v>
    <v>61.41</v>
    <v>61.4</v>
    <v>61.29</v>
    <v>61.21</v>
    <v>61.29</v>
    <v>61.31</v>
    <v>61.3</v>
    <v>60.89</v>
    <v>61.02</v>
    <v>61.03</v>
    <v>60.88</v>
    <v>61.13</v>
    <v>61.05</v>
    <v>60.68</v>
    <v>60.57</v>
    <v>60.73</v>
    <v>60.8</v>
    <v>61</v>
    <v>61</v>
    <v>60.91</v>
    <v>60.89</v>
    <v>60.77</v>
    <v>60.71</v>
    <v>60.79</v>
    <v>60.78</v>
    <v>60.75</v>
    <v>60.77</v>
    <v>60.88</v>
    <v>60.81</v>
    <v>60.81</v>
    <v>61.03</v>
    <v>61.13</v>
    <v>60.98</v>
    <v>60.9</v>
    <v>60.63</v>
    <v>60.7</v>
    <v>60.87</v>
    <v>60.96</v>
    <v>60.9</v>
    <v>60.62</v>
    <v>60.81</v>
    <v>60.82</v>
    <v>60.75</v>
    <v>60.92</v>
    <v>61</v>
    <v>61.11</v>
    <v>61.12</v>
    <v>60.9</v>
    <v>60.25</v>
    <v>60.39</v>
    <v>59.88</v>
    <v>59.82</v>
    <v>60</v>
    <v>60.11</v>
    <v>59.86</v>
    <v>59.53</v>
    <v>59.82</v>
    <v>59.86</v>
    <v>59.47</v>
    <v>59.93</v>
    <v>60.05</v>
    <v>59.97</v>
    <v>60.07</v>
    <v>60.09</v>
    <v>60.04</v>
    <v>59.81</v>
    <v>59.74</v>
    <v>59.7</v>
    <v>59.97</v>
    <v>59.89</v>
    <v>59.95</v>
    <v>60.06</v>
    <v>60.08</v>
    <v>59.96</v>
    <v>59.85</v>
    <v>59.75</v>
    <v>59.63</v>
    <v>59.62</v>
    <v>59.58</v>
    <v>59.34</v>
    <v>59.12</v>
    <v>59.09</v>
    <v>58.8</v>
    <v>58.8</v>
    <v>58.99</v>
    <v>58.94</v>
    <v>58.64</v>
    <v>58.8</v>
    <v>58.31</v>
    <v>58.58</v>
    <v>58.92</v>
    <v>58.82</v>
    <v>58.82</v>
    <v>58.9</v>
    <v>58.48</v>
    <v>58.94</v>
    <v>58.95</v>
    <v>59</v>
    <v>58.9</v>
    <v>58.61</v>
    <v>58.63</v>
    <v>58.29</v>
    <v>58.21</v>
    <v>58.32</v>
    <v>58.53</v>
    <v>58.32</v>
    <v>58.41</v>
    <v>58.89</v>
    <v>59.12</v>
    <v>59.11</v>
    <v>58.99</v>
    <v>58.85</v>
    <v>59.23</v>
    <v>58.98</v>
    <v>58.51</v>
    <v>58.4</v>
    <v>58.45</v>
    <v>58.63</v>
    <v>58.38</v>
    <v>58.33</v>
    <v>58.32</v>
    <v>58.49</v>
    <v>58.5</v>
    <v>58.67</v>
    <v>59.05</v>
    <v>58.47</v>
    <v>58.01</v>
    <v>58.05</v>
    <v>58.2</v>
    <v>58.52</v>
    <v>58.91</v>
    <v>58.96</v>
    <v>59.07</v>
    <v>59.11</v>
    <v>58.94</v>
    <v>58.86</v>
    <v>58.55</v>
    <v>58.6</v>
    <v>58.23</v>
    <v>58.42</v>
    <v>58.48</v>
    <v>58.39</v>
    <v>58.33</v>
    <v>58.44</v>
    <v>58.36</v>
    <v>58.33</v>
    <v>58.4</v>
    <v>58.49</v>
    <v>58.6</v>
    <v>58.53</v>
    <v>58.55</v>
    <v>58.71</v>
    <v>58.72</v>
    <v>58.89</v>
    <v>59.17</v>
    <v>59.27</v>
    <v>59.3</v>
    <v>59.53</v>
    <v>59.32</v>
    <v>59.28</v>
    <v>59.19</v>
    <v>59.35</v>
    <v>59.21</v>
    <v>59.34</v>
    <v>59.31</v>
    <v>59.31</v>
    <v>59.48</v>
    <v>59.44</v>
    <v>59.25</v>
    <v>59.5</v>
    <v>59.31</v>
    <v>59.23</v>
    <v>59.31</v>
    <v>59.35</v>
    <v>59.35</v>
    <v>59.45</v>
    <v>59.4</v>
    <v>59.37</v>
    <v>59.24</v>
    <v>59.12</v>
    <v>59.04</v>
    <v>58.96</v>
    <v>58.84</v>
    <v>58.93</v>
    <v>58.82</v>
    <v>58.57</v>
    <v>58.54</v>
    <v>58.25</v>
    <v>58.2</v>
    <v>58.18</v>
    <v>58.11</v>
    <v>58.07</v>
    <v>58.5</v>
    <v>58.88</v>
    <v>58.99</v>
    <v>59.07</v>
    <v>59.01</v>
    <v>59.06</v>
    <v>59.15</v>
    <v>59.36</v>
    <v>59.39</v>
    <v>59.33</v>
    <v>59.65</v>
    <v>59.49</v>
    <v>59.82</v>
    <v>59.59</v>
    <v>59.51</v>
    <v>59.1</v>
    <v>59.09</v>
    <v>59.13</v>
    <v>59.09</v>
    <v>58.93</v>
    <v>59.12</v>
    <v>59.19</v>
    <v>59.03</v>
    <v>58.94</v>
    <v>59.29</v>
    <v>59.48</v>
    <v>59.41</v>
    <v>59.17</v>
    <v>59.14</v>
    <v>58.76</v>
    <v>58.97</v>
    <v>58.63</v>
    <v>58.97</v>
    <v>58.72</v>
    <v>58.54</v>
    <v>58.67</v>
    <v>59.27</v>
    <v>59.16</v>
    <v>59</v>
    <v>59.15</v>
    <v>59.28</v>
    <v>59.37</v>
    <v>59.38</v>
    <v>59.26</v>
    <v>59.08</v>
    <v>59.42</v>
    <v>58.93</v>
    <v>59.04</v>
    <v>58.77</v>
    <v>58.77</v>
    <v>59.12</v>
    <v>59.18</v>
    <v>59.11</v>
    <v>58.86</v>
    <v>59.24</v>
    <v>59.37</v>
    <v>59.46</v>
    <v>59.51</v>
    <v>59.67</v>
    <v>59.84</v>
    <v>59.59</v>
    <v>60.05</v>
    <v>60.23</v>
    <v>60.31</v>
    <v>60.08</v>
    <v>60.05</v>
    <v>59.77</v>
    <v>59.88</v>
    <v>60.02</v>
    <v>60.12</v>
    <v>60.09</v>
    <v>59.7</v>
    <v>59.83</v>
    <v>59.67</v>
    <v>59.36</v>
    <v>59.42</v>
    <v>59.73</v>
    <v>59.47</v>
    <v>59.21</v>
    <v>58.97</v>
    <v>58.29</v>
    <v>57.97</v>
    <v>57.84</v>
    <v>57.76</v>
    <v>57.3</v>
    <v>57.29</v>
    <v>57.67</v>
    <v>57.92</v>
    <v>57.85</v>
    <v>57.86</v>
    <v>58.06</v>
    <v>57.84</v>
    <v>57.8</v>
    <v>57.96</v>
    <v>58.05</v>
    <v>58.02</v>
    <v>57.92</v>
    <v>57.61</v>
    <v>57.71</v>
    <v>57.87</v>
    <v>57.62</v>
    <v>57.13</v>
    <v>56.7</v>
    <v>56.18</v>
    <v>56.11</v>
    <v>55.05</v>
    <v>55.37</v>
    <v>54.81</v>
    <v>55.15</v>
    <v>55.27</v>
    <v>54.98</v>
    <v>55.15</v>
    <v>54.98</v>
    <v>55.64</v>
    <v>55.82</v>
    <v>55.89</v>
    <v>55.95</v>
    <v>56.06</v>
    <v>56.43</v>
    <v>56.62</v>
    <v>56.7</v>
    <v>56.47</v>
    <v>56.4</v>
    <v>56.91</v>
    <v>57</v>
    <v>57.4</v>
    <v>57.39</v>
    <v>57.18</v>
    <v>57.05</v>
    <v>57.08</v>
    <v>56.79</v>
    <v>56.95</v>
    <v>56.58</v>
    <v>56.7</v>
    <v>56.91</v>
    <v>56.7</v>
    <v>56.8</v>
    <v>56.85</v>
    <v>56.85</v>
    <v>56.65</v>
    <v>56.41</v>
    <v>56.69</v>
    <v>56.73</v>
    <v>56.74</v>
    <v>56.82</v>
    <v>56.84</v>
    <v>56.92</v>
    <v>56.73</v>
    <v>56.47</v>
    <v>56.36</v>
    <v>56.33</v>
    <v>56.56</v>
    <v>56.49</v>
    <v>56.5</v>
    <v>56.15</v>
    <v>56.04</v>
    <v>56.05</v>
    <v>56.07</v>
    <v>55.9</v>
    <v>56.03</v>
    <v>55.93</v>
    <v>56</v>
    <v>55.96</v>
    <v>56.28</v>
    <v>56.26</v>
    <v>56.13</v>
    <v>56.16</v>
    <v>56.17</v>
    <v>56.28</v>
    <v>56.11</v>
    <v>55.97</v>
    <v>56.32</v>
    <v>56.12</v>
    <v>56.21</v>
    <v>56.12</v>
    <v>55.91</v>
    <v>55.91</v>
    <v>55.79</v>
    <v>55.67</v>
    <v>55.82</v>
    <v>56.1</v>
    <v>56.25</v>
    <v>56.42</v>
    <v>56.58</v>
    <v>56.37</v>
    <v>56.56</v>
    <v>56.55</v>
    <v>56.39</v>
    <v>56.5</v>
    <v>56.49</v>
    <v>56.68</v>
    <v>56.55</v>
    <v>56.6</v>
    <v>56.72</v>
    <v>56.6</v>
    <v>56.42</v>
    <v>56.6</v>
    <v>56.29</v>
    <v>56.43</v>
    <v>56.35</v>
    <v>56.38</v>
    <v>56.55</v>
    <v>56.48</v>
    <v>56.14</v>
    <v>56.28</v>
    <v>56.33</v>
    <v>56.26</v>
    <v>56.43</v>
    <v>56.27</v>
    <v>56.36</v>
    <v>56.37</v>
    <v>56.52</v>
    <v>56.6</v>
    <v>56.69</v>
    <v>56.81</v>
    <v>56.45</v>
    <v>56.51</v>
    <v>56.61</v>
    <v>56.87</v>
    <v>56.62</v>
    <v>56.53</v>
    <v>56.54</v>
    <v>56.58</v>
    <v>56.64</v>
    <v>56.56</v>
    <v>56.62</v>
    <v>56.73</v>
    <v>56.59</v>
    <v>56.64</v>
    <v>56.85</v>
    <v>57.07</v>
    <v>57.26</v>
    <v>57.47</v>
    <v>57.1</v>
    <v>57.4</v>
    <v>57</v>
    <v>57.11</v>
    <v>56.97</v>
    <v>56.99</v>
    <v>57.2</v>
    <v>57.37</v>
    <v>57.34</v>
    <v>57.27</v>
    <v>57.35</v>
    <v>57.32</v>
    <v>57.33</v>
    <v>57.41</v>
    <v>57.46</v>
    <v>57.62</v>
    <v>57.7</v>
    <v>57.89</v>
    <v>57.87</v>
    <v>57.72</v>
    <v>57.59</v>
    <v>57.7</v>
    <v>57.76</v>
    <v>57.86</v>
    <v>57.77</v>
    <v>57.81</v>
    <v>57.78</v>
    <v>57.8</v>
    <v>58.14</v>
    <v>57.85</v>
    <v>57.66</v>
    <v>57.72</v>
    <v>57.61</v>
    <v>57.51</v>
    <v>57.56</v>
    <v>57.66</v>
    <v>57.52</v>
    <v>57.6</v>
    <v>57.57</v>
    <v>57.65</v>
    <v>57.67</v>
    <v>57.48</v>
    <v>57.23</v>
    <v>57.16</v>
    <v>56.91</v>
    <v>56.87</v>
    <v>56.9</v>
    <v>56.83</v>
    <v>56.89</v>
    <v>56.67</v>
    <v>56.94</v>
    <v>56.76</v>
    <v>56.65</v>
    <v>56.7</v>
    <v>56.92</v>
    <v>57.15</v>
    <v>57.42</v>
    <v>57.64</v>
    <v>57.76</v>
    <v>57.74</v>
    <v>57.91</v>
    <v>57.91</v>
    <v>57.97</v>
    <v>57.95</v>
    <v>57.91</v>
    <v>57.84</v>
    <v>57.73</v>
    <v>57.37</v>
    <v>57.45</v>
    <v>57.56</v>
    <v>57.73</v>
    <v>57.22</v>
    <v>57.14</v>
    <v>57.38</v>
    <v>57.25</v>
    <v>57.49</v>
    <v>57.91</v>
    <v>58.15</v>
    <v>58.07</v>
    <v>57.9</v>
    <v>58.08</v>
    <v>57.9</v>
    <v>57.88</v>
    <v>58.06</v>
    <v>58.12</v>
    <v>58.11</v>
    <v>58.13</v>
    <v>58.3</v>
    <v>58.4</v>
    <v>57.97</v>
    <v>58.04</v>
    <v>58.18</v>
    <v>58.34</v>
    <v>58.36</v>
    <v>58.35</v>
    <v>58.32</v>
    <v>58.26</v>
    <v>57.97</v>
    <v>58.01</v>
    <v>57.98</v>
    <v>57.51</v>
    <v>57.28</v>
    <v>58.02</v>
    <v>58.1</v>
    <v>57.77</v>
    <v>57.7</v>
    <v>57.58</v>
    <v>57.71</v>
    <v>57.54</v>
    <v>56.78</v>
    <v>56.45</v>
    <v>56.5</v>
    <v>56.3</v>
    <v>56.47</v>
    <v>56.57</v>
    <v>56.25</v>
    <v>56.45</v>
    <v>56.46</v>
    <v>56.59</v>
    <v>57.27</v>
    <v>56.87</v>
    <v>57.61</v>
    <v>57.4</v>
    <v>57.54</v>
    <v>57.41</v>
    <v>57.42</v>
    <v>57.39</v>
    <v>57.19</v>
    <v>57.53</v>
    <v>57.31</v>
    <v>57.36</v>
    <v>57.47</v>
    <v>57.47</v>
    <v>57.15</v>
    <v>57.15</v>
    <v>56.97</v>
    <v>56.74</v>
    <v>56.61</v>
    <v>56.79</v>
    <v>56.86</v>
    <v>57.02</v>
    <v>57.13</v>
    <v>57.1</v>
    <v>56.95</v>
    <v>56.81</v>
    <v>56.95</v>
    <v>56.93</v>
    <v>56.76</v>
    <v>56.57</v>
    <v>56.54</v>
    <v>56.91</v>
    <v>56.51</v>
    <v>56.7</v>
    <v>56.77</v>
    <v>56.7</v>
    <v>56.67</v>
    <v>56.53</v>
    <v>56.71</v>
    <v>56.89</v>
    <v>56.83</v>
    <v>56.79</v>
    <v>56.76</v>
    <v>56.63</v>
    <v>56.55</v>
    <v>56.67</v>
    <v>56.56</v>
    <v>56.91</v>
    <v>57.36</v>
    <v>57.65</v>
    <v>57.41</v>
    <v>57.38</v>
    <v>57.63</v>
    <v>57.6</v>
    <v>57.68</v>
    <v>57.7</v>
    <v>57.97</v>
    <v>58.04</v>
    <v>58.11</v>
    <v>58.06</v>
    <v>58.04</v>
    <v>58.07</v>
    <v>58.07</v>
    <v>58.02</v>
    <v>58.22</v>
    <v>58.14</v>
    <v>57.75</v>
    <v>57.96</v>
    <v>58.17</v>
    <v>58.14</v>
    <v>58.13</v>
    <v>58.07</v>
    <v>57.73</v>
    <v>57.56</v>
    <v>57.66</v>
    <v>57.71</v>
    <v>57.71</v>
    <v>57.37</v>
    <v>57.5</v>
    <v>57.65</v>
    <v>57.81</v>
    <v>57.63</v>
    <v>57.5</v>
    <v>57.52</v>
    <v>57.62</v>
    <v>57.84</v>
    <v>57.77</v>
    <v>58.08</v>
    <v>57.91</v>
    <v>57.92</v>
    <v>57.82</v>
    <v>57.78</v>
    <v>57.84</v>
    <v>57.67</v>
    <v>57.53</v>
    <v>57.5</v>
    <v>57.42</v>
    <v>56.88</v>
    <v>56.98</v>
    <v>57.16</v>
    <v>57.3</v>
    <v>57.45</v>
    <v>57.28</v>
    <v>57.12</v>
    <v>57.07</v>
    <v>57.2</v>
    <v>57.39</v>
    <v>57.5</v>
    <v>57.54</v>
    <v>57.4</v>
    <v>57.69</v>
    <v>57.55</v>
    <v>57.28</v>
    <v>57.32</v>
    <v>57.19</v>
    <v>57.17</v>
    <v>57.35</v>
    <v>57.21</v>
    <v>57.18</v>
    <v>57.39</v>
    <v>57.49</v>
    <v>57.86</v>
    <v>57.2</v>
    <v>57.11</v>
    <v>56.98</v>
    <v>57.15</v>
    <v>57.32</v>
    <v>57.59</v>
    <v>57.58</v>
    <v>58</v>
    <v>58.39</v>
    <v>58.61</v>
    <v>58.47</v>
    <v>58.82</v>
    <v>59</v>
    <v>59.08</v>
    <v>58.84</v>
    <v>58.48</v>
    <v>58.07</v>
    <v>58.27</v>
    <v>58.36</v>
    <v>58.35</v>
    <v>58.34</v>
    <v>58.29</v>
  </a>
  <a r="1" c="208">
    <v>57.15</v>
    <v>57.42</v>
    <v>57.64</v>
    <v>57.76</v>
    <v>57.74</v>
    <v>57.91</v>
    <v>57.91</v>
    <v>57.97</v>
    <v>57.95</v>
    <v>57.91</v>
    <v>57.84</v>
    <v>57.73</v>
    <v>57.37</v>
    <v>57.45</v>
    <v>57.56</v>
    <v>57.73</v>
    <v>57.22</v>
    <v>57.14</v>
    <v>57.38</v>
    <v>57.25</v>
    <v>57.49</v>
    <v>57.91</v>
    <v>58.15</v>
    <v>58.07</v>
    <v>57.9</v>
    <v>58.08</v>
    <v>57.9</v>
    <v>57.88</v>
    <v>58.06</v>
    <v>58.12</v>
    <v>58.11</v>
    <v>58.13</v>
    <v>58.3</v>
    <v>58.4</v>
    <v>57.97</v>
    <v>58.04</v>
    <v>58.18</v>
    <v>58.34</v>
    <v>58.36</v>
    <v>58.35</v>
    <v>58.32</v>
    <v>58.26</v>
    <v>57.97</v>
    <v>58.01</v>
    <v>57.98</v>
    <v>57.51</v>
    <v>57.28</v>
    <v>58.02</v>
    <v>58.1</v>
    <v>57.77</v>
    <v>57.7</v>
    <v>57.58</v>
    <v>57.71</v>
    <v>57.54</v>
    <v>56.78</v>
    <v>56.45</v>
    <v>56.5</v>
    <v>56.3</v>
    <v>56.47</v>
    <v>56.57</v>
    <v>56.25</v>
    <v>56.45</v>
    <v>56.46</v>
    <v>56.59</v>
    <v>57.27</v>
    <v>56.87</v>
    <v>57.61</v>
    <v>57.4</v>
    <v>57.54</v>
    <v>57.41</v>
    <v>57.42</v>
    <v>57.39</v>
    <v>57.19</v>
    <v>57.53</v>
    <v>57.31</v>
    <v>57.36</v>
    <v>57.47</v>
    <v>57.47</v>
    <v>57.15</v>
    <v>57.15</v>
    <v>56.97</v>
    <v>56.74</v>
    <v>56.61</v>
    <v>56.79</v>
    <v>56.86</v>
    <v>57.02</v>
    <v>57.13</v>
    <v>57.1</v>
    <v>56.95</v>
    <v>56.81</v>
    <v>56.95</v>
    <v>56.93</v>
    <v>56.76</v>
    <v>56.57</v>
    <v>56.54</v>
    <v>56.91</v>
    <v>56.51</v>
    <v>56.7</v>
    <v>56.77</v>
    <v>56.7</v>
    <v>56.67</v>
    <v>56.53</v>
    <v>56.71</v>
    <v>56.89</v>
    <v>56.83</v>
    <v>56.79</v>
    <v>56.76</v>
    <v>56.63</v>
    <v>56.55</v>
    <v>56.67</v>
    <v>56.56</v>
    <v>56.91</v>
    <v>57.36</v>
    <v>57.65</v>
    <v>57.41</v>
    <v>57.38</v>
    <v>57.63</v>
    <v>57.6</v>
    <v>57.68</v>
    <v>57.7</v>
    <v>57.97</v>
    <v>58.04</v>
    <v>58.11</v>
    <v>58.06</v>
    <v>58.04</v>
    <v>58.07</v>
    <v>58.07</v>
    <v>58.02</v>
    <v>58.22</v>
    <v>58.14</v>
    <v>57.75</v>
    <v>57.96</v>
    <v>58.17</v>
    <v>58.14</v>
    <v>58.13</v>
    <v>58.07</v>
    <v>57.73</v>
    <v>57.56</v>
    <v>57.66</v>
    <v>57.71</v>
    <v>57.71</v>
    <v>57.37</v>
    <v>57.5</v>
    <v>57.65</v>
    <v>57.81</v>
    <v>57.63</v>
    <v>57.5</v>
    <v>57.52</v>
    <v>57.62</v>
    <v>57.84</v>
    <v>57.77</v>
    <v>58.08</v>
    <v>57.91</v>
    <v>57.92</v>
    <v>57.82</v>
    <v>57.78</v>
    <v>57.84</v>
    <v>57.67</v>
    <v>57.53</v>
    <v>57.5</v>
    <v>57.42</v>
    <v>56.88</v>
    <v>56.98</v>
    <v>57.16</v>
    <v>57.3</v>
    <v>57.45</v>
    <v>57.28</v>
    <v>57.12</v>
    <v>57.07</v>
    <v>57.2</v>
    <v>57.39</v>
    <v>57.5</v>
    <v>57.54</v>
    <v>57.4</v>
    <v>57.69</v>
    <v>57.55</v>
    <v>57.28</v>
    <v>57.32</v>
    <v>57.19</v>
    <v>57.17</v>
    <v>57.35</v>
    <v>57.21</v>
    <v>57.18</v>
    <v>57.39</v>
    <v>57.49</v>
    <v>57.86</v>
    <v>57.2</v>
    <v>57.11</v>
    <v>56.98</v>
    <v>57.15</v>
    <v>57.32</v>
    <v>57.59</v>
    <v>57.58</v>
    <v>58</v>
    <v>58.39</v>
    <v>58.61</v>
    <v>58.47</v>
    <v>58.82</v>
    <v>59</v>
    <v>59.08</v>
    <v>58.84</v>
    <v>58.48</v>
    <v>58.07</v>
    <v>58.27</v>
    <v>58.36</v>
    <v>58.35</v>
    <v>58.34</v>
    <v>58.29</v>
  </a>
  <a r="1" c="254">
    <v>42.465000000000003</v>
    <v>42.854999999999997</v>
    <v>42.48</v>
    <v>41.32</v>
    <v>41.945</v>
    <v>42.16</v>
    <v>42.305</v>
    <v>42.81</v>
    <v>42.55</v>
    <v>42.52</v>
    <v>41.48</v>
    <v>41.615000000000002</v>
    <v>41.63</v>
    <v>42.634999999999998</v>
    <v>41.085000000000001</v>
    <v>41.07</v>
    <v>41.87</v>
    <v>41.884999999999998</v>
    <v>41.835000000000001</v>
    <v>41.48</v>
    <v>41.49</v>
    <v>40.729999999999997</v>
    <v>41.03</v>
    <v>40.375</v>
    <v>40.58</v>
    <v>41.1</v>
    <v>41.37</v>
    <v>41.215000000000003</v>
    <v>41.14</v>
    <v>41.14</v>
    <v>41.244999999999997</v>
    <v>41.664999999999999</v>
    <v>41.104999999999997</v>
    <v>40.56</v>
    <v>40.244999999999997</v>
    <v>39.549999999999997</v>
    <v>39.625</v>
    <v>39.14</v>
    <v>38.340000000000003</v>
    <v>38.844999999999999</v>
    <v>39.134999999999998</v>
    <v>39.145000000000003</v>
    <v>39.884999999999998</v>
    <v>40.094999999999999</v>
    <v>40.064999999999998</v>
    <v>40.055</v>
    <v>39.215000000000003</v>
    <v>40.305</v>
    <v>40.409999999999997</v>
    <v>39.61</v>
    <v>40.22</v>
    <v>41.954999999999998</v>
    <v>41.615000000000002</v>
    <v>43.13</v>
    <v>43.24</v>
    <v>42.024999999999999</v>
    <v>42.585000000000001</v>
    <v>42.195</v>
    <v>42.265000000000001</v>
    <v>42.575000000000003</v>
    <v>41.99</v>
    <v>42.74</v>
    <v>42.1</v>
    <v>42.585000000000001</v>
    <v>43.384999999999998</v>
    <v>44.984999999999999</v>
    <v>45.54</v>
    <v>43.28</v>
    <v>43.79</v>
    <v>44.244999999999997</v>
    <v>44.225000000000001</v>
    <v>44.84</v>
    <v>44.85</v>
    <v>44.695</v>
    <v>45.59</v>
    <v>44.335000000000001</v>
    <v>44.09</v>
    <v>44.64</v>
    <v>43.97</v>
    <v>45.61</v>
    <v>47.3</v>
    <v>46.994999999999997</v>
    <v>47.54</v>
    <v>46.984999999999999</v>
    <v>46.78</v>
    <v>47.645000000000003</v>
    <v>47.844999999999999</v>
    <v>52.17</v>
    <v>56.3</v>
    <v>54.34</v>
    <v>57.13</v>
    <v>61.5</v>
    <v>67.099999999999994</v>
    <v>59.69</v>
    <v>62.93</v>
    <v>67.400000000000006</v>
    <v>69.25</v>
    <v>69.41</v>
    <v>68.94</v>
    <v>73.010000000000005</v>
    <v>73.88</v>
    <v>73.42</v>
    <v>68.81</v>
    <v>69.8</v>
    <v>67.7</v>
    <v>71.5</v>
    <v>72.56</v>
    <v>74.64</v>
    <v>73.61</v>
    <v>68.599999999999994</v>
    <v>71.94</v>
    <v>74.12</v>
    <v>65.64</v>
    <v>66.69</v>
    <v>66.599999999999994</v>
    <v>69.239999999999995</v>
    <v>65.89</v>
    <v>66.25</v>
    <v>67.56</v>
    <v>61.97</v>
    <v>65.39</v>
    <v>67.489999999999995</v>
    <v>69.94</v>
    <v>71.25</v>
    <v>72.7</v>
    <v>74.17</v>
    <v>75.87</v>
    <v>80.13</v>
    <v>79.7</v>
    <v>83.31</v>
    <v>80.510000000000005</v>
    <v>73.61</v>
    <v>71.069999999999993</v>
    <v>73.61</v>
    <v>75.02</v>
    <v>78.400000000000006</v>
    <v>77.540000000000006</v>
    <v>76.319999999999993</v>
    <v>78.87</v>
    <v>80.28</v>
    <v>80.53</v>
    <v>77.05</v>
    <v>79.61</v>
    <v>76.91</v>
    <v>72.56</v>
    <v>74.81</v>
    <v>72</v>
    <v>71.75</v>
    <v>69.92</v>
    <v>74.55</v>
    <v>73.069999999999993</v>
    <v>75.2</v>
    <v>73.05</v>
    <v>72.62</v>
    <v>73.91</v>
    <v>71.099999999999994</v>
    <v>72.56</v>
    <v>73.14</v>
    <v>68.459999999999994</v>
    <v>65.260000000000005</v>
    <v>62.97</v>
    <v>63.08</v>
    <v>61.78</v>
    <v>64.37</v>
    <v>62.24</v>
    <v>61.88</v>
    <v>59.86</v>
    <v>60.49</v>
    <v>58.29</v>
    <v>59.39</v>
    <v>59.38</v>
    <v>57.74</v>
    <v>56.93</v>
    <v>57.88</v>
    <v>58.36</v>
    <v>59.5</v>
    <v>64.349999999999994</v>
    <v>62.09</v>
    <v>61.07</v>
    <v>64.13</v>
    <v>66.75</v>
    <v>66.5</v>
    <v>67.27</v>
    <v>68.510000000000005</v>
    <v>68.92</v>
    <v>70.56</v>
    <v>71.209999999999994</v>
    <v>74.16</v>
    <v>71.89</v>
    <v>69.040000000000006</v>
    <v>65.900000000000006</v>
    <v>69.930000000000007</v>
    <v>68.47</v>
    <v>68.959999999999994</v>
    <v>66.239999999999995</v>
    <v>63.55</v>
    <v>62.97</v>
    <v>64.7</v>
    <v>66.09</v>
    <v>68.97</v>
    <v>69.89</v>
    <v>70.23</v>
    <v>70.28</v>
    <v>69.52</v>
    <v>70.47</v>
    <v>73.05</v>
    <v>72.819999999999993</v>
    <v>73.569999999999993</v>
    <v>74.069999999999993</v>
    <v>72.709999999999994</v>
    <v>70.25</v>
    <v>70.3</v>
    <v>70.34</v>
    <v>71.349999999999994</v>
    <v>73.22</v>
    <v>74.819999999999993</v>
    <v>77.2</v>
    <v>77.91</v>
    <v>77.13</v>
    <v>79.13</v>
    <v>79.22</v>
    <v>81.78</v>
    <v>85.13</v>
    <v>83.88</v>
    <v>86.87</v>
    <v>87.21</v>
    <v>85.76</v>
    <v>85.26</v>
    <v>85.81</v>
    <v>83.23</v>
    <v>83.26</v>
    <v>85.34</v>
    <v>88.6</v>
    <v>86.13</v>
    <v>86.72</v>
    <v>84.64</v>
    <v>86.49</v>
    <v>89.07</v>
    <v>88.08</v>
    <v>90.18</v>
    <v>87.09</v>
    <v>89.88</v>
    <v>93.36</v>
    <v>92.78</v>
    <v>94.83</v>
    <v>94.43</v>
    <v>95.14</v>
    <v>94.66</v>
    <v>94.03</v>
    <v>95.87</v>
    <v>95.37</v>
    <v>95.69</v>
    <v>97.96</v>
    <v>102.03</v>
  </a>
  <a r="1" c="761">
    <v>50.71</v>
    <v>49.04</v>
    <v>49.27</v>
    <v>49.744999999999997</v>
    <v>49.32</v>
    <v>48.835000000000001</v>
    <v>48.97</v>
    <v>48.96</v>
    <v>48.674999999999997</v>
    <v>47.805</v>
    <v>47.965000000000003</v>
    <v>46.33</v>
    <v>44.92</v>
    <v>45.195</v>
    <v>45.645000000000003</v>
    <v>46.104999999999997</v>
    <v>46.005000000000003</v>
    <v>45.11</v>
    <v>43.295000000000002</v>
    <v>44.21</v>
    <v>45.44</v>
    <v>45.13</v>
    <v>44.04</v>
    <v>44.634999999999998</v>
    <v>45.13</v>
    <v>44.305</v>
    <v>44.88</v>
    <v>44.945</v>
    <v>44.31</v>
    <v>45.06</v>
    <v>43.8</v>
    <v>43.825000000000003</v>
    <v>41.895000000000003</v>
    <v>41.79</v>
    <v>42.68</v>
    <v>42.59</v>
    <v>41.33</v>
    <v>41.634999999999998</v>
    <v>42.4</v>
    <v>42.594999999999999</v>
    <v>43.67</v>
    <v>43.8</v>
    <v>44.38</v>
    <v>43.58</v>
    <v>43.54</v>
    <v>43.54</v>
    <v>43.1</v>
    <v>42.59</v>
    <v>42.174999999999997</v>
    <v>43.35</v>
    <v>42.384999999999998</v>
    <v>43.71</v>
    <v>41.884999999999998</v>
    <v>43.215000000000003</v>
    <v>42.85</v>
    <v>43.76</v>
    <v>43.51</v>
    <v>43.195</v>
    <v>43.615000000000002</v>
    <v>43.32</v>
    <v>43.87</v>
    <v>43.965000000000003</v>
    <v>44.465000000000003</v>
    <v>44.835000000000001</v>
    <v>44.755000000000003</v>
    <v>45.505000000000003</v>
    <v>45.655000000000001</v>
    <v>46.29</v>
    <v>46.3</v>
    <v>45.6</v>
    <v>45.774999999999999</v>
    <v>43.82</v>
    <v>43.954999999999998</v>
    <v>44.66</v>
    <v>44.884999999999998</v>
    <v>46.01</v>
    <v>46.055</v>
    <v>46.4</v>
    <v>47.05</v>
    <v>46.75</v>
    <v>46.79</v>
    <v>46.92</v>
    <v>47.104999999999997</v>
    <v>46.24</v>
    <v>46.545000000000002</v>
    <v>46.844999999999999</v>
    <v>46.25</v>
    <v>45.97</v>
    <v>46.585000000000001</v>
    <v>46.44</v>
    <v>46.854999999999997</v>
    <v>47.814999999999998</v>
    <v>47.17</v>
    <v>46.87</v>
    <v>47.37</v>
    <v>46.44</v>
    <v>46.18</v>
    <v>46.53</v>
    <v>46.564999999999998</v>
    <v>47.015000000000001</v>
    <v>48.01</v>
    <v>48.244999999999997</v>
    <v>48.875</v>
    <v>49.33</v>
    <v>48.7</v>
    <v>48.545000000000002</v>
    <v>48.734999999999999</v>
    <v>49.284999999999997</v>
    <v>49.204999999999998</v>
    <v>48.914999999999999</v>
    <v>49.65</v>
    <v>51.03</v>
    <v>51.3</v>
    <v>50.91</v>
    <v>52.22</v>
    <v>51.29</v>
    <v>51.37</v>
    <v>51.61</v>
    <v>52.15</v>
    <v>53.36</v>
    <v>52.21</v>
    <v>52.7</v>
    <v>51.92</v>
    <v>50.79</v>
    <v>50.87</v>
    <v>50.68</v>
    <v>50.84</v>
    <v>51.22</v>
    <v>50.62</v>
    <v>51.87</v>
    <v>51.04</v>
    <v>50.87</v>
    <v>49.115000000000002</v>
    <v>48.65</v>
    <v>48.67</v>
    <v>48.445</v>
    <v>48.774999999999999</v>
    <v>48.78</v>
    <v>48.805</v>
    <v>48.475000000000001</v>
    <v>47.91</v>
    <v>47.79</v>
    <v>48.12</v>
    <v>48.52</v>
    <v>48.805</v>
    <v>48.454999999999998</v>
    <v>47.975000000000001</v>
    <v>47.725000000000001</v>
    <v>47.61</v>
    <v>48.344999999999999</v>
    <v>48.84</v>
    <v>48.994999999999997</v>
    <v>48.435000000000002</v>
    <v>47.774999999999999</v>
    <v>45.89</v>
    <v>45.42</v>
    <v>45.28</v>
    <v>46.524999999999999</v>
    <v>46.875</v>
    <v>48.005000000000003</v>
    <v>48.45</v>
    <v>48.104999999999997</v>
    <v>48.74</v>
    <v>49.015000000000001</v>
    <v>49.405000000000001</v>
    <v>50.13</v>
    <v>50.36</v>
    <v>50.46</v>
    <v>50.84</v>
    <v>50.71</v>
    <v>50.65</v>
    <v>50.23</v>
    <v>51</v>
    <v>50.69</v>
    <v>51.42</v>
    <v>51.84</v>
    <v>51.22</v>
    <v>51.86</v>
    <v>51.96</v>
    <v>50.96</v>
    <v>50.25</v>
    <v>50.54</v>
    <v>50.3</v>
    <v>50.31</v>
    <v>49.835000000000001</v>
    <v>49.494999999999997</v>
    <v>49.575000000000003</v>
    <v>49.795000000000002</v>
    <v>49.314999999999998</v>
    <v>48.28</v>
    <v>47.78</v>
    <v>48.325000000000003</v>
    <v>48.215000000000003</v>
    <v>47.545000000000002</v>
    <v>47.515000000000001</v>
    <v>47.005000000000003</v>
    <v>48.284999999999997</v>
    <v>48.47</v>
    <v>45.83</v>
    <v>45.395000000000003</v>
    <v>45.704999999999998</v>
    <v>46.74</v>
    <v>46.984999999999999</v>
    <v>47.255000000000003</v>
    <v>47.95</v>
    <v>47.92</v>
    <v>47.32</v>
    <v>47.2</v>
    <v>46.66</v>
    <v>45.314999999999998</v>
    <v>45.225000000000001</v>
    <v>45.32</v>
    <v>45.795000000000002</v>
    <v>47.16</v>
    <v>46.6</v>
    <v>46.045000000000002</v>
    <v>46.87</v>
    <v>45.814999999999998</v>
    <v>45.62</v>
    <v>44.085000000000001</v>
    <v>43.48</v>
    <v>43.44</v>
    <v>42.354999999999997</v>
    <v>42.42</v>
    <v>41.494999999999997</v>
    <v>41.604999999999997</v>
    <v>43.335000000000001</v>
    <v>42.96</v>
    <v>42.875</v>
    <v>43.384999999999998</v>
    <v>43.375</v>
    <v>44.14</v>
    <v>43.92</v>
    <v>43.725000000000001</v>
    <v>44.145000000000003</v>
    <v>44.015000000000001</v>
    <v>42.655000000000001</v>
    <v>42.344999999999999</v>
    <v>43.064999999999998</v>
    <v>44.82</v>
    <v>44.424999999999997</v>
    <v>46.234999999999999</v>
    <v>47.25</v>
    <v>48.524999999999999</v>
    <v>46.674999999999997</v>
    <v>46.42</v>
    <v>47.41</v>
    <v>47.85</v>
    <v>47.06</v>
    <v>44.994999999999997</v>
    <v>45.234999999999999</v>
    <v>45.505000000000003</v>
    <v>44.505000000000003</v>
    <v>45.515000000000001</v>
    <v>46.73</v>
    <v>46.25</v>
    <v>45.93</v>
    <v>46.674999999999997</v>
    <v>44.26</v>
    <v>43.715000000000003</v>
    <v>44.56</v>
    <v>44.844999999999999</v>
    <v>45.37</v>
    <v>45.98</v>
    <v>46.725000000000001</v>
    <v>47.17</v>
    <v>46.645000000000003</v>
    <v>45.97</v>
    <v>45.274999999999999</v>
    <v>45.69</v>
    <v>45.61</v>
    <v>45.84</v>
    <v>45.844999999999999</v>
    <v>46.405000000000001</v>
    <v>46.185000000000002</v>
    <v>46.765000000000001</v>
    <v>47.134999999999998</v>
    <v>48.064999999999998</v>
    <v>46.59</v>
    <v>46.78</v>
    <v>45.945</v>
    <v>46.09</v>
    <v>46.45</v>
    <v>46.085000000000001</v>
    <v>47.094999999999999</v>
    <v>46.805</v>
    <v>45.884999999999998</v>
    <v>45.41</v>
    <v>46.08</v>
    <v>46.49</v>
    <v>46.895000000000003</v>
    <v>46.59</v>
    <v>47.564999999999998</v>
    <v>47.4</v>
    <v>46.645000000000003</v>
    <v>47.634999999999998</v>
    <v>47.21</v>
    <v>47.085000000000001</v>
    <v>46.755000000000003</v>
    <v>47.83</v>
    <v>48.284999999999997</v>
    <v>50.44</v>
    <v>50.27</v>
    <v>49.99</v>
    <v>50.3</v>
    <v>50.12</v>
    <v>50.79</v>
    <v>52.12</v>
    <v>53.53</v>
    <v>52.65</v>
    <v>53.36</v>
    <v>52.56</v>
    <v>52.91</v>
    <v>51.94</v>
    <v>51.77</v>
    <v>51.66</v>
    <v>51.26</v>
    <v>50.63</v>
    <v>49.91</v>
    <v>50.15</v>
    <v>50.24</v>
    <v>50.25</v>
    <v>50.23</v>
    <v>50.45</v>
    <v>50.49</v>
    <v>49.38</v>
    <v>49.71</v>
    <v>49.805</v>
    <v>50.8</v>
    <v>51.29</v>
    <v>50.69</v>
    <v>49.805</v>
    <v>49.274999999999999</v>
    <v>49.54</v>
    <v>50.03</v>
    <v>50.79</v>
    <v>50.73</v>
    <v>49.67</v>
    <v>49.325000000000003</v>
    <v>47.91</v>
    <v>47.87</v>
    <v>48.984999999999999</v>
    <v>48.66</v>
    <v>48.115000000000002</v>
    <v>46.52</v>
    <v>44.27</v>
    <v>44.295000000000002</v>
    <v>45.33</v>
    <v>44.744999999999997</v>
    <v>44.55</v>
    <v>45.32</v>
    <v>45.034999999999997</v>
    <v>45.03</v>
    <v>45.2</v>
    <v>45.19</v>
    <v>45.395000000000003</v>
    <v>46.155000000000001</v>
    <v>46.41</v>
    <v>47.055</v>
    <v>46.83</v>
    <v>47.59</v>
    <v>47.505000000000003</v>
    <v>46.884999999999998</v>
    <v>48.19</v>
    <v>48.52</v>
    <v>48.1</v>
    <v>44.274999999999999</v>
    <v>41.924999999999997</v>
    <v>41.395000000000003</v>
    <v>41.18</v>
    <v>38.505000000000003</v>
    <v>39.645000000000003</v>
    <v>39.28</v>
    <v>39.914999999999999</v>
    <v>39.950000000000003</v>
    <v>40.53</v>
    <v>41.52</v>
    <v>41.09</v>
    <v>40.32</v>
    <v>40.68</v>
    <v>40.935000000000002</v>
    <v>40.119999999999997</v>
    <v>39.645000000000003</v>
    <v>39.234999999999999</v>
    <v>38.32</v>
    <v>37.424999999999997</v>
    <v>39.14</v>
    <v>38.43</v>
    <v>39.395000000000003</v>
    <v>40.034999999999997</v>
    <v>41.545000000000002</v>
    <v>42.03</v>
    <v>41.81</v>
    <v>40.81</v>
    <v>41.325000000000003</v>
    <v>41.04</v>
    <v>40.86</v>
    <v>40.659999999999997</v>
    <v>40.28</v>
    <v>40.545000000000002</v>
    <v>40.24</v>
    <v>39.744999999999997</v>
    <v>40.74</v>
    <v>39.799999999999997</v>
    <v>39.204999999999998</v>
    <v>40.274999999999999</v>
    <v>41.24</v>
    <v>40.4</v>
    <v>40.9</v>
    <v>41.534999999999997</v>
    <v>41.755000000000003</v>
    <v>42.365000000000002</v>
    <v>42.35</v>
    <v>42.74</v>
    <v>44.914999999999999</v>
    <v>43.91</v>
    <v>46.155000000000001</v>
    <v>46.284999999999997</v>
    <v>48.424999999999997</v>
    <v>47.005000000000003</v>
    <v>46.875</v>
    <v>41.664999999999999</v>
    <v>41.66</v>
    <v>41.744999999999997</v>
    <v>41.414999999999999</v>
    <v>40.880000000000003</v>
    <v>41.04</v>
    <v>41.5</v>
    <v>42.055</v>
    <v>41.884999999999998</v>
    <v>42.505000000000003</v>
    <v>43.185000000000002</v>
    <v>43.42</v>
    <v>42.59</v>
    <v>43.465000000000003</v>
    <v>42.92</v>
    <v>43.23</v>
    <v>42.35</v>
    <v>43.27</v>
    <v>43.39</v>
    <v>42.95</v>
    <v>42.505000000000003</v>
    <v>42.465000000000003</v>
    <v>42.945</v>
    <v>42.704999999999998</v>
    <v>43.83</v>
    <v>44.795000000000002</v>
    <v>46.215000000000003</v>
    <v>45.83</v>
    <v>44.375</v>
    <v>44.03</v>
    <v>43.314999999999998</v>
    <v>43.25</v>
    <v>42.3</v>
    <v>42.16</v>
    <v>42.435000000000002</v>
    <v>41.945</v>
    <v>41.244999999999997</v>
    <v>42.27</v>
    <v>41.884999999999998</v>
    <v>41.9</v>
    <v>42.365000000000002</v>
    <v>42.895000000000003</v>
    <v>42.79</v>
    <v>43.56</v>
    <v>42.86</v>
    <v>43.02</v>
    <v>42.984999999999999</v>
    <v>43.055</v>
    <v>43.465000000000003</v>
    <v>44.07</v>
    <v>43.164999999999999</v>
    <v>43.045000000000002</v>
    <v>41.435000000000002</v>
    <v>42.134999999999998</v>
    <v>42.66</v>
    <v>42.9</v>
    <v>42.255000000000003</v>
    <v>42.954999999999998</v>
    <v>42.734999999999999</v>
    <v>43.06</v>
    <v>42.81</v>
    <v>42.7</v>
    <v>42.26</v>
    <v>42.045000000000002</v>
    <v>42.85</v>
    <v>43.43</v>
    <v>43.895000000000003</v>
    <v>44.75</v>
    <v>42.86</v>
    <v>42.32</v>
    <v>42.07</v>
    <v>41.49</v>
    <v>41.314999999999998</v>
    <v>42.02</v>
    <v>42.015000000000001</v>
    <v>42.86</v>
    <v>42.78</v>
    <v>40.734999999999999</v>
    <v>41.21</v>
    <v>40.15</v>
    <v>40.134999999999998</v>
    <v>39.954999999999998</v>
    <v>39.49</v>
    <v>39.33</v>
    <v>39.774999999999999</v>
    <v>40.534999999999997</v>
    <v>42.465000000000003</v>
    <v>42.854999999999997</v>
    <v>42.48</v>
    <v>41.32</v>
    <v>41.945</v>
    <v>42.16</v>
    <v>42.305</v>
    <v>42.81</v>
    <v>42.55</v>
    <v>42.52</v>
    <v>41.48</v>
    <v>41.615000000000002</v>
    <v>41.63</v>
    <v>42.634999999999998</v>
    <v>41.085000000000001</v>
    <v>41.07</v>
    <v>41.87</v>
    <v>41.884999999999998</v>
    <v>41.835000000000001</v>
    <v>41.48</v>
    <v>41.49</v>
    <v>40.729999999999997</v>
    <v>41.03</v>
    <v>40.375</v>
    <v>40.58</v>
    <v>41.1</v>
    <v>41.37</v>
    <v>41.215000000000003</v>
    <v>41.14</v>
    <v>41.14</v>
    <v>41.244999999999997</v>
    <v>41.664999999999999</v>
    <v>41.104999999999997</v>
    <v>40.56</v>
    <v>40.244999999999997</v>
    <v>39.549999999999997</v>
    <v>39.625</v>
    <v>39.14</v>
    <v>38.340000000000003</v>
    <v>38.844999999999999</v>
    <v>39.134999999999998</v>
    <v>39.145000000000003</v>
    <v>39.884999999999998</v>
    <v>40.094999999999999</v>
    <v>40.064999999999998</v>
    <v>40.055</v>
    <v>39.215000000000003</v>
    <v>40.305</v>
    <v>40.409999999999997</v>
    <v>39.61</v>
    <v>40.22</v>
    <v>41.954999999999998</v>
    <v>41.615000000000002</v>
    <v>43.13</v>
    <v>43.24</v>
    <v>42.024999999999999</v>
    <v>42.585000000000001</v>
    <v>42.195</v>
    <v>42.265000000000001</v>
    <v>42.575000000000003</v>
    <v>41.99</v>
    <v>42.74</v>
    <v>42.1</v>
    <v>42.585000000000001</v>
    <v>43.384999999999998</v>
    <v>44.984999999999999</v>
    <v>45.54</v>
    <v>43.28</v>
    <v>43.79</v>
    <v>44.244999999999997</v>
    <v>44.225000000000001</v>
    <v>44.84</v>
    <v>44.85</v>
    <v>44.695</v>
    <v>45.59</v>
    <v>44.335000000000001</v>
    <v>44.09</v>
    <v>44.64</v>
    <v>43.97</v>
    <v>45.61</v>
    <v>47.3</v>
    <v>46.994999999999997</v>
    <v>47.54</v>
    <v>46.984999999999999</v>
    <v>46.78</v>
    <v>47.645000000000003</v>
    <v>47.844999999999999</v>
    <v>52.17</v>
    <v>56.3</v>
    <v>54.34</v>
    <v>57.13</v>
    <v>61.5</v>
    <v>67.099999999999994</v>
    <v>59.69</v>
    <v>62.93</v>
    <v>67.400000000000006</v>
    <v>69.25</v>
    <v>69.41</v>
    <v>68.94</v>
    <v>73.010000000000005</v>
    <v>73.88</v>
    <v>73.42</v>
    <v>68.81</v>
    <v>69.8</v>
    <v>67.7</v>
    <v>71.5</v>
    <v>72.56</v>
    <v>74.64</v>
    <v>73.61</v>
    <v>68.599999999999994</v>
    <v>71.94</v>
    <v>74.12</v>
    <v>65.64</v>
    <v>66.69</v>
    <v>66.599999999999994</v>
    <v>69.239999999999995</v>
    <v>65.89</v>
    <v>66.25</v>
    <v>67.56</v>
    <v>61.97</v>
    <v>65.39</v>
    <v>67.489999999999995</v>
    <v>69.94</v>
    <v>71.25</v>
    <v>72.7</v>
    <v>74.17</v>
    <v>75.87</v>
    <v>80.13</v>
    <v>79.7</v>
    <v>83.31</v>
    <v>80.510000000000005</v>
    <v>73.61</v>
    <v>71.069999999999993</v>
    <v>73.61</v>
    <v>75.02</v>
    <v>78.400000000000006</v>
    <v>77.540000000000006</v>
    <v>76.319999999999993</v>
    <v>78.87</v>
    <v>80.28</v>
    <v>80.53</v>
    <v>77.05</v>
    <v>79.61</v>
    <v>76.91</v>
    <v>72.56</v>
    <v>74.81</v>
    <v>72</v>
    <v>71.75</v>
    <v>69.92</v>
    <v>74.55</v>
    <v>73.069999999999993</v>
    <v>75.2</v>
    <v>73.05</v>
    <v>72.62</v>
    <v>73.91</v>
    <v>71.099999999999994</v>
    <v>72.56</v>
    <v>73.14</v>
    <v>68.459999999999994</v>
    <v>65.260000000000005</v>
    <v>62.97</v>
    <v>63.08</v>
    <v>61.78</v>
    <v>64.37</v>
    <v>62.24</v>
    <v>61.88</v>
    <v>59.86</v>
    <v>60.49</v>
    <v>58.29</v>
    <v>59.39</v>
    <v>59.38</v>
    <v>57.74</v>
    <v>56.93</v>
    <v>57.88</v>
    <v>58.36</v>
    <v>59.5</v>
    <v>64.349999999999994</v>
    <v>62.09</v>
    <v>61.07</v>
    <v>64.13</v>
    <v>66.75</v>
    <v>66.5</v>
    <v>67.27</v>
    <v>68.510000000000005</v>
    <v>68.92</v>
    <v>70.56</v>
    <v>71.209999999999994</v>
    <v>74.16</v>
    <v>71.89</v>
    <v>69.040000000000006</v>
    <v>65.900000000000006</v>
    <v>69.930000000000007</v>
    <v>68.47</v>
    <v>68.959999999999994</v>
    <v>66.239999999999995</v>
    <v>63.55</v>
    <v>62.97</v>
    <v>64.7</v>
    <v>66.09</v>
    <v>68.97</v>
    <v>69.89</v>
    <v>70.23</v>
    <v>70.28</v>
    <v>69.52</v>
    <v>70.47</v>
    <v>73.05</v>
    <v>72.819999999999993</v>
    <v>73.569999999999993</v>
    <v>74.069999999999993</v>
    <v>72.709999999999994</v>
    <v>70.25</v>
    <v>70.3</v>
    <v>70.34</v>
    <v>71.349999999999994</v>
    <v>73.22</v>
    <v>74.819999999999993</v>
    <v>77.2</v>
    <v>77.91</v>
    <v>77.13</v>
    <v>79.13</v>
    <v>79.22</v>
    <v>81.78</v>
    <v>85.13</v>
    <v>83.88</v>
    <v>86.87</v>
    <v>87.21</v>
    <v>85.76</v>
    <v>85.26</v>
    <v>85.81</v>
    <v>83.23</v>
    <v>83.26</v>
    <v>85.34</v>
    <v>88.6</v>
    <v>86.13</v>
    <v>86.72</v>
    <v>84.64</v>
    <v>86.49</v>
    <v>89.07</v>
    <v>88.08</v>
    <v>90.18</v>
    <v>87.09</v>
    <v>89.88</v>
    <v>93.36</v>
    <v>92.78</v>
    <v>94.83</v>
    <v>94.43</v>
    <v>95.14</v>
    <v>94.66</v>
    <v>94.03</v>
    <v>95.87</v>
    <v>95.37</v>
    <v>95.69</v>
    <v>97.96</v>
    <v>102.03</v>
  </a>
  <a r="1" c="208">
    <v>39.215000000000003</v>
    <v>40.305</v>
    <v>40.409999999999997</v>
    <v>39.61</v>
    <v>40.22</v>
    <v>41.954999999999998</v>
    <v>41.615000000000002</v>
    <v>43.13</v>
    <v>43.24</v>
    <v>42.024999999999999</v>
    <v>42.585000000000001</v>
    <v>42.195</v>
    <v>42.265000000000001</v>
    <v>42.575000000000003</v>
    <v>41.99</v>
    <v>42.74</v>
    <v>42.1</v>
    <v>42.585000000000001</v>
    <v>43.384999999999998</v>
    <v>44.984999999999999</v>
    <v>45.54</v>
    <v>43.28</v>
    <v>43.79</v>
    <v>44.244999999999997</v>
    <v>44.225000000000001</v>
    <v>44.84</v>
    <v>44.85</v>
    <v>44.695</v>
    <v>45.59</v>
    <v>44.335000000000001</v>
    <v>44.09</v>
    <v>44.64</v>
    <v>43.97</v>
    <v>45.61</v>
    <v>47.3</v>
    <v>46.994999999999997</v>
    <v>47.54</v>
    <v>46.984999999999999</v>
    <v>46.78</v>
    <v>47.645000000000003</v>
    <v>47.844999999999999</v>
    <v>52.17</v>
    <v>56.3</v>
    <v>54.34</v>
    <v>57.13</v>
    <v>61.5</v>
    <v>67.099999999999994</v>
    <v>59.69</v>
    <v>62.93</v>
    <v>67.400000000000006</v>
    <v>69.25</v>
    <v>69.41</v>
    <v>68.94</v>
    <v>73.010000000000005</v>
    <v>73.88</v>
    <v>73.42</v>
    <v>68.81</v>
    <v>69.8</v>
    <v>67.7</v>
    <v>71.5</v>
    <v>72.56</v>
    <v>74.64</v>
    <v>73.61</v>
    <v>68.599999999999994</v>
    <v>71.94</v>
    <v>74.12</v>
    <v>65.64</v>
    <v>66.69</v>
    <v>66.599999999999994</v>
    <v>69.239999999999995</v>
    <v>65.89</v>
    <v>66.25</v>
    <v>67.56</v>
    <v>61.97</v>
    <v>65.39</v>
    <v>67.489999999999995</v>
    <v>69.94</v>
    <v>71.25</v>
    <v>72.7</v>
    <v>74.17</v>
    <v>75.87</v>
    <v>80.13</v>
    <v>79.7</v>
    <v>83.31</v>
    <v>80.510000000000005</v>
    <v>73.61</v>
    <v>71.069999999999993</v>
    <v>73.61</v>
    <v>75.02</v>
    <v>78.400000000000006</v>
    <v>77.540000000000006</v>
    <v>76.319999999999993</v>
    <v>78.87</v>
    <v>80.28</v>
    <v>80.53</v>
    <v>77.05</v>
    <v>79.61</v>
    <v>76.91</v>
    <v>72.56</v>
    <v>74.81</v>
    <v>72</v>
    <v>71.75</v>
    <v>69.92</v>
    <v>74.55</v>
    <v>73.069999999999993</v>
    <v>75.2</v>
    <v>73.05</v>
    <v>72.62</v>
    <v>73.91</v>
    <v>71.099999999999994</v>
    <v>72.56</v>
    <v>73.14</v>
    <v>68.459999999999994</v>
    <v>65.260000000000005</v>
    <v>62.97</v>
    <v>63.08</v>
    <v>61.78</v>
    <v>64.37</v>
    <v>62.24</v>
    <v>61.88</v>
    <v>59.86</v>
    <v>60.49</v>
    <v>58.29</v>
    <v>59.39</v>
    <v>59.38</v>
    <v>57.74</v>
    <v>56.93</v>
    <v>57.88</v>
    <v>58.36</v>
    <v>59.5</v>
    <v>64.349999999999994</v>
    <v>62.09</v>
    <v>61.07</v>
    <v>64.13</v>
    <v>66.75</v>
    <v>66.5</v>
    <v>67.27</v>
    <v>68.510000000000005</v>
    <v>68.92</v>
    <v>70.56</v>
    <v>71.209999999999994</v>
    <v>74.16</v>
    <v>71.89</v>
    <v>69.040000000000006</v>
    <v>65.900000000000006</v>
    <v>69.930000000000007</v>
    <v>68.47</v>
    <v>68.959999999999994</v>
    <v>66.239999999999995</v>
    <v>63.55</v>
    <v>62.97</v>
    <v>64.7</v>
    <v>66.09</v>
    <v>68.97</v>
    <v>69.89</v>
    <v>70.23</v>
    <v>70.28</v>
    <v>69.52</v>
    <v>70.47</v>
    <v>73.05</v>
    <v>72.819999999999993</v>
    <v>73.569999999999993</v>
    <v>74.069999999999993</v>
    <v>72.709999999999994</v>
    <v>70.25</v>
    <v>70.3</v>
    <v>70.34</v>
    <v>71.349999999999994</v>
    <v>73.22</v>
    <v>74.819999999999993</v>
    <v>77.2</v>
    <v>77.91</v>
    <v>77.13</v>
    <v>79.13</v>
    <v>79.22</v>
    <v>81.78</v>
    <v>85.13</v>
    <v>83.88</v>
    <v>86.87</v>
    <v>87.21</v>
    <v>85.76</v>
    <v>85.26</v>
    <v>85.81</v>
    <v>83.23</v>
    <v>83.26</v>
    <v>85.34</v>
    <v>88.6</v>
    <v>86.13</v>
    <v>86.72</v>
    <v>84.64</v>
    <v>86.49</v>
    <v>89.07</v>
    <v>88.08</v>
    <v>90.18</v>
    <v>87.09</v>
    <v>89.88</v>
    <v>93.36</v>
    <v>92.78</v>
    <v>94.83</v>
    <v>94.43</v>
    <v>95.14</v>
    <v>94.66</v>
    <v>94.03</v>
    <v>95.87</v>
    <v>95.37</v>
    <v>95.69</v>
    <v>97.96</v>
    <v>102.03</v>
  </a>
  <a r="1" c="208">
    <v>8.5299999999999994</v>
    <v>8.6229999999999993</v>
    <v>8.6649999999999991</v>
    <v>8.8290000000000006</v>
    <v>8.7319999999999993</v>
    <v>8.7750000000000004</v>
    <v>8.7609999999999992</v>
    <v>8.7989999999999995</v>
    <v>8.7100000000000009</v>
    <v>8.7949999999999999</v>
    <v>8.7349999999999994</v>
    <v>8.5570000000000004</v>
    <v>8.4860000000000007</v>
    <v>8.4979999999999993</v>
    <v>8.5609999999999999</v>
    <v>8.5190000000000001</v>
    <v>8.49</v>
    <v>8.5</v>
    <v>8.5150000000000006</v>
    <v>8.2899999999999991</v>
    <v>8.2810000000000006</v>
    <v>8.4640000000000004</v>
    <v>8.2189999999999994</v>
    <v>8.1890000000000001</v>
    <v>8.0619999999999994</v>
    <v>8.0749999999999993</v>
    <v>8.2349999999999994</v>
    <v>8.3940000000000001</v>
    <v>8.2829999999999995</v>
    <v>8.1170000000000009</v>
    <v>8.2720000000000002</v>
    <v>8.3320000000000007</v>
    <v>8.2840000000000007</v>
    <v>8.3670000000000009</v>
    <v>8.3149999999999995</v>
    <v>8.3960000000000008</v>
    <v>8.0419999999999998</v>
    <v>8.0090000000000003</v>
    <v>8.1639999999999997</v>
    <v>8.266</v>
    <v>8.2119999999999997</v>
    <v>8.3079999999999998</v>
    <v>8.2080000000000002</v>
    <v>8.3369999999999997</v>
    <v>8.34</v>
    <v>8.4</v>
    <v>8.3239999999999998</v>
    <v>8.49</v>
    <v>8.4469999999999992</v>
    <v>8.4280000000000008</v>
    <v>8.375</v>
    <v>8.4429999999999996</v>
    <v>8.4979999999999993</v>
    <v>8.6180000000000003</v>
    <v>8.5419999999999998</v>
    <v>8.4090000000000007</v>
    <v>8.5</v>
    <v>8.4540000000000006</v>
    <v>8.5310000000000006</v>
    <v>8.4169999999999998</v>
    <v>8.2059999999999995</v>
    <v>8.2110000000000003</v>
    <v>8.1470000000000002</v>
    <v>8.4359999999999999</v>
    <v>8.5259999999999998</v>
    <v>8.5380000000000003</v>
    <v>8.8170000000000002</v>
    <v>8.5830000000000002</v>
    <v>8.4179999999999993</v>
    <v>8.4359999999999999</v>
    <v>8.4290000000000003</v>
    <v>8.6310000000000002</v>
    <v>8.8719999999999999</v>
    <v>9.0250000000000004</v>
    <v>9.0540000000000003</v>
    <v>9.202</v>
    <v>9.1300000000000008</v>
    <v>9.0719999999999992</v>
    <v>9.0540000000000003</v>
    <v>9.0389999999999997</v>
    <v>8.9060000000000006</v>
    <v>8.9540000000000006</v>
    <v>9.0180000000000007</v>
    <v>9.3339999999999996</v>
    <v>9.4060000000000006</v>
    <v>9.3680000000000003</v>
    <v>9.4779999999999998</v>
    <v>9.43</v>
    <v>9.52</v>
    <v>9.3670000000000009</v>
    <v>9.3970000000000002</v>
    <v>9.7040000000000006</v>
    <v>9.5990000000000002</v>
    <v>9.6440000000000001</v>
    <v>9.6649999999999991</v>
    <v>9.7780000000000005</v>
    <v>9.8239999999999998</v>
    <v>10.048</v>
    <v>10.186</v>
    <v>10.16</v>
    <v>9.9849999999999994</v>
    <v>10.016</v>
    <v>10.068</v>
    <v>10.704000000000001</v>
    <v>10.731999999999999</v>
    <v>10.656000000000001</v>
    <v>10.394</v>
    <v>10.194000000000001</v>
    <v>10.023999999999999</v>
    <v>9.68</v>
    <v>9.7070000000000007</v>
    <v>9.7360000000000007</v>
    <v>9.8870000000000005</v>
    <v>9.9489999999999998</v>
    <v>9.8529999999999998</v>
    <v>9.86</v>
    <v>9.7189999999999994</v>
    <v>9.7620000000000005</v>
    <v>9.7379999999999995</v>
    <v>9.7840000000000007</v>
    <v>9.8979999999999997</v>
    <v>9.7829999999999995</v>
    <v>9.8420000000000005</v>
    <v>10.188000000000001</v>
    <v>10.234</v>
    <v>10.507999999999999</v>
    <v>10.362</v>
    <v>10.3</v>
    <v>10.566000000000001</v>
    <v>10.548</v>
    <v>10.362</v>
    <v>10.638</v>
    <v>10.545999999999999</v>
    <v>10.587999999999999</v>
    <v>10.63</v>
    <v>10.436</v>
    <v>10.406000000000001</v>
    <v>10.321999999999999</v>
    <v>10.42</v>
    <v>10.288</v>
    <v>10.15</v>
    <v>9.98</v>
    <v>10.196</v>
    <v>10.32</v>
    <v>10.36</v>
    <v>10.31</v>
    <v>10.228</v>
    <v>10.295999999999999</v>
    <v>10.56</v>
    <v>10.818</v>
    <v>10.904</v>
    <v>10.83</v>
    <v>10.932</v>
    <v>11.112</v>
    <v>11.132</v>
    <v>11.18</v>
    <v>11.24</v>
    <v>11.208</v>
    <v>11.066000000000001</v>
    <v>10.89</v>
    <v>10.757999999999999</v>
    <v>10.657999999999999</v>
    <v>10.596</v>
    <v>10.564</v>
    <v>10.55</v>
    <v>10.52</v>
    <v>11.064</v>
    <v>11.122</v>
    <v>10.978</v>
    <v>10.85</v>
    <v>10.561999999999999</v>
    <v>10.718</v>
    <v>10.742000000000001</v>
    <v>10.68</v>
    <v>10.61</v>
    <v>10.63</v>
    <v>10.648</v>
    <v>10.632</v>
    <v>11.09</v>
    <v>11.135999999999999</v>
    <v>11.263999999999999</v>
    <v>11.388</v>
    <v>11.128</v>
    <v>11.39</v>
    <v>11.444000000000001</v>
    <v>11.651999999999999</v>
    <v>11.6</v>
    <v>11.47</v>
    <v>11.311999999999999</v>
    <v>11.34</v>
    <v>11.522</v>
    <v>11.682</v>
    <v>11.853999999999999</v>
    <v>11.96</v>
    <v>12.066000000000001</v>
    <v>11.986000000000001</v>
    <v>11.997999999999999</v>
    <v>12.272</v>
    <v>12.294</v>
    <v>12.178000000000001</v>
    <v>11.99</v>
    <v>11.77</v>
    <v>11.513999999999999</v>
    <v>11.667999999999999</v>
    <v>11.667999999999999</v>
    <v>11.904</v>
    <v>11.958</v>
    <v>12.167999999999999</v>
  </a>
  <a r="1" c="254">
    <v>8.99</v>
    <v>9.0990000000000002</v>
    <v>9.1120000000000001</v>
    <v>9.1289999999999996</v>
    <v>9.0069999999999997</v>
    <v>9.1389999999999993</v>
    <v>9.1</v>
    <v>9.1590000000000007</v>
    <v>8.9939999999999998</v>
    <v>9.0090000000000003</v>
    <v>8.8949999999999996</v>
    <v>8.7509999999999994</v>
    <v>9.01</v>
    <v>8.99</v>
    <v>8.9870000000000001</v>
    <v>8.7680000000000007</v>
    <v>8.7420000000000009</v>
    <v>8.6590000000000007</v>
    <v>8.4629999999999992</v>
    <v>8.4870000000000001</v>
    <v>8.4320000000000004</v>
    <v>8.3059999999999992</v>
    <v>8.5150000000000006</v>
    <v>8.5340000000000007</v>
    <v>8.5399999999999991</v>
    <v>8.5830000000000002</v>
    <v>8.5890000000000004</v>
    <v>8.5039999999999996</v>
    <v>8.5250000000000004</v>
    <v>8.5129999999999999</v>
    <v>8.5730000000000004</v>
    <v>8.6080000000000005</v>
    <v>8.73</v>
    <v>8.7810000000000006</v>
    <v>8.81</v>
    <v>8.7249999999999996</v>
    <v>8.6240000000000006</v>
    <v>8.6539999999999999</v>
    <v>8.5730000000000004</v>
    <v>8.5399999999999991</v>
    <v>8.6</v>
    <v>8.6579999999999995</v>
    <v>8.7159999999999993</v>
    <v>8.6609999999999996</v>
    <v>8.6530000000000005</v>
    <v>8.6639999999999997</v>
    <v>8.5299999999999994</v>
    <v>8.6229999999999993</v>
    <v>8.6649999999999991</v>
    <v>8.8290000000000006</v>
    <v>8.7319999999999993</v>
    <v>8.7750000000000004</v>
    <v>8.7609999999999992</v>
    <v>8.7989999999999995</v>
    <v>8.7100000000000009</v>
    <v>8.7949999999999999</v>
    <v>8.7349999999999994</v>
    <v>8.5570000000000004</v>
    <v>8.4860000000000007</v>
    <v>8.4979999999999993</v>
    <v>8.5609999999999999</v>
    <v>8.5190000000000001</v>
    <v>8.49</v>
    <v>8.5</v>
    <v>8.5150000000000006</v>
    <v>8.2899999999999991</v>
    <v>8.2810000000000006</v>
    <v>8.4640000000000004</v>
    <v>8.2189999999999994</v>
    <v>8.1890000000000001</v>
    <v>8.0619999999999994</v>
    <v>8.0749999999999993</v>
    <v>8.2349999999999994</v>
    <v>8.3940000000000001</v>
    <v>8.2829999999999995</v>
    <v>8.1170000000000009</v>
    <v>8.2720000000000002</v>
    <v>8.3320000000000007</v>
    <v>8.2840000000000007</v>
    <v>8.3670000000000009</v>
    <v>8.3149999999999995</v>
    <v>8.3960000000000008</v>
    <v>8.0419999999999998</v>
    <v>8.0090000000000003</v>
    <v>8.1639999999999997</v>
    <v>8.266</v>
    <v>8.2119999999999997</v>
    <v>8.3079999999999998</v>
    <v>8.2080000000000002</v>
    <v>8.3369999999999997</v>
    <v>8.34</v>
    <v>8.4</v>
    <v>8.3239999999999998</v>
    <v>8.49</v>
    <v>8.4469999999999992</v>
    <v>8.4280000000000008</v>
    <v>8.375</v>
    <v>8.4429999999999996</v>
    <v>8.4979999999999993</v>
    <v>8.6180000000000003</v>
    <v>8.5419999999999998</v>
    <v>8.4090000000000007</v>
    <v>8.5</v>
    <v>8.4540000000000006</v>
    <v>8.5310000000000006</v>
    <v>8.4169999999999998</v>
    <v>8.2059999999999995</v>
    <v>8.2110000000000003</v>
    <v>8.1470000000000002</v>
    <v>8.4359999999999999</v>
    <v>8.5259999999999998</v>
    <v>8.5380000000000003</v>
    <v>8.8170000000000002</v>
    <v>8.5830000000000002</v>
    <v>8.4179999999999993</v>
    <v>8.4359999999999999</v>
    <v>8.4290000000000003</v>
    <v>8.6310000000000002</v>
    <v>8.8719999999999999</v>
    <v>9.0250000000000004</v>
    <v>9.0540000000000003</v>
    <v>9.202</v>
    <v>9.1300000000000008</v>
    <v>9.0719999999999992</v>
    <v>9.0540000000000003</v>
    <v>9.0389999999999997</v>
    <v>8.9060000000000006</v>
    <v>8.9540000000000006</v>
    <v>9.0180000000000007</v>
    <v>9.3339999999999996</v>
    <v>9.4060000000000006</v>
    <v>9.3680000000000003</v>
    <v>9.4779999999999998</v>
    <v>9.43</v>
    <v>9.52</v>
    <v>9.3670000000000009</v>
    <v>9.3970000000000002</v>
    <v>9.7040000000000006</v>
    <v>9.5990000000000002</v>
    <v>9.6440000000000001</v>
    <v>9.6649999999999991</v>
    <v>9.7780000000000005</v>
    <v>9.8239999999999998</v>
    <v>10.048</v>
    <v>10.186</v>
    <v>10.16</v>
    <v>9.9849999999999994</v>
    <v>10.016</v>
    <v>10.068</v>
    <v>10.704000000000001</v>
    <v>10.731999999999999</v>
    <v>10.656000000000001</v>
    <v>10.394</v>
    <v>10.194000000000001</v>
    <v>10.023999999999999</v>
    <v>9.68</v>
    <v>9.7070000000000007</v>
    <v>9.7360000000000007</v>
    <v>9.8870000000000005</v>
    <v>9.9489999999999998</v>
    <v>9.8529999999999998</v>
    <v>9.86</v>
    <v>9.7189999999999994</v>
    <v>9.7620000000000005</v>
    <v>9.7379999999999995</v>
    <v>9.7840000000000007</v>
    <v>9.8979999999999997</v>
    <v>9.7829999999999995</v>
    <v>9.8420000000000005</v>
    <v>10.188000000000001</v>
    <v>10.234</v>
    <v>10.507999999999999</v>
    <v>10.362</v>
    <v>10.3</v>
    <v>10.566000000000001</v>
    <v>10.548</v>
    <v>10.362</v>
    <v>10.638</v>
    <v>10.545999999999999</v>
    <v>10.587999999999999</v>
    <v>10.63</v>
    <v>10.436</v>
    <v>10.406000000000001</v>
    <v>10.321999999999999</v>
    <v>10.42</v>
    <v>10.288</v>
    <v>10.15</v>
    <v>9.98</v>
    <v>10.196</v>
    <v>10.32</v>
    <v>10.36</v>
    <v>10.31</v>
    <v>10.228</v>
    <v>10.295999999999999</v>
    <v>10.56</v>
    <v>10.818</v>
    <v>10.904</v>
    <v>10.83</v>
    <v>10.932</v>
    <v>11.112</v>
    <v>11.132</v>
    <v>11.18</v>
    <v>11.24</v>
    <v>11.208</v>
    <v>11.066000000000001</v>
    <v>10.89</v>
    <v>10.757999999999999</v>
    <v>10.657999999999999</v>
    <v>10.596</v>
    <v>10.564</v>
    <v>10.55</v>
    <v>10.52</v>
    <v>11.064</v>
    <v>11.122</v>
    <v>10.978</v>
    <v>10.85</v>
    <v>10.561999999999999</v>
    <v>10.718</v>
    <v>10.742000000000001</v>
    <v>10.68</v>
    <v>10.61</v>
    <v>10.63</v>
    <v>10.648</v>
    <v>10.632</v>
    <v>11.09</v>
    <v>11.135999999999999</v>
    <v>11.263999999999999</v>
    <v>11.388</v>
    <v>11.128</v>
    <v>11.39</v>
    <v>11.444000000000001</v>
    <v>11.651999999999999</v>
    <v>11.6</v>
    <v>11.47</v>
    <v>11.311999999999999</v>
    <v>11.34</v>
    <v>11.522</v>
    <v>11.682</v>
    <v>11.853999999999999</v>
    <v>11.96</v>
    <v>12.066000000000001</v>
    <v>11.986000000000001</v>
    <v>11.997999999999999</v>
    <v>12.272</v>
    <v>12.294</v>
    <v>12.178000000000001</v>
    <v>11.99</v>
    <v>11.77</v>
    <v>11.513999999999999</v>
    <v>11.667999999999999</v>
    <v>11.667999999999999</v>
    <v>11.904</v>
    <v>11.958</v>
    <v>12.167999999999999</v>
  </a>
  <a r="1" c="761">
    <v>6.1050000000000004</v>
    <v>6.1529999999999996</v>
    <v>6.0940000000000003</v>
    <v>6.0289999999999999</v>
    <v>6.0270000000000001</v>
    <v>5.9960000000000004</v>
    <v>6.1189999999999998</v>
    <v>6.1059999999999999</v>
    <v>6.11</v>
    <v>6.2030000000000003</v>
    <v>6.1529999999999996</v>
    <v>6.282</v>
    <v>6.266</v>
    <v>6.3040000000000003</v>
    <v>6.2969999999999997</v>
    <v>6.3280000000000003</v>
    <v>6.4249999999999998</v>
    <v>6.4790000000000001</v>
    <v>6.3470000000000004</v>
    <v>6.4240000000000004</v>
    <v>6.4729999999999999</v>
    <v>6.48</v>
    <v>6.5309999999999997</v>
    <v>6.5270000000000001</v>
    <v>6.5119999999999996</v>
    <v>6.5090000000000003</v>
    <v>6.5140000000000002</v>
    <v>6.6</v>
    <v>6.6189999999999998</v>
    <v>6.7089999999999996</v>
    <v>6.7489999999999997</v>
    <v>6.7859999999999996</v>
    <v>6.8330000000000002</v>
    <v>6.7709999999999999</v>
    <v>6.8079999999999998</v>
    <v>6.875</v>
    <v>6.8929999999999998</v>
    <v>6.8739999999999997</v>
    <v>6.9349999999999996</v>
    <v>7.024</v>
    <v>6.9850000000000003</v>
    <v>7.0220000000000002</v>
    <v>7.0259999999999998</v>
    <v>6.9580000000000002</v>
    <v>7.0149999999999997</v>
    <v>7.0119999999999996</v>
    <v>7.04</v>
    <v>7.0010000000000003</v>
    <v>6.9420000000000002</v>
    <v>6.8579999999999997</v>
    <v>6.7990000000000004</v>
    <v>6.7649999999999997</v>
    <v>6.8529999999999998</v>
    <v>6.9610000000000003</v>
    <v>6.9820000000000002</v>
    <v>6.9850000000000003</v>
    <v>7.0970000000000004</v>
    <v>7.1059999999999999</v>
    <v>7.1130000000000004</v>
    <v>7.0380000000000003</v>
    <v>7.1109999999999998</v>
    <v>7.1120000000000001</v>
    <v>7.3049999999999997</v>
    <v>7.2850000000000001</v>
    <v>7.3109999999999999</v>
    <v>7.3310000000000004</v>
    <v>7.3090000000000002</v>
    <v>7.3550000000000004</v>
    <v>7.3620000000000001</v>
    <v>7.2830000000000004</v>
    <v>7.2629999999999999</v>
    <v>7.4050000000000002</v>
    <v>7.3680000000000003</v>
    <v>7.399</v>
    <v>7.4809999999999999</v>
    <v>7.5490000000000004</v>
    <v>7.6689999999999996</v>
    <v>7.7149999999999999</v>
    <v>7.5670000000000002</v>
    <v>7.5979999999999999</v>
    <v>7.593</v>
    <v>7.5940000000000003</v>
    <v>7.5449999999999999</v>
    <v>7.4039999999999999</v>
    <v>7.1859999999999999</v>
    <v>7.3540000000000001</v>
    <v>7.3719999999999999</v>
    <v>7.4260000000000002</v>
    <v>7.4429999999999996</v>
    <v>7.4320000000000004</v>
    <v>7.5229999999999997</v>
    <v>7.5659999999999998</v>
    <v>7.5549999999999997</v>
    <v>7.4</v>
    <v>7.4960000000000004</v>
    <v>7.4569999999999999</v>
    <v>7.45</v>
    <v>7.4180000000000001</v>
    <v>7.4539999999999997</v>
    <v>7.4409999999999998</v>
    <v>7.4050000000000002</v>
    <v>7.3209999999999997</v>
    <v>7.38</v>
    <v>7.335</v>
    <v>7.3410000000000002</v>
    <v>7.4550000000000001</v>
    <v>7.4169999999999998</v>
    <v>7.3810000000000002</v>
    <v>7.39</v>
    <v>7.3630000000000004</v>
    <v>7.4359999999999999</v>
    <v>7.2969999999999997</v>
    <v>7.31</v>
    <v>7.3319999999999999</v>
    <v>7.2569999999999997</v>
    <v>7.306</v>
    <v>7.2910000000000004</v>
    <v>7.2949999999999999</v>
    <v>7.319</v>
    <v>7.31</v>
    <v>7.2229999999999999</v>
    <v>7.0869999999999997</v>
    <v>7.0419999999999998</v>
    <v>7.0529999999999999</v>
    <v>6.96</v>
    <v>6.96</v>
    <v>7.1230000000000002</v>
    <v>7.1340000000000003</v>
    <v>7.0209999999999999</v>
    <v>7.1680000000000001</v>
    <v>7.1740000000000004</v>
    <v>7.0970000000000004</v>
    <v>7.0990000000000002</v>
    <v>7.0990000000000002</v>
    <v>7.1740000000000004</v>
    <v>7.181</v>
    <v>7.1829999999999998</v>
    <v>7.1879999999999997</v>
    <v>7.2089999999999996</v>
    <v>7.173</v>
    <v>7.2080000000000002</v>
    <v>7.2919999999999998</v>
    <v>7.3289999999999997</v>
    <v>7.2990000000000004</v>
    <v>7.3010000000000002</v>
    <v>7.2960000000000003</v>
    <v>7.298</v>
    <v>7.28</v>
    <v>7.2640000000000002</v>
    <v>7.2789999999999999</v>
    <v>7.2030000000000003</v>
    <v>7.1760000000000002</v>
    <v>7.0389999999999997</v>
    <v>6.8949999999999996</v>
    <v>6.9249999999999998</v>
    <v>6.9139999999999997</v>
    <v>6.9859999999999998</v>
    <v>7.0170000000000003</v>
    <v>7.0279999999999996</v>
    <v>7.1130000000000004</v>
    <v>7.085</v>
    <v>7.1829999999999998</v>
    <v>7.1449999999999996</v>
    <v>7.141</v>
    <v>7.1029999999999998</v>
    <v>7.14</v>
    <v>7.1289999999999996</v>
    <v>7.1529999999999996</v>
    <v>7.1680000000000001</v>
    <v>7.2089999999999996</v>
    <v>7.1920000000000002</v>
    <v>7.22</v>
    <v>7.3129999999999997</v>
    <v>7.399</v>
    <v>7.3710000000000004</v>
    <v>7.391</v>
    <v>7.407</v>
    <v>7.3739999999999997</v>
    <v>7.3769999999999998</v>
    <v>7.38</v>
    <v>7.3120000000000003</v>
    <v>7.2679999999999998</v>
    <v>7.3540000000000001</v>
    <v>7.4379999999999997</v>
    <v>7.4720000000000004</v>
    <v>7.5259999999999998</v>
    <v>7.4450000000000003</v>
    <v>7.4009999999999998</v>
    <v>7.3330000000000002</v>
    <v>7.367</v>
    <v>7.4820000000000002</v>
    <v>7.3949999999999996</v>
    <v>7.3650000000000002</v>
    <v>7.3550000000000004</v>
    <v>7.3940000000000001</v>
    <v>7.4409999999999998</v>
    <v>7.5739999999999998</v>
    <v>7.391</v>
    <v>7.0430000000000001</v>
    <v>6.8869999999999996</v>
    <v>6.9489999999999998</v>
    <v>7.1470000000000002</v>
    <v>7.141</v>
    <v>7.2220000000000004</v>
    <v>7.2279999999999998</v>
    <v>7.3259999999999996</v>
    <v>7.3330000000000002</v>
    <v>7.4550000000000001</v>
    <v>7.4880000000000004</v>
    <v>7.5039999999999996</v>
    <v>7.51</v>
    <v>7.5490000000000004</v>
    <v>7.5369999999999999</v>
    <v>7.56</v>
    <v>7.5350000000000001</v>
    <v>7.5309999999999997</v>
    <v>7.6959999999999997</v>
    <v>7.6520000000000001</v>
    <v>7.7210000000000001</v>
    <v>7.6609999999999996</v>
    <v>7.5279999999999996</v>
    <v>7.4740000000000002</v>
    <v>7.3550000000000004</v>
    <v>7.4470000000000001</v>
    <v>7.452</v>
    <v>7.415</v>
    <v>7.58</v>
    <v>7.6470000000000002</v>
    <v>7.641</v>
    <v>7.6929999999999996</v>
    <v>7.5940000000000003</v>
    <v>7.71</v>
    <v>7.69</v>
    <v>7.7560000000000002</v>
    <v>7.76</v>
    <v>7.72</v>
    <v>7.7439999999999998</v>
    <v>7.7640000000000002</v>
    <v>7.7549999999999999</v>
    <v>7.73</v>
    <v>7.76</v>
    <v>7.7480000000000002</v>
    <v>7.8380000000000001</v>
    <v>7.8380000000000001</v>
    <v>7.8959999999999999</v>
    <v>8.0060000000000002</v>
    <v>8.0570000000000004</v>
    <v>8.1329999999999991</v>
    <v>8.1609999999999996</v>
    <v>8.1389999999999993</v>
    <v>8.16</v>
    <v>8.1880000000000006</v>
    <v>8.1969999999999992</v>
    <v>8.1189999999999998</v>
    <v>8.0950000000000006</v>
    <v>8.0210000000000008</v>
    <v>8.0220000000000002</v>
    <v>8.07</v>
    <v>8.0860000000000003</v>
    <v>8.1329999999999991</v>
    <v>8.0860000000000003</v>
    <v>7.9770000000000003</v>
    <v>8.0090000000000003</v>
    <v>7.968</v>
    <v>7.9770000000000003</v>
    <v>8.3460000000000001</v>
    <v>8.4149999999999991</v>
    <v>8.5090000000000003</v>
    <v>8.6440000000000001</v>
    <v>8.6140000000000008</v>
    <v>8.7539999999999996</v>
    <v>8.6050000000000004</v>
    <v>8.423</v>
    <v>8.3970000000000002</v>
    <v>8.3829999999999991</v>
    <v>8.4380000000000006</v>
    <v>8.7010000000000005</v>
    <v>8.8719999999999999</v>
    <v>8.9209999999999994</v>
    <v>8.9239999999999995</v>
    <v>8.7669999999999995</v>
    <v>8.8209999999999997</v>
    <v>8.8469999999999995</v>
    <v>8.968</v>
    <v>8.9139999999999997</v>
    <v>9.0370000000000008</v>
    <v>8.9740000000000002</v>
    <v>9.0500000000000007</v>
    <v>9.0120000000000005</v>
    <v>8.9440000000000008</v>
    <v>8.9809999999999999</v>
    <v>9.0039999999999996</v>
    <v>8.984</v>
    <v>8.9420000000000002</v>
    <v>8.9659999999999993</v>
    <v>8.9359999999999999</v>
    <v>8.7929999999999993</v>
    <v>8.8369999999999997</v>
    <v>8.7569999999999997</v>
    <v>8.7629999999999999</v>
    <v>8.7029999999999994</v>
    <v>8.8569999999999993</v>
    <v>8.8450000000000006</v>
    <v>8.8729999999999993</v>
    <v>8.7850000000000001</v>
    <v>8.7609999999999992</v>
    <v>8.8170000000000002</v>
    <v>8.75</v>
    <v>8.6679999999999993</v>
    <v>8.7260000000000009</v>
    <v>8.8160000000000007</v>
    <v>8.8780000000000001</v>
    <v>8.8699999999999992</v>
    <v>8.8390000000000004</v>
    <v>8.875</v>
    <v>8.9849999999999994</v>
    <v>9.0280000000000005</v>
    <v>9.0449999999999999</v>
    <v>8.8420000000000005</v>
    <v>9.0340000000000007</v>
    <v>9.0310000000000006</v>
    <v>9.1240000000000006</v>
    <v>9.25</v>
    <v>9.1829999999999998</v>
    <v>9.2210000000000001</v>
    <v>9.2970000000000006</v>
    <v>9.4169999999999998</v>
    <v>9.484</v>
    <v>9.5389999999999997</v>
    <v>9.4659999999999993</v>
    <v>9.3919999999999995</v>
    <v>9.4320000000000004</v>
    <v>9.4060000000000006</v>
    <v>9.468</v>
    <v>9.4719999999999995</v>
    <v>9.4540000000000006</v>
    <v>9.2249999999999996</v>
    <v>9.2260000000000009</v>
    <v>8.9589999999999996</v>
    <v>8.7859999999999996</v>
    <v>8.9860000000000007</v>
    <v>9.0329999999999995</v>
    <v>8.8510000000000009</v>
    <v>8.8610000000000007</v>
    <v>8.5519999999999996</v>
    <v>8.4990000000000006</v>
    <v>8.5050000000000008</v>
    <v>8.1820000000000004</v>
    <v>8.1159999999999997</v>
    <v>8.0109999999999992</v>
    <v>8.0820000000000007</v>
    <v>7.952</v>
    <v>8.0920000000000005</v>
    <v>8.1809999999999992</v>
    <v>8.173</v>
    <v>8.2910000000000004</v>
    <v>8.2579999999999991</v>
    <v>8.2309999999999999</v>
    <v>8.3859999999999992</v>
    <v>8.4209999999999994</v>
    <v>8.3390000000000004</v>
    <v>8.2539999999999996</v>
    <v>8.0370000000000008</v>
    <v>7.91</v>
    <v>8.02</v>
    <v>8.0609999999999999</v>
    <v>7.5650000000000004</v>
    <v>7.2359999999999998</v>
    <v>7.165</v>
    <v>7.35</v>
    <v>6.9669999999999996</v>
    <v>7.2539999999999996</v>
    <v>7.1559999999999997</v>
    <v>7.3369999999999997</v>
    <v>7.4340000000000002</v>
    <v>7.4020000000000001</v>
    <v>7.3019999999999996</v>
    <v>7.181</v>
    <v>7.4779999999999998</v>
    <v>7.556</v>
    <v>7.6289999999999996</v>
    <v>7.6459999999999999</v>
    <v>7.7510000000000003</v>
    <v>7.7830000000000004</v>
    <v>7.9630000000000001</v>
    <v>8.07</v>
    <v>8.032</v>
    <v>7.9740000000000002</v>
    <v>8.109</v>
    <v>8.1419999999999995</v>
    <v>8.4489999999999998</v>
    <v>8.5239999999999991</v>
    <v>8.4819999999999993</v>
    <v>8.4939999999999998</v>
    <v>8.5549999999999997</v>
    <v>8.4589999999999996</v>
    <v>8.4740000000000002</v>
    <v>8.3970000000000002</v>
    <v>8.3859999999999992</v>
    <v>8.2850000000000001</v>
    <v>8.3610000000000007</v>
    <v>8.4169999999999998</v>
    <v>8.4030000000000005</v>
    <v>8.3010000000000002</v>
    <v>8.3089999999999993</v>
    <v>8.3190000000000008</v>
    <v>8.4480000000000004</v>
    <v>8.4749999999999996</v>
    <v>8.5069999999999997</v>
    <v>8.5060000000000002</v>
    <v>8.5079999999999991</v>
    <v>8.4740000000000002</v>
    <v>8.4749999999999996</v>
    <v>8.3940000000000001</v>
    <v>8.3190000000000008</v>
    <v>8.359</v>
    <v>8.3729999999999993</v>
    <v>8.3529999999999998</v>
    <v>8.2539999999999996</v>
    <v>8.2530000000000001</v>
    <v>8.2620000000000005</v>
    <v>8.3539999999999992</v>
    <v>8.3670000000000009</v>
    <v>8.3369999999999997</v>
    <v>8.3550000000000004</v>
    <v>8.3759999999999994</v>
    <v>8.2690000000000001</v>
    <v>8.2759999999999998</v>
    <v>8.4589999999999996</v>
    <v>8.3849999999999998</v>
    <v>8.4160000000000004</v>
    <v>8.3940000000000001</v>
    <v>8.407</v>
    <v>8.3369999999999997</v>
    <v>8.1739999999999995</v>
    <v>8.1579999999999995</v>
    <v>8.2189999999999994</v>
    <v>8.1080000000000005</v>
    <v>8.3810000000000002</v>
    <v>8.3620000000000001</v>
    <v>8.3759999999999994</v>
    <v>8.3030000000000008</v>
    <v>8.3550000000000004</v>
    <v>8.31</v>
    <v>8.4019999999999992</v>
    <v>8.4390000000000001</v>
    <v>8.5280000000000005</v>
    <v>8.5939999999999994</v>
    <v>8.5719999999999992</v>
    <v>8.2319999999999993</v>
    <v>8.3740000000000006</v>
    <v>8.3350000000000009</v>
    <v>8.3620000000000001</v>
    <v>8.2789999999999999</v>
    <v>8.2010000000000005</v>
    <v>8.23</v>
    <v>8.2360000000000007</v>
    <v>8.3059999999999992</v>
    <v>8.2040000000000006</v>
    <v>8.2859999999999996</v>
    <v>8.2829999999999995</v>
    <v>8.218</v>
    <v>8.218</v>
    <v>8.3659999999999997</v>
    <v>8.3239999999999998</v>
    <v>8.3219999999999992</v>
    <v>8.5030000000000001</v>
    <v>8.5429999999999993</v>
    <v>8.5289999999999999</v>
    <v>8.5449999999999999</v>
    <v>8.3979999999999997</v>
    <v>8.4350000000000005</v>
    <v>8.5410000000000004</v>
    <v>8.5500000000000007</v>
    <v>8.66</v>
    <v>8.6989999999999998</v>
    <v>8.7720000000000002</v>
    <v>8.8610000000000007</v>
    <v>8.7919999999999998</v>
    <v>8.8119999999999994</v>
    <v>8.7010000000000005</v>
    <v>8.718</v>
    <v>8.8810000000000002</v>
    <v>8.86</v>
    <v>8.8569999999999993</v>
    <v>8.8740000000000006</v>
    <v>8.8040000000000003</v>
    <v>8.7530000000000001</v>
    <v>8.782</v>
    <v>8.8089999999999993</v>
    <v>8.7579999999999991</v>
    <v>8.7910000000000004</v>
    <v>8.8369999999999997</v>
    <v>8.9149999999999991</v>
    <v>8.9890000000000008</v>
    <v>8.84</v>
    <v>9.0340000000000007</v>
    <v>9.0779999999999994</v>
    <v>8.8480000000000008</v>
    <v>8.9320000000000004</v>
    <v>8.8650000000000002</v>
    <v>8.9139999999999997</v>
    <v>8.8559999999999999</v>
    <v>8.6859999999999999</v>
    <v>8.8970000000000002</v>
    <v>8.9990000000000006</v>
    <v>8.8879999999999999</v>
    <v>8.99</v>
    <v>9.0990000000000002</v>
    <v>9.1120000000000001</v>
    <v>9.1289999999999996</v>
    <v>9.0069999999999997</v>
    <v>9.1389999999999993</v>
    <v>9.1</v>
    <v>9.1590000000000007</v>
    <v>8.9939999999999998</v>
    <v>9.0090000000000003</v>
    <v>8.8949999999999996</v>
    <v>8.7509999999999994</v>
    <v>9.01</v>
    <v>8.99</v>
    <v>8.9870000000000001</v>
    <v>8.7680000000000007</v>
    <v>8.7420000000000009</v>
    <v>8.6590000000000007</v>
    <v>8.4629999999999992</v>
    <v>8.4870000000000001</v>
    <v>8.4320000000000004</v>
    <v>8.3059999999999992</v>
    <v>8.5150000000000006</v>
    <v>8.5340000000000007</v>
    <v>8.5399999999999991</v>
    <v>8.5830000000000002</v>
    <v>8.5890000000000004</v>
    <v>8.5039999999999996</v>
    <v>8.5250000000000004</v>
    <v>8.5129999999999999</v>
    <v>8.5730000000000004</v>
    <v>8.6080000000000005</v>
    <v>8.73</v>
    <v>8.7810000000000006</v>
    <v>8.81</v>
    <v>8.7249999999999996</v>
    <v>8.6240000000000006</v>
    <v>8.6539999999999999</v>
    <v>8.5730000000000004</v>
    <v>8.5399999999999991</v>
    <v>8.6</v>
    <v>8.6579999999999995</v>
    <v>8.7159999999999993</v>
    <v>8.6609999999999996</v>
    <v>8.6530000000000005</v>
    <v>8.6639999999999997</v>
    <v>8.5299999999999994</v>
    <v>8.6229999999999993</v>
    <v>8.6649999999999991</v>
    <v>8.8290000000000006</v>
    <v>8.7319999999999993</v>
    <v>8.7750000000000004</v>
    <v>8.7609999999999992</v>
    <v>8.7989999999999995</v>
    <v>8.7100000000000009</v>
    <v>8.7949999999999999</v>
    <v>8.7349999999999994</v>
    <v>8.5570000000000004</v>
    <v>8.4860000000000007</v>
    <v>8.4979999999999993</v>
    <v>8.5609999999999999</v>
    <v>8.5190000000000001</v>
    <v>8.49</v>
    <v>8.5</v>
    <v>8.5150000000000006</v>
    <v>8.2899999999999991</v>
    <v>8.2810000000000006</v>
    <v>8.4640000000000004</v>
    <v>8.2189999999999994</v>
    <v>8.1890000000000001</v>
    <v>8.0619999999999994</v>
    <v>8.0749999999999993</v>
    <v>8.2349999999999994</v>
    <v>8.3940000000000001</v>
    <v>8.2829999999999995</v>
    <v>8.1170000000000009</v>
    <v>8.2720000000000002</v>
    <v>8.3320000000000007</v>
    <v>8.2840000000000007</v>
    <v>8.3670000000000009</v>
    <v>8.3149999999999995</v>
    <v>8.3960000000000008</v>
    <v>8.0419999999999998</v>
    <v>8.0090000000000003</v>
    <v>8.1639999999999997</v>
    <v>8.266</v>
    <v>8.2119999999999997</v>
    <v>8.3079999999999998</v>
    <v>8.2080000000000002</v>
    <v>8.3369999999999997</v>
    <v>8.34</v>
    <v>8.4</v>
    <v>8.3239999999999998</v>
    <v>8.49</v>
    <v>8.4469999999999992</v>
    <v>8.4280000000000008</v>
    <v>8.375</v>
    <v>8.4429999999999996</v>
    <v>8.4979999999999993</v>
    <v>8.6180000000000003</v>
    <v>8.5419999999999998</v>
    <v>8.4090000000000007</v>
    <v>8.5</v>
    <v>8.4540000000000006</v>
    <v>8.5310000000000006</v>
    <v>8.4169999999999998</v>
    <v>8.2059999999999995</v>
    <v>8.2110000000000003</v>
    <v>8.1470000000000002</v>
    <v>8.4359999999999999</v>
    <v>8.5259999999999998</v>
    <v>8.5380000000000003</v>
    <v>8.8170000000000002</v>
    <v>8.5830000000000002</v>
    <v>8.4179999999999993</v>
    <v>8.4359999999999999</v>
    <v>8.4290000000000003</v>
    <v>8.6310000000000002</v>
    <v>8.8719999999999999</v>
    <v>9.0250000000000004</v>
    <v>9.0540000000000003</v>
    <v>9.202</v>
    <v>9.1300000000000008</v>
    <v>9.0719999999999992</v>
    <v>9.0540000000000003</v>
    <v>9.0389999999999997</v>
    <v>8.9060000000000006</v>
    <v>8.9540000000000006</v>
    <v>9.0180000000000007</v>
    <v>9.3339999999999996</v>
    <v>9.4060000000000006</v>
    <v>9.3680000000000003</v>
    <v>9.4779999999999998</v>
    <v>9.43</v>
    <v>9.52</v>
    <v>9.3670000000000009</v>
    <v>9.3970000000000002</v>
    <v>9.7040000000000006</v>
    <v>9.5990000000000002</v>
    <v>9.6440000000000001</v>
    <v>9.6649999999999991</v>
    <v>9.7780000000000005</v>
    <v>9.8239999999999998</v>
    <v>10.048</v>
    <v>10.186</v>
    <v>10.16</v>
    <v>9.9849999999999994</v>
    <v>10.016</v>
    <v>10.068</v>
    <v>10.704000000000001</v>
    <v>10.731999999999999</v>
    <v>10.656000000000001</v>
    <v>10.394</v>
    <v>10.194000000000001</v>
    <v>10.023999999999999</v>
    <v>9.68</v>
    <v>9.7070000000000007</v>
    <v>9.7360000000000007</v>
    <v>9.8870000000000005</v>
    <v>9.9489999999999998</v>
    <v>9.8529999999999998</v>
    <v>9.86</v>
    <v>9.7189999999999994</v>
    <v>9.7620000000000005</v>
    <v>9.7379999999999995</v>
    <v>9.7840000000000007</v>
    <v>9.8979999999999997</v>
    <v>9.7829999999999995</v>
    <v>9.8420000000000005</v>
    <v>10.188000000000001</v>
    <v>10.234</v>
    <v>10.507999999999999</v>
    <v>10.362</v>
    <v>10.3</v>
    <v>10.566000000000001</v>
    <v>10.548</v>
    <v>10.362</v>
    <v>10.638</v>
    <v>10.545999999999999</v>
    <v>10.587999999999999</v>
    <v>10.63</v>
    <v>10.436</v>
    <v>10.406000000000001</v>
    <v>10.321999999999999</v>
    <v>10.42</v>
    <v>10.288</v>
    <v>10.15</v>
    <v>9.98</v>
    <v>10.196</v>
    <v>10.32</v>
    <v>10.36</v>
    <v>10.31</v>
    <v>10.228</v>
    <v>10.295999999999999</v>
    <v>10.56</v>
    <v>10.818</v>
    <v>10.904</v>
    <v>10.83</v>
    <v>10.932</v>
    <v>11.112</v>
    <v>11.132</v>
    <v>11.18</v>
    <v>11.24</v>
    <v>11.208</v>
    <v>11.066000000000001</v>
    <v>10.89</v>
    <v>10.757999999999999</v>
    <v>10.657999999999999</v>
    <v>10.596</v>
    <v>10.564</v>
    <v>10.55</v>
    <v>10.52</v>
    <v>11.064</v>
    <v>11.122</v>
    <v>10.978</v>
    <v>10.85</v>
    <v>10.561999999999999</v>
    <v>10.718</v>
    <v>10.742000000000001</v>
    <v>10.68</v>
    <v>10.61</v>
    <v>10.63</v>
    <v>10.648</v>
    <v>10.632</v>
    <v>11.09</v>
    <v>11.135999999999999</v>
    <v>11.263999999999999</v>
    <v>11.388</v>
    <v>11.128</v>
    <v>11.39</v>
    <v>11.444000000000001</v>
    <v>11.651999999999999</v>
    <v>11.6</v>
    <v>11.47</v>
    <v>11.311999999999999</v>
    <v>11.34</v>
    <v>11.522</v>
    <v>11.682</v>
    <v>11.853999999999999</v>
    <v>11.96</v>
    <v>12.066000000000001</v>
    <v>11.986000000000001</v>
    <v>11.997999999999999</v>
    <v>12.272</v>
    <v>12.294</v>
    <v>12.178000000000001</v>
    <v>11.99</v>
    <v>11.77</v>
    <v>11.513999999999999</v>
    <v>11.667999999999999</v>
    <v>11.667999999999999</v>
    <v>11.904</v>
    <v>11.958</v>
    <v>12.167999999999999</v>
  </a>
  <a r="1" c="254">
    <v>38.799999999999997</v>
    <v>38.909999999999997</v>
    <v>39.049999999999997</v>
    <v>39.07</v>
    <v>39.725000000000001</v>
    <v>38.884999999999998</v>
    <v>38.83</v>
    <v>38.795000000000002</v>
    <v>38.064999999999998</v>
    <v>38.119999999999997</v>
    <v>37.914999999999999</v>
    <v>37.844999999999999</v>
    <v>38.35</v>
    <v>38.545000000000002</v>
    <v>39.020000000000003</v>
    <v>38.865000000000002</v>
    <v>38.590000000000003</v>
    <v>38.19</v>
    <v>38.049999999999997</v>
    <v>38.274999999999999</v>
    <v>38.284999999999997</v>
    <v>38.375</v>
    <v>38.24</v>
    <v>38.274999999999999</v>
    <v>38.99</v>
    <v>38.78</v>
    <v>39.75</v>
    <v>39.725000000000001</v>
    <v>39.43</v>
    <v>40.380000000000003</v>
    <v>40.104999999999997</v>
    <v>40.770000000000003</v>
    <v>40.695</v>
    <v>39.94</v>
    <v>40.049999999999997</v>
    <v>40.65</v>
    <v>39.58</v>
    <v>40.14</v>
    <v>39.61</v>
    <v>40.145000000000003</v>
    <v>40.520000000000003</v>
    <v>40.99</v>
    <v>40.895000000000003</v>
    <v>41.174999999999997</v>
    <v>41.53</v>
    <v>42.65</v>
    <v>42.375</v>
    <v>44.155000000000001</v>
    <v>45.365000000000002</v>
    <v>43.965000000000003</v>
    <v>43.43</v>
    <v>44.44</v>
    <v>45.145000000000003</v>
    <v>45.125</v>
    <v>45.335000000000001</v>
    <v>45.085000000000001</v>
    <v>43.805</v>
    <v>44.274999999999999</v>
    <v>43.26</v>
    <v>43.325000000000003</v>
    <v>42.9</v>
    <v>44.2</v>
    <v>44.064999999999998</v>
    <v>42.844999999999999</v>
    <v>43.32</v>
    <v>44.984999999999999</v>
    <v>43.734999999999999</v>
    <v>43.2</v>
    <v>45.17</v>
    <v>43.87</v>
    <v>43.21</v>
    <v>43.305</v>
    <v>43.765000000000001</v>
    <v>43.4</v>
    <v>43.755000000000003</v>
    <v>42.884999999999998</v>
    <v>42.77</v>
    <v>42.715000000000003</v>
    <v>42.024999999999999</v>
    <v>42.945</v>
    <v>42.9</v>
    <v>43.19</v>
    <v>42.984999999999999</v>
    <v>43.89</v>
    <v>44.42</v>
    <v>44.55</v>
    <v>44.48</v>
    <v>44.17</v>
    <v>43.905000000000001</v>
    <v>43.95</v>
    <v>43.814999999999998</v>
    <v>43.545000000000002</v>
    <v>43.805</v>
    <v>44.305</v>
    <v>44.19</v>
    <v>44.25</v>
    <v>43.82</v>
    <v>44.15</v>
    <v>43.51</v>
    <v>42.354999999999997</v>
    <v>41.32</v>
    <v>40.53</v>
    <v>41.08</v>
    <v>40.96</v>
    <v>41.734999999999999</v>
    <v>41.33</v>
    <v>41.49</v>
    <v>41.81</v>
    <v>42.12</v>
    <v>42.215000000000003</v>
    <v>42.16</v>
    <v>41.825000000000003</v>
    <v>42.875</v>
    <v>42.9</v>
    <v>43.73</v>
    <v>44.384999999999998</v>
    <v>44.94</v>
    <v>44.814999999999998</v>
    <v>44.99</v>
    <v>45.14</v>
    <v>44.774999999999999</v>
    <v>44.725000000000001</v>
    <v>45.49</v>
    <v>45.36</v>
    <v>44.924999999999997</v>
    <v>44.625</v>
    <v>44</v>
    <v>43.895000000000003</v>
    <v>43.88</v>
    <v>43.104999999999997</v>
    <v>44.3</v>
    <v>45.414999999999999</v>
    <v>45.585000000000001</v>
    <v>46.27</v>
    <v>47.61</v>
    <v>48.094999999999999</v>
    <v>49.164999999999999</v>
    <v>48.81</v>
    <v>46.755000000000003</v>
    <v>46.78</v>
    <v>46.06</v>
    <v>46.97</v>
    <v>46.924999999999997</v>
    <v>47.515000000000001</v>
    <v>48.01</v>
    <v>47.594999999999999</v>
    <v>47.134999999999998</v>
    <v>47.43</v>
    <v>47.475000000000001</v>
    <v>48.765000000000001</v>
    <v>49.72</v>
    <v>48.604999999999997</v>
    <v>48.625</v>
    <v>47.204999999999998</v>
    <v>47.75</v>
    <v>47.664999999999999</v>
    <v>46.984999999999999</v>
    <v>47.125</v>
    <v>48.115000000000002</v>
    <v>48.445</v>
    <v>48.68</v>
    <v>48.515000000000001</v>
    <v>48.335000000000001</v>
    <v>47.854999999999997</v>
    <v>48.24</v>
    <v>46.854999999999997</v>
    <v>45.664999999999999</v>
    <v>46.26</v>
    <v>46.65</v>
    <v>46.21</v>
    <v>47.15</v>
    <v>46.704999999999998</v>
    <v>46.39</v>
    <v>46.604999999999997</v>
    <v>46.895000000000003</v>
    <v>46.77</v>
    <v>45.755000000000003</v>
    <v>47.1</v>
    <v>47.19</v>
    <v>47.674999999999997</v>
    <v>48.005000000000003</v>
    <v>47.85</v>
    <v>47.835000000000001</v>
    <v>47.07</v>
    <v>47.814999999999998</v>
    <v>49.27</v>
    <v>48.994999999999997</v>
    <v>47.924999999999997</v>
    <v>48.104999999999997</v>
    <v>48.32</v>
    <v>47.91</v>
    <v>47.685000000000002</v>
    <v>48.234999999999999</v>
    <v>48.55</v>
    <v>48.664999999999999</v>
    <v>49.64</v>
    <v>49.96</v>
    <v>50.21</v>
    <v>49.215000000000003</v>
    <v>49.44</v>
    <v>49.454999999999998</v>
    <v>49.54</v>
    <v>49.325000000000003</v>
    <v>49.02</v>
    <v>49.164999999999999</v>
    <v>48.27</v>
    <v>47.96</v>
    <v>47.895000000000003</v>
    <v>48.59</v>
    <v>48.98</v>
    <v>49.365000000000002</v>
    <v>48.94</v>
    <v>48.655000000000001</v>
    <v>48.975000000000001</v>
    <v>48.844999999999999</v>
    <v>48.4</v>
    <v>48.484999999999999</v>
    <v>48.77</v>
    <v>48.92</v>
    <v>49.085000000000001</v>
    <v>50.11</v>
    <v>49.92</v>
    <v>47.81</v>
    <v>48.085000000000001</v>
    <v>46.98</v>
    <v>47.36</v>
    <v>47.984999999999999</v>
    <v>49.32</v>
    <v>49.49</v>
    <v>50.25</v>
    <v>50.82</v>
    <v>50.64</v>
    <v>50.61</v>
    <v>50.49</v>
    <v>49.61</v>
    <v>49.685000000000002</v>
    <v>49.64</v>
    <v>49.58</v>
    <v>49.54</v>
    <v>50.52</v>
    <v>50.28</v>
    <v>50.73</v>
    <v>50.16</v>
    <v>50.93</v>
    <v>51.52</v>
    <v>51.25</v>
    <v>51.14</v>
    <v>49.994999999999997</v>
    <v>50</v>
    <v>49.895000000000003</v>
    <v>50.08</v>
    <v>49.965000000000003</v>
    <v>48.795000000000002</v>
    <v>49.674999999999997</v>
  </a>
  <a r="1" c="208">
    <v>42.375</v>
    <v>44.155000000000001</v>
    <v>45.365000000000002</v>
    <v>43.965000000000003</v>
    <v>43.43</v>
    <v>44.44</v>
    <v>45.145000000000003</v>
    <v>45.125</v>
    <v>45.335000000000001</v>
    <v>45.085000000000001</v>
    <v>43.805</v>
    <v>44.274999999999999</v>
    <v>43.26</v>
    <v>43.325000000000003</v>
    <v>42.9</v>
    <v>44.2</v>
    <v>44.064999999999998</v>
    <v>42.844999999999999</v>
    <v>43.32</v>
    <v>44.984999999999999</v>
    <v>43.734999999999999</v>
    <v>43.2</v>
    <v>45.17</v>
    <v>43.87</v>
    <v>43.21</v>
    <v>43.305</v>
    <v>43.765000000000001</v>
    <v>43.4</v>
    <v>43.755000000000003</v>
    <v>42.884999999999998</v>
    <v>42.77</v>
    <v>42.715000000000003</v>
    <v>42.024999999999999</v>
    <v>42.945</v>
    <v>42.9</v>
    <v>43.19</v>
    <v>42.984999999999999</v>
    <v>43.89</v>
    <v>44.42</v>
    <v>44.55</v>
    <v>44.48</v>
    <v>44.17</v>
    <v>43.905000000000001</v>
    <v>43.95</v>
    <v>43.814999999999998</v>
    <v>43.545000000000002</v>
    <v>43.805</v>
    <v>44.305</v>
    <v>44.19</v>
    <v>44.25</v>
    <v>43.82</v>
    <v>44.15</v>
    <v>43.51</v>
    <v>42.354999999999997</v>
    <v>41.32</v>
    <v>40.53</v>
    <v>41.08</v>
    <v>40.96</v>
    <v>41.734999999999999</v>
    <v>41.33</v>
    <v>41.49</v>
    <v>41.81</v>
    <v>42.12</v>
    <v>42.215000000000003</v>
    <v>42.16</v>
    <v>41.825000000000003</v>
    <v>42.875</v>
    <v>42.9</v>
    <v>43.73</v>
    <v>44.384999999999998</v>
    <v>44.94</v>
    <v>44.814999999999998</v>
    <v>44.99</v>
    <v>45.14</v>
    <v>44.774999999999999</v>
    <v>44.725000000000001</v>
    <v>45.49</v>
    <v>45.36</v>
    <v>44.924999999999997</v>
    <v>44.625</v>
    <v>44</v>
    <v>43.895000000000003</v>
    <v>43.88</v>
    <v>43.104999999999997</v>
    <v>44.3</v>
    <v>45.414999999999999</v>
    <v>45.585000000000001</v>
    <v>46.27</v>
    <v>47.61</v>
    <v>48.094999999999999</v>
    <v>49.164999999999999</v>
    <v>48.81</v>
    <v>46.755000000000003</v>
    <v>46.78</v>
    <v>46.06</v>
    <v>46.97</v>
    <v>46.924999999999997</v>
    <v>47.515000000000001</v>
    <v>48.01</v>
    <v>47.594999999999999</v>
    <v>47.134999999999998</v>
    <v>47.43</v>
    <v>47.475000000000001</v>
    <v>48.765000000000001</v>
    <v>49.72</v>
    <v>48.604999999999997</v>
    <v>48.625</v>
    <v>47.204999999999998</v>
    <v>47.75</v>
    <v>47.664999999999999</v>
    <v>46.984999999999999</v>
    <v>47.125</v>
    <v>48.115000000000002</v>
    <v>48.445</v>
    <v>48.68</v>
    <v>48.515000000000001</v>
    <v>48.335000000000001</v>
    <v>47.854999999999997</v>
    <v>48.24</v>
    <v>46.854999999999997</v>
    <v>45.664999999999999</v>
    <v>46.26</v>
    <v>46.65</v>
    <v>46.21</v>
    <v>47.15</v>
    <v>46.704999999999998</v>
    <v>46.39</v>
    <v>46.604999999999997</v>
    <v>46.895000000000003</v>
    <v>46.77</v>
    <v>45.755000000000003</v>
    <v>47.1</v>
    <v>47.19</v>
    <v>47.674999999999997</v>
    <v>48.005000000000003</v>
    <v>47.85</v>
    <v>47.835000000000001</v>
    <v>47.07</v>
    <v>47.814999999999998</v>
    <v>49.27</v>
    <v>48.994999999999997</v>
    <v>47.924999999999997</v>
    <v>48.104999999999997</v>
    <v>48.32</v>
    <v>47.91</v>
    <v>47.685000000000002</v>
    <v>48.234999999999999</v>
    <v>48.55</v>
    <v>48.664999999999999</v>
    <v>49.64</v>
    <v>49.96</v>
    <v>50.21</v>
    <v>49.215000000000003</v>
    <v>49.44</v>
    <v>49.454999999999998</v>
    <v>49.54</v>
    <v>49.325000000000003</v>
    <v>49.02</v>
    <v>49.164999999999999</v>
    <v>48.27</v>
    <v>47.96</v>
    <v>47.895000000000003</v>
    <v>48.59</v>
    <v>48.98</v>
    <v>49.365000000000002</v>
    <v>48.94</v>
    <v>48.655000000000001</v>
    <v>48.975000000000001</v>
    <v>48.844999999999999</v>
    <v>48.4</v>
    <v>48.484999999999999</v>
    <v>48.77</v>
    <v>48.92</v>
    <v>49.085000000000001</v>
    <v>50.11</v>
    <v>49.92</v>
    <v>47.81</v>
    <v>48.085000000000001</v>
    <v>46.98</v>
    <v>47.36</v>
    <v>47.984999999999999</v>
    <v>49.32</v>
    <v>49.49</v>
    <v>50.25</v>
    <v>50.82</v>
    <v>50.64</v>
    <v>50.61</v>
    <v>50.49</v>
    <v>49.61</v>
    <v>49.685000000000002</v>
    <v>49.64</v>
    <v>49.58</v>
    <v>49.54</v>
    <v>50.52</v>
    <v>50.28</v>
    <v>50.73</v>
    <v>50.16</v>
    <v>50.93</v>
    <v>51.52</v>
    <v>51.25</v>
    <v>51.14</v>
    <v>49.994999999999997</v>
    <v>50</v>
    <v>49.895000000000003</v>
    <v>50.08</v>
    <v>49.965000000000003</v>
    <v>48.795000000000002</v>
    <v>49.674999999999997</v>
  </a>
  <a r="1" c="761">
    <v>30.02</v>
    <v>30.594999999999999</v>
    <v>30.42</v>
    <v>30.465</v>
    <v>30.8</v>
    <v>30.785</v>
    <v>30.905000000000001</v>
    <v>30.98</v>
    <v>30.855</v>
    <v>30.65</v>
    <v>30.88</v>
    <v>30.734999999999999</v>
    <v>30.51</v>
    <v>30.52</v>
    <v>30.15</v>
    <v>30.56</v>
    <v>30.49</v>
    <v>30.645</v>
    <v>30.414999999999999</v>
    <v>30.55</v>
    <v>30.984999999999999</v>
    <v>31.114999999999998</v>
    <v>30.954999999999998</v>
    <v>31.12</v>
    <v>31.01</v>
    <v>30.83</v>
    <v>31.065000000000001</v>
    <v>30.934999999999999</v>
    <v>31.3</v>
    <v>31.954999999999998</v>
    <v>31.46</v>
    <v>31.17</v>
    <v>31.045000000000002</v>
    <v>31.03</v>
    <v>31.72</v>
    <v>31.305</v>
    <v>31.23</v>
    <v>31.175000000000001</v>
    <v>31.5</v>
    <v>31.74</v>
    <v>31.475000000000001</v>
    <v>31.71</v>
    <v>31.704999999999998</v>
    <v>31.725000000000001</v>
    <v>31.59</v>
    <v>31.635000000000002</v>
    <v>31.54</v>
    <v>31.305</v>
    <v>31.504999999999999</v>
    <v>31.574999999999999</v>
    <v>31.14</v>
    <v>31.184999999999999</v>
    <v>31</v>
    <v>30.86</v>
    <v>30.614999999999998</v>
    <v>30.725000000000001</v>
    <v>30.614999999999998</v>
    <v>30.82</v>
    <v>30.885000000000002</v>
    <v>30.664999999999999</v>
    <v>30.78</v>
    <v>30.844999999999999</v>
    <v>30.83</v>
    <v>31.29</v>
    <v>31.765000000000001</v>
    <v>31.92</v>
    <v>31.76</v>
    <v>31.984999999999999</v>
    <v>32.07</v>
    <v>32.195</v>
    <v>31.824999999999999</v>
    <v>31.73</v>
    <v>31.43</v>
    <v>31.48</v>
    <v>31.105</v>
    <v>30.66</v>
    <v>30.48</v>
    <v>30.8</v>
    <v>31.07</v>
    <v>30.83</v>
    <v>31.175000000000001</v>
    <v>31.805</v>
    <v>31.65</v>
    <v>31.734999999999999</v>
    <v>32</v>
    <v>32.21</v>
    <v>32.034999999999997</v>
    <v>31.53</v>
    <v>31.6</v>
    <v>31.48</v>
    <v>31.75</v>
    <v>31.795000000000002</v>
    <v>31.785</v>
    <v>31.54</v>
    <v>31.83</v>
    <v>32.075000000000003</v>
    <v>31.715</v>
    <v>32.075000000000003</v>
    <v>32.15</v>
    <v>33.155000000000001</v>
    <v>33.045000000000002</v>
    <v>33.895000000000003</v>
    <v>33.94</v>
    <v>33.505000000000003</v>
    <v>33.33</v>
    <v>33.369999999999997</v>
    <v>33.17</v>
    <v>33.159999999999997</v>
    <v>33.125</v>
    <v>33.045000000000002</v>
    <v>33.195</v>
    <v>33.79</v>
    <v>34.659999999999997</v>
    <v>34.895000000000003</v>
    <v>34.875</v>
    <v>35.24</v>
    <v>35.25</v>
    <v>35.534999999999997</v>
    <v>35.46</v>
    <v>36.185000000000002</v>
    <v>36.65</v>
    <v>36.314999999999998</v>
    <v>36.75</v>
    <v>37.29</v>
    <v>37.734999999999999</v>
    <v>37.68</v>
    <v>37.064999999999998</v>
    <v>37.520000000000003</v>
    <v>37.81</v>
    <v>38.119999999999997</v>
    <v>38.69</v>
    <v>38.265000000000001</v>
    <v>37.454999999999998</v>
    <v>37.64</v>
    <v>38.22</v>
    <v>38.229999999999997</v>
    <v>37.744999999999997</v>
    <v>37.86</v>
    <v>38.53</v>
    <v>39.21</v>
    <v>41.14</v>
    <v>40.35</v>
    <v>39.984999999999999</v>
    <v>41.405000000000001</v>
    <v>41.555</v>
    <v>42.27</v>
    <v>39.905000000000001</v>
    <v>39.744999999999997</v>
    <v>39.21</v>
    <v>39.89</v>
    <v>39.880000000000003</v>
    <v>39.68</v>
    <v>38.44</v>
    <v>37.835000000000001</v>
    <v>38.305</v>
    <v>37.475000000000001</v>
    <v>37.68</v>
    <v>38.575000000000003</v>
    <v>37.26</v>
    <v>37.880000000000003</v>
    <v>37.46</v>
    <v>37.884999999999998</v>
    <v>37.564999999999998</v>
    <v>37.479999999999997</v>
    <v>37.07</v>
    <v>36.914999999999999</v>
    <v>37.424999999999997</v>
    <v>37.795000000000002</v>
    <v>37.26</v>
    <v>37.075000000000003</v>
    <v>36.755000000000003</v>
    <v>36.69</v>
    <v>36.625</v>
    <v>36.965000000000003</v>
    <v>37.055</v>
    <v>37.204999999999998</v>
    <v>37.86</v>
    <v>38.03</v>
    <v>38.65</v>
    <v>38.549999999999997</v>
    <v>38.005000000000003</v>
    <v>38.61</v>
    <v>37.484999999999999</v>
    <v>37.950000000000003</v>
    <v>37.369999999999997</v>
    <v>36.884999999999998</v>
    <v>36.35</v>
    <v>35.454999999999998</v>
    <v>35.225000000000001</v>
    <v>34.594999999999999</v>
    <v>34.615000000000002</v>
    <v>34.395000000000003</v>
    <v>34.409999999999997</v>
    <v>34.33</v>
    <v>34.049999999999997</v>
    <v>33.905000000000001</v>
    <v>34.82</v>
    <v>34.405000000000001</v>
    <v>33.854999999999997</v>
    <v>33.119999999999997</v>
    <v>33.265000000000001</v>
    <v>32.795000000000002</v>
    <v>32.92</v>
    <v>33.06</v>
    <v>33.674999999999997</v>
    <v>33.36</v>
    <v>33.225000000000001</v>
    <v>33.914999999999999</v>
    <v>34.24</v>
    <v>34.085000000000001</v>
    <v>34.04</v>
    <v>33.71</v>
    <v>34.125</v>
    <v>34.225000000000001</v>
    <v>34.695</v>
    <v>34.14</v>
    <v>34.11</v>
    <v>34.234999999999999</v>
    <v>33.97</v>
    <v>33.17</v>
    <v>33.11</v>
    <v>33.515000000000001</v>
    <v>33.145000000000003</v>
    <v>33.57</v>
    <v>33.43</v>
    <v>33.74</v>
    <v>34.185000000000002</v>
    <v>34.35</v>
    <v>34.71</v>
    <v>34.615000000000002</v>
    <v>34.79</v>
    <v>35</v>
    <v>34.924999999999997</v>
    <v>35.28</v>
    <v>36.22</v>
    <v>36.335000000000001</v>
    <v>37.325000000000003</v>
    <v>37.094999999999999</v>
    <v>36.619999999999997</v>
    <v>37.35</v>
    <v>37.784999999999997</v>
    <v>37.130000000000003</v>
    <v>37.369999999999997</v>
    <v>37.295000000000002</v>
    <v>36.545000000000002</v>
    <v>36.284999999999997</v>
    <v>36.534999999999997</v>
    <v>36.884999999999998</v>
    <v>36.340000000000003</v>
    <v>35.945</v>
    <v>36.185000000000002</v>
    <v>36.094999999999999</v>
    <v>36.454999999999998</v>
    <v>36.274999999999999</v>
    <v>36.590000000000003</v>
    <v>36.380000000000003</v>
    <v>36.200000000000003</v>
    <v>36.545000000000002</v>
    <v>36.375</v>
    <v>36.409999999999997</v>
    <v>36.119999999999997</v>
    <v>36.049999999999997</v>
    <v>36.424999999999997</v>
    <v>36.83</v>
    <v>37.020000000000003</v>
    <v>36.024999999999999</v>
    <v>36.99</v>
    <v>36.36</v>
    <v>36.1</v>
    <v>35.414999999999999</v>
    <v>35.200000000000003</v>
    <v>34.979999999999997</v>
    <v>35.020000000000003</v>
    <v>35.18</v>
    <v>35.314999999999998</v>
    <v>35.67</v>
    <v>35.445</v>
    <v>35.51</v>
    <v>35.564999999999998</v>
    <v>35.32</v>
    <v>35.17</v>
    <v>35.08</v>
    <v>35.115000000000002</v>
    <v>35.28</v>
    <v>35.865000000000002</v>
    <v>35.79</v>
    <v>35.515000000000001</v>
    <v>35.700000000000003</v>
    <v>36.229999999999997</v>
    <v>36.299999999999997</v>
    <v>36.450000000000003</v>
    <v>36.174999999999997</v>
    <v>35.814999999999998</v>
    <v>35.784999999999997</v>
    <v>35.35</v>
    <v>35.545000000000002</v>
    <v>35.284999999999997</v>
    <v>35.33</v>
    <v>35.22</v>
    <v>35.545000000000002</v>
    <v>35.344999999999999</v>
    <v>35.265000000000001</v>
    <v>35.494999999999997</v>
    <v>36.195</v>
    <v>36.35</v>
    <v>37.06</v>
    <v>37.53</v>
    <v>37.75</v>
    <v>38.134999999999998</v>
    <v>37.884999999999998</v>
    <v>38.299999999999997</v>
    <v>38.594999999999999</v>
    <v>38.155000000000001</v>
    <v>37.244999999999997</v>
    <v>37.46</v>
    <v>37.104999999999997</v>
    <v>37.29</v>
    <v>37.085000000000001</v>
    <v>36.424999999999997</v>
    <v>36.674999999999997</v>
    <v>37.174999999999997</v>
    <v>37.395000000000003</v>
    <v>37.049999999999997</v>
    <v>37.594999999999999</v>
    <v>37.81</v>
    <v>38.090000000000003</v>
    <v>38.630000000000003</v>
    <v>39.844999999999999</v>
    <v>41.024999999999999</v>
    <v>39.895000000000003</v>
    <v>40.74</v>
    <v>41.17</v>
    <v>40.020000000000003</v>
    <v>39.664999999999999</v>
    <v>39.44</v>
    <v>39.69</v>
    <v>39.92</v>
    <v>39.475000000000001</v>
    <v>39.005000000000003</v>
    <v>38.56</v>
    <v>39.24</v>
    <v>39.49</v>
    <v>38.99</v>
    <v>39.335000000000001</v>
    <v>38.534999999999997</v>
    <v>39.94</v>
    <v>40.015000000000001</v>
    <v>39.08</v>
    <v>38.604999999999997</v>
    <v>39.055</v>
    <v>39.85</v>
    <v>40.590000000000003</v>
    <v>40.1</v>
    <v>40.54</v>
    <v>41</v>
    <v>41.965000000000003</v>
    <v>42.2</v>
    <v>42.234999999999999</v>
    <v>42.36</v>
    <v>43.174999999999997</v>
    <v>43.48</v>
    <v>42.71</v>
    <v>42.594999999999999</v>
    <v>41.77</v>
    <v>41.844999999999999</v>
    <v>41.61</v>
    <v>39.29</v>
    <v>36.619999999999997</v>
    <v>34.69</v>
    <v>34.409999999999997</v>
    <v>34.354999999999997</v>
    <v>35.435000000000002</v>
    <v>35.56</v>
    <v>36.159999999999997</v>
    <v>36.72</v>
    <v>36.840000000000003</v>
    <v>36.755000000000003</v>
    <v>37.76</v>
    <v>38.164999999999999</v>
    <v>38.229999999999997</v>
    <v>38.024999999999999</v>
    <v>38.01</v>
    <v>38.090000000000003</v>
    <v>36.299999999999997</v>
    <v>36.414999999999999</v>
    <v>36.835000000000001</v>
    <v>37.5</v>
    <v>36.39</v>
    <v>36.265000000000001</v>
    <v>36.765000000000001</v>
    <v>37.034999999999997</v>
    <v>37.575000000000003</v>
    <v>36.93</v>
    <v>37.07</v>
    <v>36.575000000000003</v>
    <v>36.945</v>
    <v>36.685000000000002</v>
    <v>36.875</v>
    <v>36.89</v>
    <v>37.619999999999997</v>
    <v>37.840000000000003</v>
    <v>37.29</v>
    <v>36.880000000000003</v>
    <v>36.630000000000003</v>
    <v>36.625</v>
    <v>38.06</v>
    <v>37.975000000000001</v>
    <v>38.01</v>
    <v>38.704999999999998</v>
    <v>38.21</v>
    <v>38.520000000000003</v>
    <v>38.42</v>
    <v>37.414999999999999</v>
    <v>37.229999999999997</v>
    <v>37.07</v>
    <v>37.094999999999999</v>
    <v>37.17</v>
    <v>37.61</v>
    <v>37.31</v>
    <v>37.215000000000003</v>
    <v>37.494999999999997</v>
    <v>37.46</v>
    <v>37.61</v>
    <v>38.715000000000003</v>
    <v>38.664999999999999</v>
    <v>38.255000000000003</v>
    <v>38.435000000000002</v>
    <v>38.99</v>
    <v>38.604999999999997</v>
    <v>37.97</v>
    <v>37.82</v>
    <v>37.76</v>
    <v>41.155000000000001</v>
    <v>42.475000000000001</v>
    <v>42.075000000000003</v>
    <v>41.82</v>
    <v>42.11</v>
    <v>41.89</v>
    <v>41.884999999999998</v>
    <v>42.424999999999997</v>
    <v>42.44</v>
    <v>42.96</v>
    <v>44.185000000000002</v>
    <v>43.715000000000003</v>
    <v>43.43</v>
    <v>42.72</v>
    <v>43.134999999999998</v>
    <v>43</v>
    <v>33.854999999999997</v>
    <v>33.875</v>
    <v>33.975000000000001</v>
    <v>33.615000000000002</v>
    <v>33.594999999999999</v>
    <v>33.630000000000003</v>
    <v>34.015000000000001</v>
    <v>34.07</v>
    <v>34.325000000000003</v>
    <v>34.14</v>
    <v>34.134999999999998</v>
    <v>34.055</v>
    <v>33.805</v>
    <v>33.884999999999998</v>
    <v>33.975000000000001</v>
    <v>33.94</v>
    <v>34.159999999999997</v>
    <v>34.055</v>
    <v>33.79</v>
    <v>33.984999999999999</v>
    <v>34.32</v>
    <v>34.295000000000002</v>
    <v>34.69</v>
    <v>34.71</v>
    <v>34.5</v>
    <v>34.045000000000002</v>
    <v>34.075000000000003</v>
    <v>34.1</v>
    <v>34.590000000000003</v>
    <v>34.755000000000003</v>
    <v>34.865000000000002</v>
    <v>35.200000000000003</v>
    <v>34.914999999999999</v>
    <v>34.335000000000001</v>
    <v>34.234999999999999</v>
    <v>34.58</v>
    <v>34.47</v>
    <v>34.505000000000003</v>
    <v>36.1</v>
    <v>35.96</v>
    <v>35.604999999999997</v>
    <v>36.585000000000001</v>
    <v>36.28</v>
    <v>36.49</v>
    <v>37.174999999999997</v>
    <v>38.21</v>
    <v>37.92</v>
    <v>38.549999999999997</v>
    <v>38.51</v>
    <v>39.274999999999999</v>
    <v>38.04</v>
    <v>39.15</v>
    <v>37.924999999999997</v>
    <v>37.9</v>
    <v>37.715000000000003</v>
    <v>37.35</v>
    <v>37.94</v>
    <v>37.674999999999997</v>
    <v>37.81</v>
    <v>38.799999999999997</v>
    <v>38.909999999999997</v>
    <v>39.049999999999997</v>
    <v>39.07</v>
    <v>39.725000000000001</v>
    <v>38.884999999999998</v>
    <v>38.83</v>
    <v>38.795000000000002</v>
    <v>38.064999999999998</v>
    <v>38.119999999999997</v>
    <v>37.914999999999999</v>
    <v>37.844999999999999</v>
    <v>38.35</v>
    <v>38.545000000000002</v>
    <v>39.020000000000003</v>
    <v>38.865000000000002</v>
    <v>38.590000000000003</v>
    <v>38.19</v>
    <v>38.049999999999997</v>
    <v>38.274999999999999</v>
    <v>38.284999999999997</v>
    <v>38.375</v>
    <v>38.24</v>
    <v>38.274999999999999</v>
    <v>38.99</v>
    <v>38.78</v>
    <v>39.75</v>
    <v>39.725000000000001</v>
    <v>39.43</v>
    <v>40.380000000000003</v>
    <v>40.104999999999997</v>
    <v>40.770000000000003</v>
    <v>40.695</v>
    <v>39.94</v>
    <v>40.049999999999997</v>
    <v>40.65</v>
    <v>39.58</v>
    <v>40.14</v>
    <v>39.61</v>
    <v>40.145000000000003</v>
    <v>40.520000000000003</v>
    <v>40.99</v>
    <v>40.895000000000003</v>
    <v>41.174999999999997</v>
    <v>41.53</v>
    <v>42.65</v>
    <v>42.375</v>
    <v>44.155000000000001</v>
    <v>45.365000000000002</v>
    <v>43.965000000000003</v>
    <v>43.43</v>
    <v>44.44</v>
    <v>45.145000000000003</v>
    <v>45.125</v>
    <v>45.335000000000001</v>
    <v>45.085000000000001</v>
    <v>43.805</v>
    <v>44.274999999999999</v>
    <v>43.26</v>
    <v>43.325000000000003</v>
    <v>42.9</v>
    <v>44.2</v>
    <v>44.064999999999998</v>
    <v>42.844999999999999</v>
    <v>43.32</v>
    <v>44.984999999999999</v>
    <v>43.734999999999999</v>
    <v>43.2</v>
    <v>45.17</v>
    <v>43.87</v>
    <v>43.21</v>
    <v>43.305</v>
    <v>43.765000000000001</v>
    <v>43.4</v>
    <v>43.755000000000003</v>
    <v>42.884999999999998</v>
    <v>42.77</v>
    <v>42.715000000000003</v>
    <v>42.024999999999999</v>
    <v>42.945</v>
    <v>42.9</v>
    <v>43.19</v>
    <v>42.984999999999999</v>
    <v>43.89</v>
    <v>44.42</v>
    <v>44.55</v>
    <v>44.48</v>
    <v>44.17</v>
    <v>43.905000000000001</v>
    <v>43.95</v>
    <v>43.814999999999998</v>
    <v>43.545000000000002</v>
    <v>43.805</v>
    <v>44.305</v>
    <v>44.19</v>
    <v>44.25</v>
    <v>43.82</v>
    <v>44.15</v>
    <v>43.51</v>
    <v>42.354999999999997</v>
    <v>41.32</v>
    <v>40.53</v>
    <v>41.08</v>
    <v>40.96</v>
    <v>41.734999999999999</v>
    <v>41.33</v>
    <v>41.49</v>
    <v>41.81</v>
    <v>42.12</v>
    <v>42.215000000000003</v>
    <v>42.16</v>
    <v>41.825000000000003</v>
    <v>42.875</v>
    <v>42.9</v>
    <v>43.73</v>
    <v>44.384999999999998</v>
    <v>44.94</v>
    <v>44.814999999999998</v>
    <v>44.99</v>
    <v>45.14</v>
    <v>44.774999999999999</v>
    <v>44.725000000000001</v>
    <v>45.49</v>
    <v>45.36</v>
    <v>44.924999999999997</v>
    <v>44.625</v>
    <v>44</v>
    <v>43.895000000000003</v>
    <v>43.88</v>
    <v>43.104999999999997</v>
    <v>44.3</v>
    <v>45.414999999999999</v>
    <v>45.585000000000001</v>
    <v>46.27</v>
    <v>47.61</v>
    <v>48.094999999999999</v>
    <v>49.164999999999999</v>
    <v>48.81</v>
    <v>46.755000000000003</v>
    <v>46.78</v>
    <v>46.06</v>
    <v>46.97</v>
    <v>46.924999999999997</v>
    <v>47.515000000000001</v>
    <v>48.01</v>
    <v>47.594999999999999</v>
    <v>47.134999999999998</v>
    <v>47.43</v>
    <v>47.475000000000001</v>
    <v>48.765000000000001</v>
    <v>49.72</v>
    <v>48.604999999999997</v>
    <v>48.625</v>
    <v>47.204999999999998</v>
    <v>47.75</v>
    <v>47.664999999999999</v>
    <v>46.984999999999999</v>
    <v>47.125</v>
    <v>48.115000000000002</v>
    <v>48.445</v>
    <v>48.68</v>
    <v>48.515000000000001</v>
    <v>48.335000000000001</v>
    <v>47.854999999999997</v>
    <v>48.24</v>
    <v>46.854999999999997</v>
    <v>45.664999999999999</v>
    <v>46.26</v>
    <v>46.65</v>
    <v>46.21</v>
    <v>47.15</v>
    <v>46.704999999999998</v>
    <v>46.39</v>
    <v>46.604999999999997</v>
    <v>46.895000000000003</v>
    <v>46.77</v>
    <v>45.755000000000003</v>
    <v>47.1</v>
    <v>47.19</v>
    <v>47.674999999999997</v>
    <v>48.005000000000003</v>
    <v>47.85</v>
    <v>47.835000000000001</v>
    <v>47.07</v>
    <v>47.814999999999998</v>
    <v>49.27</v>
    <v>48.994999999999997</v>
    <v>47.924999999999997</v>
    <v>48.104999999999997</v>
    <v>48.32</v>
    <v>47.91</v>
    <v>47.685000000000002</v>
    <v>48.234999999999999</v>
    <v>48.55</v>
    <v>48.664999999999999</v>
    <v>49.64</v>
    <v>49.96</v>
    <v>50.21</v>
    <v>49.215000000000003</v>
    <v>49.44</v>
    <v>49.454999999999998</v>
    <v>49.54</v>
    <v>49.325000000000003</v>
    <v>49.02</v>
    <v>49.164999999999999</v>
    <v>48.27</v>
    <v>47.96</v>
    <v>47.895000000000003</v>
    <v>48.59</v>
    <v>48.98</v>
    <v>49.365000000000002</v>
    <v>48.94</v>
    <v>48.655000000000001</v>
    <v>48.975000000000001</v>
    <v>48.844999999999999</v>
    <v>48.4</v>
    <v>48.484999999999999</v>
    <v>48.77</v>
    <v>48.92</v>
    <v>49.085000000000001</v>
    <v>50.11</v>
    <v>49.92</v>
    <v>47.81</v>
    <v>48.085000000000001</v>
    <v>46.98</v>
    <v>47.36</v>
    <v>47.984999999999999</v>
    <v>49.32</v>
    <v>49.49</v>
    <v>50.25</v>
    <v>50.82</v>
    <v>50.64</v>
    <v>50.61</v>
    <v>50.49</v>
    <v>49.61</v>
    <v>49.685000000000002</v>
    <v>49.64</v>
    <v>49.58</v>
    <v>49.54</v>
    <v>50.52</v>
    <v>50.28</v>
    <v>50.73</v>
    <v>50.16</v>
    <v>50.93</v>
    <v>51.52</v>
    <v>51.25</v>
    <v>51.14</v>
    <v>49.994999999999997</v>
    <v>50</v>
    <v>49.895000000000003</v>
    <v>50.08</v>
    <v>49.965000000000003</v>
    <v>48.795000000000002</v>
    <v>49.674999999999997</v>
  </a>
  <a r="1" c="208">
    <v>96.77</v>
    <v>100.75</v>
    <v>102.06</v>
    <v>103.2</v>
    <v>102.32</v>
    <v>104.6</v>
    <v>104.15</v>
    <v>103.92</v>
    <v>104.82</v>
    <v>108.2</v>
    <v>107.98</v>
    <v>108.87</v>
    <v>107.02</v>
    <v>111.27</v>
    <v>110.87</v>
    <v>111.05</v>
    <v>111.04</v>
    <v>113.99</v>
    <v>116.7</v>
    <v>115.03</v>
    <v>117.43</v>
    <v>114.17</v>
    <v>118.82</v>
    <v>117.29</v>
    <v>114.95</v>
    <v>116.83</v>
    <v>119.05</v>
    <v>117.64</v>
    <v>120.86</v>
    <v>123.61</v>
    <v>125.23</v>
    <v>127.25</v>
    <v>125.72</v>
    <v>127.33</v>
    <v>128.97999999999999</v>
    <v>134.5</v>
    <v>133.6</v>
    <v>138.88</v>
    <v>141.88</v>
    <v>143.6</v>
    <v>143.46</v>
    <v>139.27000000000001</v>
    <v>127.34</v>
    <v>130.57</v>
    <v>122.01</v>
    <v>122.03</v>
    <v>123.96</v>
    <v>130.37</v>
    <v>127.44</v>
    <v>122.53</v>
    <v>124.46</v>
    <v>127.49</v>
    <v>131.85</v>
    <v>131.55000000000001</v>
    <v>129.69</v>
    <v>125.48</v>
    <v>127.23</v>
    <v>125.95</v>
    <v>126.14</v>
    <v>118.73</v>
    <v>118.37</v>
    <v>115.75</v>
    <v>113.74</v>
    <v>123.85</v>
    <v>119.53</v>
    <v>121.01</v>
    <v>133.5</v>
    <v>131.85</v>
    <v>133.25</v>
    <v>131.69</v>
    <v>137.13</v>
    <v>138.16</v>
    <v>141.38</v>
    <v>146.34</v>
    <v>143.49</v>
    <v>143.68</v>
    <v>147.88999999999999</v>
    <v>148.91</v>
    <v>148.5</v>
    <v>150.49</v>
    <v>147.55000000000001</v>
    <v>149.58000000000001</v>
    <v>151.44999999999999</v>
    <v>158.76</v>
    <v>166.88</v>
    <v>174.73</v>
    <v>173.43</v>
    <v>180.16</v>
    <v>184.51</v>
    <v>168.54</v>
    <v>179.59</v>
    <v>182.99</v>
    <v>174.02</v>
    <v>170.63</v>
    <v>165.88</v>
    <v>172.12</v>
    <v>177.16</v>
    <v>179.37</v>
    <v>181.76</v>
    <v>190.14</v>
    <v>186.91</v>
    <v>193.41</v>
    <v>195.68</v>
    <v>205.36</v>
    <v>206</v>
    <v>204.59</v>
    <v>194.35</v>
    <v>179.92</v>
    <v>179.86</v>
    <v>176.21</v>
    <v>175.62</v>
    <v>181.95</v>
    <v>192.07</v>
    <v>202</v>
    <v>199.53</v>
    <v>203.28</v>
    <v>213.06</v>
    <v>208.54</v>
    <v>211.66</v>
    <v>191.86</v>
    <v>193.28</v>
    <v>199.64</v>
    <v>194.35</v>
    <v>188.05</v>
    <v>196.15</v>
    <v>186.43</v>
    <v>176.73</v>
    <v>188.6</v>
    <v>187.22</v>
    <v>173.61</v>
    <v>171.24</v>
    <v>179.3</v>
    <v>179.22</v>
    <v>167.85</v>
    <v>171.02</v>
    <v>165.31</v>
    <v>161.91</v>
    <v>159.15</v>
    <v>160.91</v>
    <v>168.69</v>
    <v>168.23</v>
    <v>167.4</v>
    <v>163.27000000000001</v>
    <v>155.25</v>
    <v>150.38</v>
    <v>142.26</v>
    <v>151.27000000000001</v>
    <v>153.25</v>
    <v>152.57</v>
    <v>165.16</v>
    <v>165.52</v>
    <v>162.03</v>
    <v>160.38</v>
    <v>158.78</v>
    <v>163.51</v>
    <v>170.97</v>
    <v>175.98</v>
    <v>175.65</v>
    <v>184.15</v>
    <v>167.07</v>
    <v>168.07</v>
    <v>171.63</v>
    <v>172.7</v>
    <v>167.52</v>
    <v>173.12</v>
    <v>173.56</v>
    <v>175.11</v>
    <v>176.67</v>
    <v>174.38</v>
    <v>172.99</v>
    <v>172.41</v>
    <v>173.03</v>
    <v>179.55</v>
    <v>184.73</v>
    <v>185</v>
    <v>184.46</v>
    <v>178.76</v>
    <v>184.12</v>
    <v>172.84</v>
    <v>171.84</v>
    <v>174.76</v>
    <v>178.28</v>
    <v>174.88</v>
    <v>185.05</v>
    <v>187.71</v>
    <v>185.33</v>
    <v>181.57</v>
    <v>183.98</v>
    <v>180</v>
    <v>185.91</v>
    <v>182.2</v>
    <v>183.09</v>
    <v>190.77</v>
    <v>192.79</v>
    <v>189.66</v>
    <v>185.72</v>
    <v>179.05</v>
    <v>178.31</v>
    <v>171.98</v>
    <v>165.72</v>
    <v>163.69999999999999</v>
    <v>154.71</v>
    <v>153.71</v>
    <v>159.27000000000001</v>
    <v>154.66999999999999</v>
    <v>157.37</v>
    <v>151.47</v>
    <v>153.04</v>
  </a>
  <a r="1" c="254">
    <v>83.26</v>
    <v>85.07</v>
    <v>87.24</v>
    <v>86.72</v>
    <v>89.95</v>
    <v>89.19</v>
    <v>90.54</v>
    <v>94.3</v>
    <v>90.98</v>
    <v>90.02</v>
    <v>86.81</v>
    <v>83.88</v>
    <v>88.11</v>
    <v>88.31</v>
    <v>88.77</v>
    <v>88.07</v>
    <v>87.5</v>
    <v>87.55</v>
    <v>85.11</v>
    <v>84.15</v>
    <v>84.44</v>
    <v>82.08</v>
    <v>83.41</v>
    <v>82.64</v>
    <v>84.9</v>
    <v>85.49</v>
    <v>84.3</v>
    <v>84.08</v>
    <v>85.42</v>
    <v>85.48</v>
    <v>85.25</v>
    <v>87.5</v>
    <v>88.53</v>
    <v>88.64</v>
    <v>88.44</v>
    <v>87.18</v>
    <v>85.83</v>
    <v>86.24</v>
    <v>83.97</v>
    <v>84.23</v>
    <v>86.06</v>
    <v>86.23</v>
    <v>86.61</v>
    <v>87.03</v>
    <v>92.8</v>
    <v>93.54</v>
    <v>96.77</v>
    <v>100.75</v>
    <v>102.06</v>
    <v>103.2</v>
    <v>102.32</v>
    <v>104.6</v>
    <v>104.15</v>
    <v>103.92</v>
    <v>104.82</v>
    <v>108.2</v>
    <v>107.98</v>
    <v>108.87</v>
    <v>107.02</v>
    <v>111.27</v>
    <v>110.87</v>
    <v>111.05</v>
    <v>111.04</v>
    <v>113.99</v>
    <v>116.7</v>
    <v>115.03</v>
    <v>117.43</v>
    <v>114.17</v>
    <v>118.82</v>
    <v>117.29</v>
    <v>114.95</v>
    <v>116.83</v>
    <v>119.05</v>
    <v>117.64</v>
    <v>120.86</v>
    <v>123.61</v>
    <v>125.23</v>
    <v>127.25</v>
    <v>125.72</v>
    <v>127.33</v>
    <v>128.97999999999999</v>
    <v>134.5</v>
    <v>133.6</v>
    <v>138.88</v>
    <v>141.88</v>
    <v>143.6</v>
    <v>143.46</v>
    <v>139.27000000000001</v>
    <v>127.34</v>
    <v>130.57</v>
    <v>122.01</v>
    <v>122.03</v>
    <v>123.96</v>
    <v>130.37</v>
    <v>127.44</v>
    <v>122.53</v>
    <v>124.46</v>
    <v>127.49</v>
    <v>131.85</v>
    <v>131.55000000000001</v>
    <v>129.69</v>
    <v>125.48</v>
    <v>127.23</v>
    <v>125.95</v>
    <v>126.14</v>
    <v>118.73</v>
    <v>118.37</v>
    <v>115.75</v>
    <v>113.74</v>
    <v>123.85</v>
    <v>119.53</v>
    <v>121.01</v>
    <v>133.5</v>
    <v>131.85</v>
    <v>133.25</v>
    <v>131.69</v>
    <v>137.13</v>
    <v>138.16</v>
    <v>141.38</v>
    <v>146.34</v>
    <v>143.49</v>
    <v>143.68</v>
    <v>147.88999999999999</v>
    <v>148.91</v>
    <v>148.5</v>
    <v>150.49</v>
    <v>147.55000000000001</v>
    <v>149.58000000000001</v>
    <v>151.44999999999999</v>
    <v>158.76</v>
    <v>166.88</v>
    <v>174.73</v>
    <v>173.43</v>
    <v>180.16</v>
    <v>184.51</v>
    <v>168.54</v>
    <v>179.59</v>
    <v>182.99</v>
    <v>174.02</v>
    <v>170.63</v>
    <v>165.88</v>
    <v>172.12</v>
    <v>177.16</v>
    <v>179.37</v>
    <v>181.76</v>
    <v>190.14</v>
    <v>186.91</v>
    <v>193.41</v>
    <v>195.68</v>
    <v>205.36</v>
    <v>206</v>
    <v>204.59</v>
    <v>194.35</v>
    <v>179.92</v>
    <v>179.86</v>
    <v>176.21</v>
    <v>175.62</v>
    <v>181.95</v>
    <v>192.07</v>
    <v>202</v>
    <v>199.53</v>
    <v>203.28</v>
    <v>213.06</v>
    <v>208.54</v>
    <v>211.66</v>
    <v>191.86</v>
    <v>193.28</v>
    <v>199.64</v>
    <v>194.35</v>
    <v>188.05</v>
    <v>196.15</v>
    <v>186.43</v>
    <v>176.73</v>
    <v>188.6</v>
    <v>187.22</v>
    <v>173.61</v>
    <v>171.24</v>
    <v>179.3</v>
    <v>179.22</v>
    <v>167.85</v>
    <v>171.02</v>
    <v>165.31</v>
    <v>161.91</v>
    <v>159.15</v>
    <v>160.91</v>
    <v>168.69</v>
    <v>168.23</v>
    <v>167.4</v>
    <v>163.27000000000001</v>
    <v>155.25</v>
    <v>150.38</v>
    <v>142.26</v>
    <v>151.27000000000001</v>
    <v>153.25</v>
    <v>152.57</v>
    <v>165.16</v>
    <v>165.52</v>
    <v>162.03</v>
    <v>160.38</v>
    <v>158.78</v>
    <v>163.51</v>
    <v>170.97</v>
    <v>175.98</v>
    <v>175.65</v>
    <v>184.15</v>
    <v>167.07</v>
    <v>168.07</v>
    <v>171.63</v>
    <v>172.7</v>
    <v>167.52</v>
    <v>173.12</v>
    <v>173.56</v>
    <v>175.11</v>
    <v>176.67</v>
    <v>174.38</v>
    <v>172.99</v>
    <v>172.41</v>
    <v>173.03</v>
    <v>179.55</v>
    <v>184.73</v>
    <v>185</v>
    <v>184.46</v>
    <v>178.76</v>
    <v>184.12</v>
    <v>172.84</v>
    <v>171.84</v>
    <v>174.76</v>
    <v>178.28</v>
    <v>174.88</v>
    <v>185.05</v>
    <v>187.71</v>
    <v>185.33</v>
    <v>181.57</v>
    <v>183.98</v>
    <v>180</v>
    <v>185.91</v>
    <v>182.2</v>
    <v>183.09</v>
    <v>190.77</v>
    <v>192.79</v>
    <v>189.66</v>
    <v>185.72</v>
    <v>179.05</v>
    <v>178.31</v>
    <v>171.98</v>
    <v>165.72</v>
    <v>163.69999999999999</v>
    <v>154.71</v>
    <v>153.71</v>
    <v>159.27000000000001</v>
    <v>154.66999999999999</v>
    <v>157.37</v>
    <v>151.47</v>
    <v>153.04</v>
  </a>
  <a r="1" c="761">
    <v>56.06</v>
    <v>56.89</v>
    <v>55.93</v>
    <v>54.43</v>
    <v>54.22</v>
    <v>54.56</v>
    <v>53.85</v>
    <v>55.09</v>
    <v>56.81</v>
    <v>58.13</v>
    <v>61.29</v>
    <v>60.35</v>
    <v>58.66</v>
    <v>58.96</v>
    <v>58.34</v>
    <v>58.21</v>
    <v>59.34</v>
    <v>60.22</v>
    <v>60.02</v>
    <v>59.65</v>
    <v>60.32</v>
    <v>60.26</v>
    <v>60.27</v>
    <v>60.18</v>
    <v>59.38</v>
    <v>59.33</v>
    <v>60.28</v>
    <v>60.24</v>
    <v>60.37</v>
    <v>60.31</v>
    <v>59.8</v>
    <v>59.3</v>
    <v>59.44</v>
    <v>59.35</v>
    <v>60.25</v>
    <v>60.74</v>
    <v>60.74</v>
    <v>59.98</v>
    <v>61.36</v>
    <v>61.57</v>
    <v>61.31</v>
    <v>61.57</v>
    <v>62.46</v>
    <v>62.41</v>
    <v>62.32</v>
    <v>62.86</v>
    <v>64.239999999999995</v>
    <v>63.5</v>
    <v>63.74</v>
    <v>62.3</v>
    <v>61.71</v>
    <v>61.96</v>
    <v>61.64</v>
    <v>60.67</v>
    <v>59.85</v>
    <v>59.63</v>
    <v>60.02</v>
    <v>59.58</v>
    <v>58.44</v>
    <v>56.56</v>
    <v>57.59</v>
    <v>58.07</v>
    <v>57.87</v>
    <v>58.34</v>
    <v>58.58</v>
    <v>58.35</v>
    <v>58.74</v>
    <v>59.38</v>
    <v>59.06</v>
    <v>59.01</v>
    <v>59.84</v>
    <v>61.76</v>
    <v>61.6</v>
    <v>61.8</v>
    <v>62.76</v>
    <v>62.73</v>
    <v>62.68</v>
    <v>64.36</v>
    <v>62.83</v>
    <v>63.17</v>
    <v>62.95</v>
    <v>63.38</v>
    <v>64.09</v>
    <v>63.24</v>
    <v>63.14</v>
    <v>63.81</v>
    <v>63.84</v>
    <v>62.97</v>
    <v>62.52</v>
    <v>62.98</v>
    <v>63.12</v>
    <v>63.83</v>
    <v>64.45</v>
    <v>63.27</v>
    <v>63.63</v>
    <v>64.06</v>
    <v>64.81</v>
    <v>64.53</v>
    <v>65.38</v>
    <v>65.150000000000006</v>
    <v>65.52</v>
    <v>64.2</v>
    <v>64.400000000000006</v>
    <v>63.82</v>
    <v>64.63</v>
    <v>66.650000000000006</v>
    <v>66.25</v>
    <v>66.45</v>
    <v>66.66</v>
    <v>66.3</v>
    <v>66.569999999999993</v>
    <v>66.69</v>
    <v>65.86</v>
    <v>66.569999999999993</v>
    <v>65.36</v>
    <v>65.78</v>
    <v>64.7</v>
    <v>62.82</v>
    <v>64.77</v>
    <v>63.28</v>
    <v>63.62</v>
    <v>61.86</v>
    <v>61.3</v>
    <v>62.62</v>
    <v>62.14</v>
    <v>62.46</v>
    <v>62.8</v>
    <v>63.24</v>
    <v>62.24</v>
    <v>63.14</v>
    <v>63.56</v>
    <v>63.37</v>
    <v>63.94</v>
    <v>64.36</v>
    <v>65.02</v>
    <v>65.489999999999995</v>
    <v>65.52</v>
    <v>64.599999999999994</v>
    <v>64.42</v>
    <v>64.28</v>
    <v>64.430000000000007</v>
    <v>65.67</v>
    <v>65.47</v>
    <v>64.53</v>
    <v>64.39</v>
    <v>63.99</v>
    <v>63.84</v>
    <v>63.59</v>
    <v>63.07</v>
    <v>63.95</v>
    <v>64</v>
    <v>62.44</v>
    <v>61.5</v>
    <v>60.49</v>
    <v>61.79</v>
    <v>61.52</v>
    <v>62.89</v>
    <v>63.37</v>
    <v>63.37</v>
    <v>63.77</v>
    <v>63.24</v>
    <v>64.59</v>
    <v>64.430000000000007</v>
    <v>64.48</v>
    <v>64.41</v>
    <v>65.099999999999994</v>
    <v>65.77</v>
    <v>65.55</v>
    <v>65.209999999999994</v>
    <v>65.12</v>
    <v>64.77</v>
    <v>65.33</v>
    <v>65.72</v>
    <v>66.209999999999994</v>
    <v>65.84</v>
    <v>65.55</v>
    <v>66.11</v>
    <v>66.680000000000007</v>
    <v>67.97</v>
    <v>67.92</v>
    <v>67.819999999999993</v>
    <v>68.03</v>
    <v>68.13</v>
    <v>67.63</v>
    <v>67.069999999999993</v>
    <v>67.05</v>
    <v>65.92</v>
    <v>65.25</v>
    <v>64.569999999999993</v>
    <v>64.45</v>
    <v>64.89</v>
    <v>64.08</v>
    <v>63.46</v>
    <v>63.89</v>
    <v>64.05</v>
    <v>63.86</v>
    <v>65.98</v>
    <v>65.11</v>
    <v>62.16</v>
    <v>58.33</v>
    <v>57.87</v>
    <v>60.15</v>
    <v>59.83</v>
    <v>60.56</v>
    <v>60.89</v>
    <v>61.43</v>
    <v>61.8</v>
    <v>63.45</v>
    <v>63.85</v>
    <v>63.67</v>
    <v>63.71</v>
    <v>63.22</v>
    <v>64.069999999999993</v>
    <v>63.15</v>
    <v>62.96</v>
    <v>63</v>
    <v>63.2</v>
    <v>62.81</v>
    <v>63.04</v>
    <v>61.36</v>
    <v>60.52</v>
    <v>59.77</v>
    <v>58.03</v>
    <v>58.75</v>
    <v>58.46</v>
    <v>57.72</v>
    <v>59.17</v>
    <v>60.02</v>
    <v>59.74</v>
    <v>60.03</v>
    <v>59.54</v>
    <v>59.8</v>
    <v>58.92</v>
    <v>59.87</v>
    <v>60.67</v>
    <v>59.88</v>
    <v>62.48</v>
    <v>62.43</v>
    <v>60.4</v>
    <v>59.85</v>
    <v>60.51</v>
    <v>59.59</v>
    <v>59.51</v>
    <v>60.42</v>
    <v>60.4</v>
    <v>60.78</v>
    <v>60.36</v>
    <v>60.26</v>
    <v>60.53</v>
    <v>59.94</v>
    <v>60.66</v>
    <v>60.19</v>
    <v>59.66</v>
    <v>59.05</v>
    <v>58.53</v>
    <v>59.23</v>
    <v>58.73</v>
    <v>58.7</v>
    <v>59.24</v>
    <v>59.78</v>
    <v>58.43</v>
    <v>57.27</v>
    <v>58.05</v>
    <v>58.5</v>
    <v>58.26</v>
    <v>57.27</v>
    <v>58.22</v>
    <v>57.41</v>
    <v>57.03</v>
    <v>55.59</v>
    <v>54.87</v>
    <v>55.01</v>
    <v>55.67</v>
    <v>56.97</v>
    <v>56.75</v>
    <v>56.43</v>
    <v>57.19</v>
    <v>58</v>
    <v>58.34</v>
    <v>58.5</v>
    <v>57.34</v>
    <v>57.25</v>
    <v>56.41</v>
    <v>56.27</v>
    <v>54.97</v>
    <v>55.45</v>
    <v>54.84</v>
    <v>54.27</v>
    <v>53.28</v>
    <v>53.7</v>
    <v>55.04</v>
    <v>55.4</v>
    <v>55.4</v>
    <v>55.33</v>
    <v>54.32</v>
    <v>55.16</v>
    <v>54.17</v>
    <v>53.58</v>
    <v>53.99</v>
    <v>52.46</v>
    <v>52.46</v>
    <v>53.31</v>
    <v>54.51</v>
    <v>56.12</v>
    <v>55.88</v>
    <v>56.52</v>
    <v>56.47</v>
    <v>55.66</v>
    <v>55.52</v>
    <v>55.62</v>
    <v>56.75</v>
    <v>56.62</v>
    <v>56.82</v>
    <v>56.44</v>
    <v>56.57</v>
    <v>57.37</v>
    <v>57.06</v>
    <v>56.75</v>
    <v>55.48</v>
    <v>55.12</v>
    <v>55.75</v>
    <v>56.26</v>
    <v>55.81</v>
    <v>55.23</v>
    <v>55.82</v>
    <v>56.04</v>
    <v>56.63</v>
    <v>55.99</v>
    <v>57.18</v>
    <v>56.84</v>
    <v>56.42</v>
    <v>57.13</v>
    <v>57.35</v>
    <v>57.99</v>
    <v>58.65</v>
    <v>59.7</v>
    <v>59.32</v>
    <v>59.34</v>
    <v>58.97</v>
    <v>58.13</v>
    <v>58.96</v>
    <v>57.95</v>
    <v>55.79</v>
    <v>56.51</v>
    <v>54.64</v>
    <v>54.78</v>
    <v>54.74</v>
    <v>54.23</v>
    <v>53.9</v>
    <v>53.22</v>
    <v>54.63</v>
    <v>54.35</v>
    <v>54.91</v>
    <v>56.6</v>
    <v>55.76</v>
    <v>56.11</v>
    <v>55.94</v>
    <v>56.45</v>
    <v>56.88</v>
    <v>56.65</v>
    <v>56.72</v>
    <v>56.28</v>
    <v>54.28</v>
    <v>53.1</v>
    <v>54.36</v>
    <v>53.93</v>
    <v>51.88</v>
    <v>50.29</v>
    <v>49.44</v>
    <v>49.78</v>
    <v>47.53</v>
    <v>49.83</v>
    <v>50.39</v>
    <v>51.06</v>
    <v>51.71</v>
    <v>51.29</v>
    <v>51.25</v>
    <v>51.05</v>
    <v>52.78</v>
    <v>52.12</v>
    <v>51.86</v>
    <v>51.99</v>
    <v>52.39</v>
    <v>52.51</v>
    <v>54.42</v>
    <v>55.02</v>
    <v>54.64</v>
    <v>54.22</v>
    <v>54.5</v>
    <v>54.28</v>
    <v>55.51</v>
    <v>55.15</v>
    <v>56.43</v>
    <v>56.16</v>
    <v>56.05</v>
    <v>55.58</v>
    <v>55.25</v>
    <v>56.22</v>
    <v>55.03</v>
    <v>55.23</v>
    <v>55.9</v>
    <v>56.09</v>
    <v>57.08</v>
    <v>57.64</v>
    <v>56.98</v>
    <v>57.35</v>
    <v>57.94</v>
    <v>59.23</v>
    <v>60.9</v>
    <v>61.04</v>
    <v>62.12</v>
    <v>61.27</v>
    <v>62.03</v>
    <v>61.88</v>
    <v>61.08</v>
    <v>62.62</v>
    <v>61.89</v>
    <v>62.65</v>
    <v>62.3</v>
    <v>63.03</v>
    <v>63.01</v>
    <v>65.97</v>
    <v>65.52</v>
    <v>64.97</v>
    <v>64.28</v>
    <v>64.58</v>
    <v>64.3</v>
    <v>64.37</v>
    <v>65.569999999999993</v>
    <v>63.87</v>
    <v>64.16</v>
    <v>65.040000000000006</v>
    <v>65</v>
    <v>66.099999999999994</v>
    <v>65.87</v>
    <v>66.150000000000006</v>
    <v>66.77</v>
    <v>66.17</v>
    <v>66.83</v>
    <v>66.33</v>
    <v>67.36</v>
    <v>65.92</v>
    <v>66.56</v>
    <v>66.31</v>
    <v>66.14</v>
    <v>66.92</v>
    <v>68.03</v>
    <v>68.790000000000006</v>
    <v>68.03</v>
    <v>65.38</v>
    <v>66.680000000000007</v>
    <v>67.069999999999993</v>
    <v>66.92</v>
    <v>67.47</v>
    <v>67.47</v>
    <v>67.5</v>
    <v>67.7</v>
    <v>68.290000000000006</v>
    <v>67.62</v>
    <v>66.77</v>
    <v>65.92</v>
    <v>65.45</v>
    <v>65.58</v>
    <v>67.34</v>
    <v>67.040000000000006</v>
    <v>66.66</v>
    <v>66.67</v>
    <v>67.22</v>
    <v>65.98</v>
    <v>65.290000000000006</v>
    <v>65.75</v>
    <v>66.760000000000005</v>
    <v>66.819999999999993</v>
    <v>66.680000000000007</v>
    <v>67.319999999999993</v>
    <v>68.17</v>
    <v>69.88</v>
    <v>71.28</v>
    <v>71.569999999999993</v>
    <v>72.03</v>
    <v>72.58</v>
    <v>72.3</v>
    <v>73.25</v>
    <v>72.8</v>
    <v>73.739999999999995</v>
    <v>74.42</v>
    <v>73.48</v>
    <v>73.55</v>
    <v>72.09</v>
    <v>73.52</v>
    <v>73.03</v>
    <v>74.89</v>
    <v>76.52</v>
    <v>77.14</v>
    <v>78.06</v>
    <v>77.63</v>
    <v>78.36</v>
    <v>78.14</v>
    <v>76.53</v>
    <v>78.11</v>
    <v>76.77</v>
    <v>78.86</v>
    <v>81.7</v>
    <v>81.2</v>
    <v>83.66</v>
    <v>82.79</v>
    <v>83.16</v>
    <v>83.26</v>
    <v>85.07</v>
    <v>87.24</v>
    <v>86.72</v>
    <v>89.95</v>
    <v>89.19</v>
    <v>90.54</v>
    <v>94.3</v>
    <v>90.98</v>
    <v>90.02</v>
    <v>86.81</v>
    <v>83.88</v>
    <v>88.11</v>
    <v>88.31</v>
    <v>88.77</v>
    <v>88.07</v>
    <v>87.5</v>
    <v>87.55</v>
    <v>85.11</v>
    <v>84.15</v>
    <v>84.44</v>
    <v>82.08</v>
    <v>83.41</v>
    <v>82.64</v>
    <v>84.9</v>
    <v>85.49</v>
    <v>84.3</v>
    <v>84.08</v>
    <v>85.42</v>
    <v>85.48</v>
    <v>85.25</v>
    <v>87.5</v>
    <v>88.53</v>
    <v>88.64</v>
    <v>88.44</v>
    <v>87.18</v>
    <v>85.83</v>
    <v>86.24</v>
    <v>83.97</v>
    <v>84.23</v>
    <v>86.06</v>
    <v>86.23</v>
    <v>86.61</v>
    <v>87.03</v>
    <v>92.8</v>
    <v>93.54</v>
    <v>96.77</v>
    <v>100.75</v>
    <v>102.06</v>
    <v>103.2</v>
    <v>102.32</v>
    <v>104.6</v>
    <v>104.15</v>
    <v>103.92</v>
    <v>104.82</v>
    <v>108.2</v>
    <v>107.98</v>
    <v>108.87</v>
    <v>107.02</v>
    <v>111.27</v>
    <v>110.87</v>
    <v>111.05</v>
    <v>111.04</v>
    <v>113.99</v>
    <v>116.7</v>
    <v>115.03</v>
    <v>117.43</v>
    <v>114.17</v>
    <v>118.82</v>
    <v>117.29</v>
    <v>114.95</v>
    <v>116.83</v>
    <v>119.05</v>
    <v>117.64</v>
    <v>120.86</v>
    <v>123.61</v>
    <v>125.23</v>
    <v>127.25</v>
    <v>125.72</v>
    <v>127.33</v>
    <v>128.97999999999999</v>
    <v>134.5</v>
    <v>133.6</v>
    <v>138.88</v>
    <v>141.88</v>
    <v>143.6</v>
    <v>143.46</v>
    <v>139.27000000000001</v>
    <v>127.34</v>
    <v>130.57</v>
    <v>122.01</v>
    <v>122.03</v>
    <v>123.96</v>
    <v>130.37</v>
    <v>127.44</v>
    <v>122.53</v>
    <v>124.46</v>
    <v>127.49</v>
    <v>131.85</v>
    <v>131.55000000000001</v>
    <v>129.69</v>
    <v>125.48</v>
    <v>127.23</v>
    <v>125.95</v>
    <v>126.14</v>
    <v>118.73</v>
    <v>118.37</v>
    <v>115.75</v>
    <v>113.74</v>
    <v>123.85</v>
    <v>119.53</v>
    <v>121.01</v>
    <v>133.5</v>
    <v>131.85</v>
    <v>133.25</v>
    <v>131.69</v>
    <v>137.13</v>
    <v>138.16</v>
    <v>141.38</v>
    <v>146.34</v>
    <v>143.49</v>
    <v>143.68</v>
    <v>147.88999999999999</v>
    <v>148.91</v>
    <v>148.5</v>
    <v>150.49</v>
    <v>147.55000000000001</v>
    <v>149.58000000000001</v>
    <v>151.44999999999999</v>
    <v>158.76</v>
    <v>166.88</v>
    <v>174.73</v>
    <v>173.43</v>
    <v>180.16</v>
    <v>184.51</v>
    <v>168.54</v>
    <v>179.59</v>
    <v>182.99</v>
    <v>174.02</v>
    <v>170.63</v>
    <v>165.88</v>
    <v>172.12</v>
    <v>177.16</v>
    <v>179.37</v>
    <v>181.76</v>
    <v>190.14</v>
    <v>186.91</v>
    <v>193.41</v>
    <v>195.68</v>
    <v>205.36</v>
    <v>206</v>
    <v>204.59</v>
    <v>194.35</v>
    <v>179.92</v>
    <v>179.86</v>
    <v>176.21</v>
    <v>175.62</v>
    <v>181.95</v>
    <v>192.07</v>
    <v>202</v>
    <v>199.53</v>
    <v>203.28</v>
    <v>213.06</v>
    <v>208.54</v>
    <v>211.66</v>
    <v>191.86</v>
    <v>193.28</v>
    <v>199.64</v>
    <v>194.35</v>
    <v>188.05</v>
    <v>196.15</v>
    <v>186.43</v>
    <v>176.73</v>
    <v>188.6</v>
    <v>187.22</v>
    <v>173.61</v>
    <v>171.24</v>
    <v>179.3</v>
    <v>179.22</v>
    <v>167.85</v>
    <v>171.02</v>
    <v>165.31</v>
    <v>161.91</v>
    <v>159.15</v>
    <v>160.91</v>
    <v>168.69</v>
    <v>168.23</v>
    <v>167.4</v>
    <v>163.27000000000001</v>
    <v>155.25</v>
    <v>150.38</v>
    <v>142.26</v>
    <v>151.27000000000001</v>
    <v>153.25</v>
    <v>152.57</v>
    <v>165.16</v>
    <v>165.52</v>
    <v>162.03</v>
    <v>160.38</v>
    <v>158.78</v>
    <v>163.51</v>
    <v>170.97</v>
    <v>175.98</v>
    <v>175.65</v>
    <v>184.15</v>
    <v>167.07</v>
    <v>168.07</v>
    <v>171.63</v>
    <v>172.7</v>
    <v>167.52</v>
    <v>173.12</v>
    <v>173.56</v>
    <v>175.11</v>
    <v>176.67</v>
    <v>174.38</v>
    <v>172.99</v>
    <v>172.41</v>
    <v>173.03</v>
    <v>179.55</v>
    <v>184.73</v>
    <v>185</v>
    <v>184.46</v>
    <v>178.76</v>
    <v>184.12</v>
    <v>172.84</v>
    <v>171.84</v>
    <v>174.76</v>
    <v>178.28</v>
    <v>174.88</v>
    <v>185.05</v>
    <v>187.71</v>
    <v>185.33</v>
    <v>181.57</v>
    <v>183.98</v>
    <v>180</v>
    <v>185.91</v>
    <v>182.2</v>
    <v>183.09</v>
    <v>190.77</v>
    <v>192.79</v>
    <v>189.66</v>
    <v>185.72</v>
    <v>179.05</v>
    <v>178.31</v>
    <v>171.98</v>
    <v>165.72</v>
    <v>163.69999999999999</v>
    <v>154.71</v>
    <v>153.71</v>
    <v>159.27000000000001</v>
    <v>154.66999999999999</v>
    <v>157.37</v>
    <v>151.47</v>
    <v>153.04</v>
  </a>
  <a r="1" c="254">
    <v>22.155000000000001</v>
    <v>22.055</v>
    <v>21.33</v>
    <v>21.18</v>
    <v>21.37</v>
    <v>21.355</v>
    <v>21.305</v>
    <v>21.364999999999998</v>
    <v>21.23</v>
    <v>21.27</v>
    <v>21.28</v>
    <v>21.405000000000001</v>
    <v>21.88</v>
    <v>21.945</v>
    <v>22.36</v>
    <v>22.46</v>
    <v>21.88</v>
    <v>21.75</v>
    <v>21.69</v>
    <v>21.745000000000001</v>
    <v>21.69</v>
    <v>21.72</v>
    <v>21.864999999999998</v>
    <v>22.09</v>
    <v>22.204999999999998</v>
    <v>22.17</v>
    <v>22.45</v>
    <v>22.58</v>
    <v>22.3</v>
    <v>22.5</v>
    <v>22.47</v>
    <v>22.48</v>
    <v>22.37</v>
    <v>22.46</v>
    <v>22.39</v>
    <v>22.684999999999999</v>
    <v>22.86</v>
    <v>22.88</v>
    <v>22.905000000000001</v>
    <v>23.055</v>
    <v>23.26</v>
    <v>23.15</v>
    <v>23.63</v>
    <v>23.76</v>
    <v>23.074999999999999</v>
    <v>23.234999999999999</v>
    <v>22.975000000000001</v>
    <v>23.645</v>
    <v>23.86</v>
    <v>23.74</v>
    <v>23.734999999999999</v>
    <v>23.96</v>
    <v>24.57</v>
    <v>24.5</v>
    <v>24.555</v>
    <v>24.52</v>
    <v>24.41</v>
    <v>24.824999999999999</v>
    <v>25.2</v>
    <v>25.745000000000001</v>
    <v>25.91</v>
    <v>26.475000000000001</v>
    <v>26.975000000000001</v>
    <v>27.04</v>
    <v>28.04</v>
    <v>28.015000000000001</v>
    <v>26.414999999999999</v>
    <v>24.72</v>
    <v>26.405000000000001</v>
    <v>26.094999999999999</v>
    <v>25.7</v>
    <v>26.14</v>
    <v>26.855</v>
    <v>26.524999999999999</v>
    <v>26.864999999999998</v>
    <v>26.11</v>
    <v>26.594999999999999</v>
    <v>26.405000000000001</v>
    <v>25.835000000000001</v>
    <v>26.44</v>
    <v>26.44</v>
    <v>26.79</v>
    <v>27.565000000000001</v>
    <v>27.175000000000001</v>
    <v>27.52</v>
    <v>27.39</v>
    <v>27.675000000000001</v>
    <v>28.004999999999999</v>
    <v>27.024999999999999</v>
    <v>27.195</v>
    <v>26.734999999999999</v>
    <v>27.17</v>
    <v>26.984999999999999</v>
    <v>27.645</v>
    <v>27.3</v>
    <v>27.114999999999998</v>
    <v>26.625</v>
    <v>26.27</v>
    <v>26.43</v>
    <v>25.785</v>
    <v>24.22</v>
    <v>24.204999999999998</v>
    <v>23.125</v>
    <v>23.344999999999999</v>
    <v>24.05</v>
    <v>23.195</v>
    <v>23.855</v>
    <v>23.925000000000001</v>
    <v>24.344999999999999</v>
    <v>25.234999999999999</v>
    <v>24.655000000000001</v>
    <v>24.54</v>
    <v>25.114999999999998</v>
    <v>25.195</v>
    <v>25.18</v>
    <v>24.844999999999999</v>
    <v>25.34</v>
    <v>25.295000000000002</v>
    <v>25.315000000000001</v>
    <v>25.695</v>
    <v>25.31</v>
    <v>24.995000000000001</v>
    <v>24.93</v>
    <v>24.94</v>
    <v>24.86</v>
    <v>24.655000000000001</v>
    <v>24.105</v>
    <v>23.945</v>
    <v>24.33</v>
    <v>23.855</v>
    <v>24.11</v>
    <v>24.7</v>
    <v>24.934999999999999</v>
    <v>24.8</v>
    <v>24.89</v>
    <v>24.535</v>
    <v>24.675000000000001</v>
    <v>24.645</v>
    <v>23.905000000000001</v>
    <v>23.844999999999999</v>
    <v>23.65</v>
    <v>23.81</v>
    <v>23.67</v>
    <v>23.745000000000001</v>
    <v>24.03</v>
    <v>23.684999999999999</v>
    <v>23.305</v>
    <v>23.55</v>
    <v>24.06</v>
    <v>23.524999999999999</v>
    <v>23.664999999999999</v>
    <v>23.344999999999999</v>
    <v>23.475000000000001</v>
    <v>22.81</v>
    <v>22.76</v>
    <v>22.434999999999999</v>
    <v>21.68</v>
    <v>21.425000000000001</v>
    <v>22.15</v>
    <v>22.844999999999999</v>
    <v>22.69</v>
    <v>22.844999999999999</v>
    <v>22.21</v>
    <v>21.76</v>
    <v>21.96</v>
    <v>21.664999999999999</v>
    <v>21.015000000000001</v>
    <v>21.1</v>
    <v>21.4</v>
    <v>21.085000000000001</v>
    <v>21.105</v>
    <v>21.375</v>
    <v>21.6</v>
    <v>21.82</v>
    <v>21.734999999999999</v>
    <v>21.684999999999999</v>
    <v>21.09</v>
    <v>21.61</v>
    <v>21.465</v>
    <v>21.02</v>
    <v>21.375</v>
    <v>21.184999999999999</v>
    <v>21.02</v>
    <v>20.995000000000001</v>
    <v>21.015000000000001</v>
    <v>21.33</v>
    <v>21.754999999999999</v>
    <v>21.184999999999999</v>
    <v>21.32</v>
    <v>21.324999999999999</v>
    <v>21.105</v>
    <v>20.975000000000001</v>
    <v>21.414999999999999</v>
    <v>21.125</v>
    <v>21.085000000000001</v>
    <v>21.32</v>
    <v>22.254999999999999</v>
    <v>22.24</v>
    <v>22.745000000000001</v>
    <v>22.74</v>
    <v>22.895</v>
    <v>23.105</v>
    <v>22.785</v>
    <v>22.925000000000001</v>
    <v>23.114999999999998</v>
    <v>22.75</v>
    <v>23.42</v>
    <v>23.635000000000002</v>
    <v>24.04</v>
    <v>24.41</v>
    <v>24.23</v>
    <v>24</v>
    <v>23.98</v>
    <v>23.835000000000001</v>
    <v>23.13</v>
    <v>22.77</v>
    <v>22.815000000000001</v>
    <v>23.5</v>
    <v>23.16</v>
    <v>23.03</v>
    <v>22.975000000000001</v>
    <v>22.97</v>
    <v>22.77</v>
    <v>22.795000000000002</v>
    <v>22.34</v>
    <v>22.35</v>
    <v>22.655000000000001</v>
    <v>22.72</v>
    <v>22.715</v>
    <v>22.684999999999999</v>
    <v>22.585000000000001</v>
    <v>22.335000000000001</v>
    <v>22.15</v>
    <v>22.324999999999999</v>
    <v>21.495000000000001</v>
    <v>21.635000000000002</v>
    <v>21.66</v>
    <v>21.66</v>
    <v>21.574999999999999</v>
    <v>21.56</v>
    <v>21.68</v>
    <v>21.37</v>
    <v>21.434999999999999</v>
    <v>21.81</v>
    <v>21.69</v>
    <v>21.675000000000001</v>
    <v>21.305</v>
    <v>21.63</v>
    <v>21.745000000000001</v>
    <v>21.574999999999999</v>
    <v>21.495000000000001</v>
    <v>21.535</v>
    <v>21.08</v>
    <v>20.8</v>
  </a>
  <a r="1" c="208">
    <v>22.975000000000001</v>
    <v>23.645</v>
    <v>23.86</v>
    <v>23.74</v>
    <v>23.734999999999999</v>
    <v>23.96</v>
    <v>24.57</v>
    <v>24.5</v>
    <v>24.555</v>
    <v>24.52</v>
    <v>24.41</v>
    <v>24.824999999999999</v>
    <v>25.2</v>
    <v>25.745000000000001</v>
    <v>25.91</v>
    <v>26.475000000000001</v>
    <v>26.975000000000001</v>
    <v>27.04</v>
    <v>28.04</v>
    <v>28.015000000000001</v>
    <v>26.414999999999999</v>
    <v>24.72</v>
    <v>26.405000000000001</v>
    <v>26.094999999999999</v>
    <v>25.7</v>
    <v>26.14</v>
    <v>26.855</v>
    <v>26.524999999999999</v>
    <v>26.864999999999998</v>
    <v>26.11</v>
    <v>26.594999999999999</v>
    <v>26.405000000000001</v>
    <v>25.835000000000001</v>
    <v>26.44</v>
    <v>26.44</v>
    <v>26.79</v>
    <v>27.565000000000001</v>
    <v>27.175000000000001</v>
    <v>27.52</v>
    <v>27.39</v>
    <v>27.675000000000001</v>
    <v>28.004999999999999</v>
    <v>27.024999999999999</v>
    <v>27.195</v>
    <v>26.734999999999999</v>
    <v>27.17</v>
    <v>26.984999999999999</v>
    <v>27.645</v>
    <v>27.3</v>
    <v>27.114999999999998</v>
    <v>26.625</v>
    <v>26.27</v>
    <v>26.43</v>
    <v>25.785</v>
    <v>24.22</v>
    <v>24.204999999999998</v>
    <v>23.125</v>
    <v>23.344999999999999</v>
    <v>24.05</v>
    <v>23.195</v>
    <v>23.855</v>
    <v>23.925000000000001</v>
    <v>24.344999999999999</v>
    <v>25.234999999999999</v>
    <v>24.655000000000001</v>
    <v>24.54</v>
    <v>25.114999999999998</v>
    <v>25.195</v>
    <v>25.18</v>
    <v>24.844999999999999</v>
    <v>25.34</v>
    <v>25.295000000000002</v>
    <v>25.315000000000001</v>
    <v>25.695</v>
    <v>25.31</v>
    <v>24.995000000000001</v>
    <v>24.93</v>
    <v>24.94</v>
    <v>24.86</v>
    <v>24.655000000000001</v>
    <v>24.105</v>
    <v>23.945</v>
    <v>24.33</v>
    <v>23.855</v>
    <v>24.11</v>
    <v>24.7</v>
    <v>24.934999999999999</v>
    <v>24.8</v>
    <v>24.89</v>
    <v>24.535</v>
    <v>24.675000000000001</v>
    <v>24.645</v>
    <v>23.905000000000001</v>
    <v>23.844999999999999</v>
    <v>23.65</v>
    <v>23.81</v>
    <v>23.67</v>
    <v>23.745000000000001</v>
    <v>24.03</v>
    <v>23.684999999999999</v>
    <v>23.305</v>
    <v>23.55</v>
    <v>24.06</v>
    <v>23.524999999999999</v>
    <v>23.664999999999999</v>
    <v>23.344999999999999</v>
    <v>23.475000000000001</v>
    <v>22.81</v>
    <v>22.76</v>
    <v>22.434999999999999</v>
    <v>21.68</v>
    <v>21.425000000000001</v>
    <v>22.15</v>
    <v>22.844999999999999</v>
    <v>22.69</v>
    <v>22.844999999999999</v>
    <v>22.21</v>
    <v>21.76</v>
    <v>21.96</v>
    <v>21.664999999999999</v>
    <v>21.015000000000001</v>
    <v>21.1</v>
    <v>21.4</v>
    <v>21.085000000000001</v>
    <v>21.105</v>
    <v>21.375</v>
    <v>21.6</v>
    <v>21.82</v>
    <v>21.734999999999999</v>
    <v>21.684999999999999</v>
    <v>21.09</v>
    <v>21.61</v>
    <v>21.465</v>
    <v>21.02</v>
    <v>21.375</v>
    <v>21.184999999999999</v>
    <v>21.02</v>
    <v>20.995000000000001</v>
    <v>21.015000000000001</v>
    <v>21.33</v>
    <v>21.754999999999999</v>
    <v>21.184999999999999</v>
    <v>21.32</v>
    <v>21.324999999999999</v>
    <v>21.105</v>
    <v>20.975000000000001</v>
    <v>21.414999999999999</v>
    <v>21.125</v>
    <v>21.085000000000001</v>
    <v>21.32</v>
    <v>22.254999999999999</v>
    <v>22.24</v>
    <v>22.745000000000001</v>
    <v>22.74</v>
    <v>22.895</v>
    <v>23.105</v>
    <v>22.785</v>
    <v>22.925000000000001</v>
    <v>23.114999999999998</v>
    <v>22.75</v>
    <v>23.42</v>
    <v>23.635000000000002</v>
    <v>24.04</v>
    <v>24.41</v>
    <v>24.23</v>
    <v>24</v>
    <v>23.98</v>
    <v>23.835000000000001</v>
    <v>23.13</v>
    <v>22.77</v>
    <v>22.815000000000001</v>
    <v>23.5</v>
    <v>23.16</v>
    <v>23.03</v>
    <v>22.975000000000001</v>
    <v>22.97</v>
    <v>22.77</v>
    <v>22.795000000000002</v>
    <v>22.34</v>
    <v>22.35</v>
    <v>22.655000000000001</v>
    <v>22.72</v>
    <v>22.715</v>
    <v>22.684999999999999</v>
    <v>22.585000000000001</v>
    <v>22.335000000000001</v>
    <v>22.15</v>
    <v>22.324999999999999</v>
    <v>21.495000000000001</v>
    <v>21.635000000000002</v>
    <v>21.66</v>
    <v>21.66</v>
    <v>21.574999999999999</v>
    <v>21.56</v>
    <v>21.68</v>
    <v>21.37</v>
    <v>21.434999999999999</v>
    <v>21.81</v>
    <v>21.69</v>
    <v>21.675000000000001</v>
    <v>21.305</v>
    <v>21.63</v>
    <v>21.745000000000001</v>
    <v>21.574999999999999</v>
    <v>21.495000000000001</v>
    <v>21.535</v>
    <v>21.08</v>
    <v>20.8</v>
  </a>
  <a r="1" c="761">
    <v>11.16</v>
    <v>11.086</v>
    <v>11.141999999999999</v>
    <v>11.15</v>
    <v>11.164</v>
    <v>11.278</v>
    <v>11.228</v>
    <v>11.15</v>
    <v>11.17</v>
    <v>11.222</v>
    <v>11.173999999999999</v>
    <v>11.071999999999999</v>
    <v>11.026</v>
    <v>11.058</v>
    <v>10.926</v>
    <v>10.948</v>
    <v>11.068</v>
    <v>11.05</v>
    <v>11.178000000000001</v>
    <v>11.157999999999999</v>
    <v>11.116</v>
    <v>11.257999999999999</v>
    <v>11.215999999999999</v>
    <v>11.208</v>
    <v>11.26</v>
    <v>11.308</v>
    <v>11.462</v>
    <v>11.486000000000001</v>
    <v>11.478</v>
    <v>11.577999999999999</v>
    <v>11.394</v>
    <v>11.342000000000001</v>
    <v>11.398</v>
    <v>11.414</v>
    <v>11.278</v>
    <v>11.146000000000001</v>
    <v>11.135999999999999</v>
    <v>11.15</v>
    <v>11.462</v>
    <v>11.448</v>
    <v>11.374000000000001</v>
    <v>11.502000000000001</v>
    <v>11.436</v>
    <v>11.488</v>
    <v>11.576000000000001</v>
    <v>11.69</v>
    <v>11.657999999999999</v>
    <v>11.593999999999999</v>
    <v>11.596</v>
    <v>11.422000000000001</v>
    <v>11.484</v>
    <v>11.51</v>
    <v>11.416</v>
    <v>11.39</v>
    <v>11.374000000000001</v>
    <v>11.327999999999999</v>
    <v>11.532</v>
    <v>11.528</v>
    <v>11.43</v>
    <v>11.273999999999999</v>
    <v>11.316000000000001</v>
    <v>11.362</v>
    <v>11.348000000000001</v>
    <v>11.352</v>
    <v>11.295999999999999</v>
    <v>11.305999999999999</v>
    <v>11.311999999999999</v>
    <v>11.364000000000001</v>
    <v>11.396000000000001</v>
    <v>11.496</v>
    <v>11.55</v>
    <v>11.401999999999999</v>
    <v>11.32</v>
    <v>11.412000000000001</v>
    <v>11.428000000000001</v>
    <v>11.37</v>
    <v>11.327999999999999</v>
    <v>11.288</v>
    <v>11.167999999999999</v>
    <v>11.151999999999999</v>
    <v>11.202</v>
    <v>11.246</v>
    <v>11.286</v>
    <v>11.352</v>
    <v>11.334</v>
    <v>11.32</v>
    <v>11.38</v>
    <v>11.348000000000001</v>
    <v>11.384</v>
    <v>11.38</v>
    <v>11.442</v>
    <v>11.616</v>
    <v>11.824</v>
    <v>11.894</v>
    <v>12.006</v>
    <v>12.068</v>
    <v>12.16</v>
    <v>12.196</v>
    <v>12.09</v>
    <v>12.15</v>
    <v>12.07</v>
    <v>12.093999999999999</v>
    <v>12.06</v>
    <v>12.045999999999999</v>
    <v>12.055999999999999</v>
    <v>12.16</v>
    <v>12.1</v>
    <v>12.157999999999999</v>
    <v>12.156000000000001</v>
    <v>12.24</v>
    <v>12.391999999999999</v>
    <v>12.586</v>
    <v>12.766</v>
    <v>12.808</v>
    <v>12.98</v>
    <v>13.012</v>
    <v>13.098000000000001</v>
    <v>13.045999999999999</v>
    <v>13.05</v>
    <v>13.368</v>
    <v>13.122</v>
    <v>13.286</v>
    <v>13.311999999999999</v>
    <v>13.304</v>
    <v>13.356</v>
    <v>13.023999999999999</v>
    <v>12.96</v>
    <v>13.004</v>
    <v>13.013999999999999</v>
    <v>13.018000000000001</v>
    <v>13.04</v>
    <v>12.821999999999999</v>
    <v>12.842000000000001</v>
    <v>12.778</v>
    <v>12.954000000000001</v>
    <v>12.906000000000001</v>
    <v>12.926</v>
    <v>13.012</v>
    <v>13.178000000000001</v>
    <v>13.01</v>
    <v>13.102</v>
    <v>13.28</v>
    <v>13.263999999999999</v>
    <v>13.41</v>
    <v>13.506</v>
    <v>13.53</v>
    <v>13.31</v>
    <v>13.04</v>
    <v>13.002000000000001</v>
    <v>13.118</v>
    <v>13.135999999999999</v>
    <v>13.028</v>
    <v>13.044</v>
    <v>12.965999999999999</v>
    <v>13.044</v>
    <v>12.948</v>
    <v>13.09</v>
    <v>13.214</v>
    <v>12.846</v>
    <v>12.821999999999999</v>
    <v>12.868</v>
    <v>12.96</v>
    <v>12.842000000000001</v>
    <v>12.946</v>
    <v>12.87</v>
    <v>12.93</v>
    <v>12.936</v>
    <v>13.071999999999999</v>
    <v>12.938000000000001</v>
    <v>12.956</v>
    <v>12.901999999999999</v>
    <v>12.79</v>
    <v>12.932</v>
    <v>12.94</v>
    <v>12.942</v>
    <v>12.933999999999999</v>
    <v>13.125999999999999</v>
    <v>13.112</v>
    <v>13.25</v>
    <v>13.16</v>
    <v>13.066000000000001</v>
    <v>13.212</v>
    <v>13.44</v>
    <v>13.385999999999999</v>
    <v>13.518000000000001</v>
    <v>13.656000000000001</v>
    <v>13.68</v>
    <v>13.68</v>
    <v>13.337999999999999</v>
    <v>13.236000000000001</v>
    <v>13.34</v>
    <v>13.462</v>
    <v>13.114000000000001</v>
    <v>13.222</v>
    <v>13.167999999999999</v>
    <v>13.244</v>
    <v>13.417999999999999</v>
    <v>13.582000000000001</v>
    <v>13.45</v>
    <v>13.332000000000001</v>
    <v>13.226000000000001</v>
    <v>13.288</v>
    <v>13.38</v>
    <v>13.456</v>
    <v>13.632</v>
    <v>13.67</v>
    <v>13.568</v>
    <v>13.773999999999999</v>
    <v>13.862</v>
    <v>13.89</v>
    <v>13.878</v>
    <v>13.708</v>
    <v>13.926</v>
    <v>13.9</v>
    <v>13.917999999999999</v>
    <v>13.872</v>
    <v>13.933999999999999</v>
    <v>13.853999999999999</v>
    <v>13.84</v>
    <v>13.728</v>
    <v>13.795999999999999</v>
    <v>13.856</v>
    <v>13.904</v>
    <v>13.79</v>
    <v>13.894</v>
    <v>13.89</v>
    <v>14.112</v>
    <v>14.242000000000001</v>
    <v>14.268000000000001</v>
    <v>14.164</v>
    <v>14.22</v>
    <v>14.278</v>
    <v>14.426</v>
    <v>14.528</v>
    <v>14.602</v>
    <v>14.676</v>
    <v>14.74</v>
    <v>14.65</v>
    <v>14.534000000000001</v>
    <v>14.72</v>
    <v>14.608000000000001</v>
    <v>14.632</v>
    <v>14.667999999999999</v>
    <v>14.596</v>
    <v>14.378</v>
    <v>14.412000000000001</v>
    <v>14.476000000000001</v>
    <v>14.664</v>
    <v>14.592000000000001</v>
    <v>14.704000000000001</v>
    <v>14.754</v>
    <v>14.853999999999999</v>
    <v>14.981999999999999</v>
    <v>15.028</v>
    <v>15.124000000000001</v>
    <v>14.988</v>
    <v>15.064</v>
    <v>15.092000000000001</v>
    <v>15.122</v>
    <v>15.26</v>
    <v>15.358000000000001</v>
    <v>15.112</v>
    <v>15.135999999999999</v>
    <v>15.084</v>
    <v>15.084</v>
    <v>14.714</v>
    <v>14.821999999999999</v>
    <v>14.78</v>
    <v>14.394</v>
    <v>14.304</v>
    <v>14.254</v>
    <v>14.17</v>
    <v>14.102</v>
    <v>14.352</v>
    <v>14.436</v>
    <v>14.576000000000001</v>
    <v>14.672000000000001</v>
    <v>14.872</v>
    <v>14.51</v>
    <v>14.452</v>
    <v>14.522</v>
    <v>14.528</v>
    <v>14.632</v>
    <v>14.534000000000001</v>
    <v>14.534000000000001</v>
    <v>14.592000000000001</v>
    <v>14.507999999999999</v>
    <v>14.523999999999999</v>
    <v>14.672000000000001</v>
    <v>14.773999999999999</v>
    <v>14.923999999999999</v>
    <v>14.724</v>
    <v>14.628</v>
    <v>14.576000000000001</v>
    <v>14.496</v>
    <v>14.496</v>
    <v>14.23</v>
    <v>14.4</v>
    <v>14.356</v>
    <v>14.394</v>
    <v>14.26</v>
    <v>14.592000000000001</v>
    <v>14.494</v>
    <v>14.48</v>
    <v>14.548</v>
    <v>14.635999999999999</v>
    <v>14.641999999999999</v>
    <v>14.752000000000001</v>
    <v>14.635999999999999</v>
    <v>14.654</v>
    <v>14.728</v>
    <v>14.914</v>
    <v>14.891999999999999</v>
    <v>14.852</v>
    <v>15.048</v>
    <v>15.13</v>
    <v>15.102</v>
    <v>15.22</v>
    <v>15.03</v>
    <v>15.12</v>
    <v>15.086</v>
    <v>15.314</v>
    <v>15.38</v>
    <v>15.49</v>
    <v>15.571999999999999</v>
    <v>15.726000000000001</v>
    <v>15.622</v>
    <v>15.722</v>
    <v>15.922000000000001</v>
    <v>15.932</v>
    <v>15.874000000000001</v>
    <v>15.981999999999999</v>
    <v>15.832000000000001</v>
    <v>15.878</v>
    <v>16.04</v>
    <v>16.010000000000002</v>
    <v>16.108000000000001</v>
    <v>16.058</v>
    <v>16.111999999999998</v>
    <v>15.84</v>
    <v>15.928000000000001</v>
    <v>15.722</v>
    <v>15.58</v>
    <v>15.814</v>
    <v>15.914</v>
    <v>16.006</v>
    <v>15.948</v>
    <v>15.952</v>
    <v>15.88</v>
    <v>15.952</v>
    <v>16.056000000000001</v>
    <v>16.28</v>
    <v>16.332000000000001</v>
    <v>16.382000000000001</v>
    <v>16.582000000000001</v>
    <v>16.584</v>
    <v>16.596</v>
    <v>16.47</v>
    <v>16.45</v>
    <v>16.507999999999999</v>
    <v>16.484000000000002</v>
    <v>16.666</v>
    <v>16.829999999999998</v>
    <v>17.033999999999999</v>
    <v>17.074000000000002</v>
    <v>17.053999999999998</v>
    <v>16.940000000000001</v>
    <v>16.507999999999999</v>
    <v>16.277999999999999</v>
    <v>16.423999999999999</v>
    <v>16.814</v>
    <v>17.277999999999999</v>
    <v>17.641999999999999</v>
    <v>17.472000000000001</v>
    <v>17.553999999999998</v>
    <v>18.047999999999998</v>
    <v>17.943999999999999</v>
    <v>18.579999999999998</v>
    <v>17.794</v>
    <v>18.071999999999999</v>
    <v>17.783999999999999</v>
    <v>18.097999999999999</v>
    <v>18</v>
    <v>17.963999999999999</v>
    <v>17.608000000000001</v>
    <v>18.006</v>
    <v>18.448</v>
    <v>18.378</v>
    <v>18.161999999999999</v>
    <v>18.126000000000001</v>
    <v>17.544</v>
    <v>17.622</v>
    <v>17.271999999999998</v>
    <v>17.443999999999999</v>
    <v>17.260000000000002</v>
    <v>17.545999999999999</v>
    <v>17.757999999999999</v>
    <v>17.952000000000002</v>
    <v>17.853999999999999</v>
    <v>18.212</v>
    <v>18.094000000000001</v>
    <v>17.858000000000001</v>
    <v>17.86</v>
    <v>17.96</v>
    <v>17.806000000000001</v>
    <v>18.27</v>
    <v>18.132000000000001</v>
    <v>18.268000000000001</v>
    <v>18.2</v>
    <v>18.044</v>
    <v>18.036000000000001</v>
    <v>17.988</v>
    <v>18.068000000000001</v>
    <v>18.324000000000002</v>
    <v>18.533999999999999</v>
    <v>18.431999999999999</v>
    <v>18.286000000000001</v>
    <v>18.318000000000001</v>
    <v>18.207999999999998</v>
    <v>18.212</v>
    <v>18.329999999999998</v>
    <v>17.91</v>
    <v>17.962</v>
    <v>17.956</v>
    <v>17.687999999999999</v>
    <v>17.765999999999998</v>
    <v>18.059999999999999</v>
    <v>18.05</v>
    <v>17.988</v>
    <v>18</v>
    <v>17.920000000000002</v>
    <v>17.806000000000001</v>
    <v>17.864000000000001</v>
    <v>17.93</v>
    <v>18.164000000000001</v>
    <v>18.064</v>
    <v>17.96</v>
    <v>18.148</v>
    <v>18.001999999999999</v>
    <v>18.088000000000001</v>
    <v>18.335999999999999</v>
    <v>18.478000000000002</v>
    <v>18.405999999999999</v>
    <v>18.187999999999999</v>
    <v>17.948</v>
    <v>17.856000000000002</v>
    <v>17.920000000000002</v>
    <v>17.736000000000001</v>
    <v>17.75</v>
    <v>18.053999999999998</v>
    <v>18.161999999999999</v>
    <v>18.225999999999999</v>
    <v>18.175999999999998</v>
    <v>18.251999999999999</v>
    <v>18.283999999999999</v>
    <v>18.021999999999998</v>
    <v>18.052</v>
    <v>18.056000000000001</v>
    <v>17.963999999999999</v>
    <v>17.937999999999999</v>
    <v>17.902000000000001</v>
    <v>17.97</v>
    <v>17.98</v>
    <v>18.152000000000001</v>
    <v>18.148</v>
    <v>18.184000000000001</v>
    <v>18.206</v>
    <v>18.302</v>
    <v>18.515999999999998</v>
    <v>18.686</v>
    <v>18.878</v>
    <v>19.146000000000001</v>
    <v>19.059999999999999</v>
    <v>19.271999999999998</v>
    <v>19.538</v>
    <v>19.545999999999999</v>
    <v>19.562000000000001</v>
    <v>19.518000000000001</v>
    <v>19.562000000000001</v>
    <v>19.681999999999999</v>
    <v>19.757999999999999</v>
    <v>19.771999999999998</v>
    <v>19.532</v>
    <v>19.692</v>
    <v>20.004999999999999</v>
    <v>20.27</v>
    <v>20.09</v>
    <v>19.995999999999999</v>
    <v>20.265000000000001</v>
    <v>20.524999999999999</v>
    <v>20.55</v>
    <v>20.7</v>
    <v>20.524999999999999</v>
    <v>20.805</v>
    <v>21.155000000000001</v>
    <v>21.344999999999999</v>
    <v>21.664999999999999</v>
    <v>21.49</v>
    <v>21.49</v>
    <v>21.914999999999999</v>
    <v>22.17</v>
    <v>22.44</v>
    <v>22.864999999999998</v>
    <v>22.785</v>
    <v>23.27</v>
    <v>22.07</v>
    <v>21.55</v>
    <v>22.155000000000001</v>
    <v>22.055</v>
    <v>21.33</v>
    <v>21.18</v>
    <v>21.37</v>
    <v>21.355</v>
    <v>21.305</v>
    <v>21.364999999999998</v>
    <v>21.23</v>
    <v>21.27</v>
    <v>21.28</v>
    <v>21.405000000000001</v>
    <v>21.88</v>
    <v>21.945</v>
    <v>22.36</v>
    <v>22.46</v>
    <v>21.88</v>
    <v>21.75</v>
    <v>21.69</v>
    <v>21.745000000000001</v>
    <v>21.69</v>
    <v>21.72</v>
    <v>21.864999999999998</v>
    <v>22.09</v>
    <v>22.204999999999998</v>
    <v>22.17</v>
    <v>22.45</v>
    <v>22.58</v>
    <v>22.3</v>
    <v>22.5</v>
    <v>22.47</v>
    <v>22.48</v>
    <v>22.37</v>
    <v>22.46</v>
    <v>22.39</v>
    <v>22.684999999999999</v>
    <v>22.86</v>
    <v>22.88</v>
    <v>22.905000000000001</v>
    <v>23.055</v>
    <v>23.26</v>
    <v>23.15</v>
    <v>23.63</v>
    <v>23.76</v>
    <v>23.074999999999999</v>
    <v>23.234999999999999</v>
    <v>22.975000000000001</v>
    <v>23.645</v>
    <v>23.86</v>
    <v>23.74</v>
    <v>23.734999999999999</v>
    <v>23.96</v>
    <v>24.57</v>
    <v>24.5</v>
    <v>24.555</v>
    <v>24.52</v>
    <v>24.41</v>
    <v>24.824999999999999</v>
    <v>25.2</v>
    <v>25.745000000000001</v>
    <v>25.91</v>
    <v>26.475000000000001</v>
    <v>26.975000000000001</v>
    <v>27.04</v>
    <v>28.04</v>
    <v>28.015000000000001</v>
    <v>26.414999999999999</v>
    <v>24.72</v>
    <v>26.405000000000001</v>
    <v>26.094999999999999</v>
    <v>25.7</v>
    <v>26.14</v>
    <v>26.855</v>
    <v>26.524999999999999</v>
    <v>26.864999999999998</v>
    <v>26.11</v>
    <v>26.594999999999999</v>
    <v>26.405000000000001</v>
    <v>25.835000000000001</v>
    <v>26.44</v>
    <v>26.44</v>
    <v>26.79</v>
    <v>27.565000000000001</v>
    <v>27.175000000000001</v>
    <v>27.52</v>
    <v>27.39</v>
    <v>27.675000000000001</v>
    <v>28.004999999999999</v>
    <v>27.024999999999999</v>
    <v>27.195</v>
    <v>26.734999999999999</v>
    <v>27.17</v>
    <v>26.984999999999999</v>
    <v>27.645</v>
    <v>27.3</v>
    <v>27.114999999999998</v>
    <v>26.625</v>
    <v>26.27</v>
    <v>26.43</v>
    <v>25.785</v>
    <v>24.22</v>
    <v>24.204999999999998</v>
    <v>23.125</v>
    <v>23.344999999999999</v>
    <v>24.05</v>
    <v>23.195</v>
    <v>23.855</v>
    <v>23.925000000000001</v>
    <v>24.344999999999999</v>
    <v>25.234999999999999</v>
    <v>24.655000000000001</v>
    <v>24.54</v>
    <v>25.114999999999998</v>
    <v>25.195</v>
    <v>25.18</v>
    <v>24.844999999999999</v>
    <v>25.34</v>
    <v>25.295000000000002</v>
    <v>25.315000000000001</v>
    <v>25.695</v>
    <v>25.31</v>
    <v>24.995000000000001</v>
    <v>24.93</v>
    <v>24.94</v>
    <v>24.86</v>
    <v>24.655000000000001</v>
    <v>24.105</v>
    <v>23.945</v>
    <v>24.33</v>
    <v>23.855</v>
    <v>24.11</v>
    <v>24.7</v>
    <v>24.934999999999999</v>
    <v>24.8</v>
    <v>24.89</v>
    <v>24.535</v>
    <v>24.675000000000001</v>
    <v>24.645</v>
    <v>23.905000000000001</v>
    <v>23.844999999999999</v>
    <v>23.65</v>
    <v>23.81</v>
    <v>23.67</v>
    <v>23.745000000000001</v>
    <v>24.03</v>
    <v>23.684999999999999</v>
    <v>23.305</v>
    <v>23.55</v>
    <v>24.06</v>
    <v>23.524999999999999</v>
    <v>23.664999999999999</v>
    <v>23.344999999999999</v>
    <v>23.475000000000001</v>
    <v>22.81</v>
    <v>22.76</v>
    <v>22.434999999999999</v>
    <v>21.68</v>
    <v>21.425000000000001</v>
    <v>22.15</v>
    <v>22.844999999999999</v>
    <v>22.69</v>
    <v>22.844999999999999</v>
    <v>22.21</v>
    <v>21.76</v>
    <v>21.96</v>
    <v>21.664999999999999</v>
    <v>21.015000000000001</v>
    <v>21.1</v>
    <v>21.4</v>
    <v>21.085000000000001</v>
    <v>21.105</v>
    <v>21.375</v>
    <v>21.6</v>
    <v>21.82</v>
    <v>21.734999999999999</v>
    <v>21.684999999999999</v>
    <v>21.09</v>
    <v>21.61</v>
    <v>21.465</v>
    <v>21.02</v>
    <v>21.375</v>
    <v>21.184999999999999</v>
    <v>21.02</v>
    <v>20.995000000000001</v>
    <v>21.015000000000001</v>
    <v>21.33</v>
    <v>21.754999999999999</v>
    <v>21.184999999999999</v>
    <v>21.32</v>
    <v>21.324999999999999</v>
    <v>21.105</v>
    <v>20.975000000000001</v>
    <v>21.414999999999999</v>
    <v>21.125</v>
    <v>21.085000000000001</v>
    <v>21.32</v>
    <v>22.254999999999999</v>
    <v>22.24</v>
    <v>22.745000000000001</v>
    <v>22.74</v>
    <v>22.895</v>
    <v>23.105</v>
    <v>22.785</v>
    <v>22.925000000000001</v>
    <v>23.114999999999998</v>
    <v>22.75</v>
    <v>23.42</v>
    <v>23.635000000000002</v>
    <v>24.04</v>
    <v>24.41</v>
    <v>24.23</v>
    <v>24</v>
    <v>23.98</v>
    <v>23.835000000000001</v>
    <v>23.13</v>
    <v>22.77</v>
    <v>22.815000000000001</v>
    <v>23.5</v>
    <v>23.16</v>
    <v>23.03</v>
    <v>22.975000000000001</v>
    <v>22.97</v>
    <v>22.77</v>
    <v>22.795000000000002</v>
    <v>22.34</v>
    <v>22.35</v>
    <v>22.655000000000001</v>
    <v>22.72</v>
    <v>22.715</v>
    <v>22.684999999999999</v>
    <v>22.585000000000001</v>
    <v>22.335000000000001</v>
    <v>22.15</v>
    <v>22.324999999999999</v>
    <v>21.495000000000001</v>
    <v>21.635000000000002</v>
    <v>21.66</v>
    <v>21.66</v>
    <v>21.574999999999999</v>
    <v>21.56</v>
    <v>21.68</v>
    <v>21.37</v>
    <v>21.434999999999999</v>
    <v>21.81</v>
    <v>21.69</v>
    <v>21.675000000000001</v>
    <v>21.305</v>
    <v>21.63</v>
    <v>21.745000000000001</v>
    <v>21.574999999999999</v>
    <v>21.495000000000001</v>
    <v>21.535</v>
    <v>21.08</v>
    <v>20.8</v>
  </a>
  <a r="1" c="761">
    <v>179.5</v>
    <v>178.96</v>
    <v>180.17</v>
    <v>181.36</v>
    <v>180.35</v>
    <v>181.92</v>
    <v>182</v>
    <v>181.13</v>
    <v>180.24</v>
    <v>179.15</v>
    <v>178.13</v>
    <v>177.52</v>
    <v>176.36</v>
    <v>176.91</v>
    <v>175.34</v>
    <v>175.46</v>
    <v>174.7</v>
    <v>174.39</v>
    <v>176.34</v>
    <v>175.88</v>
    <v>174.14</v>
    <v>176.56</v>
    <v>177</v>
    <v>176.29</v>
    <v>176.57</v>
    <v>177.38</v>
    <v>178.87</v>
    <v>179.6</v>
    <v>180.47</v>
    <v>182.62</v>
    <v>180.66</v>
    <v>180.05</v>
    <v>181.25</v>
    <v>181.36</v>
    <v>180.01</v>
    <v>177.85</v>
    <v>177.3</v>
    <v>177.22</v>
    <v>179.06</v>
    <v>180</v>
    <v>178.87</v>
    <v>179.8</v>
    <v>178.98</v>
    <v>179.52</v>
    <v>180.44</v>
    <v>180.55</v>
    <v>180.82</v>
    <v>180.42</v>
    <v>181.92</v>
    <v>179.88</v>
    <v>180.1</v>
    <v>180.59</v>
    <v>178.86</v>
    <v>179.21</v>
    <v>178.41</v>
    <v>178.06</v>
    <v>180.68</v>
    <v>180.97</v>
    <v>180.52</v>
    <v>178.64</v>
    <v>179.08</v>
    <v>179.53</v>
    <v>179.33</v>
    <v>180.28</v>
    <v>178.43</v>
    <v>179.52</v>
    <v>179.19</v>
    <v>180.98</v>
    <v>180.97</v>
    <v>182.42</v>
    <v>183.19</v>
    <v>181.91</v>
    <v>181.72</v>
    <v>182.87</v>
    <v>182.84</v>
    <v>181.9</v>
    <v>180.96</v>
    <v>180.34</v>
    <v>179.56</v>
    <v>179.05</v>
    <v>179.38</v>
    <v>180</v>
    <v>180.8</v>
    <v>181.06</v>
    <v>180.65</v>
    <v>180.4</v>
    <v>181.29</v>
    <v>180.33</v>
    <v>180.85</v>
    <v>180.98</v>
    <v>182.43</v>
    <v>185.01</v>
    <v>188.24</v>
    <v>188.89</v>
    <v>189.8</v>
    <v>190.15</v>
    <v>191.81</v>
    <v>192.6</v>
    <v>191.31</v>
    <v>191.54</v>
    <v>191.45</v>
    <v>191.63</v>
    <v>191.55</v>
    <v>191.22</v>
    <v>191.54</v>
    <v>193.44</v>
    <v>193.29</v>
    <v>193.73</v>
    <v>193.96</v>
    <v>195.5</v>
    <v>198.26</v>
    <v>201.65</v>
    <v>203.61</v>
    <v>203.42</v>
    <v>207.08</v>
    <v>207.07</v>
    <v>208.7</v>
    <v>210.08</v>
    <v>210.67</v>
    <v>217.05</v>
    <v>212.99</v>
    <v>216.42</v>
    <v>216.22</v>
    <v>215.58</v>
    <v>216.37</v>
    <v>211.55</v>
    <v>209.42</v>
    <v>210.14</v>
    <v>209.95</v>
    <v>210.67</v>
    <v>210.41</v>
    <v>207.38</v>
    <v>207.22</v>
    <v>205.36</v>
    <v>207.83</v>
    <v>207.28</v>
    <v>208.15</v>
    <v>208.85</v>
    <v>211.74</v>
    <v>208.63</v>
    <v>209.87</v>
    <v>211.44</v>
    <v>211.49</v>
    <v>213.55</v>
    <v>215.24</v>
    <v>215.85</v>
    <v>212.72</v>
    <v>209</v>
    <v>207.48</v>
    <v>209.26</v>
    <v>208.94</v>
    <v>208.68</v>
    <v>208.36</v>
    <v>207.05</v>
    <v>207.73</v>
    <v>206.18</v>
    <v>208.7</v>
    <v>210.39</v>
    <v>206.28</v>
    <v>206.89</v>
    <v>207.78</v>
    <v>207.49</v>
    <v>206.95</v>
    <v>209.76</v>
    <v>208.64</v>
    <v>208.63</v>
    <v>209</v>
    <v>211.83</v>
    <v>210</v>
    <v>209.55</v>
    <v>208.9</v>
    <v>207.74</v>
    <v>209.69</v>
    <v>209.44</v>
    <v>209.3</v>
    <v>209.08</v>
    <v>210.94</v>
    <v>210.19</v>
    <v>212.48</v>
    <v>210.78</v>
    <v>210.19</v>
    <v>211.91</v>
    <v>214.89</v>
    <v>213.11</v>
    <v>215.05</v>
    <v>217.99</v>
    <v>217.23</v>
    <v>217.88</v>
    <v>213</v>
    <v>211.68</v>
    <v>213.57</v>
    <v>215.6</v>
    <v>210.09</v>
    <v>211.81</v>
    <v>211.56</v>
    <v>212.97</v>
    <v>215.69</v>
    <v>218.92</v>
    <v>214.04</v>
    <v>211.87</v>
    <v>210.56</v>
    <v>211.65</v>
    <v>213.95</v>
    <v>214.45</v>
    <v>217.04</v>
    <v>217.53</v>
    <v>214.06</v>
    <v>218.08</v>
    <v>218.07</v>
    <v>217.95</v>
    <v>217.08</v>
    <v>215</v>
    <v>216.94</v>
    <v>216.86</v>
    <v>217.34</v>
    <v>217.36</v>
    <v>219.3</v>
    <v>218.31</v>
    <v>217.98</v>
    <v>216.7</v>
    <v>217.37</v>
    <v>218.37</v>
    <v>218.38</v>
    <v>218.18</v>
    <v>219.87</v>
    <v>220.01</v>
    <v>223.09</v>
    <v>224.38</v>
    <v>223.72</v>
    <v>222.49</v>
    <v>223.21</v>
    <v>223.65</v>
    <v>226.57</v>
    <v>227.74</v>
    <v>228.62</v>
    <v>229.43</v>
    <v>230.55</v>
    <v>229.01</v>
    <v>227.64</v>
    <v>232.15</v>
    <v>231.14</v>
    <v>232.23</v>
    <v>233.97</v>
    <v>232.73</v>
    <v>229.51</v>
    <v>230.04</v>
    <v>231.57</v>
    <v>234.03</v>
    <v>233.82</v>
    <v>235.42</v>
    <v>237.01</v>
    <v>239.95</v>
    <v>241.1</v>
    <v>242.44</v>
    <v>244.44</v>
    <v>242.99</v>
    <v>243.91</v>
    <v>244.09</v>
    <v>244.74</v>
    <v>247</v>
    <v>247.19</v>
    <v>243.39</v>
    <v>243.97</v>
    <v>242.24</v>
    <v>241.76</v>
    <v>239.98</v>
    <v>240.72</v>
    <v>241.61</v>
    <v>236.86</v>
    <v>236.33</v>
    <v>236</v>
    <v>234.98</v>
    <v>234.31</v>
    <v>238.07</v>
    <v>239</v>
    <v>243.13</v>
    <v>245.24</v>
    <v>250.72</v>
    <v>242.39</v>
    <v>241.75</v>
    <v>240.94</v>
    <v>241.39</v>
    <v>243.04</v>
    <v>242.72</v>
    <v>242.52</v>
    <v>242.7</v>
    <v>240.42</v>
    <v>240.79</v>
    <v>243.01</v>
    <v>246.52</v>
    <v>249.06</v>
    <v>246.24</v>
    <v>244.34</v>
    <v>243.35</v>
    <v>242.23</v>
    <v>242.64</v>
    <v>240.66</v>
    <v>242.83</v>
    <v>241.91</v>
    <v>242.25</v>
    <v>241.13</v>
    <v>249.56</v>
    <v>247.18</v>
    <v>244.77</v>
    <v>246.47</v>
    <v>249.39</v>
    <v>250.12</v>
    <v>253.42</v>
    <v>251.73</v>
    <v>250.19</v>
    <v>251.74</v>
    <v>254.4</v>
    <v>254.08</v>
    <v>250.5</v>
    <v>253.63</v>
    <v>255.13</v>
    <v>254.79</v>
    <v>254.45</v>
    <v>251.51</v>
    <v>254.82</v>
    <v>254.55</v>
    <v>258.42</v>
    <v>260.2</v>
    <v>263.8</v>
    <v>263.98</v>
    <v>265.54000000000002</v>
    <v>264.79000000000002</v>
    <v>267.25</v>
    <v>271.45999999999998</v>
    <v>270.70999999999998</v>
    <v>269.24</v>
    <v>269.39999999999998</v>
    <v>265.47000000000003</v>
    <v>266.38</v>
    <v>269.75</v>
    <v>270.70999999999998</v>
    <v>271.06</v>
    <v>270.64999999999998</v>
    <v>270.70999999999998</v>
    <v>265.81</v>
    <v>266.95999999999998</v>
    <v>265.89999999999998</v>
    <v>263.74</v>
    <v>265.26</v>
    <v>266.33</v>
    <v>262.02999999999997</v>
    <v>259.38</v>
    <v>258.68</v>
    <v>257.99</v>
    <v>257.20999999999998</v>
    <v>259.37</v>
    <v>264.36</v>
    <v>264.41000000000003</v>
    <v>264.38</v>
    <v>267.48</v>
    <v>268.77999999999997</v>
    <v>269.61</v>
    <v>268.61</v>
    <v>268.77</v>
    <v>269.68</v>
    <v>269.58</v>
    <v>272.52</v>
    <v>274.42</v>
    <v>278.32</v>
    <v>278.94</v>
    <v>277.74</v>
    <v>270.93</v>
    <v>264.99</v>
    <v>263.25</v>
    <v>265.5</v>
    <v>268.58</v>
    <v>272.58</v>
    <v>275.13</v>
    <v>271.92</v>
    <v>274.77999999999997</v>
    <v>281.14999999999998</v>
    <v>279.22000000000003</v>
    <v>287.01</v>
    <v>277.26</v>
    <v>282.14999999999998</v>
    <v>277.33</v>
    <v>281.64</v>
    <v>279.91000000000003</v>
    <v>280.95999999999998</v>
    <v>275.38</v>
    <v>281.83</v>
    <v>288.63</v>
    <v>287.55</v>
    <v>285.69</v>
    <v>285.85000000000002</v>
    <v>280.61</v>
    <v>280.25</v>
    <v>273.95999999999998</v>
    <v>277.11</v>
    <v>274.92</v>
    <v>276.73</v>
    <v>280.60000000000002</v>
    <v>281.33</v>
    <v>281.14</v>
    <v>285.41000000000003</v>
    <v>282.74</v>
    <v>279.97000000000003</v>
    <v>281.05</v>
    <v>281.16000000000003</v>
    <v>279.14</v>
    <v>284.5</v>
    <v>283.60000000000002</v>
    <v>284.45</v>
    <v>282.66000000000003</v>
    <v>281.76</v>
    <v>280.97000000000003</v>
    <v>280.63</v>
    <v>279.89999999999998</v>
    <v>282.02</v>
    <v>285.23</v>
    <v>283.2</v>
    <v>282.7</v>
    <v>283.27999999999997</v>
    <v>282.91000000000003</v>
    <v>281.43</v>
    <v>282.57</v>
    <v>274.69</v>
    <v>275.35000000000002</v>
    <v>273.35000000000002</v>
    <v>268.97000000000003</v>
    <v>269.58999999999997</v>
    <v>273.36</v>
    <v>273.27</v>
    <v>272.62</v>
    <v>272.44</v>
    <v>272.57</v>
    <v>271.18</v>
    <v>272.27999999999997</v>
    <v>273.76</v>
    <v>276.95</v>
    <v>275.88</v>
    <v>276.61</v>
    <v>277.68</v>
    <v>277.20999999999998</v>
    <v>277.18</v>
    <v>279.61</v>
    <v>281.13</v>
    <v>280.52</v>
    <v>275.95999999999998</v>
    <v>273.33</v>
    <v>274.92</v>
    <v>277.64999999999998</v>
    <v>276.22000000000003</v>
    <v>277.61</v>
    <v>279.42</v>
    <v>280.91000000000003</v>
    <v>281.43</v>
    <v>279.37</v>
    <v>280.32</v>
    <v>280.26</v>
    <v>278.20999999999998</v>
    <v>276.55</v>
    <v>275.69</v>
    <v>276.11</v>
    <v>275.11</v>
    <v>274.56</v>
    <v>276.01</v>
    <v>277.22000000000003</v>
    <v>277.61</v>
    <v>278.12</v>
    <v>279.47000000000003</v>
    <v>281.08999999999997</v>
    <v>281.23</v>
    <v>283.58999999999997</v>
    <v>286.14999999999998</v>
    <v>290.39999999999998</v>
    <v>293.95999999999998</v>
    <v>293.2</v>
    <v>294.24</v>
    <v>298.10000000000002</v>
    <v>298.89999999999998</v>
    <v>299.52</v>
    <v>298.25</v>
    <v>299.56</v>
    <v>300.08999999999997</v>
    <v>299.32</v>
    <v>299.58</v>
    <v>297.51</v>
    <v>300.97000000000003</v>
    <v>305.2</v>
    <v>308.77</v>
    <v>307.33999999999997</v>
    <v>307.91000000000003</v>
    <v>311.12</v>
    <v>314.06</v>
    <v>315.08999999999997</v>
    <v>317.14999999999998</v>
    <v>315.18</v>
    <v>318.58</v>
    <v>325.01</v>
    <v>328.69</v>
    <v>335.17</v>
    <v>334.08</v>
    <v>332.3</v>
    <v>340.89</v>
    <v>343.81</v>
    <v>346.38</v>
    <v>352.35</v>
    <v>351.31</v>
    <v>359.18</v>
    <v>342</v>
    <v>334.36</v>
    <v>343.56</v>
    <v>341.62</v>
    <v>330.01</v>
    <v>327</v>
    <v>330.03</v>
    <v>332.81</v>
    <v>332.48</v>
    <v>333.88</v>
    <v>332.69</v>
    <v>333.78</v>
    <v>331.95</v>
    <v>333.95</v>
    <v>341.24</v>
    <v>341.26</v>
    <v>348.27</v>
    <v>347.79</v>
    <v>339.56</v>
    <v>337.94</v>
    <v>337.7</v>
    <v>340.34</v>
    <v>339.43</v>
    <v>341</v>
    <v>342.27</v>
    <v>344.62</v>
    <v>345.62</v>
    <v>344.96</v>
    <v>349.48</v>
    <v>350.5</v>
    <v>346.95</v>
    <v>348.68</v>
    <v>348.07</v>
    <v>348.69</v>
    <v>347.44</v>
    <v>349.07</v>
    <v>347.21</v>
    <v>348.95</v>
    <v>351.26</v>
    <v>351.57</v>
    <v>351.83</v>
    <v>354.27</v>
    <v>358.27</v>
    <v>357.09</v>
    <v>363.3</v>
    <v>364.63</v>
    <v>355.2</v>
    <v>357.29</v>
    <v>353.8</v>
    <v>365.13</v>
    <v>369.5</v>
    <v>367.67</v>
    <v>368.43</v>
    <v>372.58</v>
    <v>380.83</v>
    <v>380.58</v>
    <v>381.56</v>
    <v>382.47</v>
    <v>381.1</v>
    <v>386.03</v>
    <v>389.29</v>
    <v>398.33</v>
    <v>399.74</v>
    <v>407.63</v>
    <v>411.41</v>
    <v>409.2</v>
    <v>425.87</v>
    <v>425.68</v>
    <v>403.83</v>
    <v>379.91</v>
    <v>405.36</v>
    <v>401.74</v>
    <v>396.07</v>
    <v>401.9</v>
    <v>410.33</v>
    <v>405.86</v>
    <v>411.44</v>
    <v>400.22</v>
    <v>406.81</v>
    <v>405.12</v>
    <v>396.98</v>
    <v>407.37</v>
    <v>409.09</v>
    <v>413.98</v>
    <v>424.92</v>
    <v>419.55</v>
    <v>424.55</v>
    <v>422.92</v>
    <v>425.94</v>
    <v>436.39</v>
    <v>425.14</v>
    <v>426.09</v>
    <v>421.16</v>
    <v>426.4</v>
    <v>423.55</v>
    <v>432.19</v>
    <v>429.8</v>
    <v>428.69</v>
    <v>424.57</v>
    <v>417.02</v>
    <v>417.5</v>
    <v>407.57</v>
    <v>382.81</v>
    <v>381.63</v>
    <v>363.5</v>
    <v>366.93</v>
    <v>378.53</v>
    <v>366.48</v>
    <v>377.49</v>
    <v>381.76</v>
    <v>385.68</v>
    <v>396.12</v>
    <v>389.35</v>
    <v>386.34</v>
    <v>391.53</v>
    <v>393.96</v>
    <v>391.7</v>
    <v>387.31</v>
    <v>391.8</v>
    <v>391.23</v>
    <v>392.4</v>
    <v>396.71</v>
    <v>392.36</v>
    <v>388.55</v>
    <v>388.53</v>
    <v>388.92</v>
    <v>387.9</v>
    <v>383.71</v>
    <v>375.73</v>
    <v>374.04</v>
    <v>379.34</v>
    <v>372.7</v>
    <v>376.41</v>
    <v>384.16</v>
    <v>387.92</v>
    <v>385.21</v>
    <v>386.55</v>
    <v>382.51</v>
    <v>385.76</v>
    <v>386.38</v>
    <v>376.12</v>
    <v>375.26</v>
    <v>373.48</v>
    <v>375.28</v>
    <v>374.34</v>
    <v>374.79</v>
    <v>377.9</v>
    <v>373.08</v>
    <v>367.06</v>
    <v>369.96</v>
    <v>377.2</v>
    <v>370</v>
    <v>372.59</v>
    <v>368.17</v>
    <v>370.15</v>
    <v>362.44</v>
    <v>361.39</v>
    <v>355.79</v>
    <v>343.71</v>
    <v>340.82</v>
    <v>350.52</v>
    <v>361.04</v>
    <v>358.64</v>
    <v>361.71</v>
    <v>354.79</v>
    <v>348.23</v>
    <v>352.3</v>
    <v>349.36</v>
    <v>339.65</v>
    <v>339.98</v>
    <v>344.28</v>
    <v>338.68</v>
    <v>339.49</v>
    <v>344.75</v>
    <v>347.04</v>
    <v>350.47</v>
    <v>349.69</v>
    <v>348.83</v>
    <v>339.78</v>
    <v>347.31</v>
    <v>345.19</v>
    <v>339.05</v>
    <v>343.28</v>
    <v>340.43</v>
    <v>337.62</v>
    <v>337.23</v>
    <v>338.35</v>
    <v>344.02</v>
    <v>350.43</v>
    <v>342.32</v>
    <v>344.25</v>
    <v>344.51</v>
    <v>340.63</v>
    <v>339.03</v>
    <v>342.37</v>
    <v>337.75</v>
    <v>337.28</v>
    <v>340.64</v>
    <v>354.48</v>
    <v>354.77</v>
    <v>362.17</v>
    <v>362.15</v>
    <v>364.97</v>
    <v>368.34</v>
    <v>363.66</v>
    <v>364.44</v>
    <v>367.29</v>
    <v>362.21</v>
    <v>369.9</v>
    <v>372.66</v>
    <v>379.4</v>
    <v>384.93</v>
    <v>383.08</v>
    <v>379.54</v>
    <v>379.43</v>
    <v>377.78</v>
    <v>366.85</v>
    <v>362.11</v>
    <v>362.71</v>
    <v>372.71</v>
    <v>367.42</v>
    <v>365.07</v>
    <v>364.27</v>
    <v>364.08</v>
    <v>361.51</v>
    <v>362.5</v>
    <v>357.81</v>
    <v>357.07</v>
    <v>362.6</v>
    <v>365.43</v>
    <v>365.4</v>
    <v>365.09</v>
    <v>364.2</v>
    <v>361.73</v>
    <v>359.44</v>
    <v>361.27</v>
    <v>348.66</v>
    <v>352.84</v>
    <v>352.27</v>
    <v>355.92</v>
    <v>354.12</v>
    <v>355.03</v>
    <v>355.73</v>
    <v>353.29</v>
    <v>353.53</v>
    <v>359.96</v>
    <v>358.85</v>
    <v>357.77</v>
    <v>353.76</v>
    <v>356.59</v>
    <v>357.24</v>
    <v>355.39</v>
    <v>353.9</v>
    <v>354.47</v>
    <v>348.1</v>
    <v>343.35</v>
  </a>
  <a r="1" c="208">
    <v>353.8</v>
    <v>365.13</v>
    <v>369.5</v>
    <v>367.67</v>
    <v>368.43</v>
    <v>372.58</v>
    <v>380.83</v>
    <v>380.58</v>
    <v>381.56</v>
    <v>382.47</v>
    <v>381.1</v>
    <v>386.03</v>
    <v>389.29</v>
    <v>398.33</v>
    <v>399.74</v>
    <v>407.63</v>
    <v>411.41</v>
    <v>409.2</v>
    <v>425.87</v>
    <v>425.68</v>
    <v>403.83</v>
    <v>379.91</v>
    <v>405.36</v>
    <v>401.74</v>
    <v>396.07</v>
    <v>401.9</v>
    <v>410.33</v>
    <v>405.86</v>
    <v>411.44</v>
    <v>400.22</v>
    <v>406.81</v>
    <v>405.12</v>
    <v>396.98</v>
    <v>407.37</v>
    <v>409.09</v>
    <v>413.98</v>
    <v>424.92</v>
    <v>419.55</v>
    <v>424.55</v>
    <v>422.92</v>
    <v>425.94</v>
    <v>436.39</v>
    <v>425.14</v>
    <v>426.09</v>
    <v>421.16</v>
    <v>426.4</v>
    <v>423.55</v>
    <v>432.19</v>
    <v>429.8</v>
    <v>428.69</v>
    <v>424.57</v>
    <v>417.02</v>
    <v>417.5</v>
    <v>407.57</v>
    <v>382.81</v>
    <v>381.63</v>
    <v>363.5</v>
    <v>366.93</v>
    <v>378.53</v>
    <v>366.48</v>
    <v>377.49</v>
    <v>381.76</v>
    <v>385.68</v>
    <v>396.12</v>
    <v>389.35</v>
    <v>386.34</v>
    <v>391.53</v>
    <v>393.96</v>
    <v>391.7</v>
    <v>387.31</v>
    <v>391.8</v>
    <v>391.23</v>
    <v>392.4</v>
    <v>396.71</v>
    <v>392.36</v>
    <v>388.55</v>
    <v>388.53</v>
    <v>388.92</v>
    <v>387.9</v>
    <v>383.71</v>
    <v>375.73</v>
    <v>374.04</v>
    <v>379.34</v>
    <v>372.7</v>
    <v>376.41</v>
    <v>384.16</v>
    <v>387.92</v>
    <v>385.21</v>
    <v>386.55</v>
    <v>382.51</v>
    <v>385.76</v>
    <v>386.38</v>
    <v>376.12</v>
    <v>375.26</v>
    <v>373.48</v>
    <v>375.28</v>
    <v>374.34</v>
    <v>374.79</v>
    <v>377.9</v>
    <v>373.08</v>
    <v>367.06</v>
    <v>369.96</v>
    <v>377.2</v>
    <v>370</v>
    <v>372.59</v>
    <v>368.17</v>
    <v>370.15</v>
    <v>362.44</v>
    <v>361.39</v>
    <v>355.79</v>
    <v>343.71</v>
    <v>340.82</v>
    <v>350.52</v>
    <v>361.04</v>
    <v>358.64</v>
    <v>361.71</v>
    <v>354.79</v>
    <v>348.23</v>
    <v>352.3</v>
    <v>349.36</v>
    <v>339.65</v>
    <v>339.98</v>
    <v>344.28</v>
    <v>338.68</v>
    <v>339.49</v>
    <v>344.75</v>
    <v>347.04</v>
    <v>350.47</v>
    <v>349.69</v>
    <v>348.83</v>
    <v>339.78</v>
    <v>347.31</v>
    <v>345.19</v>
    <v>339.05</v>
    <v>343.28</v>
    <v>340.43</v>
    <v>337.62</v>
    <v>337.23</v>
    <v>338.35</v>
    <v>344.02</v>
    <v>350.43</v>
    <v>342.32</v>
    <v>344.25</v>
    <v>344.51</v>
    <v>340.63</v>
    <v>339.03</v>
    <v>342.37</v>
    <v>337.75</v>
    <v>337.28</v>
    <v>340.64</v>
    <v>354.48</v>
    <v>354.77</v>
    <v>362.17</v>
    <v>362.15</v>
    <v>364.97</v>
    <v>368.34</v>
    <v>363.66</v>
    <v>364.44</v>
    <v>367.29</v>
    <v>362.21</v>
    <v>369.9</v>
    <v>372.66</v>
    <v>379.4</v>
    <v>384.93</v>
    <v>383.08</v>
    <v>379.54</v>
    <v>379.43</v>
    <v>377.78</v>
    <v>366.85</v>
    <v>362.11</v>
    <v>362.71</v>
    <v>372.71</v>
    <v>367.42</v>
    <v>365.07</v>
    <v>364.27</v>
    <v>364.08</v>
    <v>361.51</v>
    <v>362.5</v>
    <v>357.81</v>
    <v>357.07</v>
    <v>362.6</v>
    <v>365.43</v>
    <v>365.4</v>
    <v>365.09</v>
    <v>364.2</v>
    <v>361.73</v>
    <v>359.44</v>
    <v>361.27</v>
    <v>348.66</v>
    <v>352.84</v>
    <v>352.27</v>
    <v>355.92</v>
    <v>354.12</v>
    <v>355.03</v>
    <v>355.73</v>
    <v>353.29</v>
    <v>353.53</v>
    <v>359.96</v>
    <v>358.85</v>
    <v>357.77</v>
    <v>353.76</v>
    <v>356.59</v>
    <v>357.24</v>
    <v>355.39</v>
    <v>353.9</v>
    <v>354.47</v>
    <v>348.1</v>
    <v>343.35</v>
  </a>
  <a r="1" c="254">
    <v>343.56</v>
    <v>341.62</v>
    <v>330.01</v>
    <v>327</v>
    <v>330.03</v>
    <v>332.81</v>
    <v>332.48</v>
    <v>333.88</v>
    <v>332.69</v>
    <v>333.78</v>
    <v>331.95</v>
    <v>333.95</v>
    <v>341.24</v>
    <v>341.26</v>
    <v>348.27</v>
    <v>347.79</v>
    <v>339.56</v>
    <v>337.94</v>
    <v>337.7</v>
    <v>340.34</v>
    <v>339.43</v>
    <v>341</v>
    <v>342.27</v>
    <v>344.62</v>
    <v>345.62</v>
    <v>344.96</v>
    <v>349.48</v>
    <v>350.5</v>
    <v>346.95</v>
    <v>348.68</v>
    <v>348.07</v>
    <v>348.69</v>
    <v>347.44</v>
    <v>349.07</v>
    <v>347.21</v>
    <v>348.95</v>
    <v>351.26</v>
    <v>351.57</v>
    <v>351.83</v>
    <v>354.27</v>
    <v>358.27</v>
    <v>357.09</v>
    <v>363.3</v>
    <v>364.63</v>
    <v>355.2</v>
    <v>357.29</v>
    <v>353.8</v>
    <v>365.13</v>
    <v>369.5</v>
    <v>367.67</v>
    <v>368.43</v>
    <v>372.58</v>
    <v>380.83</v>
    <v>380.58</v>
    <v>381.56</v>
    <v>382.47</v>
    <v>381.1</v>
    <v>386.03</v>
    <v>389.29</v>
    <v>398.33</v>
    <v>399.74</v>
    <v>407.63</v>
    <v>411.41</v>
    <v>409.2</v>
    <v>425.87</v>
    <v>425.68</v>
    <v>403.83</v>
    <v>379.91</v>
    <v>405.36</v>
    <v>401.74</v>
    <v>396.07</v>
    <v>401.9</v>
    <v>410.33</v>
    <v>405.86</v>
    <v>411.44</v>
    <v>400.22</v>
    <v>406.81</v>
    <v>405.12</v>
    <v>396.98</v>
    <v>407.37</v>
    <v>409.09</v>
    <v>413.98</v>
    <v>424.92</v>
    <v>419.55</v>
    <v>424.55</v>
    <v>422.92</v>
    <v>425.94</v>
    <v>436.39</v>
    <v>425.14</v>
    <v>426.09</v>
    <v>421.16</v>
    <v>426.4</v>
    <v>423.55</v>
    <v>432.19</v>
    <v>429.8</v>
    <v>428.69</v>
    <v>424.57</v>
    <v>417.02</v>
    <v>417.5</v>
    <v>407.57</v>
    <v>382.81</v>
    <v>381.63</v>
    <v>363.5</v>
    <v>366.93</v>
    <v>378.53</v>
    <v>366.48</v>
    <v>377.49</v>
    <v>381.76</v>
    <v>385.68</v>
    <v>396.12</v>
    <v>389.35</v>
    <v>386.34</v>
    <v>391.53</v>
    <v>393.96</v>
    <v>391.7</v>
    <v>387.31</v>
    <v>391.8</v>
    <v>391.23</v>
    <v>392.4</v>
    <v>396.71</v>
    <v>392.36</v>
    <v>388.55</v>
    <v>388.53</v>
    <v>388.92</v>
    <v>387.9</v>
    <v>383.71</v>
    <v>375.73</v>
    <v>374.04</v>
    <v>379.34</v>
    <v>372.7</v>
    <v>376.41</v>
    <v>384.16</v>
    <v>387.92</v>
    <v>385.21</v>
    <v>386.55</v>
    <v>382.51</v>
    <v>385.76</v>
    <v>386.38</v>
    <v>376.12</v>
    <v>375.26</v>
    <v>373.48</v>
    <v>375.28</v>
    <v>374.34</v>
    <v>374.79</v>
    <v>377.9</v>
    <v>373.08</v>
    <v>367.06</v>
    <v>369.96</v>
    <v>377.2</v>
    <v>370</v>
    <v>372.59</v>
    <v>368.17</v>
    <v>370.15</v>
    <v>362.44</v>
    <v>361.39</v>
    <v>355.79</v>
    <v>343.71</v>
    <v>340.82</v>
    <v>350.52</v>
    <v>361.04</v>
    <v>358.64</v>
    <v>361.71</v>
    <v>354.79</v>
    <v>348.23</v>
    <v>352.3</v>
    <v>349.36</v>
    <v>339.65</v>
    <v>339.98</v>
    <v>344.28</v>
    <v>338.68</v>
    <v>339.49</v>
    <v>344.75</v>
    <v>347.04</v>
    <v>350.47</v>
    <v>349.69</v>
    <v>348.83</v>
    <v>339.78</v>
    <v>347.31</v>
    <v>345.19</v>
    <v>339.05</v>
    <v>343.28</v>
    <v>340.43</v>
    <v>337.62</v>
    <v>337.23</v>
    <v>338.35</v>
    <v>344.02</v>
    <v>350.43</v>
    <v>342.32</v>
    <v>344.25</v>
    <v>344.51</v>
    <v>340.63</v>
    <v>339.03</v>
    <v>342.37</v>
    <v>337.75</v>
    <v>337.28</v>
    <v>340.64</v>
    <v>354.48</v>
    <v>354.77</v>
    <v>362.17</v>
    <v>362.15</v>
    <v>364.97</v>
    <v>368.34</v>
    <v>363.66</v>
    <v>364.44</v>
    <v>367.29</v>
    <v>362.21</v>
    <v>369.9</v>
    <v>372.66</v>
    <v>379.4</v>
    <v>384.93</v>
    <v>383.08</v>
    <v>379.54</v>
    <v>379.43</v>
    <v>377.78</v>
    <v>366.85</v>
    <v>362.11</v>
    <v>362.71</v>
    <v>372.71</v>
    <v>367.42</v>
    <v>365.07</v>
    <v>364.27</v>
    <v>364.08</v>
    <v>361.51</v>
    <v>362.5</v>
    <v>357.81</v>
    <v>357.07</v>
    <v>362.6</v>
    <v>365.43</v>
    <v>365.4</v>
    <v>365.09</v>
    <v>364.2</v>
    <v>361.73</v>
    <v>359.44</v>
    <v>361.27</v>
    <v>348.66</v>
    <v>352.84</v>
    <v>352.27</v>
    <v>355.92</v>
    <v>354.12</v>
    <v>355.03</v>
    <v>355.73</v>
    <v>353.29</v>
    <v>353.53</v>
    <v>359.96</v>
    <v>358.85</v>
    <v>357.77</v>
    <v>353.76</v>
    <v>356.59</v>
    <v>357.24</v>
    <v>355.39</v>
    <v>353.9</v>
    <v>354.47</v>
    <v>348.1</v>
    <v>343.35</v>
  </a>
  <a r="1" c="254">
    <v>168.4</v>
    <v>167.72</v>
    <v>167.87</v>
    <v>167.73</v>
    <v>168.08</v>
    <v>168.16</v>
    <v>168.11</v>
    <v>167.95</v>
    <v>167.96</v>
    <v>167.86</v>
    <v>167.77</v>
    <v>167.64</v>
    <v>167.79</v>
    <v>167.98</v>
    <v>168.49</v>
    <v>168.05</v>
    <v>167.91</v>
    <v>167.92</v>
    <v>167.77</v>
    <v>167.66</v>
    <v>167.51</v>
    <v>167.34</v>
    <v>167.51</v>
    <v>167.87</v>
    <v>168.04</v>
    <v>168</v>
    <v>167.99</v>
    <v>167.3</v>
    <v>167.18</v>
    <v>167.25</v>
    <v>167.11</v>
    <v>166.9</v>
    <v>166.55</v>
    <v>166.7</v>
    <v>166.68</v>
    <v>166.79</v>
    <v>166.68</v>
    <v>166.83</v>
    <v>166.64</v>
    <v>166.38</v>
    <v>166.5</v>
    <v>165.98</v>
    <v>165.91</v>
    <v>166.38</v>
    <v>166.95</v>
    <v>166.59</v>
    <v>165.93</v>
    <v>166.55</v>
    <v>166.77</v>
    <v>166.91</v>
    <v>166.81</v>
    <v>167.36</v>
    <v>167.63</v>
    <v>167.43</v>
    <v>168</v>
    <v>168.37</v>
    <v>168.24</v>
    <v>168.26</v>
    <v>168.11</v>
    <v>167.91</v>
    <v>167.94</v>
    <v>168.1</v>
    <v>168.48</v>
    <v>168.8</v>
    <v>168.94</v>
    <v>169.28</v>
    <v>169.29</v>
    <v>168.6</v>
    <v>168.37</v>
    <v>168.53</v>
    <v>168.49</v>
    <v>168.62</v>
    <v>168.55</v>
    <v>169.05</v>
    <v>169.2</v>
    <v>169.39</v>
    <v>169.57</v>
    <v>169.42</v>
    <v>169.43</v>
    <v>169.83</v>
    <v>169.87</v>
    <v>169.81</v>
    <v>170.06</v>
    <v>170.08</v>
    <v>170.28</v>
    <v>170.44</v>
    <v>170.93</v>
    <v>170.49</v>
    <v>170</v>
    <v>170.1</v>
    <v>169.11</v>
    <v>170.15</v>
    <v>170.18</v>
    <v>170.08</v>
    <v>169.58</v>
    <v>169.96</v>
    <v>169.54</v>
    <v>169.96</v>
    <v>170.35</v>
    <v>170.35</v>
    <v>170.08</v>
    <v>168.82</v>
    <v>168.95</v>
    <v>168.27</v>
    <v>168.93</v>
    <v>167.99</v>
    <v>167.66</v>
    <v>168.73</v>
    <v>169.14</v>
    <v>169.28</v>
    <v>169.81</v>
    <v>169.02</v>
    <v>170.38</v>
    <v>170.05</v>
    <v>169.24</v>
    <v>169</v>
    <v>169.24</v>
    <v>169.39</v>
    <v>169.39</v>
    <v>169.81</v>
    <v>170.09</v>
    <v>169.63</v>
    <v>170.07</v>
    <v>170.2</v>
    <v>170.77</v>
    <v>170.51</v>
    <v>170.39</v>
    <v>170.46</v>
    <v>171.24</v>
    <v>171.35</v>
    <v>171.49</v>
    <v>171.63</v>
    <v>171.33</v>
    <v>171.66</v>
    <v>171.7</v>
    <v>171.45</v>
    <v>171.52</v>
    <v>171.88</v>
    <v>170.89</v>
    <v>171.23</v>
    <v>170.67</v>
    <v>171.73</v>
    <v>171.23</v>
    <v>171.66</v>
    <v>172.63</v>
    <v>171.94</v>
    <v>172</v>
    <v>172.12</v>
    <v>172.02</v>
    <v>172.07</v>
    <v>172.19</v>
    <v>171.84</v>
    <v>171.57</v>
    <v>171.15</v>
    <v>170.95</v>
    <v>171.03</v>
    <v>171.01</v>
    <v>171.52</v>
    <v>171.6</v>
    <v>171.86</v>
    <v>171.84</v>
    <v>172.07</v>
    <v>171.54</v>
    <v>170.94</v>
    <v>171.28</v>
    <v>171.31</v>
    <v>171.43</v>
    <v>171.92</v>
    <v>171.95</v>
    <v>171.96</v>
    <v>171.94</v>
    <v>172.09</v>
    <v>171.8</v>
    <v>171.63</v>
    <v>171.56</v>
    <v>171.34</v>
    <v>170.77</v>
    <v>171.13</v>
    <v>171.24</v>
    <v>171.08</v>
    <v>171.46</v>
    <v>171.29</v>
    <v>171.09</v>
    <v>171.21</v>
    <v>171.16</v>
    <v>171.13</v>
    <v>170.85</v>
    <v>170.75</v>
    <v>170.91</v>
    <v>170.8</v>
    <v>170.8</v>
    <v>170.8</v>
    <v>170.79</v>
    <v>170.22</v>
    <v>170.74</v>
    <v>171.03</v>
    <v>170.92</v>
    <v>170.78</v>
    <v>171.16</v>
    <v>170.91</v>
    <v>171.02</v>
    <v>171.16</v>
    <v>171.4</v>
    <v>170.94</v>
    <v>170.96</v>
    <v>170.54</v>
    <v>170.48</v>
    <v>170.52</v>
    <v>170.53</v>
    <v>170.5</v>
    <v>171.04</v>
    <v>170.68</v>
    <v>170.56</v>
    <v>170.42</v>
    <v>169.98</v>
    <v>170.07</v>
    <v>169.72</v>
    <v>170.25</v>
    <v>170.34</v>
    <v>169.9</v>
    <v>170.38</v>
    <v>169.42</v>
    <v>168.63</v>
    <v>168.54</v>
    <v>168.33</v>
    <v>168.25</v>
    <v>168.29</v>
    <v>168.25</v>
    <v>167.75</v>
    <v>168.4</v>
    <v>167.88</v>
    <v>166.87</v>
    <v>166.88</v>
    <v>166.66</v>
    <v>166.1</v>
    <v>165.5</v>
    <v>165.75</v>
    <v>165.07</v>
    <v>164.94</v>
    <v>165.45</v>
    <v>166.22</v>
    <v>165.52</v>
    <v>166.05</v>
    <v>166.09</v>
    <v>165.95</v>
    <v>166.44</v>
    <v>166.5</v>
    <v>167.28</v>
    <v>167.33</v>
    <v>166.34</v>
    <v>166.55</v>
    <v>165.93</v>
    <v>165.27</v>
    <v>165.76</v>
  </a>
  <a r="1" c="761">
    <v>157.03</v>
    <v>156.57</v>
    <v>155.81</v>
    <v>156.63999999999999</v>
    <v>156.72999999999999</v>
    <v>156.94</v>
    <v>157.11000000000001</v>
    <v>157.35</v>
    <v>157.81</v>
    <v>158.87</v>
    <v>157.65</v>
    <v>158.12</v>
    <v>158.72999999999999</v>
    <v>158.35</v>
    <v>157.96</v>
    <v>158.13999999999999</v>
    <v>159.22</v>
    <v>158.53</v>
    <v>159.05000000000001</v>
    <v>158.9</v>
    <v>159.53</v>
    <v>159.96</v>
    <v>159.72999999999999</v>
    <v>159.97999999999999</v>
    <v>159.78</v>
    <v>160.37</v>
    <v>160.54</v>
    <v>161.03</v>
    <v>161.03</v>
    <v>162.05000000000001</v>
    <v>161.69999999999999</v>
    <v>163.15</v>
    <v>163.47</v>
    <v>163.46</v>
    <v>162.31</v>
    <v>162.02000000000001</v>
    <v>162.41</v>
    <v>162.97</v>
    <v>164.25</v>
    <v>165.24</v>
    <v>164.46</v>
    <v>165.78</v>
    <v>166.58</v>
    <v>166.88</v>
    <v>166.79</v>
    <v>167.48</v>
    <v>166.27</v>
    <v>165.24</v>
    <v>164.61</v>
    <v>164.86</v>
    <v>163.77000000000001</v>
    <v>163.79</v>
    <v>164.17</v>
    <v>163.54</v>
    <v>163.09</v>
    <v>163.18</v>
    <v>164.28</v>
    <v>163.47999999999999</v>
    <v>163.4</v>
    <v>162.34</v>
    <v>162.4</v>
    <v>162.56</v>
    <v>162.87</v>
    <v>161.78</v>
    <v>162.06</v>
    <v>162.68</v>
    <v>162.51</v>
    <v>163.31</v>
    <v>162.66999999999999</v>
    <v>163.63</v>
    <v>164.15</v>
    <v>163.04</v>
    <v>162.19999999999999</v>
    <v>162.85</v>
    <v>162.55000000000001</v>
    <v>162.33000000000001</v>
    <v>161.93</v>
    <v>162.07</v>
    <v>162.12</v>
    <v>162.66</v>
    <v>162.6</v>
    <v>162.22</v>
    <v>161.96</v>
    <v>162.29</v>
    <v>161.22999999999999</v>
    <v>161.51</v>
    <v>162.44999999999999</v>
    <v>161.55000000000001</v>
    <v>161.58000000000001</v>
    <v>162.04</v>
    <v>162.84</v>
    <v>162.5</v>
    <v>162.63999999999999</v>
    <v>163.46</v>
    <v>163.92</v>
    <v>164.23</v>
    <v>164.41</v>
    <v>163.72</v>
    <v>163.66999999999999</v>
    <v>163.86</v>
    <v>163.78</v>
    <v>163.13999999999999</v>
    <v>163.44</v>
    <v>163.11000000000001</v>
    <v>163.08000000000001</v>
    <v>163.69</v>
    <v>164.25</v>
    <v>163.78</v>
    <v>164.24</v>
    <v>164.63</v>
    <v>164.38</v>
    <v>163.29</v>
    <v>163.41999999999999</v>
    <v>163.99</v>
    <v>163.69999999999999</v>
    <v>163.65</v>
    <v>164.38</v>
    <v>163.95</v>
    <v>163.57</v>
    <v>165.04</v>
    <v>164.23</v>
    <v>164.11</v>
    <v>164.07</v>
    <v>163.66999999999999</v>
    <v>163.49</v>
    <v>163.77000000000001</v>
    <v>163.83000000000001</v>
    <v>162.80000000000001</v>
    <v>162.46</v>
    <v>163.04</v>
    <v>163.6</v>
    <v>163.38999999999999</v>
    <v>163.6</v>
    <v>164.07</v>
    <v>164.14</v>
    <v>164.5</v>
    <v>164.22</v>
    <v>163.9</v>
    <v>163.5</v>
    <v>163.63999999999999</v>
    <v>163.22999999999999</v>
    <v>164.82</v>
    <v>164.62</v>
    <v>163.88</v>
    <v>163.69</v>
    <v>163.9</v>
    <v>163.72</v>
    <v>163.25</v>
    <v>162.97999999999999</v>
    <v>163.46</v>
    <v>163.01</v>
    <v>162.35</v>
    <v>162.86000000000001</v>
    <v>162.66999999999999</v>
    <v>163.24</v>
    <v>163.09</v>
    <v>163.72999999999999</v>
    <v>163.54</v>
    <v>162.88999999999999</v>
    <v>161.82</v>
    <v>161.55000000000001</v>
    <v>162.69</v>
    <v>162.5</v>
    <v>163</v>
    <v>162.88999999999999</v>
    <v>163.65</v>
    <v>163.01</v>
    <v>163.06</v>
    <v>162.55000000000001</v>
    <v>162.72999999999999</v>
    <v>162.6</v>
    <v>162.02000000000001</v>
    <v>162.03</v>
    <v>161.62</v>
    <v>161.13</v>
    <v>161.41999999999999</v>
    <v>162.24</v>
    <v>162.22999999999999</v>
    <v>163.08000000000001</v>
    <v>163.37</v>
    <v>162.52000000000001</v>
    <v>163.25</v>
    <v>163.78</v>
    <v>163.74</v>
    <v>164.12</v>
    <v>164.46</v>
    <v>164.58</v>
    <v>164.72</v>
    <v>164.1</v>
    <v>163.77000000000001</v>
    <v>163.72</v>
    <v>163.32</v>
    <v>163.44999999999999</v>
    <v>163.35</v>
    <v>164</v>
    <v>163.97</v>
    <v>164.72</v>
    <v>165.26</v>
    <v>164.8</v>
    <v>163.97</v>
    <v>164.53</v>
    <v>164.42</v>
    <v>164.25</v>
    <v>164.54</v>
    <v>164.81</v>
    <v>165.06</v>
    <v>164.97</v>
    <v>164.44</v>
    <v>164.36</v>
    <v>164.7</v>
    <v>164.73</v>
    <v>164.55</v>
    <v>165.2</v>
    <v>165.19</v>
    <v>164.33</v>
    <v>164.57</v>
    <v>164.27</v>
    <v>163.92</v>
    <v>163.88</v>
    <v>164.23</v>
    <v>164.63</v>
    <v>164.93</v>
    <v>165.03</v>
    <v>164.93</v>
    <v>164.75</v>
    <v>165.16</v>
    <v>164.8</v>
    <v>165.28</v>
    <v>165.99</v>
    <v>165.9</v>
    <v>165.55</v>
    <v>165.2</v>
    <v>164.91</v>
    <v>165.41</v>
    <v>166.04</v>
    <v>165.58</v>
    <v>165.72</v>
    <v>165.96</v>
    <v>166.03</v>
    <v>167.3</v>
    <v>167.11</v>
    <v>167.07</v>
    <v>166.8</v>
    <v>166.52</v>
    <v>166.13</v>
    <v>165.99</v>
    <v>166.77</v>
    <v>167</v>
    <v>166.58</v>
    <v>166.54</v>
    <v>167.14</v>
    <v>167.19</v>
    <v>167.18</v>
    <v>166.11</v>
    <v>166.23</v>
    <v>166.04</v>
    <v>166.22</v>
    <v>165.49</v>
    <v>165.41</v>
    <v>164.55</v>
    <v>164.7</v>
    <v>164.62</v>
    <v>164.77</v>
    <v>165.13</v>
    <v>165.26</v>
    <v>165.36</v>
    <v>164.7</v>
    <v>165.43</v>
    <v>165.75</v>
    <v>165.52</v>
    <v>165.17</v>
    <v>165.87</v>
    <v>165.64</v>
    <v>165.67</v>
    <v>165.85</v>
    <v>165.44</v>
    <v>165.4</v>
    <v>165.89</v>
    <v>166.21</v>
    <v>166</v>
    <v>166.33</v>
    <v>166.92</v>
    <v>167</v>
    <v>167.46</v>
    <v>167.47</v>
    <v>167.9</v>
    <v>168.02</v>
    <v>168.02</v>
    <v>167.77</v>
    <v>167.91</v>
    <v>168.1</v>
    <v>167.26</v>
    <v>166.89</v>
    <v>166.66</v>
    <v>166.1</v>
    <v>166.33</v>
    <v>165.8</v>
    <v>165.82</v>
    <v>165.36</v>
    <v>164.82</v>
    <v>165.13</v>
    <v>165.27</v>
    <v>164.65</v>
    <v>165.32</v>
    <v>165.11</v>
    <v>164.75</v>
    <v>164.3</v>
    <v>164.2</v>
    <v>163.91</v>
    <v>163.87</v>
    <v>164.96</v>
    <v>164.99</v>
    <v>165.18</v>
    <v>165.32</v>
    <v>165.35</v>
    <v>165.16</v>
    <v>164.96</v>
    <v>165.02</v>
    <v>164.82</v>
    <v>164.96</v>
    <v>164.81</v>
    <v>165.23</v>
    <v>165.77</v>
    <v>166.86</v>
    <v>166.57</v>
    <v>166.73</v>
    <v>166.66</v>
    <v>166.46</v>
    <v>166.85</v>
    <v>166.12</v>
    <v>165.64</v>
    <v>166.2</v>
    <v>165.75</v>
    <v>165.4</v>
    <v>165.58</v>
    <v>165.08</v>
    <v>165.37</v>
    <v>165.64</v>
    <v>165.49</v>
    <v>165.43</v>
    <v>166</v>
    <v>166.17</v>
    <v>166.18</v>
    <v>165.7</v>
    <v>165.37</v>
    <v>164.09</v>
    <v>163.25</v>
    <v>163.11000000000001</v>
    <v>162.94999999999999</v>
    <v>163.24</v>
    <v>164.05</v>
    <v>162.86000000000001</v>
    <v>163.1</v>
    <v>164.04</v>
    <v>163.68</v>
    <v>163.99</v>
    <v>163.96</v>
    <v>163.9</v>
    <v>164.12</v>
    <v>163.80000000000001</v>
    <v>163.74</v>
    <v>163.76</v>
    <v>164.06</v>
    <v>164.16</v>
    <v>164.64</v>
    <v>164.05</v>
    <v>164.42</v>
    <v>164.79</v>
    <v>163.28</v>
    <v>163.75</v>
    <v>163.55000000000001</v>
    <v>163.57</v>
    <v>163.83000000000001</v>
    <v>164.55</v>
    <v>163.86</v>
    <v>164.56</v>
    <v>164.96</v>
    <v>165.38</v>
    <v>165.21</v>
    <v>166.49</v>
    <v>165.94</v>
    <v>165.67</v>
    <v>165.33</v>
    <v>166.09</v>
    <v>165.73</v>
    <v>165.74</v>
    <v>165.9</v>
    <v>166.4</v>
    <v>166.02</v>
    <v>165.86</v>
    <v>165.47</v>
    <v>165.23</v>
    <v>165.15</v>
    <v>165.78</v>
    <v>166.09</v>
    <v>166.21</v>
    <v>166.17</v>
    <v>165.91</v>
    <v>165.55</v>
    <v>165.95</v>
    <v>166.21</v>
    <v>166.17</v>
    <v>166.28</v>
    <v>166.6</v>
    <v>166.62</v>
    <v>166.69</v>
    <v>166.65</v>
    <v>166.42</v>
    <v>166.08</v>
    <v>166.61</v>
    <v>166.71</v>
    <v>167.05</v>
    <v>167</v>
    <v>167.58</v>
    <v>167.06</v>
    <v>167.36</v>
    <v>167.23</v>
    <v>167.92</v>
    <v>167.54</v>
    <v>167.83</v>
    <v>168.06</v>
    <v>167.37</v>
    <v>167.29</v>
    <v>167.54</v>
    <v>167.62</v>
    <v>167.42</v>
    <v>167.71</v>
    <v>167.33</v>
    <v>167.6</v>
    <v>167.34</v>
    <v>166.97</v>
    <v>166.57</v>
    <v>166.65</v>
    <v>166.17</v>
    <v>166.01</v>
    <v>165.93</v>
    <v>166.15</v>
    <v>166.39</v>
    <v>166.24</v>
    <v>166.27</v>
    <v>167.15</v>
    <v>167.45</v>
    <v>167.52</v>
    <v>166.66</v>
    <v>166.5</v>
    <v>166.92</v>
    <v>166.98</v>
    <v>166.8</v>
    <v>167.07</v>
    <v>166.7</v>
    <v>167.29</v>
    <v>167.37</v>
    <v>167.4</v>
    <v>167.5</v>
    <v>166.98</v>
    <v>166.92</v>
    <v>166.3</v>
    <v>166.93</v>
    <v>166.85</v>
    <v>165.94</v>
    <v>165.81</v>
    <v>166.3</v>
    <v>165.66</v>
    <v>166.19</v>
    <v>165.7</v>
    <v>165.83</v>
    <v>165.77</v>
    <v>166.01</v>
    <v>166.68</v>
    <v>165.38</v>
    <v>164.92</v>
    <v>165.34</v>
    <v>165.75</v>
    <v>166.58</v>
    <v>166.59</v>
    <v>166.47</v>
    <v>166.72</v>
    <v>166.75</v>
    <v>166.25</v>
    <v>166.6</v>
    <v>166.66</v>
    <v>166.8</v>
    <v>166.21</v>
    <v>165.9</v>
    <v>165.96</v>
    <v>165.95</v>
    <v>165.99</v>
    <v>165.71</v>
    <v>166.2</v>
    <v>166.62</v>
    <v>166.33</v>
    <v>166.57</v>
    <v>166.45</v>
    <v>166.67</v>
    <v>166.31</v>
    <v>166.3</v>
    <v>166.9</v>
    <v>166.88</v>
    <v>167.3</v>
    <v>167.4</v>
    <v>167.85</v>
    <v>168.46</v>
    <v>168.46</v>
    <v>168.16</v>
    <v>168.09</v>
    <v>168.37</v>
    <v>168.53</v>
    <v>168.4</v>
    <v>167.72</v>
    <v>167.87</v>
    <v>167.73</v>
    <v>168.08</v>
    <v>168.16</v>
    <v>168.11</v>
    <v>167.95</v>
    <v>167.96</v>
    <v>167.86</v>
    <v>167.77</v>
    <v>167.64</v>
    <v>167.79</v>
    <v>167.98</v>
    <v>168.49</v>
    <v>168.05</v>
    <v>167.91</v>
    <v>167.92</v>
    <v>167.77</v>
    <v>167.66</v>
    <v>167.51</v>
    <v>167.34</v>
    <v>167.51</v>
    <v>167.87</v>
    <v>168.04</v>
    <v>168</v>
    <v>167.99</v>
    <v>167.3</v>
    <v>167.18</v>
    <v>167.25</v>
    <v>167.11</v>
    <v>166.9</v>
    <v>166.55</v>
    <v>166.7</v>
    <v>166.68</v>
    <v>166.79</v>
    <v>166.68</v>
    <v>166.83</v>
    <v>166.64</v>
    <v>166.38</v>
    <v>166.5</v>
    <v>165.98</v>
    <v>165.91</v>
    <v>166.38</v>
    <v>166.95</v>
    <v>166.59</v>
    <v>165.93</v>
    <v>166.55</v>
    <v>166.77</v>
    <v>166.91</v>
    <v>166.81</v>
    <v>167.36</v>
    <v>167.63</v>
    <v>167.43</v>
    <v>168</v>
    <v>168.37</v>
    <v>168.24</v>
    <v>168.26</v>
    <v>168.11</v>
    <v>167.91</v>
    <v>167.94</v>
    <v>168.1</v>
    <v>168.48</v>
    <v>168.8</v>
    <v>168.94</v>
    <v>169.28</v>
    <v>169.29</v>
    <v>168.6</v>
    <v>168.37</v>
    <v>168.53</v>
    <v>168.49</v>
    <v>168.62</v>
    <v>168.55</v>
    <v>169.05</v>
    <v>169.2</v>
    <v>169.39</v>
    <v>169.57</v>
    <v>169.42</v>
    <v>169.43</v>
    <v>169.83</v>
    <v>169.87</v>
    <v>169.81</v>
    <v>170.06</v>
    <v>170.08</v>
    <v>170.28</v>
    <v>170.44</v>
    <v>170.93</v>
    <v>170.49</v>
    <v>170</v>
    <v>170.1</v>
    <v>169.11</v>
    <v>170.15</v>
    <v>170.18</v>
    <v>170.08</v>
    <v>169.58</v>
    <v>169.96</v>
    <v>169.54</v>
    <v>169.96</v>
    <v>170.35</v>
    <v>170.35</v>
    <v>170.08</v>
    <v>168.82</v>
    <v>168.95</v>
    <v>168.27</v>
    <v>168.93</v>
    <v>167.99</v>
    <v>167.66</v>
    <v>168.73</v>
    <v>169.14</v>
    <v>169.28</v>
    <v>169.81</v>
    <v>169.02</v>
    <v>170.38</v>
    <v>170.05</v>
    <v>169.24</v>
    <v>169</v>
    <v>169.24</v>
    <v>169.39</v>
    <v>169.39</v>
    <v>169.81</v>
    <v>170.09</v>
    <v>169.63</v>
    <v>170.07</v>
    <v>170.2</v>
    <v>170.77</v>
    <v>170.51</v>
    <v>170.39</v>
    <v>170.46</v>
    <v>171.24</v>
    <v>171.35</v>
    <v>171.49</v>
    <v>171.63</v>
    <v>171.33</v>
    <v>171.66</v>
    <v>171.7</v>
    <v>171.45</v>
    <v>171.52</v>
    <v>171.88</v>
    <v>170.89</v>
    <v>171.23</v>
    <v>170.67</v>
    <v>171.73</v>
    <v>171.23</v>
    <v>171.66</v>
    <v>172.63</v>
    <v>171.94</v>
    <v>172</v>
    <v>172.12</v>
    <v>172.02</v>
    <v>172.07</v>
    <v>172.19</v>
    <v>171.84</v>
    <v>171.57</v>
    <v>171.15</v>
    <v>170.95</v>
    <v>171.03</v>
    <v>171.01</v>
    <v>171.52</v>
    <v>171.6</v>
    <v>171.86</v>
    <v>171.84</v>
    <v>172.07</v>
    <v>171.54</v>
    <v>170.94</v>
    <v>171.28</v>
    <v>171.31</v>
    <v>171.43</v>
    <v>171.92</v>
    <v>171.95</v>
    <v>171.96</v>
    <v>171.94</v>
    <v>172.09</v>
    <v>171.8</v>
    <v>171.63</v>
    <v>171.56</v>
    <v>171.34</v>
    <v>170.77</v>
    <v>171.13</v>
    <v>171.24</v>
    <v>171.08</v>
    <v>171.46</v>
    <v>171.29</v>
    <v>171.09</v>
    <v>171.21</v>
    <v>171.16</v>
    <v>171.13</v>
    <v>170.85</v>
    <v>170.75</v>
    <v>170.91</v>
    <v>170.8</v>
    <v>170.8</v>
    <v>170.8</v>
    <v>170.79</v>
    <v>170.22</v>
    <v>170.74</v>
    <v>171.03</v>
    <v>170.92</v>
    <v>170.78</v>
    <v>171.16</v>
    <v>170.91</v>
    <v>171.02</v>
    <v>171.16</v>
    <v>171.4</v>
    <v>170.94</v>
    <v>170.96</v>
    <v>170.54</v>
    <v>170.48</v>
    <v>170.52</v>
    <v>170.53</v>
    <v>170.5</v>
    <v>171.04</v>
    <v>170.68</v>
    <v>170.56</v>
    <v>170.42</v>
    <v>169.98</v>
    <v>170.07</v>
    <v>169.72</v>
    <v>170.25</v>
    <v>170.34</v>
    <v>169.9</v>
    <v>170.38</v>
    <v>169.42</v>
    <v>168.63</v>
    <v>168.54</v>
    <v>168.33</v>
    <v>168.25</v>
    <v>168.29</v>
    <v>168.25</v>
    <v>167.75</v>
    <v>168.4</v>
    <v>167.88</v>
    <v>166.87</v>
    <v>166.88</v>
    <v>166.66</v>
    <v>166.1</v>
    <v>165.5</v>
    <v>165.75</v>
    <v>165.07</v>
    <v>164.94</v>
    <v>165.45</v>
    <v>166.22</v>
    <v>165.52</v>
    <v>166.05</v>
    <v>166.09</v>
    <v>165.95</v>
    <v>166.44</v>
    <v>166.5</v>
    <v>167.28</v>
    <v>167.33</v>
    <v>166.34</v>
    <v>166.55</v>
    <v>165.93</v>
    <v>165.27</v>
    <v>165.76</v>
  </a>
  <a r="1" c="208">
    <v>165.93</v>
    <v>166.55</v>
    <v>166.77</v>
    <v>166.91</v>
    <v>166.81</v>
    <v>167.36</v>
    <v>167.63</v>
    <v>167.43</v>
    <v>168</v>
    <v>168.37</v>
    <v>168.24</v>
    <v>168.26</v>
    <v>168.11</v>
    <v>167.91</v>
    <v>167.94</v>
    <v>168.1</v>
    <v>168.48</v>
    <v>168.8</v>
    <v>168.94</v>
    <v>169.28</v>
    <v>169.29</v>
    <v>168.6</v>
    <v>168.37</v>
    <v>168.53</v>
    <v>168.49</v>
    <v>168.62</v>
    <v>168.55</v>
    <v>169.05</v>
    <v>169.2</v>
    <v>169.39</v>
    <v>169.57</v>
    <v>169.42</v>
    <v>169.43</v>
    <v>169.83</v>
    <v>169.87</v>
    <v>169.81</v>
    <v>170.06</v>
    <v>170.08</v>
    <v>170.28</v>
    <v>170.44</v>
    <v>170.93</v>
    <v>170.49</v>
    <v>170</v>
    <v>170.1</v>
    <v>169.11</v>
    <v>170.15</v>
    <v>170.18</v>
    <v>170.08</v>
    <v>169.58</v>
    <v>169.96</v>
    <v>169.54</v>
    <v>169.96</v>
    <v>170.35</v>
    <v>170.35</v>
    <v>170.08</v>
    <v>168.82</v>
    <v>168.95</v>
    <v>168.27</v>
    <v>168.93</v>
    <v>167.99</v>
    <v>167.66</v>
    <v>168.73</v>
    <v>169.14</v>
    <v>169.28</v>
    <v>169.81</v>
    <v>169.02</v>
    <v>170.38</v>
    <v>170.05</v>
    <v>169.24</v>
    <v>169</v>
    <v>169.24</v>
    <v>169.39</v>
    <v>169.39</v>
    <v>169.81</v>
    <v>170.09</v>
    <v>169.63</v>
    <v>170.07</v>
    <v>170.2</v>
    <v>170.77</v>
    <v>170.51</v>
    <v>170.39</v>
    <v>170.46</v>
    <v>171.24</v>
    <v>171.35</v>
    <v>171.49</v>
    <v>171.63</v>
    <v>171.33</v>
    <v>171.66</v>
    <v>171.7</v>
    <v>171.45</v>
    <v>171.52</v>
    <v>171.88</v>
    <v>170.89</v>
    <v>171.23</v>
    <v>170.67</v>
    <v>171.73</v>
    <v>171.23</v>
    <v>171.66</v>
    <v>172.63</v>
    <v>171.94</v>
    <v>172</v>
    <v>172.12</v>
    <v>172.02</v>
    <v>172.07</v>
    <v>172.19</v>
    <v>171.84</v>
    <v>171.57</v>
    <v>171.15</v>
    <v>170.95</v>
    <v>171.03</v>
    <v>171.01</v>
    <v>171.52</v>
    <v>171.6</v>
    <v>171.86</v>
    <v>171.84</v>
    <v>172.07</v>
    <v>171.54</v>
    <v>170.94</v>
    <v>171.28</v>
    <v>171.31</v>
    <v>171.43</v>
    <v>171.92</v>
    <v>171.95</v>
    <v>171.96</v>
    <v>171.94</v>
    <v>172.09</v>
    <v>171.8</v>
    <v>171.63</v>
    <v>171.56</v>
    <v>171.34</v>
    <v>170.77</v>
    <v>171.13</v>
    <v>171.24</v>
    <v>171.08</v>
    <v>171.46</v>
    <v>171.29</v>
    <v>171.09</v>
    <v>171.21</v>
    <v>171.16</v>
    <v>171.13</v>
    <v>170.85</v>
    <v>170.75</v>
    <v>170.91</v>
    <v>170.8</v>
    <v>170.8</v>
    <v>170.8</v>
    <v>170.79</v>
    <v>170.22</v>
    <v>170.74</v>
    <v>171.03</v>
    <v>170.92</v>
    <v>170.78</v>
    <v>171.16</v>
    <v>170.91</v>
    <v>171.02</v>
    <v>171.16</v>
    <v>171.4</v>
    <v>170.94</v>
    <v>170.96</v>
    <v>170.54</v>
    <v>170.48</v>
    <v>170.52</v>
    <v>170.53</v>
    <v>170.5</v>
    <v>171.04</v>
    <v>170.68</v>
    <v>170.56</v>
    <v>170.42</v>
    <v>169.98</v>
    <v>170.07</v>
    <v>169.72</v>
    <v>170.25</v>
    <v>170.34</v>
    <v>169.9</v>
    <v>170.38</v>
    <v>169.42</v>
    <v>168.63</v>
    <v>168.54</v>
    <v>168.33</v>
    <v>168.25</v>
    <v>168.29</v>
    <v>168.25</v>
    <v>167.75</v>
    <v>168.4</v>
    <v>167.88</v>
    <v>166.87</v>
    <v>166.88</v>
    <v>166.66</v>
    <v>166.1</v>
    <v>165.5</v>
    <v>165.75</v>
    <v>165.07</v>
    <v>164.94</v>
    <v>165.45</v>
    <v>166.22</v>
    <v>165.52</v>
    <v>166.05</v>
    <v>166.09</v>
    <v>165.95</v>
    <v>166.44</v>
    <v>166.5</v>
    <v>167.28</v>
    <v>167.33</v>
    <v>166.34</v>
    <v>166.55</v>
    <v>165.93</v>
    <v>165.27</v>
    <v>165.76</v>
  </a>
  <a r="1" c="254">
    <v>7.0410000000000004</v>
    <v>7.093</v>
    <v>7.141</v>
    <v>7.1509999999999998</v>
    <v>7.173</v>
    <v>7.1859999999999999</v>
    <v>7.1630000000000003</v>
    <v>7.1749999999999998</v>
    <v>7.1509999999999998</v>
    <v>7.1580000000000004</v>
    <v>7.0659999999999998</v>
    <v>6.9690000000000003</v>
    <v>7.1159999999999997</v>
    <v>7.14</v>
    <v>7.1769999999999996</v>
    <v>7.0919999999999996</v>
    <v>7.0810000000000004</v>
    <v>7.0460000000000003</v>
    <v>6.9489999999999998</v>
    <v>6.9690000000000003</v>
    <v>7.0060000000000002</v>
    <v>6.9269999999999996</v>
    <v>7.02</v>
    <v>7.0270000000000001</v>
    <v>7.109</v>
    <v>7.1079999999999997</v>
    <v>7.1280000000000001</v>
    <v>7.1040000000000001</v>
    <v>7.1040000000000001</v>
    <v>7.0960000000000001</v>
    <v>7.1219999999999999</v>
    <v>7.1529999999999996</v>
    <v>7.1379999999999999</v>
    <v>7.141</v>
    <v>7.1349999999999998</v>
    <v>7.0990000000000002</v>
    <v>7.0609999999999999</v>
    <v>7.0839999999999996</v>
    <v>7.02</v>
    <v>6.9909999999999997</v>
    <v>7.0640000000000001</v>
    <v>7.1050000000000004</v>
    <v>7.1130000000000004</v>
    <v>7.13</v>
    <v>7.1470000000000002</v>
    <v>7.17</v>
    <v>7.1520000000000001</v>
    <v>7.2480000000000002</v>
    <v>7.2779999999999996</v>
    <v>7.2919999999999998</v>
    <v>7.28</v>
    <v>7.343</v>
    <v>7.3419999999999996</v>
    <v>7.3540000000000001</v>
    <v>7.3239999999999998</v>
    <v>7.4089999999999998</v>
    <v>7.3840000000000003</v>
    <v>7.2990000000000004</v>
    <v>7.2240000000000002</v>
    <v>7.25</v>
    <v>7.2949999999999999</v>
    <v>7.274</v>
    <v>7.2519999999999998</v>
    <v>7.2510000000000003</v>
    <v>7.2649999999999997</v>
    <v>7.2</v>
    <v>7.2409999999999997</v>
    <v>7.3129999999999997</v>
    <v>7.2949999999999999</v>
    <v>7.2770000000000001</v>
    <v>7.2149999999999999</v>
    <v>7.2759999999999998</v>
    <v>7.32</v>
    <v>7.3380000000000001</v>
    <v>7.3470000000000004</v>
    <v>7.282</v>
    <v>7.2750000000000004</v>
    <v>7.2629999999999999</v>
    <v>7.2809999999999997</v>
    <v>7.3630000000000004</v>
    <v>7.3460000000000001</v>
    <v>7.3730000000000002</v>
    <v>7.3369999999999997</v>
    <v>7.3780000000000001</v>
    <v>7.4290000000000003</v>
    <v>7.4169999999999998</v>
    <v>7.3860000000000001</v>
    <v>7.3879999999999999</v>
    <v>7.274</v>
    <v>7.3529999999999998</v>
    <v>7.3010000000000002</v>
    <v>7.2329999999999997</v>
    <v>7.2069999999999999</v>
    <v>7.3109999999999999</v>
    <v>7.2770000000000001</v>
    <v>7.2359999999999998</v>
    <v>7.2249999999999996</v>
    <v>7.2539999999999996</v>
    <v>7.2779999999999996</v>
    <v>7.234</v>
    <v>7.109</v>
    <v>7.03</v>
    <v>7.0579999999999998</v>
    <v>7.0640000000000001</v>
    <v>7.1139999999999999</v>
    <v>7.04</v>
    <v>6.9470000000000001</v>
    <v>6.9749999999999996</v>
    <v>6.9740000000000002</v>
    <v>7.1289999999999996</v>
    <v>7.1219999999999999</v>
    <v>7.0830000000000002</v>
    <v>7.2830000000000004</v>
    <v>7.3</v>
    <v>7.3179999999999996</v>
    <v>7.3129999999999997</v>
    <v>7.3970000000000002</v>
    <v>7.4210000000000003</v>
    <v>7.4669999999999996</v>
    <v>7.56</v>
    <v>7.532</v>
    <v>7.5209999999999999</v>
    <v>7.556</v>
    <v>7.5720000000000001</v>
    <v>7.57</v>
    <v>7.5609999999999999</v>
    <v>7.532</v>
    <v>7.5419999999999998</v>
    <v>7.5839999999999996</v>
    <v>7.6230000000000002</v>
    <v>7.6829999999999998</v>
    <v>7.7850000000000001</v>
    <v>7.7850000000000001</v>
    <v>7.7859999999999996</v>
    <v>7.8109999999999999</v>
    <v>7.7380000000000004</v>
    <v>7.83</v>
    <v>7.9320000000000004</v>
    <v>7.8479999999999999</v>
    <v>7.8049999999999997</v>
    <v>7.7880000000000003</v>
    <v>7.8659999999999997</v>
    <v>7.8869999999999996</v>
    <v>7.9619999999999997</v>
    <v>8.0220000000000002</v>
    <v>8.0060000000000002</v>
    <v>7.9989999999999997</v>
    <v>8.0190000000000001</v>
    <v>8.0370000000000008</v>
    <v>8.0830000000000002</v>
    <v>8.1219999999999999</v>
    <v>8.0890000000000004</v>
    <v>8.0749999999999993</v>
    <v>8.0020000000000007</v>
    <v>7.9640000000000004</v>
    <v>7.8550000000000004</v>
    <v>7.8460000000000001</v>
    <v>7.86</v>
    <v>8</v>
    <v>8.1050000000000004</v>
    <v>8.0890000000000004</v>
    <v>8.1080000000000005</v>
    <v>8.1549999999999994</v>
    <v>8.15</v>
    <v>8.18</v>
    <v>8.0690000000000008</v>
    <v>8.11</v>
    <v>8.0820000000000007</v>
    <v>8.0500000000000007</v>
    <v>8.0519999999999996</v>
    <v>8.1440000000000001</v>
    <v>8.173</v>
    <v>8.1189999999999998</v>
    <v>8.1639999999999997</v>
    <v>8.202</v>
    <v>8.1129999999999995</v>
    <v>8.06</v>
    <v>8.1530000000000005</v>
    <v>8.1850000000000005</v>
    <v>8.1630000000000003</v>
    <v>8.1539999999999999</v>
    <v>8.1609999999999996</v>
    <v>8.1470000000000002</v>
    <v>8.0500000000000007</v>
    <v>8.08</v>
    <v>8.1289999999999996</v>
    <v>8.1379999999999999</v>
    <v>8.0380000000000003</v>
    <v>8.0839999999999996</v>
    <v>8.0459999999999994</v>
    <v>8.06</v>
    <v>7.9950000000000001</v>
    <v>7.9820000000000002</v>
    <v>8.0280000000000005</v>
    <v>8.1310000000000002</v>
    <v>8.25</v>
    <v>8.2750000000000004</v>
    <v>8.2620000000000005</v>
    <v>8.2919999999999998</v>
    <v>8.2910000000000004</v>
    <v>8.2940000000000005</v>
    <v>8.3070000000000004</v>
    <v>8.3460000000000001</v>
    <v>8.3130000000000006</v>
    <v>8.3179999999999996</v>
    <v>8.2129999999999992</v>
    <v>8.1950000000000003</v>
    <v>8.1519999999999992</v>
    <v>8.18</v>
    <v>8.1489999999999991</v>
    <v>8.1790000000000003</v>
    <v>8.1929999999999996</v>
    <v>8.2240000000000002</v>
    <v>8.2889999999999997</v>
    <v>8.202</v>
    <v>8.1999999999999993</v>
    <v>8.2100000000000009</v>
    <v>8.2690000000000001</v>
    <v>8.2609999999999992</v>
    <v>8.2579999999999991</v>
    <v>8.2469999999999999</v>
    <v>8.1809999999999992</v>
    <v>8.1289999999999996</v>
    <v>8.2110000000000003</v>
    <v>8.1820000000000004</v>
    <v>8.1359999999999992</v>
    <v>8.1839999999999993</v>
    <v>8.2509999999999994</v>
    <v>8.2240000000000002</v>
    <v>8.3360000000000003</v>
    <v>8.3919999999999995</v>
    <v>8.3659999999999997</v>
    <v>8.3160000000000007</v>
    <v>8.35</v>
    <v>8.3239999999999998</v>
    <v>8.3439999999999994</v>
    <v>8.36</v>
    <v>8.34</v>
    <v>8.4209999999999994</v>
    <v>8.5129999999999999</v>
    <v>8.5429999999999993</v>
    <v>8.5060000000000002</v>
    <v>8.4619999999999997</v>
    <v>8.5079999999999991</v>
    <v>8.5440000000000005</v>
    <v>8.5030000000000001</v>
    <v>8.4990000000000006</v>
    <v>8.4160000000000004</v>
    <v>8.3960000000000008</v>
    <v>8.4169999999999998</v>
    <v>8.3989999999999991</v>
    <v>8.4489999999999998</v>
    <v>8.3460000000000001</v>
    <v>8.3469999999999995</v>
  </a>
  <a r="1" c="761">
    <v>4.843</v>
    <v>4.8594999999999997</v>
    <v>4.8360000000000003</v>
    <v>4.7984999999999998</v>
    <v>4.7694999999999999</v>
    <v>4.7619999999999996</v>
    <v>4.7939999999999996</v>
    <v>4.8555000000000001</v>
    <v>4.9225000000000003</v>
    <v>4.9450000000000003</v>
    <v>4.944</v>
    <v>4.9660000000000002</v>
    <v>4.9485000000000001</v>
    <v>4.9619999999999997</v>
    <v>4.95</v>
    <v>4.9870000000000001</v>
    <v>5.0039999999999996</v>
    <v>5.0460000000000003</v>
    <v>5.008</v>
    <v>5.0250000000000004</v>
    <v>5.0430000000000001</v>
    <v>5.0330000000000004</v>
    <v>5.0640000000000001</v>
    <v>5.07</v>
    <v>5.0579999999999998</v>
    <v>5.0529999999999999</v>
    <v>5.0389999999999997</v>
    <v>5.0540000000000003</v>
    <v>5.0730000000000004</v>
    <v>5.1219999999999999</v>
    <v>5.1100000000000003</v>
    <v>5.133</v>
    <v>5.1580000000000004</v>
    <v>5.1529999999999996</v>
    <v>5.1719999999999997</v>
    <v>5.2089999999999996</v>
    <v>5.1970000000000001</v>
    <v>5.2160000000000002</v>
    <v>5.2210000000000001</v>
    <v>5.2569999999999997</v>
    <v>5.25</v>
    <v>5.2549999999999999</v>
    <v>5.2690000000000001</v>
    <v>5.2359999999999998</v>
    <v>5.25</v>
    <v>5.2279999999999998</v>
    <v>5.258</v>
    <v>5.2560000000000002</v>
    <v>5.266</v>
    <v>5.2480000000000002</v>
    <v>5.2439999999999998</v>
    <v>5.234</v>
    <v>5.2409999999999997</v>
    <v>5.27</v>
    <v>5.2690000000000001</v>
    <v>5.2549999999999999</v>
    <v>5.2930000000000001</v>
    <v>5.2919999999999998</v>
    <v>5.2830000000000004</v>
    <v>5.2539999999999996</v>
    <v>5.2779999999999996</v>
    <v>5.3010000000000002</v>
    <v>5.343</v>
    <v>5.359</v>
    <v>5.3860000000000001</v>
    <v>5.4080000000000004</v>
    <v>5.4139999999999997</v>
    <v>5.4340000000000002</v>
    <v>5.4390000000000001</v>
    <v>5.4139999999999997</v>
    <v>5.3879999999999999</v>
    <v>5.4649999999999999</v>
    <v>5.4779999999999998</v>
    <v>5.5060000000000002</v>
    <v>5.532</v>
    <v>5.5309999999999997</v>
    <v>5.54</v>
    <v>5.5789999999999997</v>
    <v>5.5229999999999997</v>
    <v>5.5359999999999996</v>
    <v>5.5609999999999999</v>
    <v>5.5919999999999996</v>
    <v>5.5839999999999996</v>
    <v>5.5339999999999998</v>
    <v>5.5289999999999999</v>
    <v>5.61</v>
    <v>5.6289999999999996</v>
    <v>5.6130000000000004</v>
    <v>5.609</v>
    <v>5.6029999999999998</v>
    <v>5.6219999999999999</v>
    <v>5.6619999999999999</v>
    <v>5.6509999999999998</v>
    <v>5.6130000000000004</v>
    <v>5.641</v>
    <v>5.6619999999999999</v>
    <v>5.6660000000000004</v>
    <v>5.6260000000000003</v>
    <v>5.6790000000000003</v>
    <v>5.6779999999999999</v>
    <v>5.6760000000000002</v>
    <v>5.6479999999999997</v>
    <v>5.6929999999999996</v>
    <v>5.6950000000000003</v>
    <v>5.7130000000000001</v>
    <v>5.7949999999999999</v>
    <v>5.7889999999999997</v>
    <v>5.77</v>
    <v>5.782</v>
    <v>5.7759999999999998</v>
    <v>5.82</v>
    <v>5.7770000000000001</v>
    <v>5.7830000000000004</v>
    <v>5.79</v>
    <v>5.7450000000000001</v>
    <v>5.7729999999999997</v>
    <v>5.74</v>
    <v>5.76</v>
    <v>5.77</v>
    <v>5.7880000000000003</v>
    <v>5.77</v>
    <v>5.6859999999999999</v>
    <v>5.6680000000000001</v>
    <v>5.6760000000000002</v>
    <v>5.625</v>
    <v>5.63</v>
    <v>5.694</v>
    <v>5.6920000000000002</v>
    <v>5.633</v>
    <v>5.7370000000000001</v>
    <v>5.7409999999999997</v>
    <v>5.7229999999999999</v>
    <v>5.702</v>
    <v>5.7350000000000003</v>
    <v>5.7809999999999997</v>
    <v>5.8120000000000003</v>
    <v>5.8109999999999999</v>
    <v>5.8179999999999996</v>
    <v>5.8460000000000001</v>
    <v>5.8390000000000004</v>
    <v>5.8310000000000004</v>
    <v>5.8719999999999999</v>
    <v>5.8959999999999999</v>
    <v>5.8860000000000001</v>
    <v>5.91</v>
    <v>5.899</v>
    <v>5.9029999999999996</v>
    <v>5.8970000000000002</v>
    <v>5.8849999999999998</v>
    <v>5.8890000000000002</v>
    <v>5.8680000000000003</v>
    <v>5.8380000000000001</v>
    <v>5.8170000000000002</v>
    <v>5.7830000000000004</v>
    <v>5.8289999999999997</v>
    <v>5.8120000000000003</v>
    <v>5.8810000000000002</v>
    <v>5.8979999999999997</v>
    <v>5.9249999999999998</v>
    <v>5.9509999999999996</v>
    <v>5.9450000000000003</v>
    <v>5.9809999999999999</v>
    <v>5.976</v>
    <v>5.992</v>
    <v>5.9950000000000001</v>
    <v>6.0250000000000004</v>
    <v>6.0410000000000004</v>
    <v>6.0609999999999999</v>
    <v>6.0529999999999999</v>
    <v>6.0540000000000003</v>
    <v>6.0460000000000003</v>
    <v>6.0510000000000002</v>
    <v>6.0540000000000003</v>
    <v>6.07</v>
    <v>6.0359999999999996</v>
    <v>6.0439999999999996</v>
    <v>6.0670000000000002</v>
    <v>6.0869999999999997</v>
    <v>6.08</v>
    <v>6.0960000000000001</v>
    <v>6.1059999999999999</v>
    <v>6.1239999999999997</v>
    <v>6.1239999999999997</v>
    <v>6.1520000000000001</v>
    <v>6.1509999999999998</v>
    <v>6.1619999999999999</v>
    <v>6.0839999999999996</v>
    <v>6.06</v>
    <v>6.0190000000000001</v>
    <v>6.0430000000000001</v>
    <v>6.0910000000000002</v>
    <v>5.9870000000000001</v>
    <v>5.9580000000000002</v>
    <v>5.9710000000000001</v>
    <v>5.9880000000000004</v>
    <v>5.9939999999999998</v>
    <v>6.0759999999999996</v>
    <v>6.0190000000000001</v>
    <v>5.7720000000000002</v>
    <v>5.6390000000000002</v>
    <v>5.6890000000000001</v>
    <v>5.7779999999999996</v>
    <v>5.7910000000000004</v>
    <v>5.8090000000000002</v>
    <v>5.819</v>
    <v>5.8719999999999999</v>
    <v>5.8760000000000003</v>
    <v>5.9939999999999998</v>
    <v>6.0129999999999999</v>
    <v>5.9930000000000003</v>
    <v>6</v>
    <v>6.0049999999999999</v>
    <v>6.008</v>
    <v>6.0030000000000001</v>
    <v>6.0090000000000003</v>
    <v>6.008</v>
    <v>6.0730000000000004</v>
    <v>6.0620000000000003</v>
    <v>6.0869999999999997</v>
    <v>6.0259999999999998</v>
    <v>5.9619999999999997</v>
    <v>5.9249999999999998</v>
    <v>5.8449999999999998</v>
    <v>5.9020000000000001</v>
    <v>5.92</v>
    <v>5.8869999999999996</v>
    <v>5.9950000000000001</v>
    <v>6.0330000000000004</v>
    <v>6.0090000000000003</v>
    <v>6.048</v>
    <v>6.0190000000000001</v>
    <v>6.1050000000000004</v>
    <v>6.0670000000000002</v>
    <v>6.1109999999999998</v>
    <v>6.1260000000000003</v>
    <v>6.1310000000000002</v>
    <v>6.1609999999999996</v>
    <v>6.1870000000000003</v>
    <v>6.19</v>
    <v>6.1689999999999996</v>
    <v>6.2069999999999999</v>
    <v>6.1859999999999999</v>
    <v>6.234</v>
    <v>6.2510000000000003</v>
    <v>6.2320000000000002</v>
    <v>6.27</v>
    <v>6.2869999999999999</v>
    <v>6.31</v>
    <v>6.3529999999999998</v>
    <v>6.3289999999999997</v>
    <v>6.3339999999999996</v>
    <v>6.383</v>
    <v>6.3840000000000003</v>
    <v>6.3540000000000001</v>
    <v>6.3630000000000004</v>
    <v>6.3460000000000001</v>
    <v>6.3339999999999996</v>
    <v>6.3550000000000004</v>
    <v>6.3540000000000001</v>
    <v>6.3879999999999999</v>
    <v>6.3209999999999997</v>
    <v>6.2439999999999998</v>
    <v>6.26</v>
    <v>6.2240000000000002</v>
    <v>6.2460000000000004</v>
    <v>6.4210000000000003</v>
    <v>6.4770000000000003</v>
    <v>6.5030000000000001</v>
    <v>6.5679999999999996</v>
    <v>6.5350000000000001</v>
    <v>6.556</v>
    <v>6.5469999999999997</v>
    <v>6.4749999999999996</v>
    <v>6.4850000000000003</v>
    <v>6.4779999999999998</v>
    <v>6.4909999999999997</v>
    <v>6.5650000000000004</v>
    <v>6.6420000000000003</v>
    <v>6.63</v>
    <v>6.6609999999999996</v>
    <v>6.5750000000000002</v>
    <v>6.6050000000000004</v>
    <v>6.6280000000000001</v>
    <v>6.6769999999999996</v>
    <v>6.6859999999999999</v>
    <v>6.702</v>
    <v>6.6950000000000003</v>
    <v>6.6970000000000001</v>
    <v>6.6959999999999997</v>
    <v>6.7</v>
    <v>6.7380000000000004</v>
    <v>6.7290000000000001</v>
    <v>6.7160000000000002</v>
    <v>6.7060000000000004</v>
    <v>6.6760000000000002</v>
    <v>6.6929999999999996</v>
    <v>6.593</v>
    <v>6.5990000000000002</v>
    <v>6.593</v>
    <v>6.6120000000000001</v>
    <v>6.5860000000000003</v>
    <v>6.6669999999999998</v>
    <v>6.6559999999999997</v>
    <v>6.6989999999999998</v>
    <v>6.6609999999999996</v>
    <v>6.6479999999999997</v>
    <v>6.6580000000000004</v>
    <v>6.5970000000000004</v>
    <v>6.5789999999999997</v>
    <v>6.5739999999999998</v>
    <v>6.6749999999999998</v>
    <v>6.6980000000000004</v>
    <v>6.7560000000000002</v>
    <v>6.7249999999999996</v>
    <v>6.7229999999999999</v>
    <v>6.7759999999999998</v>
    <v>6.7889999999999997</v>
    <v>6.758</v>
    <v>6.6440000000000001</v>
    <v>6.7290000000000001</v>
    <v>6.758</v>
    <v>6.7830000000000004</v>
    <v>6.8520000000000003</v>
    <v>6.7859999999999996</v>
    <v>6.7910000000000004</v>
    <v>6.766</v>
    <v>6.85</v>
    <v>6.835</v>
    <v>6.88</v>
    <v>6.859</v>
    <v>6.8159999999999998</v>
    <v>6.843</v>
    <v>6.835</v>
    <v>6.8769999999999998</v>
    <v>6.8819999999999997</v>
    <v>6.8959999999999999</v>
    <v>6.84</v>
    <v>6.8460000000000001</v>
    <v>6.7649999999999997</v>
    <v>6.7030000000000003</v>
    <v>6.7619999999999996</v>
    <v>6.7649999999999997</v>
    <v>6.681</v>
    <v>6.7060000000000004</v>
    <v>6.4960000000000004</v>
    <v>6.4249999999999998</v>
    <v>6.4340000000000002</v>
    <v>6.3380000000000001</v>
    <v>6.2670000000000003</v>
    <v>6.1680000000000001</v>
    <v>6.2160000000000002</v>
    <v>6.1950000000000003</v>
    <v>6.2539999999999996</v>
    <v>6.2889999999999997</v>
    <v>6.2670000000000003</v>
    <v>6.3289999999999997</v>
    <v>6.3479999999999999</v>
    <v>6.3319999999999999</v>
    <v>6.4269999999999996</v>
    <v>6.4370000000000003</v>
    <v>6.4059999999999997</v>
    <v>6.3840000000000003</v>
    <v>6.25</v>
    <v>6.202</v>
    <v>6.282</v>
    <v>6.27</v>
    <v>5.968</v>
    <v>5.7279999999999998</v>
    <v>5.51</v>
    <v>5.6909999999999998</v>
    <v>5.4480000000000004</v>
    <v>5.6760000000000002</v>
    <v>5.6</v>
    <v>5.7750000000000004</v>
    <v>5.8140000000000001</v>
    <v>5.7530000000000001</v>
    <v>5.6989999999999998</v>
    <v>5.6680000000000001</v>
    <v>5.8689999999999998</v>
    <v>5.883</v>
    <v>5.9020000000000001</v>
    <v>5.9130000000000003</v>
    <v>5.952</v>
    <v>5.9550000000000001</v>
    <v>6.1079999999999997</v>
    <v>6.1379999999999999</v>
    <v>6.0910000000000002</v>
    <v>6.0640000000000001</v>
    <v>6.1520000000000001</v>
    <v>6.1479999999999997</v>
    <v>6.3659999999999997</v>
    <v>6.3929999999999998</v>
    <v>6.3760000000000003</v>
    <v>6.3949999999999996</v>
    <v>6.4320000000000004</v>
    <v>6.3959999999999999</v>
    <v>6.4160000000000004</v>
    <v>6.3780000000000001</v>
    <v>6.3150000000000004</v>
    <v>6.2510000000000003</v>
    <v>6.3070000000000004</v>
    <v>6.3529999999999998</v>
    <v>6.3630000000000004</v>
    <v>6.3419999999999996</v>
    <v>6.3319999999999999</v>
    <v>6.2939999999999996</v>
    <v>6.3639999999999999</v>
    <v>6.3760000000000003</v>
    <v>6.3819999999999997</v>
    <v>6.4169999999999998</v>
    <v>6.4080000000000004</v>
    <v>6.4249999999999998</v>
    <v>6.4189999999999996</v>
    <v>6.351</v>
    <v>6.3250000000000002</v>
    <v>6.351</v>
    <v>6.3470000000000004</v>
    <v>6.3380000000000001</v>
    <v>6.2889999999999997</v>
    <v>6.2990000000000004</v>
    <v>6.2910000000000004</v>
    <v>6.3540000000000001</v>
    <v>6.359</v>
    <v>6.3609999999999998</v>
    <v>6.3959999999999999</v>
    <v>6.3849999999999998</v>
    <v>6.383</v>
    <v>6.3979999999999997</v>
    <v>6.4539999999999997</v>
    <v>6.4130000000000003</v>
    <v>6.4320000000000004</v>
    <v>6.4329999999999998</v>
    <v>6.45</v>
    <v>6.49</v>
    <v>6.4539999999999997</v>
    <v>6.468</v>
    <v>6.5149999999999997</v>
    <v>6.444</v>
    <v>6.5460000000000003</v>
    <v>6.52</v>
    <v>6.5229999999999997</v>
    <v>6.484</v>
    <v>6.54</v>
    <v>6.5570000000000004</v>
    <v>6.569</v>
    <v>6.6189999999999998</v>
    <v>6.6449999999999996</v>
    <v>6.6779999999999999</v>
    <v>6.6890000000000001</v>
    <v>6.5</v>
    <v>6.569</v>
    <v>6.556</v>
    <v>6.5650000000000004</v>
    <v>6.59</v>
    <v>6.6050000000000004</v>
    <v>6.6429999999999998</v>
    <v>6.6390000000000002</v>
    <v>6.6619999999999999</v>
    <v>6.68</v>
    <v>6.6859999999999999</v>
    <v>6.6790000000000003</v>
    <v>6.6449999999999996</v>
    <v>6.6630000000000003</v>
    <v>6.7060000000000004</v>
    <v>6.7039999999999997</v>
    <v>6.6929999999999996</v>
    <v>6.7350000000000003</v>
    <v>6.7210000000000001</v>
    <v>6.673</v>
    <v>6.6849999999999996</v>
    <v>6.62</v>
    <v>6.6630000000000003</v>
    <v>6.702</v>
    <v>6.6689999999999996</v>
    <v>6.7160000000000002</v>
    <v>6.7249999999999996</v>
    <v>6.7640000000000002</v>
    <v>6.806</v>
    <v>6.819</v>
    <v>6.8230000000000004</v>
    <v>6.7750000000000004</v>
    <v>6.7759999999999998</v>
    <v>6.843</v>
    <v>6.851</v>
    <v>6.8620000000000001</v>
    <v>6.87</v>
    <v>6.86</v>
    <v>6.8449999999999998</v>
    <v>6.8540000000000001</v>
    <v>6.8789999999999996</v>
    <v>6.867</v>
    <v>6.9219999999999997</v>
    <v>6.9450000000000003</v>
    <v>6.9740000000000002</v>
    <v>6.9989999999999997</v>
    <v>6.99</v>
    <v>7.0490000000000004</v>
    <v>7.0519999999999996</v>
    <v>6.9009999999999998</v>
    <v>6.9669999999999996</v>
    <v>6.923</v>
    <v>6.98</v>
    <v>6.9710000000000001</v>
    <v>6.9059999999999997</v>
    <v>7.0209999999999999</v>
    <v>7.0430000000000001</v>
    <v>7.0129999999999999</v>
    <v>7.0410000000000004</v>
    <v>7.093</v>
    <v>7.141</v>
    <v>7.1509999999999998</v>
    <v>7.173</v>
    <v>7.1859999999999999</v>
    <v>7.1630000000000003</v>
    <v>7.1749999999999998</v>
    <v>7.1509999999999998</v>
    <v>7.1580000000000004</v>
    <v>7.0659999999999998</v>
    <v>6.9690000000000003</v>
    <v>7.1159999999999997</v>
    <v>7.14</v>
    <v>7.1769999999999996</v>
    <v>7.0919999999999996</v>
    <v>7.0810000000000004</v>
    <v>7.0460000000000003</v>
    <v>6.9489999999999998</v>
    <v>6.9690000000000003</v>
    <v>7.0060000000000002</v>
    <v>6.9269999999999996</v>
    <v>7.02</v>
    <v>7.0270000000000001</v>
    <v>7.109</v>
    <v>7.1079999999999997</v>
    <v>7.1280000000000001</v>
    <v>7.1040000000000001</v>
    <v>7.1040000000000001</v>
    <v>7.0960000000000001</v>
    <v>7.1219999999999999</v>
    <v>7.1529999999999996</v>
    <v>7.1379999999999999</v>
    <v>7.141</v>
    <v>7.1349999999999998</v>
    <v>7.0990000000000002</v>
    <v>7.0609999999999999</v>
    <v>7.0839999999999996</v>
    <v>7.02</v>
    <v>6.9909999999999997</v>
    <v>7.0640000000000001</v>
    <v>7.1050000000000004</v>
    <v>7.1130000000000004</v>
    <v>7.13</v>
    <v>7.1470000000000002</v>
    <v>7.17</v>
    <v>7.1520000000000001</v>
    <v>7.2480000000000002</v>
    <v>7.2779999999999996</v>
    <v>7.2919999999999998</v>
    <v>7.28</v>
    <v>7.343</v>
    <v>7.3419999999999996</v>
    <v>7.3540000000000001</v>
    <v>7.3239999999999998</v>
    <v>7.4089999999999998</v>
    <v>7.3840000000000003</v>
    <v>7.2990000000000004</v>
    <v>7.2240000000000002</v>
    <v>7.25</v>
    <v>7.2949999999999999</v>
    <v>7.274</v>
    <v>7.2519999999999998</v>
    <v>7.2510000000000003</v>
    <v>7.2649999999999997</v>
    <v>7.2</v>
    <v>7.2409999999999997</v>
    <v>7.3129999999999997</v>
    <v>7.2949999999999999</v>
    <v>7.2770000000000001</v>
    <v>7.2149999999999999</v>
    <v>7.2759999999999998</v>
    <v>7.32</v>
    <v>7.3380000000000001</v>
    <v>7.3470000000000004</v>
    <v>7.282</v>
    <v>7.2750000000000004</v>
    <v>7.2629999999999999</v>
    <v>7.2809999999999997</v>
    <v>7.3630000000000004</v>
    <v>7.3460000000000001</v>
    <v>7.3730000000000002</v>
    <v>7.3369999999999997</v>
    <v>7.3780000000000001</v>
    <v>7.4290000000000003</v>
    <v>7.4169999999999998</v>
    <v>7.3860000000000001</v>
    <v>7.3879999999999999</v>
    <v>7.274</v>
    <v>7.3529999999999998</v>
    <v>7.3010000000000002</v>
    <v>7.2329999999999997</v>
    <v>7.2069999999999999</v>
    <v>7.3109999999999999</v>
    <v>7.2770000000000001</v>
    <v>7.2359999999999998</v>
    <v>7.2249999999999996</v>
    <v>7.2539999999999996</v>
    <v>7.2779999999999996</v>
    <v>7.234</v>
    <v>7.109</v>
    <v>7.03</v>
    <v>7.0579999999999998</v>
    <v>7.0640000000000001</v>
    <v>7.1139999999999999</v>
    <v>7.04</v>
    <v>6.9470000000000001</v>
    <v>6.9749999999999996</v>
    <v>6.9740000000000002</v>
    <v>7.1289999999999996</v>
    <v>7.1219999999999999</v>
    <v>7.0830000000000002</v>
    <v>7.2830000000000004</v>
    <v>7.3</v>
    <v>7.3179999999999996</v>
    <v>7.3129999999999997</v>
    <v>7.3970000000000002</v>
    <v>7.4210000000000003</v>
    <v>7.4669999999999996</v>
    <v>7.56</v>
    <v>7.532</v>
    <v>7.5209999999999999</v>
    <v>7.556</v>
    <v>7.5720000000000001</v>
    <v>7.57</v>
    <v>7.5609999999999999</v>
    <v>7.532</v>
    <v>7.5419999999999998</v>
    <v>7.5839999999999996</v>
    <v>7.6230000000000002</v>
    <v>7.6829999999999998</v>
    <v>7.7850000000000001</v>
    <v>7.7850000000000001</v>
    <v>7.7859999999999996</v>
    <v>7.8109999999999999</v>
    <v>7.7380000000000004</v>
    <v>7.83</v>
    <v>7.9320000000000004</v>
    <v>7.8479999999999999</v>
    <v>7.8049999999999997</v>
    <v>7.7880000000000003</v>
    <v>7.8659999999999997</v>
    <v>7.8869999999999996</v>
    <v>7.9619999999999997</v>
    <v>8.0220000000000002</v>
    <v>8.0060000000000002</v>
    <v>7.9989999999999997</v>
    <v>8.0190000000000001</v>
    <v>8.0370000000000008</v>
    <v>8.0830000000000002</v>
    <v>8.1219999999999999</v>
    <v>8.0890000000000004</v>
    <v>8.0749999999999993</v>
    <v>8.0020000000000007</v>
    <v>7.9640000000000004</v>
    <v>7.8550000000000004</v>
    <v>7.8460000000000001</v>
    <v>7.86</v>
    <v>8</v>
    <v>8.1050000000000004</v>
    <v>8.0890000000000004</v>
    <v>8.1080000000000005</v>
    <v>8.1549999999999994</v>
    <v>8.15</v>
    <v>8.18</v>
    <v>8.0690000000000008</v>
    <v>8.11</v>
    <v>8.0820000000000007</v>
    <v>8.0500000000000007</v>
    <v>8.0519999999999996</v>
    <v>8.1440000000000001</v>
    <v>8.173</v>
    <v>8.1189999999999998</v>
    <v>8.1639999999999997</v>
    <v>8.202</v>
    <v>8.1129999999999995</v>
    <v>8.06</v>
    <v>8.1530000000000005</v>
    <v>8.1850000000000005</v>
    <v>8.1630000000000003</v>
    <v>8.1539999999999999</v>
    <v>8.1609999999999996</v>
    <v>8.1470000000000002</v>
    <v>8.0500000000000007</v>
    <v>8.08</v>
    <v>8.1289999999999996</v>
    <v>8.1379999999999999</v>
    <v>8.0380000000000003</v>
    <v>8.0839999999999996</v>
    <v>8.0459999999999994</v>
    <v>8.06</v>
    <v>7.9950000000000001</v>
    <v>7.9820000000000002</v>
    <v>8.0280000000000005</v>
    <v>8.1310000000000002</v>
    <v>8.25</v>
    <v>8.2750000000000004</v>
    <v>8.2620000000000005</v>
    <v>8.2919999999999998</v>
    <v>8.2910000000000004</v>
    <v>8.2940000000000005</v>
    <v>8.3070000000000004</v>
    <v>8.3460000000000001</v>
    <v>8.3130000000000006</v>
    <v>8.3179999999999996</v>
    <v>8.2129999999999992</v>
    <v>8.1950000000000003</v>
    <v>8.1519999999999992</v>
    <v>8.18</v>
    <v>8.1489999999999991</v>
    <v>8.1790000000000003</v>
    <v>8.1929999999999996</v>
    <v>8.2240000000000002</v>
    <v>8.2889999999999997</v>
    <v>8.202</v>
    <v>8.1999999999999993</v>
    <v>8.2100000000000009</v>
    <v>8.2690000000000001</v>
    <v>8.2609999999999992</v>
    <v>8.2579999999999991</v>
    <v>8.2469999999999999</v>
    <v>8.1809999999999992</v>
    <v>8.1289999999999996</v>
    <v>8.2110000000000003</v>
    <v>8.1820000000000004</v>
    <v>8.1359999999999992</v>
    <v>8.1839999999999993</v>
    <v>8.2509999999999994</v>
    <v>8.2240000000000002</v>
    <v>8.3360000000000003</v>
    <v>8.3919999999999995</v>
    <v>8.3659999999999997</v>
    <v>8.3160000000000007</v>
    <v>8.35</v>
    <v>8.3239999999999998</v>
    <v>8.3439999999999994</v>
    <v>8.36</v>
    <v>8.34</v>
    <v>8.4209999999999994</v>
    <v>8.5129999999999999</v>
    <v>8.5429999999999993</v>
    <v>8.5060000000000002</v>
    <v>8.4619999999999997</v>
    <v>8.5079999999999991</v>
    <v>8.5440000000000005</v>
    <v>8.5030000000000001</v>
    <v>8.4990000000000006</v>
    <v>8.4160000000000004</v>
    <v>8.3960000000000008</v>
    <v>8.4169999999999998</v>
    <v>8.3989999999999991</v>
    <v>8.4489999999999998</v>
    <v>8.3460000000000001</v>
    <v>8.3469999999999995</v>
  </a>
  <a r="1" c="208">
    <v>7.1520000000000001</v>
    <v>7.2480000000000002</v>
    <v>7.2779999999999996</v>
    <v>7.2919999999999998</v>
    <v>7.28</v>
    <v>7.343</v>
    <v>7.3419999999999996</v>
    <v>7.3540000000000001</v>
    <v>7.3239999999999998</v>
    <v>7.4089999999999998</v>
    <v>7.3840000000000003</v>
    <v>7.2990000000000004</v>
    <v>7.2240000000000002</v>
    <v>7.25</v>
    <v>7.2949999999999999</v>
    <v>7.274</v>
    <v>7.2519999999999998</v>
    <v>7.2510000000000003</v>
    <v>7.2649999999999997</v>
    <v>7.2</v>
    <v>7.2409999999999997</v>
    <v>7.3129999999999997</v>
    <v>7.2949999999999999</v>
    <v>7.2770000000000001</v>
    <v>7.2149999999999999</v>
    <v>7.2759999999999998</v>
    <v>7.32</v>
    <v>7.3380000000000001</v>
    <v>7.3470000000000004</v>
    <v>7.282</v>
    <v>7.2750000000000004</v>
    <v>7.2629999999999999</v>
    <v>7.2809999999999997</v>
    <v>7.3630000000000004</v>
    <v>7.3460000000000001</v>
    <v>7.3730000000000002</v>
    <v>7.3369999999999997</v>
    <v>7.3780000000000001</v>
    <v>7.4290000000000003</v>
    <v>7.4169999999999998</v>
    <v>7.3860000000000001</v>
    <v>7.3879999999999999</v>
    <v>7.274</v>
    <v>7.3529999999999998</v>
    <v>7.3010000000000002</v>
    <v>7.2329999999999997</v>
    <v>7.2069999999999999</v>
    <v>7.3109999999999999</v>
    <v>7.2770000000000001</v>
    <v>7.2359999999999998</v>
    <v>7.2249999999999996</v>
    <v>7.2539999999999996</v>
    <v>7.2779999999999996</v>
    <v>7.234</v>
    <v>7.109</v>
    <v>7.03</v>
    <v>7.0579999999999998</v>
    <v>7.0640000000000001</v>
    <v>7.1139999999999999</v>
    <v>7.04</v>
    <v>6.9470000000000001</v>
    <v>6.9749999999999996</v>
    <v>6.9740000000000002</v>
    <v>7.1289999999999996</v>
    <v>7.1219999999999999</v>
    <v>7.0830000000000002</v>
    <v>7.2830000000000004</v>
    <v>7.3</v>
    <v>7.3179999999999996</v>
    <v>7.3129999999999997</v>
    <v>7.3970000000000002</v>
    <v>7.4210000000000003</v>
    <v>7.4669999999999996</v>
    <v>7.56</v>
    <v>7.532</v>
    <v>7.5209999999999999</v>
    <v>7.556</v>
    <v>7.5720000000000001</v>
    <v>7.57</v>
    <v>7.5609999999999999</v>
    <v>7.532</v>
    <v>7.5419999999999998</v>
    <v>7.5839999999999996</v>
    <v>7.6230000000000002</v>
    <v>7.6829999999999998</v>
    <v>7.7850000000000001</v>
    <v>7.7850000000000001</v>
    <v>7.7859999999999996</v>
    <v>7.8109999999999999</v>
    <v>7.7380000000000004</v>
    <v>7.83</v>
    <v>7.9320000000000004</v>
    <v>7.8479999999999999</v>
    <v>7.8049999999999997</v>
    <v>7.7880000000000003</v>
    <v>7.8659999999999997</v>
    <v>7.8869999999999996</v>
    <v>7.9619999999999997</v>
    <v>8.0220000000000002</v>
    <v>8.0060000000000002</v>
    <v>7.9989999999999997</v>
    <v>8.0190000000000001</v>
    <v>8.0370000000000008</v>
    <v>8.0830000000000002</v>
    <v>8.1219999999999999</v>
    <v>8.0890000000000004</v>
    <v>8.0749999999999993</v>
    <v>8.0020000000000007</v>
    <v>7.9640000000000004</v>
    <v>7.8550000000000004</v>
    <v>7.8460000000000001</v>
    <v>7.86</v>
    <v>8</v>
    <v>8.1050000000000004</v>
    <v>8.0890000000000004</v>
    <v>8.1080000000000005</v>
    <v>8.1549999999999994</v>
    <v>8.15</v>
    <v>8.18</v>
    <v>8.0690000000000008</v>
    <v>8.11</v>
    <v>8.0820000000000007</v>
    <v>8.0500000000000007</v>
    <v>8.0519999999999996</v>
    <v>8.1440000000000001</v>
    <v>8.173</v>
    <v>8.1189999999999998</v>
    <v>8.1639999999999997</v>
    <v>8.202</v>
    <v>8.1129999999999995</v>
    <v>8.06</v>
    <v>8.1530000000000005</v>
    <v>8.1850000000000005</v>
    <v>8.1630000000000003</v>
    <v>8.1539999999999999</v>
    <v>8.1609999999999996</v>
    <v>8.1470000000000002</v>
    <v>8.0500000000000007</v>
    <v>8.08</v>
    <v>8.1289999999999996</v>
    <v>8.1379999999999999</v>
    <v>8.0380000000000003</v>
    <v>8.0839999999999996</v>
    <v>8.0459999999999994</v>
    <v>8.06</v>
    <v>7.9950000000000001</v>
    <v>7.9820000000000002</v>
    <v>8.0280000000000005</v>
    <v>8.1310000000000002</v>
    <v>8.25</v>
    <v>8.2750000000000004</v>
    <v>8.2620000000000005</v>
    <v>8.2919999999999998</v>
    <v>8.2910000000000004</v>
    <v>8.2940000000000005</v>
    <v>8.3070000000000004</v>
    <v>8.3460000000000001</v>
    <v>8.3130000000000006</v>
    <v>8.3179999999999996</v>
    <v>8.2129999999999992</v>
    <v>8.1950000000000003</v>
    <v>8.1519999999999992</v>
    <v>8.18</v>
    <v>8.1489999999999991</v>
    <v>8.1790000000000003</v>
    <v>8.1929999999999996</v>
    <v>8.2240000000000002</v>
    <v>8.2889999999999997</v>
    <v>8.202</v>
    <v>8.1999999999999993</v>
    <v>8.2100000000000009</v>
    <v>8.2690000000000001</v>
    <v>8.2609999999999992</v>
    <v>8.2579999999999991</v>
    <v>8.2469999999999999</v>
    <v>8.1809999999999992</v>
    <v>8.1289999999999996</v>
    <v>8.2110000000000003</v>
    <v>8.1820000000000004</v>
    <v>8.1359999999999992</v>
    <v>8.1839999999999993</v>
    <v>8.2509999999999994</v>
    <v>8.2240000000000002</v>
    <v>8.3360000000000003</v>
    <v>8.3919999999999995</v>
    <v>8.3659999999999997</v>
    <v>8.3160000000000007</v>
    <v>8.35</v>
    <v>8.3239999999999998</v>
    <v>8.3439999999999994</v>
    <v>8.36</v>
    <v>8.34</v>
    <v>8.4209999999999994</v>
    <v>8.5129999999999999</v>
    <v>8.5429999999999993</v>
    <v>8.5060000000000002</v>
    <v>8.4619999999999997</v>
    <v>8.5079999999999991</v>
    <v>8.5440000000000005</v>
    <v>8.5030000000000001</v>
    <v>8.4990000000000006</v>
    <v>8.4160000000000004</v>
    <v>8.3960000000000008</v>
    <v>8.4169999999999998</v>
    <v>8.3989999999999991</v>
    <v>8.4489999999999998</v>
    <v>8.3460000000000001</v>
    <v>8.3469999999999995</v>
  </a>
  <a r="1" c="254">
    <v>101.74</v>
    <v>101.77</v>
    <v>101.75</v>
    <v>101.78</v>
    <v>101.76</v>
    <v>101.76</v>
    <v>101.79</v>
    <v>101.81</v>
    <v>101.76</v>
    <v>101.75</v>
    <v>101.8</v>
    <v>101.83</v>
    <v>101.81</v>
    <v>101.8</v>
    <v>101.82</v>
    <v>101.84</v>
    <v>101.82</v>
    <v>101.84</v>
    <v>101.88</v>
    <v>101.9</v>
    <v>101.89</v>
    <v>101.91</v>
    <v>101.92</v>
    <v>101.92</v>
    <v>101.93</v>
    <v>101.94</v>
    <v>101.89</v>
    <v>101.91</v>
    <v>101.96</v>
    <v>101.97</v>
    <v>101.94</v>
    <v>101.99</v>
    <v>101.99</v>
    <v>101.98</v>
    <v>101.99</v>
    <v>100.81</v>
    <v>100.78</v>
    <v>100.8</v>
    <v>100.82</v>
    <v>100.81</v>
    <v>100.85</v>
    <v>100.8</v>
    <v>100.84</v>
    <v>100.94</v>
    <v>100.94</v>
    <v>100.9</v>
    <v>100.9</v>
    <v>100.96</v>
    <v>100.96</v>
    <v>101</v>
    <v>100.95</v>
    <v>101.01</v>
    <v>101.02</v>
    <v>101</v>
    <v>100.98</v>
    <v>101.03</v>
    <v>100.99</v>
    <v>101.03</v>
    <v>100.99</v>
    <v>100.99</v>
    <v>100.99</v>
    <v>101.03</v>
    <v>101.06</v>
    <v>101.03</v>
    <v>101.07</v>
    <v>101.1</v>
    <v>101.09</v>
    <v>101.06</v>
    <v>101.07</v>
    <v>101.09</v>
    <v>101.1</v>
    <v>101.11</v>
    <v>101.15</v>
    <v>101.16</v>
    <v>101.14</v>
    <v>101.15</v>
    <v>101.14</v>
    <v>101.16</v>
    <v>101.17</v>
    <v>101.15</v>
    <v>101.21</v>
    <v>101.17</v>
    <v>101.21</v>
    <v>101.23</v>
    <v>101.22</v>
    <v>101.29</v>
    <v>101.27</v>
    <v>101.22</v>
    <v>101.19</v>
    <v>101.23</v>
    <v>101.28</v>
    <v>101.27</v>
    <v>101.17</v>
    <v>101.28</v>
    <v>101.22</v>
    <v>101.25</v>
    <v>101.24</v>
    <v>101.29</v>
    <v>101.26</v>
    <v>101.23</v>
    <v>100.76</v>
    <v>100.67</v>
    <v>100.66</v>
    <v>100.67</v>
    <v>100.65</v>
    <v>100.71</v>
    <v>100.71</v>
    <v>100.74</v>
    <v>100.75</v>
    <v>100.78</v>
    <v>100.77</v>
    <v>100.72</v>
    <v>100.74</v>
    <v>100.8</v>
    <v>100.83</v>
    <v>100.8</v>
    <v>100.82</v>
    <v>100.79</v>
    <v>100.9</v>
    <v>100.81</v>
    <v>100.82</v>
    <v>100.82</v>
    <v>100.88</v>
    <v>100.88</v>
    <v>100.92</v>
    <v>100.87</v>
    <v>100.95</v>
    <v>100.91</v>
    <v>100.97</v>
    <v>100.89</v>
    <v>100.91</v>
    <v>100.98</v>
    <v>101.01</v>
    <v>101.04</v>
    <v>100.96</v>
    <v>100.98</v>
    <v>101.03</v>
    <v>101.03</v>
    <v>101.01</v>
    <v>101.15</v>
    <v>101.06</v>
    <v>101.2</v>
    <v>101.18</v>
    <v>101.1</v>
    <v>101.12</v>
    <v>101.13</v>
    <v>101.14</v>
    <v>101.21</v>
    <v>101.2</v>
    <v>101.15</v>
    <v>101.17</v>
    <v>101.25</v>
    <v>101.17</v>
    <v>101.26</v>
    <v>101.13</v>
    <v>101.14</v>
    <v>101.17</v>
    <v>101.26</v>
    <v>101.21</v>
    <v>101.24</v>
    <v>101.24</v>
    <v>101.24</v>
    <v>100.7</v>
    <v>100.79</v>
    <v>100.7</v>
    <v>100.76</v>
    <v>100.79</v>
    <v>100.84</v>
    <v>100.75</v>
    <v>100.74</v>
    <v>100.75</v>
    <v>100.81</v>
    <v>100.86</v>
    <v>100.88</v>
    <v>100.84</v>
    <v>100.8</v>
    <v>100.86</v>
    <v>100.87</v>
    <v>100.91</v>
    <v>100.84</v>
    <v>100.85</v>
    <v>100.95</v>
    <v>101.02</v>
    <v>100.91</v>
    <v>100.9</v>
    <v>101.02</v>
    <v>100.95</v>
    <v>100.93</v>
    <v>101.07</v>
    <v>101.03</v>
    <v>101.02</v>
    <v>101.02</v>
    <v>101.04</v>
    <v>101.09</v>
    <v>101.08</v>
    <v>101.16</v>
    <v>101.12</v>
    <v>101.18</v>
    <v>101.19</v>
    <v>101.1</v>
    <v>101.13</v>
    <v>101.1</v>
    <v>101.16</v>
    <v>101.19</v>
    <v>101.16</v>
    <v>101.17</v>
    <v>101.16</v>
    <v>101.17</v>
    <v>101.24</v>
    <v>101.21</v>
    <v>101.23</v>
    <v>101.22</v>
    <v>101.22</v>
    <v>101.23</v>
    <v>101.31</v>
    <v>101.23</v>
    <v>101.25</v>
    <v>101.24</v>
    <v>101.24</v>
    <v>101.32</v>
    <v>101.32</v>
    <v>101.25</v>
    <v>101.3</v>
    <v>101.34</v>
    <v>101.34</v>
    <v>101.29</v>
    <v>101.3</v>
    <v>100.76</v>
    <v>100.72</v>
    <v>100.7</v>
    <v>100.72</v>
    <v>100.71</v>
    <v>100.71</v>
    <v>100.73</v>
    <v>100.8</v>
    <v>100.75</v>
    <v>100.82</v>
    <v>100.84</v>
    <v>100.87</v>
    <v>100.79</v>
    <v>100.82</v>
    <v>100.85</v>
    <v>100.84</v>
    <v>100.83</v>
    <v>100.87</v>
    <v>100.88</v>
    <v>100.92</v>
    <v>100.92</v>
    <v>100.91</v>
    <v>100.91</v>
    <v>100.95</v>
    <v>100.95</v>
    <v>100.93</v>
    <v>101.02</v>
  </a>
  <a r="1" c="208">
    <v>100.9</v>
    <v>100.96</v>
    <v>100.96</v>
    <v>101</v>
    <v>100.95</v>
    <v>101.01</v>
    <v>101.02</v>
    <v>101</v>
    <v>100.98</v>
    <v>101.03</v>
    <v>100.99</v>
    <v>101.03</v>
    <v>100.99</v>
    <v>100.99</v>
    <v>100.99</v>
    <v>101.03</v>
    <v>101.06</v>
    <v>101.03</v>
    <v>101.07</v>
    <v>101.1</v>
    <v>101.09</v>
    <v>101.06</v>
    <v>101.07</v>
    <v>101.09</v>
    <v>101.1</v>
    <v>101.11</v>
    <v>101.15</v>
    <v>101.16</v>
    <v>101.14</v>
    <v>101.15</v>
    <v>101.14</v>
    <v>101.16</v>
    <v>101.17</v>
    <v>101.15</v>
    <v>101.21</v>
    <v>101.17</v>
    <v>101.21</v>
    <v>101.23</v>
    <v>101.22</v>
    <v>101.29</v>
    <v>101.27</v>
    <v>101.22</v>
    <v>101.19</v>
    <v>101.23</v>
    <v>101.28</v>
    <v>101.27</v>
    <v>101.17</v>
    <v>101.28</v>
    <v>101.22</v>
    <v>101.25</v>
    <v>101.24</v>
    <v>101.29</v>
    <v>101.26</v>
    <v>101.23</v>
    <v>100.76</v>
    <v>100.67</v>
    <v>100.66</v>
    <v>100.67</v>
    <v>100.65</v>
    <v>100.71</v>
    <v>100.71</v>
    <v>100.74</v>
    <v>100.75</v>
    <v>100.78</v>
    <v>100.77</v>
    <v>100.72</v>
    <v>100.74</v>
    <v>100.8</v>
    <v>100.83</v>
    <v>100.8</v>
    <v>100.82</v>
    <v>100.79</v>
    <v>100.9</v>
    <v>100.81</v>
    <v>100.82</v>
    <v>100.82</v>
    <v>100.88</v>
    <v>100.88</v>
    <v>100.92</v>
    <v>100.87</v>
    <v>100.95</v>
    <v>100.91</v>
    <v>100.97</v>
    <v>100.89</v>
    <v>100.91</v>
    <v>100.98</v>
    <v>101.01</v>
    <v>101.04</v>
    <v>100.96</v>
    <v>100.98</v>
    <v>101.03</v>
    <v>101.03</v>
    <v>101.01</v>
    <v>101.15</v>
    <v>101.06</v>
    <v>101.2</v>
    <v>101.18</v>
    <v>101.1</v>
    <v>101.12</v>
    <v>101.13</v>
    <v>101.14</v>
    <v>101.21</v>
    <v>101.2</v>
    <v>101.15</v>
    <v>101.17</v>
    <v>101.25</v>
    <v>101.17</v>
    <v>101.26</v>
    <v>101.13</v>
    <v>101.14</v>
    <v>101.17</v>
    <v>101.26</v>
    <v>101.21</v>
    <v>101.24</v>
    <v>101.24</v>
    <v>101.24</v>
    <v>100.7</v>
    <v>100.79</v>
    <v>100.7</v>
    <v>100.76</v>
    <v>100.79</v>
    <v>100.84</v>
    <v>100.75</v>
    <v>100.74</v>
    <v>100.75</v>
    <v>100.81</v>
    <v>100.86</v>
    <v>100.88</v>
    <v>100.84</v>
    <v>100.8</v>
    <v>100.86</v>
    <v>100.87</v>
    <v>100.91</v>
    <v>100.84</v>
    <v>100.85</v>
    <v>100.95</v>
    <v>101.02</v>
    <v>100.91</v>
    <v>100.9</v>
    <v>101.02</v>
    <v>100.95</v>
    <v>100.93</v>
    <v>101.07</v>
    <v>101.03</v>
    <v>101.02</v>
    <v>101.02</v>
    <v>101.04</v>
    <v>101.09</v>
    <v>101.08</v>
    <v>101.16</v>
    <v>101.12</v>
    <v>101.18</v>
    <v>101.19</v>
    <v>101.1</v>
    <v>101.13</v>
    <v>101.1</v>
    <v>101.16</v>
    <v>101.19</v>
    <v>101.16</v>
    <v>101.17</v>
    <v>101.16</v>
    <v>101.17</v>
    <v>101.24</v>
    <v>101.21</v>
    <v>101.23</v>
    <v>101.22</v>
    <v>101.22</v>
    <v>101.23</v>
    <v>101.31</v>
    <v>101.23</v>
    <v>101.25</v>
    <v>101.24</v>
    <v>101.24</v>
    <v>101.32</v>
    <v>101.32</v>
    <v>101.25</v>
    <v>101.3</v>
    <v>101.34</v>
    <v>101.34</v>
    <v>101.29</v>
    <v>101.3</v>
    <v>100.76</v>
    <v>100.72</v>
    <v>100.7</v>
    <v>100.72</v>
    <v>100.71</v>
    <v>100.71</v>
    <v>100.73</v>
    <v>100.8</v>
    <v>100.75</v>
    <v>100.82</v>
    <v>100.84</v>
    <v>100.87</v>
    <v>100.79</v>
    <v>100.82</v>
    <v>100.85</v>
    <v>100.84</v>
    <v>100.83</v>
    <v>100.87</v>
    <v>100.88</v>
    <v>100.92</v>
    <v>100.92</v>
    <v>100.91</v>
    <v>100.91</v>
    <v>100.95</v>
    <v>100.95</v>
    <v>100.93</v>
    <v>101.02</v>
  </a>
  <a r="1" c="761">
    <v>101.73</v>
    <v>101.73</v>
    <v>101.74</v>
    <v>101.77</v>
    <v>101.81</v>
    <v>101.82</v>
    <v>101.84</v>
    <v>101.85</v>
    <v>101.88</v>
    <v>101.9</v>
    <v>101.9</v>
    <v>101.94</v>
    <v>101.93</v>
    <v>101.95</v>
    <v>101.95</v>
    <v>101.93</v>
    <v>101.93</v>
    <v>101.97</v>
    <v>101.97</v>
    <v>101.99</v>
    <v>101.98</v>
    <v>101.97</v>
    <v>101.98</v>
    <v>101.98</v>
    <v>101.98</v>
    <v>102.02</v>
    <v>102.06</v>
    <v>102.06</v>
    <v>102.11</v>
    <v>102.13</v>
    <v>102.2</v>
    <v>102.16</v>
    <v>102.19</v>
    <v>102.25</v>
    <v>102.29</v>
    <v>102.25</v>
    <v>102.26</v>
    <v>102.31</v>
    <v>100.54</v>
    <v>100.59</v>
    <v>100.56</v>
    <v>100.58</v>
    <v>100.6</v>
    <v>100.63</v>
    <v>100.76</v>
    <v>100.8</v>
    <v>100.79</v>
    <v>100.84</v>
    <v>100.78</v>
    <v>100.8</v>
    <v>100.88</v>
    <v>100.9</v>
    <v>100.85</v>
    <v>100.89</v>
    <v>100.91</v>
    <v>100.93</v>
    <v>100.96</v>
    <v>100.99</v>
    <v>100.98</v>
    <v>100.99</v>
    <v>100.99</v>
    <v>101.07</v>
    <v>101.09</v>
    <v>101.06</v>
    <v>101.05</v>
    <v>101.11</v>
    <v>101.16</v>
    <v>101.16</v>
    <v>101.18</v>
    <v>101.22</v>
    <v>101.24</v>
    <v>101.17</v>
    <v>101.19</v>
    <v>101.21</v>
    <v>101.17</v>
    <v>101.19</v>
    <v>101.28</v>
    <v>101.23</v>
    <v>101.24</v>
    <v>101.26</v>
    <v>101.34</v>
    <v>101.33</v>
    <v>101.37</v>
    <v>101.45</v>
    <v>101.39</v>
    <v>101.4</v>
    <v>101.48</v>
    <v>101.5</v>
    <v>101.45</v>
    <v>101.41</v>
    <v>101.45</v>
    <v>101.47</v>
    <v>101.56</v>
    <v>101.54</v>
    <v>101.54</v>
    <v>101.53</v>
    <v>101.59</v>
    <v>101.6</v>
    <v>101.64</v>
    <v>101.67</v>
    <v>101.7</v>
    <v>101.74</v>
    <v>101.69</v>
    <v>101.7</v>
    <v>101.75</v>
    <v>101.75</v>
    <v>101.8</v>
    <v>101.8</v>
    <v>101.85</v>
    <v>101.85</v>
    <v>101.89</v>
    <v>101.86</v>
    <v>101.88</v>
    <v>101.91</v>
    <v>101.94</v>
    <v>101.9</v>
    <v>101.99</v>
    <v>102.01</v>
    <v>101.99</v>
    <v>102.03</v>
    <v>101.99</v>
    <v>102.02</v>
    <v>102.01</v>
    <v>102.08</v>
    <v>102.08</v>
    <v>102.14</v>
    <v>102.13</v>
    <v>102.12</v>
    <v>102.13</v>
    <v>102.21</v>
    <v>102.21</v>
    <v>102.18</v>
    <v>102.21</v>
    <v>102.26</v>
    <v>102.23</v>
    <v>102.24</v>
    <v>102.25</v>
    <v>102.32</v>
    <v>102.31</v>
    <v>102.28</v>
    <v>102.32</v>
    <v>102.31</v>
    <v>102.38</v>
    <v>102.34</v>
    <v>102.34</v>
    <v>102.4</v>
    <v>102.38</v>
    <v>102.46</v>
    <v>102.41</v>
    <v>102.39</v>
    <v>102.45</v>
    <v>102.49</v>
    <v>102.53</v>
    <v>102.54</v>
    <v>102.56</v>
    <v>102.57</v>
    <v>102.56</v>
    <v>102.53</v>
    <v>102.62</v>
    <v>102.53</v>
    <v>102.62</v>
    <v>102.58</v>
    <v>100.69</v>
    <v>100.82</v>
    <v>100.69</v>
    <v>100.75</v>
    <v>100.74</v>
    <v>100.71</v>
    <v>100.7</v>
    <v>100.79</v>
    <v>100.77</v>
    <v>100.75</v>
    <v>100.79</v>
    <v>100.84</v>
    <v>100.83</v>
    <v>100.84</v>
    <v>100.85</v>
    <v>100.92</v>
    <v>100.86</v>
    <v>100.84</v>
    <v>100.95</v>
    <v>100.92</v>
    <v>100.98</v>
    <v>100.98</v>
    <v>100.94</v>
    <v>100.98</v>
    <v>101.01</v>
    <v>101.05</v>
    <v>101.05</v>
    <v>101.05</v>
    <v>101.06</v>
    <v>101.06</v>
    <v>101.15</v>
    <v>101.16</v>
    <v>101.2</v>
    <v>101.19</v>
    <v>101.19</v>
    <v>101.26</v>
    <v>101.22</v>
    <v>101.19</v>
    <v>101.26</v>
    <v>101.2</v>
    <v>101.3</v>
    <v>101.31</v>
    <v>101.28</v>
    <v>101.3</v>
    <v>101.35</v>
    <v>101.39</v>
    <v>101.38</v>
    <v>101.43</v>
    <v>101.43</v>
    <v>101.45</v>
    <v>101.51</v>
    <v>101.48</v>
    <v>101.52</v>
    <v>101.54</v>
    <v>101.56</v>
    <v>101.57</v>
    <v>101.63</v>
    <v>101.58</v>
    <v>101.63</v>
    <v>101.63</v>
    <v>101.63</v>
    <v>101.69</v>
    <v>101.69</v>
    <v>101.62</v>
    <v>101.71</v>
    <v>101.71</v>
    <v>101.71</v>
    <v>101.78</v>
    <v>101.8</v>
    <v>101.83</v>
    <v>101.86</v>
    <v>101.85</v>
    <v>101.9</v>
    <v>101.93</v>
    <v>101.93</v>
    <v>102.01</v>
    <v>102.04</v>
    <v>102.01</v>
    <v>102.04</v>
    <v>102.08</v>
    <v>102.05</v>
    <v>102.03</v>
    <v>102.12</v>
    <v>102.08</v>
    <v>102.13</v>
    <v>102.1</v>
    <v>102.12</v>
    <v>102.19</v>
    <v>102.19</v>
    <v>102.21</v>
    <v>102.23</v>
    <v>102.24</v>
    <v>102.22</v>
    <v>102.22</v>
    <v>102.23</v>
    <v>102.23</v>
    <v>102.28</v>
    <v>102.27</v>
    <v>102.32</v>
    <v>102.22</v>
    <v>102.3</v>
    <v>102.23</v>
    <v>102.32</v>
    <v>102.4</v>
    <v>102.37</v>
    <v>102.41</v>
    <v>102.41</v>
    <v>102.38</v>
    <v>102.41</v>
    <v>102.4</v>
    <v>102.5</v>
    <v>102.45</v>
    <v>102.5</v>
    <v>102.53</v>
    <v>102.54</v>
    <v>102.52</v>
    <v>102.54</v>
    <v>102.56</v>
    <v>102.6</v>
    <v>102.62</v>
    <v>102.59</v>
    <v>102.66</v>
    <v>102.66</v>
    <v>102.67</v>
    <v>102.68</v>
    <v>102.7</v>
    <v>102.72</v>
    <v>102.7</v>
    <v>102.79</v>
    <v>100.87</v>
    <v>101</v>
    <v>100.92</v>
    <v>100.94</v>
    <v>100.91</v>
    <v>100.93</v>
    <v>100.99</v>
    <v>100.93</v>
    <v>101.11</v>
    <v>101</v>
    <v>101.09</v>
    <v>101.11</v>
    <v>101.09</v>
    <v>101.07</v>
    <v>101.09</v>
    <v>101.06</v>
    <v>101.09</v>
    <v>101.1</v>
    <v>101.05</v>
    <v>101.12</v>
    <v>101.15</v>
    <v>101.14</v>
    <v>101.11</v>
    <v>101.16</v>
    <v>101.14</v>
    <v>101.2</v>
    <v>101.15</v>
    <v>101.2</v>
    <v>101.27</v>
    <v>101.24</v>
    <v>101.24</v>
    <v>101.27</v>
    <v>101.32</v>
    <v>101.35</v>
    <v>101.32</v>
    <v>101.34</v>
    <v>101.4</v>
    <v>101.42</v>
    <v>101.43</v>
    <v>101.46</v>
    <v>101.43</v>
    <v>101.47</v>
    <v>101.49</v>
    <v>101.5</v>
    <v>101.51</v>
    <v>101.52</v>
    <v>101.56</v>
    <v>101.55</v>
    <v>101.57</v>
    <v>101.66</v>
    <v>101.58</v>
    <v>101.62</v>
    <v>101.59</v>
    <v>101.61</v>
    <v>101.61</v>
    <v>101.61</v>
    <v>101.65</v>
    <v>101.7</v>
    <v>101.61</v>
    <v>101.64</v>
    <v>101.63</v>
    <v>101.65</v>
    <v>101.65</v>
    <v>101.64</v>
    <v>101.63</v>
    <v>101.7</v>
    <v>101.72</v>
    <v>101.68</v>
    <v>101.72</v>
    <v>101.71</v>
    <v>101.77</v>
    <v>101.78</v>
    <v>101.77</v>
    <v>101.8</v>
    <v>101.82</v>
    <v>101.91</v>
    <v>101.73</v>
    <v>101.47</v>
    <v>101.61</v>
    <v>101.48</v>
    <v>101.73</v>
    <v>101.8</v>
    <v>101.85</v>
    <v>101.91</v>
    <v>101.93</v>
    <v>101.94</v>
    <v>101.97</v>
    <v>101.97</v>
    <v>102.05</v>
    <v>102.06</v>
    <v>102</v>
    <v>102.06</v>
    <v>102.1</v>
    <v>102.08</v>
    <v>102.12</v>
    <v>102.1</v>
    <v>102.11</v>
    <v>102.07</v>
    <v>102.15</v>
    <v>102.07</v>
    <v>102.08</v>
    <v>102.13</v>
    <v>102.17</v>
    <v>102.19</v>
    <v>102.18</v>
    <v>102.22</v>
    <v>102.18</v>
    <v>102.23</v>
    <v>102.23</v>
    <v>102.24</v>
    <v>102.27</v>
    <v>102.28</v>
    <v>102.33</v>
    <v>102.31</v>
    <v>102.31</v>
    <v>102.32</v>
    <v>102.35</v>
    <v>102.34</v>
    <v>102.38</v>
    <v>102.36</v>
    <v>102.4</v>
    <v>102.38</v>
    <v>100.88</v>
    <v>100.88</v>
    <v>100.91</v>
    <v>100.89</v>
    <v>100.87</v>
    <v>100.93</v>
    <v>100.92</v>
    <v>100.91</v>
    <v>100.94</v>
    <v>100.96</v>
    <v>100.99</v>
    <v>101.06</v>
    <v>100.99</v>
    <v>101.03</v>
    <v>101.05</v>
    <v>101.04</v>
    <v>101.06</v>
    <v>101.08</v>
    <v>101.08</v>
    <v>101.09</v>
    <v>101.11</v>
    <v>101.12</v>
    <v>101.12</v>
    <v>101.12</v>
    <v>101.08</v>
    <v>101.11</v>
    <v>101.14</v>
    <v>101.14</v>
    <v>101.18</v>
    <v>101.18</v>
    <v>101.2</v>
    <v>101.2</v>
    <v>101.22</v>
    <v>101.23</v>
    <v>101.18</v>
    <v>101.22</v>
    <v>101.29</v>
    <v>101.28</v>
    <v>101.3</v>
    <v>101.28</v>
    <v>101.26</v>
    <v>101.28</v>
    <v>101.34</v>
    <v>101.28</v>
    <v>101.32</v>
    <v>101.38</v>
    <v>101.31</v>
    <v>101.33</v>
    <v>101.38</v>
    <v>101.34</v>
    <v>101.4</v>
    <v>101.37</v>
    <v>101.41</v>
    <v>101.39</v>
    <v>101.36</v>
    <v>101.4</v>
    <v>101.42</v>
    <v>101.42</v>
    <v>101.42</v>
    <v>101.45</v>
    <v>101.46</v>
    <v>101.44</v>
    <v>101.45</v>
    <v>101.47</v>
    <v>101.47</v>
    <v>101.55</v>
    <v>101.52</v>
    <v>101.54</v>
    <v>101.48</v>
    <v>101.5</v>
    <v>101.55</v>
    <v>101.56</v>
    <v>101.51</v>
    <v>101.56</v>
    <v>101.57</v>
    <v>101.58</v>
    <v>101.59</v>
    <v>101.6</v>
    <v>101.61</v>
    <v>101.62</v>
    <v>101.63</v>
    <v>101.61</v>
    <v>101.62</v>
    <v>101.67</v>
    <v>101.64</v>
    <v>101.67</v>
    <v>101.67</v>
    <v>101.68</v>
    <v>101.68</v>
    <v>101.71</v>
    <v>101.69</v>
    <v>101.7</v>
    <v>101.77</v>
    <v>101.71</v>
    <v>101.74</v>
    <v>101.77</v>
    <v>101.75</v>
    <v>101.78</v>
    <v>101.76</v>
    <v>101.76</v>
    <v>101.79</v>
    <v>101.81</v>
    <v>101.76</v>
    <v>101.75</v>
    <v>101.8</v>
    <v>101.83</v>
    <v>101.81</v>
    <v>101.8</v>
    <v>101.82</v>
    <v>101.84</v>
    <v>101.82</v>
    <v>101.84</v>
    <v>101.88</v>
    <v>101.9</v>
    <v>101.89</v>
    <v>101.91</v>
    <v>101.92</v>
    <v>101.92</v>
    <v>101.93</v>
    <v>101.94</v>
    <v>101.89</v>
    <v>101.91</v>
    <v>101.96</v>
    <v>101.97</v>
    <v>101.94</v>
    <v>101.99</v>
    <v>101.99</v>
    <v>101.98</v>
    <v>101.99</v>
    <v>100.81</v>
    <v>100.78</v>
    <v>100.8</v>
    <v>100.82</v>
    <v>100.81</v>
    <v>100.85</v>
    <v>100.8</v>
    <v>100.84</v>
    <v>100.94</v>
    <v>100.94</v>
    <v>100.9</v>
    <v>100.9</v>
    <v>100.96</v>
    <v>100.96</v>
    <v>101</v>
    <v>100.95</v>
    <v>101.01</v>
    <v>101.02</v>
    <v>101</v>
    <v>100.98</v>
    <v>101.03</v>
    <v>100.99</v>
    <v>101.03</v>
    <v>100.99</v>
    <v>100.99</v>
    <v>100.99</v>
    <v>101.03</v>
    <v>101.06</v>
    <v>101.03</v>
    <v>101.07</v>
    <v>101.1</v>
    <v>101.09</v>
    <v>101.06</v>
    <v>101.07</v>
    <v>101.09</v>
    <v>101.1</v>
    <v>101.11</v>
    <v>101.15</v>
    <v>101.16</v>
    <v>101.14</v>
    <v>101.15</v>
    <v>101.14</v>
    <v>101.16</v>
    <v>101.17</v>
    <v>101.15</v>
    <v>101.21</v>
    <v>101.17</v>
    <v>101.21</v>
    <v>101.23</v>
    <v>101.22</v>
    <v>101.29</v>
    <v>101.27</v>
    <v>101.22</v>
    <v>101.19</v>
    <v>101.23</v>
    <v>101.28</v>
    <v>101.27</v>
    <v>101.17</v>
    <v>101.28</v>
    <v>101.22</v>
    <v>101.25</v>
    <v>101.24</v>
    <v>101.29</v>
    <v>101.26</v>
    <v>101.23</v>
    <v>100.76</v>
    <v>100.67</v>
    <v>100.66</v>
    <v>100.67</v>
    <v>100.65</v>
    <v>100.71</v>
    <v>100.71</v>
    <v>100.74</v>
    <v>100.75</v>
    <v>100.78</v>
    <v>100.77</v>
    <v>100.72</v>
    <v>100.74</v>
    <v>100.8</v>
    <v>100.83</v>
    <v>100.8</v>
    <v>100.82</v>
    <v>100.79</v>
    <v>100.9</v>
    <v>100.81</v>
    <v>100.82</v>
    <v>100.82</v>
    <v>100.88</v>
    <v>100.88</v>
    <v>100.92</v>
    <v>100.87</v>
    <v>100.95</v>
    <v>100.91</v>
    <v>100.97</v>
    <v>100.89</v>
    <v>100.91</v>
    <v>100.98</v>
    <v>101.01</v>
    <v>101.04</v>
    <v>100.96</v>
    <v>100.98</v>
    <v>101.03</v>
    <v>101.03</v>
    <v>101.01</v>
    <v>101.15</v>
    <v>101.06</v>
    <v>101.2</v>
    <v>101.18</v>
    <v>101.1</v>
    <v>101.12</v>
    <v>101.13</v>
    <v>101.14</v>
    <v>101.21</v>
    <v>101.2</v>
    <v>101.15</v>
    <v>101.17</v>
    <v>101.25</v>
    <v>101.17</v>
    <v>101.26</v>
    <v>101.13</v>
    <v>101.14</v>
    <v>101.17</v>
    <v>101.26</v>
    <v>101.21</v>
    <v>101.24</v>
    <v>101.24</v>
    <v>101.24</v>
    <v>100.7</v>
    <v>100.79</v>
    <v>100.7</v>
    <v>100.76</v>
    <v>100.79</v>
    <v>100.84</v>
    <v>100.75</v>
    <v>100.74</v>
    <v>100.75</v>
    <v>100.81</v>
    <v>100.86</v>
    <v>100.88</v>
    <v>100.84</v>
    <v>100.8</v>
    <v>100.86</v>
    <v>100.87</v>
    <v>100.91</v>
    <v>100.84</v>
    <v>100.85</v>
    <v>100.95</v>
    <v>101.02</v>
    <v>100.91</v>
    <v>100.9</v>
    <v>101.02</v>
    <v>100.95</v>
    <v>100.93</v>
    <v>101.07</v>
    <v>101.03</v>
    <v>101.02</v>
    <v>101.02</v>
    <v>101.04</v>
    <v>101.09</v>
    <v>101.08</v>
    <v>101.16</v>
    <v>101.12</v>
    <v>101.18</v>
    <v>101.19</v>
    <v>101.1</v>
    <v>101.13</v>
    <v>101.1</v>
    <v>101.16</v>
    <v>101.19</v>
    <v>101.16</v>
    <v>101.17</v>
    <v>101.16</v>
    <v>101.17</v>
    <v>101.24</v>
    <v>101.21</v>
    <v>101.23</v>
    <v>101.22</v>
    <v>101.22</v>
    <v>101.23</v>
    <v>101.31</v>
    <v>101.23</v>
    <v>101.25</v>
    <v>101.24</v>
    <v>101.24</v>
    <v>101.32</v>
    <v>101.32</v>
    <v>101.25</v>
    <v>101.3</v>
    <v>101.34</v>
    <v>101.34</v>
    <v>101.29</v>
    <v>101.3</v>
    <v>100.76</v>
    <v>100.72</v>
    <v>100.7</v>
    <v>100.72</v>
    <v>100.71</v>
    <v>100.71</v>
    <v>100.73</v>
    <v>100.8</v>
    <v>100.75</v>
    <v>100.82</v>
    <v>100.84</v>
    <v>100.87</v>
    <v>100.79</v>
    <v>100.82</v>
    <v>100.85</v>
    <v>100.84</v>
    <v>100.83</v>
    <v>100.87</v>
    <v>100.88</v>
    <v>100.92</v>
    <v>100.92</v>
    <v>100.91</v>
    <v>100.91</v>
    <v>100.95</v>
    <v>100.95</v>
    <v>100.93</v>
    <v>101.02</v>
  </a>
  <a r="1" c="205">
    <v>126.325</v>
    <v>129.51</v>
    <v>137.93</v>
    <v>137.53100000000001</v>
    <v>131.84</v>
    <v>129.31</v>
    <v>135.57400000000001</v>
    <v>136.38</v>
    <v>140.13</v>
    <v>143.78</v>
    <v>144.5</v>
    <v>143.5</v>
    <v>131.965</v>
    <v>139.99</v>
    <v>146.34</v>
    <v>148.56</v>
    <v>151.91</v>
    <v>162.24</v>
    <v>190.01</v>
    <v>174.53</v>
    <v>165.43</v>
    <v>162.85</v>
    <v>161.93</v>
    <v>159.27000000000001</v>
    <v>155.36000000000001</v>
    <v>171</v>
    <v>178.4495</v>
    <v>179.08</v>
    <v>183.84</v>
    <v>169.96</v>
    <v>179.67</v>
    <v>176.18</v>
    <v>176.55</v>
    <v>165.59</v>
    <v>166.25</v>
    <v>165.02</v>
    <v>174.44900000000001</v>
    <v>186.7499</v>
    <v>177.01</v>
    <v>173.03</v>
    <v>167.99</v>
    <v>162.79</v>
    <v>165.23</v>
    <v>158.46</v>
    <v>153.38999999999999</v>
    <v>157.5</v>
    <v>156.38</v>
    <v>154.63</v>
    <v>149</v>
    <v>144.76</v>
    <v>153.9</v>
    <v>150.56</v>
    <v>149.33000000000001</v>
    <v>153.07</v>
    <v>140.62</v>
    <v>150.96</v>
    <v>143.5</v>
    <v>147.75</v>
    <v>136.19</v>
    <v>134.08000000000001</v>
    <v>126.86</v>
    <v>135.81</v>
    <v>144</v>
    <v>135.63999999999999</v>
    <v>138.94999999999999</v>
    <v>141.34</v>
    <v>161.25</v>
    <v>159.44</v>
    <v>159.30000000000001</v>
    <v>160.97</v>
    <v>174.827</v>
    <v>174.01</v>
    <v>177.99</v>
    <v>181.88</v>
    <v>173.76</v>
    <v>167.21</v>
    <v>178</v>
    <v>174.42</v>
    <v>188.94</v>
    <v>196</v>
    <v>181.83</v>
    <v>181.7</v>
    <v>187</v>
    <v>181.37</v>
    <v>181.37</v>
    <v>186.02</v>
    <v>197</v>
    <v>186.09</v>
    <v>198.32</v>
    <v>185.3</v>
    <v>179.09</v>
    <v>180.96</v>
    <v>181.34</v>
    <v>170.58</v>
    <v>166.34</v>
    <v>163.58000000000001</v>
    <v>169.77</v>
    <v>172.63</v>
    <v>169.43</v>
    <v>169.12</v>
    <v>169.95</v>
    <v>171.8</v>
    <v>165.65</v>
    <v>164.42</v>
    <v>169.82</v>
    <v>174.8</v>
    <v>177</v>
    <v>153.51</v>
    <v>165.51</v>
    <v>159.875</v>
    <v>144.72</v>
    <v>168.06</v>
    <v>175</v>
    <v>186.35</v>
    <v>185.91</v>
    <v>187.43</v>
    <v>194.99100000000001</v>
    <v>201.79</v>
    <v>190.45</v>
    <v>192.75</v>
    <v>216.24</v>
    <v>200.74</v>
    <v>206.67</v>
    <v>208.06</v>
    <v>185</v>
    <v>176.7</v>
    <v>186.43</v>
    <v>176</v>
    <v>177.4</v>
    <v>186.68</v>
    <v>186.31</v>
    <v>175.16</v>
    <v>184.65</v>
    <v>188.42</v>
    <v>175.1979</v>
    <v>178.05</v>
    <v>173.64</v>
    <v>186.45</v>
    <v>184.72</v>
    <v>185.15</v>
    <v>171.68</v>
    <v>165.14</v>
    <v>155.47999999999999</v>
    <v>166.245</v>
    <v>190.57</v>
    <v>197.67</v>
    <v>201</v>
    <v>205.02</v>
    <v>209.06</v>
    <v>207.44</v>
    <v>206.66</v>
    <v>211.7</v>
    <v>215.13</v>
    <v>222.78</v>
    <v>231.48</v>
    <v>231.08</v>
    <v>237.44</v>
    <v>217.25</v>
    <v>230.6</v>
    <v>218.56</v>
    <v>225.07</v>
    <v>215.11</v>
    <v>216.15</v>
    <v>222.9</v>
    <v>218.92</v>
    <v>214.7</v>
    <v>209.43</v>
    <v>200.845</v>
    <v>206</v>
    <v>209.97</v>
    <v>217.57499999999999</v>
    <v>220.09</v>
    <v>210.42</v>
    <v>212.58</v>
    <v>209.07499999999999</v>
    <v>198.505</v>
    <v>194.58</v>
    <v>197.46</v>
    <v>199.29</v>
    <v>203.8</v>
    <v>215.5</v>
    <v>216.6</v>
    <v>213</v>
    <v>209.42</v>
    <v>219.34</v>
    <v>216</v>
    <v>223.36</v>
    <v>220.86</v>
    <v>235.45</v>
    <v>255.19</v>
    <v>254.66</v>
    <v>266.75</v>
    <v>259.29000000000002</v>
    <v>249.96</v>
    <v>260.82</v>
    <v>252.14</v>
    <v>253.9</v>
    <v>245.45</v>
    <v>226.57</v>
    <v>209</v>
    <v>217.71</v>
    <v>217.65</v>
    <v>220.88</v>
    <v>203.5</v>
    <v>205.61</v>
  </a>
  <a r="1" c="252">
    <v>110.08</v>
    <v>112.76</v>
    <v>119.23</v>
    <v>126.38</v>
    <v>141.76</v>
    <v>142.09</v>
    <v>150</v>
    <v>152.06</v>
    <v>138.09</v>
    <v>138.38999999999999</v>
    <v>133.68</v>
    <v>128.86000000000001</v>
    <v>136.26499999999999</v>
    <v>128.87</v>
    <v>128.01</v>
    <v>127.2</v>
    <v>127.75</v>
    <v>125.31</v>
    <v>123.345</v>
    <v>125.2</v>
    <v>122.52</v>
    <v>119.99</v>
    <v>122.52</v>
    <v>123.53</v>
    <v>127.6</v>
    <v>132.79</v>
    <v>128.32</v>
    <v>128.91999999999999</v>
    <v>134.54</v>
    <v>131.88999999999999</v>
    <v>130.94</v>
    <v>130.20500000000001</v>
    <v>130.33000000000001</v>
    <v>131.6</v>
    <v>138.05000000000001</v>
    <v>126.68</v>
    <v>124.55</v>
    <v>125.65</v>
    <v>120.5</v>
    <v>123.35</v>
    <v>125.01</v>
    <v>127.38</v>
    <v>127.26</v>
    <v>129.22</v>
    <v>128.94999999999999</v>
    <v>126.03</v>
    <v>127</v>
    <v>126.325</v>
    <v>129.51</v>
    <v>137.93</v>
    <v>137.53100000000001</v>
    <v>131.84</v>
    <v>129.31</v>
    <v>135.57400000000001</v>
    <v>136.38</v>
    <v>140.13</v>
    <v>143.78</v>
    <v>144.5</v>
    <v>143.5</v>
    <v>131.965</v>
    <v>139.99</v>
    <v>146.34</v>
    <v>148.56</v>
    <v>151.91</v>
    <v>162.24</v>
    <v>190.01</v>
    <v>174.53</v>
    <v>165.43</v>
    <v>162.85</v>
    <v>161.93</v>
    <v>159.27000000000001</v>
    <v>155.36000000000001</v>
    <v>171</v>
    <v>178.4495</v>
    <v>179.08</v>
    <v>183.84</v>
    <v>169.96</v>
    <v>179.67</v>
    <v>176.18</v>
    <v>176.55</v>
    <v>165.59</v>
    <v>166.25</v>
    <v>165.02</v>
    <v>174.44900000000001</v>
    <v>186.7499</v>
    <v>177.01</v>
    <v>173.03</v>
    <v>167.99</v>
    <v>162.79</v>
    <v>165.23</v>
    <v>158.46</v>
    <v>153.38999999999999</v>
    <v>157.5</v>
    <v>156.38</v>
    <v>154.63</v>
    <v>149</v>
    <v>144.76</v>
    <v>153.9</v>
    <v>150.56</v>
    <v>149.33000000000001</v>
    <v>153.07</v>
    <v>140.62</v>
    <v>150.96</v>
    <v>143.5</v>
    <v>147.75</v>
    <v>136.19</v>
    <v>134.08000000000001</v>
    <v>126.86</v>
    <v>135.81</v>
    <v>144</v>
    <v>135.63999999999999</v>
    <v>138.94999999999999</v>
    <v>141.34</v>
    <v>161.25</v>
    <v>159.44</v>
    <v>159.30000000000001</v>
    <v>160.97</v>
    <v>174.827</v>
    <v>174.01</v>
    <v>177.99</v>
    <v>181.88</v>
    <v>173.76</v>
    <v>167.21</v>
    <v>178</v>
    <v>174.42</v>
    <v>188.94</v>
    <v>196</v>
    <v>181.83</v>
    <v>181.7</v>
    <v>187</v>
    <v>181.37</v>
    <v>181.37</v>
    <v>186.02</v>
    <v>197</v>
    <v>186.09</v>
    <v>198.32</v>
    <v>185.3</v>
    <v>179.09</v>
    <v>180.96</v>
    <v>181.34</v>
    <v>170.58</v>
    <v>166.34</v>
    <v>163.58000000000001</v>
    <v>169.77</v>
    <v>172.63</v>
    <v>169.43</v>
    <v>169.12</v>
    <v>169.95</v>
    <v>171.8</v>
    <v>165.65</v>
    <v>164.42</v>
    <v>169.82</v>
    <v>174.8</v>
    <v>177</v>
    <v>153.51</v>
    <v>165.51</v>
    <v>159.875</v>
    <v>144.72</v>
    <v>168.06</v>
    <v>175</v>
    <v>186.35</v>
    <v>185.91</v>
    <v>187.43</v>
    <v>194.99100000000001</v>
    <v>201.79</v>
    <v>190.45</v>
    <v>192.75</v>
    <v>216.24</v>
    <v>200.74</v>
    <v>206.67</v>
    <v>208.06</v>
    <v>185</v>
    <v>176.7</v>
    <v>186.43</v>
    <v>176</v>
    <v>177.4</v>
    <v>186.68</v>
    <v>186.31</v>
    <v>175.16</v>
    <v>184.65</v>
    <v>188.42</v>
    <v>175.1979</v>
    <v>178.05</v>
    <v>173.64</v>
    <v>186.45</v>
    <v>184.72</v>
    <v>185.15</v>
    <v>171.68</v>
    <v>165.14</v>
    <v>155.47999999999999</v>
    <v>166.245</v>
    <v>190.57</v>
    <v>197.67</v>
    <v>201</v>
    <v>205.02</v>
    <v>209.06</v>
    <v>207.44</v>
    <v>206.66</v>
    <v>211.7</v>
    <v>215.13</v>
    <v>222.78</v>
    <v>231.48</v>
    <v>231.08</v>
    <v>237.44</v>
    <v>217.25</v>
    <v>230.6</v>
    <v>218.56</v>
    <v>225.07</v>
    <v>215.11</v>
    <v>216.15</v>
    <v>222.9</v>
    <v>218.92</v>
    <v>214.7</v>
    <v>209.43</v>
    <v>200.845</v>
    <v>206</v>
    <v>209.97</v>
    <v>217.57499999999999</v>
    <v>220.09</v>
    <v>210.42</v>
    <v>212.58</v>
    <v>209.07499999999999</v>
    <v>198.505</v>
    <v>194.58</v>
    <v>197.46</v>
    <v>199.29</v>
    <v>203.8</v>
    <v>215.5</v>
    <v>216.6</v>
    <v>213</v>
    <v>209.42</v>
    <v>219.34</v>
    <v>216</v>
    <v>223.36</v>
    <v>220.86</v>
    <v>235.45</v>
    <v>255.19</v>
    <v>254.66</v>
    <v>266.75</v>
    <v>259.29000000000002</v>
    <v>249.96</v>
    <v>260.82</v>
    <v>252.14</v>
    <v>253.9</v>
    <v>245.45</v>
    <v>226.57</v>
    <v>209</v>
    <v>217.71</v>
    <v>217.65</v>
    <v>220.88</v>
    <v>203.5</v>
    <v>205.61</v>
  </a>
  <a r="1" c="754">
    <v>27.83</v>
    <v>27.87</v>
    <v>27.7</v>
    <v>26.41</v>
    <v>26.5</v>
    <v>26.35</v>
    <v>23.73</v>
    <v>24.01</v>
    <v>26.62</v>
    <v>27.47</v>
    <v>28.17</v>
    <v>28.09</v>
    <v>28.48</v>
    <v>28</v>
    <v>28.86</v>
    <v>28.61</v>
    <v>30.59</v>
    <v>31.45</v>
    <v>31.33</v>
    <v>31.545000000000002</v>
    <v>31.49</v>
    <v>31.78</v>
    <v>30.73</v>
    <v>30.427499999999998</v>
    <v>30.7499</v>
    <v>30.43</v>
    <v>30.69</v>
    <v>31.15</v>
    <v>31.71</v>
    <v>31.04</v>
    <v>29.5</v>
    <v>29.62</v>
    <v>28.98</v>
    <v>29.524999999999999</v>
    <v>30.45</v>
    <v>30.4</v>
    <v>32.411000000000001</v>
    <v>33.24</v>
    <v>33.78</v>
    <v>33.442999999999998</v>
    <v>34.75</v>
    <v>33.700000000000003</v>
    <v>34.950000000000003</v>
    <v>34.1</v>
    <v>34.299999999999997</v>
    <v>34.409999999999997</v>
    <v>33.9</v>
    <v>33.75</v>
    <v>32.65</v>
    <v>32.11</v>
    <v>31.91</v>
    <v>32.880000000000003</v>
    <v>34.090000000000003</v>
    <v>34.51</v>
    <v>34.51</v>
    <v>35.21</v>
    <v>34.82</v>
    <v>36.04</v>
    <v>35.33</v>
    <v>37.450000000000003</v>
    <v>40.74</v>
    <v>40.67</v>
    <v>39.85</v>
    <v>41.25</v>
    <v>40.454999999999998</v>
    <v>38.57</v>
    <v>39.090000000000003</v>
    <v>38.79</v>
    <v>39.729999999999997</v>
    <v>40.65</v>
    <v>42.08</v>
    <v>40.409999999999997</v>
    <v>40.645000000000003</v>
    <v>41.85</v>
    <v>45.22</v>
    <v>44.9</v>
    <v>45.09</v>
    <v>44.07</v>
    <v>46.07</v>
    <v>47.23</v>
    <v>46.01</v>
    <v>43.5</v>
    <v>43.5</v>
    <v>48.03</v>
    <v>47.67</v>
    <v>47.6</v>
    <v>46.04</v>
    <v>45.16</v>
    <v>46.9</v>
    <v>48.85</v>
    <v>49.12</v>
    <v>47.08</v>
    <v>49.4</v>
    <v>48.07</v>
    <v>45.2</v>
    <v>43.67</v>
    <v>46.12</v>
    <v>44.3</v>
    <v>43.17</v>
    <v>43.49</v>
    <v>44.73</v>
    <v>43.6</v>
    <v>44.5</v>
    <v>45</v>
    <v>43.4</v>
    <v>44.63</v>
    <v>44.68</v>
    <v>44.54</v>
    <v>44.58</v>
    <v>43.58</v>
    <v>41.94</v>
    <v>42.48</v>
    <v>40.729999999999997</v>
    <v>40.26</v>
    <v>39.43</v>
    <v>39.409999999999997</v>
    <v>38.64</v>
    <v>39.5</v>
    <v>38.24</v>
    <v>37.83</v>
    <v>37.25</v>
    <v>34.57</v>
    <v>36.26</v>
    <v>34.29</v>
    <v>34.01</v>
    <v>34.305</v>
    <v>34.6</v>
    <v>34.68</v>
    <v>32.15</v>
    <v>32.299999999999997</v>
    <v>31.66</v>
    <v>31.89</v>
    <v>33.229999999999997</v>
    <v>34.06</v>
    <v>34.340000000000003</v>
    <v>33.450000000000003</v>
    <v>33.24</v>
    <v>33.01</v>
    <v>33.020000000000003</v>
    <v>32.840000000000003</v>
    <v>34.03</v>
    <v>35.42</v>
    <v>34.799999999999997</v>
    <v>35.25</v>
    <v>35.950000000000003</v>
    <v>35.5</v>
    <v>35.54</v>
    <v>36.64</v>
    <v>36.22</v>
    <v>36.4</v>
    <v>35.4</v>
    <v>33.67</v>
    <v>33.25</v>
    <v>34.06</v>
    <v>33.93</v>
    <v>34.869999999999997</v>
    <v>34.76</v>
    <v>33.75</v>
    <v>34.396000000000001</v>
    <v>34.32</v>
    <v>35.520000000000003</v>
    <v>35.29</v>
    <v>35.29</v>
    <v>34.43</v>
    <v>34.58</v>
    <v>36</v>
    <v>36.049999999999997</v>
    <v>35.4</v>
    <v>37.590000000000003</v>
    <v>38.71</v>
    <v>39.15</v>
    <v>40.700000000000003</v>
    <v>39.78</v>
    <v>40.4</v>
    <v>41.74</v>
    <v>41.49</v>
    <v>41.71</v>
    <v>42.53</v>
    <v>44.12</v>
    <v>41</v>
    <v>40.9</v>
    <v>40.43</v>
    <v>41.05</v>
    <v>38.43</v>
    <v>38.72</v>
    <v>38.32</v>
    <v>38.659999999999997</v>
    <v>38.979999999999997</v>
    <v>37.630000000000003</v>
    <v>36.630000000000003</v>
    <v>36.57</v>
    <v>37.14</v>
    <v>36.35</v>
    <v>43.85</v>
    <v>43.05</v>
    <v>41.41</v>
    <v>40.54</v>
    <v>41.46</v>
    <v>40.07</v>
    <v>41.08</v>
    <v>40.020000000000003</v>
    <v>40.700000000000003</v>
    <v>43.63</v>
    <v>42.26</v>
    <v>43.6</v>
    <v>44.16</v>
    <v>45.72</v>
    <v>44.9</v>
    <v>45.16</v>
    <v>44.29</v>
    <v>44.39</v>
    <v>42.34</v>
    <v>42.75</v>
    <v>44.53</v>
    <v>44.02</v>
    <v>46.04</v>
    <v>42.81</v>
    <v>42.4</v>
    <v>42.19</v>
    <v>39.51</v>
    <v>40.69</v>
    <v>41.61</v>
    <v>43.01</v>
    <v>44.59</v>
    <v>45.25</v>
    <v>45.16</v>
    <v>42.96</v>
    <v>43.3</v>
    <v>45.43</v>
    <v>44.255000000000003</v>
    <v>44.56</v>
    <v>45.86</v>
    <v>46.3</v>
    <v>49.6</v>
    <v>46.66</v>
    <v>47.34</v>
    <v>46.529000000000003</v>
    <v>46.99</v>
    <v>47.302</v>
    <v>48.29</v>
    <v>48.46</v>
    <v>50.41</v>
    <v>52</v>
    <v>50.43</v>
    <v>52.59</v>
    <v>53.29</v>
    <v>50.9</v>
    <v>54.38</v>
    <v>54.39</v>
    <v>53.53</v>
    <v>54.72</v>
    <v>52.75</v>
    <v>50.96</v>
    <v>52.91</v>
    <v>51.52</v>
    <v>53.54</v>
    <v>54.82</v>
    <v>60.77</v>
    <v>57.78</v>
    <v>57.89</v>
    <v>58.09</v>
    <v>60.14</v>
    <v>63.56</v>
    <v>64.95</v>
    <v>62.6</v>
    <v>63.33</v>
    <v>61.170999999999999</v>
    <v>60.67</v>
    <v>59.09</v>
    <v>57.47</v>
    <v>58.96</v>
    <v>60.86</v>
    <v>60.86</v>
    <v>61.09</v>
    <v>61.5</v>
    <v>59.58</v>
    <v>57.05</v>
    <v>55.3</v>
    <v>55.31</v>
    <v>57.05</v>
    <v>58.61</v>
    <v>59.84</v>
    <v>60.16</v>
    <v>59.19</v>
    <v>55.5</v>
    <v>55.13</v>
    <v>56.79</v>
    <v>57.54</v>
    <v>61.3</v>
    <v>62.38</v>
    <v>56.27</v>
    <v>55</v>
    <v>55.097999999999999</v>
    <v>55.49</v>
    <v>57.9</v>
    <v>57.35</v>
    <v>57.863999999999997</v>
    <v>58.7</v>
    <v>57.8</v>
    <v>56.89</v>
    <v>57.38</v>
    <v>59</v>
    <v>60.125</v>
    <v>60.545000000000002</v>
    <v>63.37</v>
    <v>64.5</v>
    <v>63.91</v>
    <v>59.61</v>
    <v>59.66</v>
    <v>59.25</v>
    <v>59.65</v>
    <v>61.72</v>
    <v>63.76</v>
    <v>64</v>
    <v>64.790000000000006</v>
    <v>56.91</v>
    <v>54.354999999999997</v>
    <v>56.85</v>
    <v>57.09</v>
    <v>55.34</v>
    <v>54.72</v>
    <v>56.15</v>
    <v>56.35</v>
    <v>56.24</v>
    <v>56.23</v>
    <v>57.66</v>
    <v>57.29</v>
    <v>58.32</v>
    <v>60.59</v>
    <v>59.61</v>
    <v>62.8</v>
    <v>62.954999999999998</v>
    <v>63.94</v>
    <v>62.69</v>
    <v>61.43</v>
    <v>59.62</v>
    <v>60.8</v>
    <v>56.93</v>
    <v>55.78</v>
    <v>52.36</v>
    <v>51.62</v>
    <v>53.145000000000003</v>
    <v>50.37</v>
    <v>51.41</v>
    <v>51.03</v>
    <v>52.8</v>
    <v>51.98</v>
    <v>52.94</v>
    <v>56.88</v>
    <v>58.1</v>
    <v>57.98</v>
    <v>56.01</v>
    <v>55.75</v>
    <v>54.09</v>
    <v>53.92</v>
    <v>51.7</v>
    <v>50.32</v>
    <v>47.36</v>
    <v>45.23</v>
    <v>44.13</v>
    <v>42.5</v>
    <v>43.39</v>
    <v>40.590000000000003</v>
    <v>35.81</v>
    <v>36.03</v>
    <v>37.04</v>
    <v>41.67</v>
    <v>38.979999999999997</v>
    <v>39.409999999999997</v>
    <v>41.61</v>
    <v>41.03</v>
    <v>37.9</v>
    <v>39.24</v>
    <v>38.4</v>
    <v>38.97</v>
    <v>39.5</v>
    <v>41.45</v>
    <v>41.67</v>
    <v>40.4</v>
    <v>40.549999999999997</v>
    <v>41.77</v>
    <v>43.91</v>
    <v>44.28</v>
    <v>44.33</v>
    <v>44.39</v>
    <v>44.805</v>
    <v>46.31</v>
    <v>46.25</v>
    <v>51.47</v>
    <v>50.24</v>
    <v>50.73</v>
    <v>50.84</v>
    <v>50.16</v>
    <v>49.49</v>
    <v>50.68</v>
    <v>48.01</v>
    <v>47.87</v>
    <v>47.4</v>
    <v>50.685000000000002</v>
    <v>50.25</v>
    <v>51.564999999999998</v>
    <v>50.33</v>
    <v>50.85</v>
    <v>51.86</v>
    <v>51.89</v>
    <v>53.79</v>
    <v>55.204999999999998</v>
    <v>58.246000000000002</v>
    <v>57.98</v>
    <v>57.45</v>
    <v>58.26</v>
    <v>58.91</v>
    <v>65.125</v>
    <v>65.05</v>
    <v>66.400000000000006</v>
    <v>66.790000000000006</v>
    <v>67.260000000000005</v>
    <v>69.12</v>
    <v>71.16</v>
    <v>75.385999999999996</v>
    <v>74.14</v>
    <v>73.959999999999994</v>
    <v>73.06</v>
    <v>73.3</v>
    <v>73.72</v>
    <v>73.17</v>
    <v>75.77</v>
    <v>75.959999999999994</v>
    <v>76.883499999999998</v>
    <v>76.98</v>
    <v>78.010000000000005</v>
    <v>78.900000000000006</v>
    <v>79.7</v>
    <v>79.64</v>
    <v>74.75</v>
    <v>75.599999999999994</v>
    <v>76.25</v>
    <v>79.39</v>
    <v>76.55</v>
    <v>75.094999999999999</v>
    <v>70.09</v>
    <v>73.400000000000006</v>
    <v>68.19</v>
    <v>66.73</v>
    <v>66.83</v>
    <v>69.09</v>
    <v>67.7</v>
    <v>68.33</v>
    <v>68.760000000000005</v>
    <v>72.349999999999994</v>
    <v>71.27</v>
    <v>77.67</v>
    <v>79.319999999999993</v>
    <v>76.52</v>
    <v>76.67</v>
    <v>77.760000000000005</v>
    <v>76.17</v>
    <v>72.86</v>
    <v>73.89</v>
    <v>75.209999999999994</v>
    <v>72.91</v>
    <v>74.099999999999994</v>
    <v>77.739999999999995</v>
    <v>80.150000000000006</v>
    <v>76.67</v>
    <v>70.73</v>
    <v>72.290000000000006</v>
    <v>76.38</v>
    <v>77.67</v>
    <v>81.81</v>
    <v>86.55</v>
    <v>90.08</v>
    <v>95.01</v>
    <v>94.35</v>
    <v>95.27</v>
    <v>96.66</v>
    <v>94.29</v>
    <v>102.7</v>
    <v>102.34</v>
    <v>105.5605</v>
    <v>105.67</v>
    <v>102.3</v>
    <v>100.26</v>
    <v>97.27</v>
    <v>103</v>
    <v>100.5</v>
    <v>102.25</v>
    <v>103.8</v>
    <v>106.75</v>
    <v>122.89</v>
    <v>117.39</v>
    <v>117.66</v>
    <v>118</v>
    <v>109.32</v>
    <v>112.89</v>
    <v>111.72</v>
    <v>116</v>
    <v>115.75</v>
    <v>114.55</v>
    <v>119.34</v>
    <v>114.85</v>
    <v>109.88</v>
    <v>110.08</v>
    <v>112.76</v>
    <v>119.23</v>
    <v>126.38</v>
    <v>141.76</v>
    <v>142.09</v>
    <v>150</v>
    <v>152.06</v>
    <v>138.09</v>
    <v>138.38999999999999</v>
    <v>133.68</v>
    <v>128.86000000000001</v>
    <v>136.26499999999999</v>
    <v>128.87</v>
    <v>128.01</v>
    <v>127.2</v>
    <v>127.75</v>
    <v>125.31</v>
    <v>123.345</v>
    <v>125.2</v>
    <v>122.52</v>
    <v>119.99</v>
    <v>122.52</v>
    <v>123.53</v>
    <v>127.6</v>
    <v>132.79</v>
    <v>128.32</v>
    <v>128.91999999999999</v>
    <v>134.54</v>
    <v>131.88999999999999</v>
    <v>130.94</v>
    <v>130.20500000000001</v>
    <v>130.33000000000001</v>
    <v>131.6</v>
    <v>138.05000000000001</v>
    <v>126.68</v>
    <v>124.55</v>
    <v>125.65</v>
    <v>120.5</v>
    <v>123.35</v>
    <v>125.01</v>
    <v>127.38</v>
    <v>127.26</v>
    <v>129.22</v>
    <v>128.94999999999999</v>
    <v>126.03</v>
    <v>127</v>
    <v>126.325</v>
    <v>129.51</v>
    <v>137.93</v>
    <v>137.53100000000001</v>
    <v>131.84</v>
    <v>129.31</v>
    <v>135.57400000000001</v>
    <v>136.38</v>
    <v>140.13</v>
    <v>143.78</v>
    <v>144.5</v>
    <v>143.5</v>
    <v>131.965</v>
    <v>139.99</v>
    <v>146.34</v>
    <v>148.56</v>
    <v>151.91</v>
    <v>162.24</v>
    <v>190.01</v>
    <v>174.53</v>
    <v>165.43</v>
    <v>162.85</v>
    <v>161.93</v>
    <v>159.27000000000001</v>
    <v>155.36000000000001</v>
    <v>171</v>
    <v>178.4495</v>
    <v>179.08</v>
    <v>183.84</v>
    <v>169.96</v>
    <v>179.67</v>
    <v>176.18</v>
    <v>176.55</v>
    <v>165.59</v>
    <v>166.25</v>
    <v>165.02</v>
    <v>174.44900000000001</v>
    <v>186.7499</v>
    <v>177.01</v>
    <v>173.03</v>
    <v>167.99</v>
    <v>162.79</v>
    <v>165.23</v>
    <v>158.46</v>
    <v>153.38999999999999</v>
    <v>157.5</v>
    <v>156.38</v>
    <v>154.63</v>
    <v>149</v>
    <v>144.76</v>
    <v>153.9</v>
    <v>150.56</v>
    <v>149.33000000000001</v>
    <v>153.07</v>
    <v>140.62</v>
    <v>150.96</v>
    <v>143.5</v>
    <v>147.75</v>
    <v>136.19</v>
    <v>134.08000000000001</v>
    <v>126.86</v>
    <v>135.81</v>
    <v>144</v>
    <v>135.63999999999999</v>
    <v>138.94999999999999</v>
    <v>141.34</v>
    <v>161.25</v>
    <v>159.44</v>
    <v>159.30000000000001</v>
    <v>160.97</v>
    <v>174.827</v>
    <v>174.01</v>
    <v>177.99</v>
    <v>181.88</v>
    <v>173.76</v>
    <v>167.21</v>
    <v>178</v>
    <v>174.42</v>
    <v>188.94</v>
    <v>196</v>
    <v>181.83</v>
    <v>181.7</v>
    <v>187</v>
    <v>181.37</v>
    <v>181.37</v>
    <v>186.02</v>
    <v>197</v>
    <v>186.09</v>
    <v>198.32</v>
    <v>185.3</v>
    <v>179.09</v>
    <v>180.96</v>
    <v>181.34</v>
    <v>170.58</v>
    <v>166.34</v>
    <v>163.58000000000001</v>
    <v>169.77</v>
    <v>172.63</v>
    <v>169.43</v>
    <v>169.12</v>
    <v>169.95</v>
    <v>171.8</v>
    <v>165.65</v>
    <v>164.42</v>
    <v>169.82</v>
    <v>174.8</v>
    <v>177</v>
    <v>153.51</v>
    <v>165.51</v>
    <v>159.875</v>
    <v>144.72</v>
    <v>168.06</v>
    <v>175</v>
    <v>186.35</v>
    <v>185.91</v>
    <v>187.43</v>
    <v>194.99100000000001</v>
    <v>201.79</v>
    <v>190.45</v>
    <v>192.75</v>
    <v>216.24</v>
    <v>200.74</v>
    <v>206.67</v>
    <v>208.06</v>
    <v>185</v>
    <v>176.7</v>
    <v>186.43</v>
    <v>176</v>
    <v>177.4</v>
    <v>186.68</v>
    <v>186.31</v>
    <v>175.16</v>
    <v>184.65</v>
    <v>188.42</v>
    <v>175.1979</v>
    <v>178.05</v>
    <v>173.64</v>
    <v>186.45</v>
    <v>184.72</v>
    <v>185.15</v>
    <v>171.68</v>
    <v>165.14</v>
    <v>155.47999999999999</v>
    <v>166.245</v>
    <v>190.57</v>
    <v>197.67</v>
    <v>201</v>
    <v>205.02</v>
    <v>209.06</v>
    <v>207.44</v>
    <v>206.66</v>
    <v>211.7</v>
    <v>215.13</v>
    <v>222.78</v>
    <v>231.48</v>
    <v>231.08</v>
    <v>237.44</v>
    <v>217.25</v>
    <v>230.6</v>
    <v>218.56</v>
    <v>225.07</v>
    <v>215.11</v>
    <v>216.15</v>
    <v>222.9</v>
    <v>218.92</v>
    <v>214.7</v>
    <v>209.43</v>
    <v>200.845</v>
    <v>206</v>
    <v>209.97</v>
    <v>217.57499999999999</v>
    <v>220.09</v>
    <v>210.42</v>
    <v>212.58</v>
    <v>209.07499999999999</v>
    <v>198.505</v>
    <v>194.58</v>
    <v>197.46</v>
    <v>199.29</v>
    <v>203.8</v>
    <v>215.5</v>
    <v>216.6</v>
    <v>213</v>
    <v>209.42</v>
    <v>219.34</v>
    <v>216</v>
    <v>223.36</v>
    <v>220.86</v>
    <v>235.45</v>
    <v>255.19</v>
    <v>254.66</v>
    <v>266.75</v>
    <v>259.29000000000002</v>
    <v>249.96</v>
    <v>260.82</v>
    <v>252.14</v>
    <v>253.9</v>
    <v>245.45</v>
    <v>226.57</v>
    <v>209</v>
    <v>217.71</v>
    <v>217.65</v>
    <v>220.88</v>
    <v>203.5</v>
    <v>205.61</v>
  </a>
</arrayData>
</file>

<file path=xl/richData/rdrichvalue.xml><?xml version="1.0" encoding="utf-8"?>
<rvData xmlns="http://schemas.microsoft.com/office/spreadsheetml/2017/richdata" count="1313">
  <rv s="0">
    <v>https://www.bing.com/financeapi/forcetrigger?t=a1u3rw&amp;q=XNAS%3aGOOGL&amp;form=skydnc</v>
    <v>Learn more on Bing</v>
  </rv>
  <rv s="1">
    <v>0</v>
    <v>ALPHABET INC. (XNAS:GOOGL)</v>
    <v>2</v>
    <v>3</v>
    <v>Finance</v>
    <v>4</v>
    <v>en-GB</v>
    <v>a1u3rw</v>
    <v>268435456</v>
    <v>1</v>
    <v>Powered by Refinitiv</v>
    <v>408.61</v>
    <v>251.85</v>
    <v>1.2108000000000001</v>
    <v>-4.01</v>
    <v>-1.2367999999999999E-2</v>
    <v>0.93</v>
    <v>2.9039999999999999E-3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198933</v>
    <v>Nasdaq Stock Market</v>
    <v>XNAS</v>
    <v>XNAS</v>
    <v>1600 Amphitheatre Parkway, MOUNTAIN VIEW, CA, 94043 US</v>
    <v>324.53070000000002</v>
    <v>Software &amp; IT Services</v>
    <v>Stock</v>
    <v>46318.999978344531</v>
    <v>0</v>
    <v>320.18</v>
    <v>ALPHABET INC.</v>
    <v>ALPHABET INC.</v>
    <v>321.14499999999998</v>
    <v>16.267900000000001</v>
    <v>324.22000000000003</v>
    <v>320.20999999999998</v>
    <v>321.14</v>
    <v>12230000000</v>
    <v>GOOGL</v>
    <v>ALPHABET INC. (XNAS:GOOGL)</v>
    <v>17569640</v>
    <v>25810895</v>
    <v>2015</v>
  </rv>
  <rv s="2">
    <v>1</v>
  </rv>
  <rv s="3">
    <v>12</v>
    <v>Market cap</v>
    <v>0</v>
  </rv>
  <rv s="0">
    <v>https://www.bing.com/financeapi/forcetrigger?t=a1nhlh&amp;q=XNAS%3aAMZN&amp;form=skydnc</v>
    <v>Learn more on Bing</v>
  </rv>
  <rv s="4">
    <v>5</v>
    <v>AMAZON.COM, INC. (XNAS:AMZN)</v>
    <v>2</v>
    <v>6</v>
    <v>Finance</v>
    <v>4</v>
    <v>en-GB</v>
    <v>a1nhlh</v>
    <v>268435456</v>
    <v>1</v>
    <v>Powered by Refinitiv</v>
    <v>287.2</v>
    <v>196</v>
    <v>1.4914000000000001</v>
    <v>-2.38</v>
    <v>-9.5060000000000006E-3</v>
    <v>0.8</v>
    <v>3.2260000000000001E-3</v>
    <v>USD</v>
    <v>Amazon.com, Inc. offers a variety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1595000</v>
    <v>Nasdaq Stock Market</v>
    <v>XNAS</v>
    <v>XNAS</v>
    <v>410 Terry Avenue North, SEATTLE, WA, 98109 US</v>
    <v>250.01</v>
    <v>Diversified Retail</v>
    <v>Stock</v>
    <v>46318.99999451328</v>
    <v>4</v>
    <v>246.45160000000001</v>
    <v>2675004880000</v>
    <v>AMAZON.COM, INC.</v>
    <v>AMAZON.COM, INC.</v>
    <v>248.85</v>
    <v>20.1389</v>
    <v>250.38</v>
    <v>248</v>
    <v>248.8</v>
    <v>10786310000</v>
    <v>AMZN</v>
    <v>AMAZON.COM, INC. (XNAS:AMZN)</v>
    <v>25569043</v>
    <v>37581700</v>
    <v>1996</v>
  </rv>
  <rv s="2">
    <v>5</v>
  </rv>
  <rv s="0">
    <v>https://www.bing.com/financeapi/forcetrigger?t=a1mou2&amp;q=XNAS%3aAAPL&amp;form=skydnc</v>
    <v>Learn more on Bing</v>
  </rv>
  <rv s="1">
    <v>0</v>
    <v>APPLE INC. (XNAS:AAPL)</v>
    <v>2</v>
    <v>3</v>
    <v>Finance</v>
    <v>4</v>
    <v>en-GB</v>
    <v>a1mou2</v>
    <v>268435456</v>
    <v>1</v>
    <v>Powered by Refinitiv</v>
    <v>351.73</v>
    <v>243.42</v>
    <v>1.0749</v>
    <v>-0.495</v>
    <v>-1.4219999999999999E-3</v>
    <v>-8.5000000000000006E-2</v>
    <v>-2.4439999999999998E-4</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351.73</v>
    <v>Computers, Phones &amp; Household Electronics</v>
    <v>Stock</v>
    <v>46318.999968020311</v>
    <v>7</v>
    <v>345.75</v>
    <v>APPLE INC.</v>
    <v>APPLE INC.</v>
    <v>349.11500000000001</v>
    <v>40.0687</v>
    <v>348.22</v>
    <v>347.72500000000002</v>
    <v>347.64</v>
    <v>14594180000</v>
    <v>AAPL</v>
    <v>APPLE INC. (XNAS:AAPL)</v>
    <v>39539690</v>
    <v>39174961</v>
    <v>1977</v>
  </rv>
  <rv s="2">
    <v>8</v>
  </rv>
  <rv s="0">
    <v>https://www.bing.com/financeapi/forcetrigger?t=a1slm7&amp;q=XNAS%3aMETA&amp;form=skydnc</v>
    <v>Learn more on Bing</v>
  </rv>
  <rv s="1">
    <v>0</v>
    <v>META PLATFORMS, INC. (XNAS:META)</v>
    <v>2</v>
    <v>3</v>
    <v>Finance</v>
    <v>4</v>
    <v>en-GB</v>
    <v>a1slm7</v>
    <v>268435456</v>
    <v>1</v>
    <v>Powered by Refinitiv</v>
    <v>779.81920000000002</v>
    <v>520.26</v>
    <v>1.2679</v>
    <v>-6.23</v>
    <v>-9.6020000000000012E-3</v>
    <v>-2.4300000000000002</v>
    <v>-3.7810000000000001E-3</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66775</v>
    <v>Nasdaq Stock Market</v>
    <v>XNAS</v>
    <v>XNAS</v>
    <v>1 Meta Way, MENLO PARK, CA, 94025 US</v>
    <v>648.04</v>
    <v>Software &amp; IT Services</v>
    <v>Stock</v>
    <v>46318.999983390626</v>
    <v>10</v>
    <v>633.27</v>
    <v>META PLATFORMS, INC.</v>
    <v>META PLATFORMS, INC.</v>
    <v>638.17499999999995</v>
    <v>25.4816</v>
    <v>648.85</v>
    <v>642.62</v>
    <v>640.19000000000005</v>
    <v>2556241000</v>
    <v>META</v>
    <v>META PLATFORMS, INC. (XNAS:META)</v>
    <v>14791603</v>
    <v>22648770</v>
    <v>2004</v>
  </rv>
  <rv s="2">
    <v>11</v>
  </rv>
  <rv s="0">
    <v>http://en.wikipedia.org/wiki/Public_domain</v>
    <v>Public domain</v>
  </rv>
  <rv s="0">
    <v>https://en.wikipedia.org/wiki/Microsoft</v>
    <v>Wikipedia</v>
  </rv>
  <rv s="5">
    <v>13</v>
    <v>14</v>
  </rv>
  <rv s="6">
    <v>11</v>
    <v>https://www.bing.com/th?id=AMMS_e6e837c7bf3a77408619758b7447855a&amp;qlt=95</v>
    <v>15</v>
    <v>0</v>
    <v>https://www.bing.com/images/search?form=xlimg&amp;q=microsoft</v>
    <v>Image of MICROSOFT CORPORATION</v>
  </rv>
  <rv s="0">
    <v>https://www.bing.com/financeapi/forcetrigger?t=a1xzim&amp;q=XNAS%3aMSFT&amp;form=skydnc</v>
    <v>Learn more on Bing</v>
  </rv>
  <rv s="7">
    <v>7</v>
    <v>MICROSOFT CORPORATION (XNAS:MSFT)</v>
    <v>9</v>
    <v>10</v>
    <v>Finance</v>
    <v>4</v>
    <v>en-GB</v>
    <v>a1xzim</v>
    <v>268435456</v>
    <v>1</v>
    <v>Powered by Refinitiv</v>
    <v>553.72</v>
    <v>349.2</v>
    <v>1.0457000000000001</v>
    <v>3.43</v>
    <v>6.5820000000000002E-3</v>
    <v>0.41</v>
    <v>7.8170000000000008E-4</v>
    <v>USD</v>
    <v>Microsoft Corporation is a technology company. The Company develops and supports software, services, devices, and solutions. The Productivity and Business Processes segment consists of products and services in its portfolio of productivity, communication, and information services. This segment primarily includes Microsoft 365 Commercial products and cloud services, Microsoft 365 Consumer products and cloud services, LinkedIn, and Dynamics products and cloud services. The Intelligent Cloud segment consists of server products and cloud services, including Azure and other cloud services comprising cloud and AI consumption-based services, GitHub cloud services, Health and Life Sciences cloud services, and other cloud services; and Server products consist of SQL Server, Windows Server, Visual Studio, System Center, related Client Access Licenses, and other on-premises offerings. The More Personal Computing segment primarily comprises Windows and Devices, XBOX, and Search advertising.</v>
    <v>223000</v>
    <v>Nasdaq Stock Market</v>
    <v>XNAS</v>
    <v>XNAS</v>
    <v>One Microsoft Way, REDMOND, WA, 98052 US</v>
    <v>525.77</v>
    <v>16</v>
    <v>Software &amp; IT Services</v>
    <v>Stock</v>
    <v>46318.999889548439</v>
    <v>17</v>
    <v>515.70000000000005</v>
    <v>MICROSOFT CORPORATION</v>
    <v>MICROSOFT CORPORATION</v>
    <v>517.745</v>
    <v>29.0349</v>
    <v>521.08000000000004</v>
    <v>524.51</v>
    <v>524.91999999999996</v>
    <v>7426427000</v>
    <v>MSFT</v>
    <v>MICROSOFT CORPORATION (XNAS:MSFT)</v>
    <v>13681067</v>
    <v>22151003</v>
    <v>1993</v>
  </rv>
  <rv s="2">
    <v>18</v>
  </rv>
  <rv s="0">
    <v>https://www.bing.com/financeapi/forcetrigger?t=a1yv52&amp;q=XNAS%3aNVDA&amp;form=skydnc</v>
    <v>Learn more on Bing</v>
  </rv>
  <rv s="1">
    <v>0</v>
    <v>NVIDIA CORPORATION (XNAS:NVDA)</v>
    <v>2</v>
    <v>3</v>
    <v>Finance</v>
    <v>4</v>
    <v>en-GB</v>
    <v>a1yv52</v>
    <v>268435456</v>
    <v>1</v>
    <v>Powered by Refinitiv</v>
    <v>243.37</v>
    <v>164.27</v>
    <v>2.1993999999999998</v>
    <v>-1.25</v>
    <v>-5.8899999999999994E-3</v>
    <v>0.21260000000000001</v>
    <v>1.008E-3</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213.85</v>
    <v>Semiconductors &amp; Semiconductor Equipment</v>
    <v>Stock</v>
    <v>46318.999984096874</v>
    <v>20</v>
    <v>210.18</v>
    <v>NVIDIA CORPORATION</v>
    <v>NVIDIA CORPORATION</v>
    <v>210.99</v>
    <v>26.825600000000001</v>
    <v>212.21</v>
    <v>210.96</v>
    <v>211.17259999999999</v>
    <v>24100000000</v>
    <v>NVDA</v>
    <v>NVIDIA CORPORATION (XNAS:NVDA)</v>
    <v>80189765</v>
    <v>107148374</v>
    <v>1998</v>
  </rv>
  <rv s="2">
    <v>21</v>
  </rv>
  <rv s="0">
    <v>https://www.bing.com/financeapi/forcetrigger?t=a24kar&amp;q=XNAS%3aTSLA&amp;form=skydnc</v>
    <v>Learn more on Bing</v>
  </rv>
  <rv s="1">
    <v>0</v>
    <v>TESLA, INC. (XNAS:TSLA)</v>
    <v>2</v>
    <v>3</v>
    <v>Finance</v>
    <v>4</v>
    <v>en-GB</v>
    <v>a24kar</v>
    <v>268435456</v>
    <v>1</v>
    <v>Powered by Refinitiv</v>
    <v>498.83</v>
    <v>297.38</v>
    <v>1.7538</v>
    <v>-2.36</v>
    <v>-6.3E-3</v>
    <v>0.01</v>
    <v>2.6870000000000002E-5</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134785</v>
    <v>Nasdaq Stock Market</v>
    <v>XNAS</v>
    <v>XNAS</v>
    <v>1 Tesla Road, AUSTIN, TX, 78725 US</v>
    <v>377.32</v>
    <v>Automobiles &amp; Auto Parts</v>
    <v>Stock</v>
    <v>46318.99998569375</v>
    <v>23</v>
    <v>365.27</v>
    <v>TESLA, INC.</v>
    <v>TESLA, INC.</v>
    <v>373.2</v>
    <v>450.21089999999998</v>
    <v>374.58</v>
    <v>372.22</v>
    <v>372.23</v>
    <v>3952758000</v>
    <v>TSLA</v>
    <v>TESLA, INC. (XNAS:TSLA)</v>
    <v>34762967</v>
    <v>36512155</v>
    <v>2024</v>
  </rv>
  <rv s="2">
    <v>24</v>
  </rv>
  <rv s="0">
    <v>https://www.bing.com/financeapi/forcetrigger?t=a1ndww&amp;q=XNAS%3aAMD&amp;form=skydnc</v>
    <v>Learn more on Bing</v>
  </rv>
  <rv s="4">
    <v>5</v>
    <v>ADVANCED MICRO DEVICES, INC. (XNAS:AMD)</v>
    <v>2</v>
    <v>6</v>
    <v>Finance</v>
    <v>4</v>
    <v>en-GB</v>
    <v>a1ndww</v>
    <v>268435456</v>
    <v>1</v>
    <v>Powered by Refinitiv</v>
    <v>658.52</v>
    <v>188.22</v>
    <v>2.4842</v>
    <v>8.86</v>
    <v>1.7443E-2</v>
    <v>-0.02</v>
    <v>-3.8699999999999999E-5</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523.91999999999996</v>
    <v>Semiconductors &amp; Semiconductor Equipment</v>
    <v>Stock</v>
    <v>46318.999933135936</v>
    <v>26</v>
    <v>508.3571</v>
    <v>843646755250</v>
    <v>ADVANCED MICRO DEVICES, INC.</v>
    <v>ADVANCED MICRO DEVICES, INC.</v>
    <v>510.21</v>
    <v>131.8981</v>
    <v>507.93</v>
    <v>516.79</v>
    <v>516.77</v>
    <v>1632475000</v>
    <v>AMD</v>
    <v>ADVANCED MICRO DEVICES, INC. (XNAS:AMD)</v>
    <v>15177935</v>
    <v>21540052</v>
    <v>1969</v>
  </rv>
  <rv s="2">
    <v>27</v>
  </rv>
  <rv s="0">
    <v>https://www.bing.com/financeapi/forcetrigger?t=a1vmf2&amp;q=XNAS%3aINTC&amp;form=skydnc</v>
    <v>Learn more on Bing</v>
  </rv>
  <rv s="4">
    <v>5</v>
    <v>INTEL CORPORATION (XNAS:INTC)</v>
    <v>2</v>
    <v>6</v>
    <v>Finance</v>
    <v>4</v>
    <v>en-GB</v>
    <v>a1vmf2</v>
    <v>268435456</v>
    <v>1</v>
    <v>Powered by Refinitiv</v>
    <v>142.35</v>
    <v>32.89</v>
    <v>2.3843000000000001</v>
    <v>1.47</v>
    <v>1.7195000000000002E-2</v>
    <v>-0.32</v>
    <v>-3.6800000000000001E-3</v>
    <v>USD</v>
    <v>Intel Corporation is a global designer and manufacturer of semiconductor products. The Company's segments include Intel Products, Intel Foundry, and All Other. Its Intel Products comprise Client Computing Group (CCG) and Data Center and AI (DCAI). CCG delivers platforms and processors that power PCs and edge devices, enabling enhanced performance, connectivity and user experience for consumer and commercial markets with capabilities that also support retail, industrial robotics and AI ecosystems at the edge. DCAI delivers workload-optimized solutions based upon its x86 architecture for data centers, including CPUs, AI accelerators, NICs, IPUs and custom ASICs, enabling performance and scalability for cloud, enterprise, telecommunication and HPC environments. The Intel Foundry segment comprises technology development, manufacturing and foundry services, developing new semiconductor process technologies and advanced packaging technologies. All Other segments include Mobileye and Other.</v>
    <v>82300</v>
    <v>Nasdaq Stock Market</v>
    <v>XNAS</v>
    <v>XNAS</v>
    <v>2200 Mission College Blvd, Rnb-4-151, SANTA CLARA, CA, 95054 US</v>
    <v>87.864999999999995</v>
    <v>Semiconductors &amp; Semiconductor Equipment</v>
    <v>Stock</v>
    <v>46318.999991388278</v>
    <v>29</v>
    <v>84.74</v>
    <v>459589600239</v>
    <v>INTEL CORPORATION</v>
    <v>INTEL CORPORATION</v>
    <v>85.915000000000006</v>
    <v>0</v>
    <v>85.49</v>
    <v>86.96</v>
    <v>86.64</v>
    <v>5285069000</v>
    <v>INTC</v>
    <v>INTEL CORPORATION (XNAS:INTC)</v>
    <v>72093680</v>
    <v>106664291</v>
    <v>1989</v>
  </rv>
  <rv s="2">
    <v>30</v>
  </rv>
  <rv s="0">
    <v>https://www.bing.com/financeapi/forcetrigger?t=a1xygh&amp;q=XNAS%3aMRVL&amp;form=skydnc</v>
    <v>Learn more on Bing</v>
  </rv>
  <rv s="4">
    <v>5</v>
    <v>MARVELL TECHNOLOGY, INC. (XNAS:MRVL)</v>
    <v>2</v>
    <v>6</v>
    <v>Finance</v>
    <v>4</v>
    <v>en-GB</v>
    <v>a1xygh</v>
    <v>268435456</v>
    <v>1</v>
    <v>Powered by Refinitiv</v>
    <v>329.88</v>
    <v>70.685000000000002</v>
    <v>2.2959999999999998</v>
    <v>5.04</v>
    <v>2.2553E-2</v>
    <v>-0.72</v>
    <v>-3.1509999999999997E-3</v>
    <v>USD</v>
    <v>Marvell Technology, Inc. together with its consolidated subsidiaries, is a supplier of data infrastructure semiconductor solutions, spanning the data center core to network edge. It is engaged in the design, development and sale of integrated circuits. Its product offerings include custom application-specific integrated circuits (ASICs), interconnects, ethernet solutions, fiber channel adapters, processors and storage controllers. In addition, it is also developing Ultra Accelerator LinkTM (UALinkTM) switches and ethernet for scale-up networking (ESUN) switches for the emerging scale-out artificial intelligence market. Its solutions integrate multiple analogs, mixed-signal and digital intellectual property components incorporating hardware, firmware and software technologies and its system knowledge to provide its customers with integrated solutions for their end products. It designs and manufactures photonic integrated circuits for ultra-high-bandwidth and low-power applications.</v>
    <v>7480</v>
    <v>Nasdaq Stock Market</v>
    <v>XNAS</v>
    <v>XNAS</v>
    <v>1000 N. West Street, Suite 1200, WILMINGTON, DE, 19801 US</v>
    <v>231.61500000000001</v>
    <v>Semiconductors &amp; Semiconductor Equipment</v>
    <v>Stock</v>
    <v>46318.999906909376</v>
    <v>32</v>
    <v>221.38220000000001</v>
    <v>200380419000</v>
    <v>MARVELL TECHNOLOGY, INC.</v>
    <v>MARVELL TECHNOLOGY, INC.</v>
    <v>223.8</v>
    <v>73.750799999999998</v>
    <v>223.47</v>
    <v>228.51</v>
    <v>227.79</v>
    <v>876900000</v>
    <v>MRVL</v>
    <v>MARVELL TECHNOLOGY, INC. (XNAS:MRVL)</v>
    <v>13039757</v>
    <v>20037053</v>
    <v>2020</v>
  </rv>
  <rv s="2">
    <v>33</v>
  </rv>
  <rv s="0">
    <v>https://www.bing.com/financeapi/forcetrigger?t=a1ntlh&amp;q=XNAS%3aASML&amp;form=skydnc</v>
    <v>Learn more on Bing</v>
  </rv>
  <rv s="1">
    <v>0</v>
    <v>ASML Holding N.V. (XNAS:ASML)</v>
    <v>2</v>
    <v>3</v>
    <v>Finance</v>
    <v>4</v>
    <v>en-GB</v>
    <v>a1ntlh</v>
    <v>268435456</v>
    <v>1</v>
    <v>Powered by Refinitiv</v>
    <v>1999.96</v>
    <v>946.11</v>
    <v>1.7978000000000001</v>
    <v>11.26</v>
    <v>7.2150000000000001E-3</v>
    <v>0</v>
    <v>0</v>
    <v>USD</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44681</v>
    <v>Nasdaq Stock Market</v>
    <v>XNAS</v>
    <v>XNAS</v>
    <v>De Run 6501, VELDHOVEN, NOORD-BRABANT, 5504DR NL</v>
    <v>1581.64</v>
    <v>Semiconductors &amp; Semiconductor Equipment</v>
    <v>Stock</v>
    <v>46318.999853275003</v>
    <v>35</v>
    <v>1550</v>
    <v>ASML Holding N.V.</v>
    <v>ASML Holding N.V.</v>
    <v>1550.4849999999999</v>
    <v>40.221299999999999</v>
    <v>1560.54</v>
    <v>1571.8</v>
    <v>1571.8</v>
    <v>388147700</v>
    <v>ASML</v>
    <v>ASML Holding N.V. (XNAS:ASML)</v>
    <v>999144</v>
    <v>1510018</v>
    <v>1994</v>
  </rv>
  <rv s="2">
    <v>36</v>
  </rv>
  <rv s="0">
    <v>https://www.bing.com/financeapi/forcetrigger?t=a1y4oc&amp;q=XNAS%3aMU&amp;form=skydnc</v>
    <v>Learn more on Bing</v>
  </rv>
  <rv s="1">
    <v>0</v>
    <v>MICRON TECHNOLOGY, INC. (XNAS:MU)</v>
    <v>2</v>
    <v>3</v>
    <v>Finance</v>
    <v>4</v>
    <v>en-GB</v>
    <v>a1y4oc</v>
    <v>268435456</v>
    <v>1</v>
    <v>Powered by Refinitiv</v>
    <v>1255</v>
    <v>192.59</v>
    <v>2.3616000000000001</v>
    <v>21.06</v>
    <v>2.4589E-2</v>
    <v>2.44</v>
    <v>2.7800000000000004E-3</v>
    <v>USD</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Cloud Memory Business Unit (CMBU), Core Data Center Business Unit (CDBU), Mobile and Client Business Unit (MCBU) and Automotive and Embedded Business Unit (AEBU). CMBU is focused on memory solutions for large hyperscale cloud customers, and high bandwidth memory (HBM) for all data center customers. CDBU is focused on memory solutions for mid-tier cloud, enterprise, and OEM data center customers and storage solutions for all data center customers. MCBU is focused on memory and storage solutions for mobile and client segments. AEBU is focused on memory and storage solutions for the automotive, industrial, and consumer segments.</v>
    <v>61000</v>
    <v>Nasdaq Stock Market</v>
    <v>XNAS</v>
    <v>XNAS</v>
    <v>8000 S Federal Way, Po Box 6, BOISE, ID, 83716-9632 US</v>
    <v>891.89</v>
    <v>Semiconductors &amp; Semiconductor Equipment</v>
    <v>Stock</v>
    <v>46318.999993495316</v>
    <v>38</v>
    <v>858.34</v>
    <v>MICRON TECHNOLOGY, INC.</v>
    <v>MICRON TECHNOLOGY, INC.</v>
    <v>862.29</v>
    <v>11.536799999999999</v>
    <v>856.49</v>
    <v>877.55</v>
    <v>879.99</v>
    <v>1131423000</v>
    <v>MU</v>
    <v>MICRON TECHNOLOGY, INC. (XNAS:MU)</v>
    <v>21249884</v>
    <v>26981467</v>
    <v>1984</v>
  </rv>
  <rv s="2">
    <v>39</v>
  </rv>
  <rv s="0">
    <v>https://www.bing.com/financeapi/forcetrigger?t=a28plh&amp;q=OTCM%3aATEYY&amp;form=skydnc</v>
    <v>Learn more on Bing</v>
  </rv>
  <rv s="1">
    <v>0</v>
    <v>ADVANTEST CORPORATION (OTCM:ATEYY)</v>
    <v>2</v>
    <v>3</v>
    <v>Finance</v>
    <v>12</v>
    <v>en-GB</v>
    <v>a28plh</v>
    <v>268435456</v>
    <v>1</v>
    <v>Powered by Refinitiv</v>
    <v>272.49990000000003</v>
    <v>107.99</v>
    <v>2.3304999999999998</v>
    <v>2.11</v>
    <v>1.0369E-2</v>
    <v>0</v>
    <v>0</v>
    <v>USD</v>
    <v>ADVANTEST CORPORATION is a Japan-based company mainly engaged in the manufacture and sale of test system products and mechatronics-related products, such as test handlers and device interfaces, as well as related research and development, maintenance, and service activities. It operates through two segments. The Test System business segment provides products including system on chip (SoC) test systems for SoC semiconductor devices, memory test systems for memory semiconductor devices, test handlers (mechatronics-based products for handling semiconductor devices), and device interfaces (which serve as the interface with the device under test), as well as solutions for system-level testing of semiconductors and modules. The Service and Other segment is engaged in providing comprehensive customer solutions related to the above businesses, as well as offering nanotechnology-related product lines, support services, and the sale of consumables.</v>
    <v>7241</v>
    <v>OTC Markets</v>
    <v>OTCM</v>
    <v>OTCM</v>
    <v>Shin Marunouchi Center Bldg., 1-6-2, Marunouchi, CHIYODA-KU, TOKYO-TO, 100-0005 JP</v>
    <v>207.28</v>
    <v>Semiconductors &amp; Semiconductor Equipment</v>
    <v>Stock</v>
    <v>46318.860740763281</v>
    <v>41</v>
    <v>202.21</v>
    <v>ADVANTEST CORPORATION</v>
    <v>ADVANTEST CORPORATION</v>
    <v>202.26</v>
    <v>52.420099999999998</v>
    <v>203.5</v>
    <v>205.61</v>
    <v>205.61</v>
    <v>732000000</v>
    <v>ATEYY</v>
    <v>ADVANTEST CORPORATION (OTCM:ATEYY)</v>
    <v>416784</v>
    <v>425950</v>
    <v>1946</v>
  </rv>
  <rv s="2">
    <v>42</v>
  </rv>
  <rv s="0">
    <v>https://www.bing.com/financeapi/forcetrigger?t=bxi7yc&amp;q=XNAS%3aNVTS&amp;form=skydnc</v>
    <v>Learn more on Bing</v>
  </rv>
  <rv s="4">
    <v>5</v>
    <v>NAVITAS SEMICONDUCTOR CORPORATION (XNAS:NVTS)</v>
    <v>2</v>
    <v>6</v>
    <v>Finance</v>
    <v>4</v>
    <v>en-GB</v>
    <v>bxi7yc</v>
    <v>268435456</v>
    <v>1</v>
    <v>Powered by Refinitiv</v>
    <v>34.17</v>
    <v>6.85</v>
    <v>4.0262000000000002</v>
    <v>-0.11</v>
    <v>-1.2956000000000001E-2</v>
    <v>5.5399999999999998E-2</v>
    <v>6.6110000000000006E-3</v>
    <v>USD</v>
    <v>Navitas Semiconductor Corporation provides power semiconductors and power delivery solutions, specializing in gallium nitride (GaN), high-voltage and ultra-high-voltage silicon carbide (SiC), and integrated voltage regulator (IVR) technologies for artificial intelligence (AI) infrastructure, including data centers and energy and grid systems, as well as additional markets such as high-performance computing and industrial electrification. Its solutions enable power throughput, higher voltage operation, thermal performance, and reduced system size for high-power applications such as hyperscale and AI data centers, grid electrification, high-performance computing clusters, and industrial automation. It also operates as a product design house that contracts the manufacturing of its chips and packaging to partner suppliers. It has operations across the United States, Philippines, China, Taiwan, and South Korea.</v>
    <v>190</v>
    <v>Nasdaq Stock Market</v>
    <v>XNAS</v>
    <v>XNAS</v>
    <v>3520 Challenger St., TORRANCE, CA, 90503 US</v>
    <v>8.6</v>
    <v>Semiconductors &amp; Semiconductor Equipment</v>
    <v>Stock</v>
    <v>46318.999956527347</v>
    <v>44</v>
    <v>8.2899999999999991</v>
    <v>2187963530</v>
    <v>NAVITAS SEMICONDUCTOR CORPORATION</v>
    <v>NAVITAS SEMICONDUCTOR CORPORATION</v>
    <v>8.4499999999999993</v>
    <v>0</v>
    <v>8.49</v>
    <v>8.3800000000000008</v>
    <v>8.4353999999999996</v>
    <v>261093500</v>
    <v>NVTS</v>
    <v>NAVITAS SEMICONDUCTOR CORPORATION (XNAS:NVTS)</v>
    <v>9151875</v>
    <v>16495985</v>
    <v>2020</v>
  </rv>
  <rv s="2">
    <v>45</v>
  </rv>
  <rv s="0">
    <v>https://www.bing.com/financeapi/forcetrigger?t=a1nwjc&amp;q=XNAS%3aATOM&amp;form=skydnc</v>
    <v>Learn more on Bing</v>
  </rv>
  <rv s="1">
    <v>0</v>
    <v>ATOMERA INCORPORATED (XNAS:ATOM)</v>
    <v>2</v>
    <v>3</v>
    <v>Finance</v>
    <v>4</v>
    <v>en-GB</v>
    <v>a1nwjc</v>
    <v>268435456</v>
    <v>1</v>
    <v>Powered by Refinitiv</v>
    <v>12.365</v>
    <v>1.8915</v>
    <v>2.1741000000000001</v>
    <v>-0.14000000000000001</v>
    <v>-4.5454999999999995E-2</v>
    <v>-0.05</v>
    <v>-1.7007000000000001E-2</v>
    <v>USD</v>
    <v>Atomera Incorporated is engaged in the business of developing, commercializing and licensing processes and technologies for the semiconductor industry. The Company’s lead technology, named Mears Silicon Technology (MST) is a thin film of reengineered silicon, typically 100 to 300 angstroms (approximately 20 to 60 silicon atomic unit cells) thick. MST consists of layers of a non-semiconductor, such as oxygen, inserted into a semiconductor material, such as silicon, so that epitaxial growth is preserved. These layers can be used to modify or enhance the basic semiconductor properties and device attributes in a number of ways, including diffusion blocking, variability, mobility, gate leakage, and reliability, among others. MST can be used to create doping profiles. Its MSTcad is a Mathematical Model for the Synopsys Sentaurus Device Platform. MSTcad is available for Sentaurus Process and Device simulation packages, for physical and electrical characterization.</v>
    <v>21</v>
    <v>Nasdaq Stock Market</v>
    <v>XNAS</v>
    <v>XNAS</v>
    <v>750 University Avenue, Suite 280, LOS GATOS, CA, 95032 US</v>
    <v>3.0981999999999998</v>
    <v>Semiconductors &amp; Semiconductor Equipment</v>
    <v>Stock</v>
    <v>46318.999772256248</v>
    <v>47</v>
    <v>2.94</v>
    <v>ATOMERA INCORPORATED</v>
    <v>ATOMERA INCORPORATED</v>
    <v>3.04</v>
    <v>0</v>
    <v>3.08</v>
    <v>2.94</v>
    <v>2.89</v>
    <v>39024040</v>
    <v>ATOM</v>
    <v>ATOMERA INCORPORATED (XNAS:ATOM)</v>
    <v>767239</v>
    <v>607964</v>
    <v>2001</v>
  </rv>
  <rv s="2">
    <v>48</v>
  </rv>
  <rv s="0">
    <v>https://www.bing.com/financeapi/forcetrigger?t=a1y1qh&amp;q=XNAS%3aMSTR&amp;form=skydnc</v>
    <v>Learn more on Bing</v>
  </rv>
  <rv s="4">
    <v>5</v>
    <v>STRATEGY INC (XNAS:MSTR)</v>
    <v>2</v>
    <v>6</v>
    <v>Finance</v>
    <v>4</v>
    <v>en-GB</v>
    <v>a1y1qh</v>
    <v>268435456</v>
    <v>1</v>
    <v>Powered by Refinitiv</v>
    <v>299.8</v>
    <v>81.81</v>
    <v>3.5928</v>
    <v>0.21</v>
    <v>1.4399999999999999E-3</v>
    <v>0.67</v>
    <v>4.5889999999999993E-3</v>
    <v>USD</v>
    <v>Strategy Inc. is a bitcoin treasury and business intelligence company. The Company provides cloud-native, artificial intelligence (AI)-powered enterprise analytics software to thousands of global customers. Its Software Business segment is engaged in the design, development, marketing, and sales of enterprise analytics software platform through cloud subscriptions and licensing arrangements and related services. Its Strategy ONE platform provides access to AI-powered workflows, unlimited data sources, cloud-native technologies, and performance to speed up time from data to action. Strategy One delivers visualization, reporting, and embedded analytics capabilities across retail, banking, technology, manufacturing, insurance, consulting, healthcare, public sector, and others. Its Strategy Mosaic is a universal intelligence layer that provides enterprises with consistent definitions and governance across data sources, regardless of where that data resides or which tools access it.</v>
    <v>1539</v>
    <v>Nasdaq Stock Market</v>
    <v>XNAS</v>
    <v>XNAS</v>
    <v>1850 TOWERS CRESCENT PLAZA, TYSONS CORNER, VA, 22182 US</v>
    <v>152.21</v>
    <v>Software &amp; IT Services</v>
    <v>Stock</v>
    <v>46318.999909397658</v>
    <v>50</v>
    <v>144.20500000000001</v>
    <v>62528344469</v>
    <v>STRATEGY INC</v>
    <v>STRATEGY INC</v>
    <v>144.43</v>
    <v>0</v>
    <v>145.80000000000001</v>
    <v>146.01</v>
    <v>146.68</v>
    <v>428247000</v>
    <v>MSTR</v>
    <v>STRATEGY INC (XNAS:MSTR)</v>
    <v>18575760</v>
    <v>21826972</v>
    <v>1989</v>
  </rv>
  <rv s="2">
    <v>51</v>
  </rv>
  <rv s="0">
    <v>https://www.bing.com/financeapi/forcetrigger?t=a1xadm&amp;q=XNAS%3aMARA&amp;form=skydnc</v>
    <v>Learn more on Bing</v>
  </rv>
  <rv s="1">
    <v>0</v>
    <v>MARA HOLDINGS, INC. (XNAS:MARA)</v>
    <v>2</v>
    <v>3</v>
    <v>Finance</v>
    <v>4</v>
    <v>en-GB</v>
    <v>a1xadm</v>
    <v>268435456</v>
    <v>1</v>
    <v>Powered by Refinitiv</v>
    <v>20.47</v>
    <v>6.66</v>
    <v>5.2310999999999996</v>
    <v>-0.23</v>
    <v>-3.1724000000000002E-2</v>
    <v>0</v>
    <v>0</v>
    <v>USD</v>
    <v>MARA Holdings, Inc. is a digital infrastructure company. The Company focused on expanding its infrastructure capacity into adjacent workloads, including artificial intelligence (AI), high-performance computing (HPC) and critical information technology (IT). The Company transforms excess energy into digital capital, balancing the grid and accelerating the deployment of critical infrastructure. The Company primarily leverages Bitcoin mining as its core business. The Company operates multiple Bitcoin mining sites that provide hosting services to institutional-scale crypto mining companies. Hosting services include colocation and managed services. Colocation services include providing mining companies with sheltered data center space, electrical power, cooling, and internet connectivity. It operates across four continents and 19 data centers in North America, the Middle East, Europe, and Latin America, with approximately 1.9 gigawatts (GW) of total capacity.</v>
    <v>266</v>
    <v>Nasdaq Stock Market</v>
    <v>XNAS</v>
    <v>XNAS</v>
    <v>1010 South Federal Highway, Suite 2700, HALLANDALE BEACH, FL, 33009 US</v>
    <v>7.53</v>
    <v>Financial Technology (Fintech) &amp; Infrastructure</v>
    <v>Stock</v>
    <v>46318.999962001566</v>
    <v>53</v>
    <v>7.01</v>
    <v>MARA HOLDINGS, INC.</v>
    <v>MARA HOLDINGS, INC.</v>
    <v>7.24</v>
    <v>0</v>
    <v>7.25</v>
    <v>7.02</v>
    <v>7.02</v>
    <v>386299300</v>
    <v>MARA</v>
    <v>MARA HOLDINGS, INC. (XNAS:MARA)</v>
    <v>33912580</v>
    <v>38310413</v>
    <v>2010</v>
  </rv>
  <rv s="2">
    <v>54</v>
  </rv>
  <rv s="0">
    <v>https://www.bing.com/financeapi/forcetrigger?t=a221pr&amp;q=XNAS%3aRIOT&amp;form=skydnc</v>
    <v>Learn more on Bing</v>
  </rv>
  <rv s="1">
    <v>0</v>
    <v>RIOT PLATFORMS, INC. (XNAS:RIOT)</v>
    <v>2</v>
    <v>3</v>
    <v>Finance</v>
    <v>4</v>
    <v>en-GB</v>
    <v>a221pr</v>
    <v>268435456</v>
    <v>1</v>
    <v>Powered by Refinitiv</v>
    <v>30.32</v>
    <v>11.5</v>
    <v>3.9035000000000002</v>
    <v>-0.36</v>
    <v>-2.7928999999999999E-2</v>
    <v>-0.05</v>
    <v>-3.9900000000000005E-3</v>
    <v>USD</v>
    <v>Riot Platforms, Inc. is an integrated digital infrastructure company. The Company is principally engaged in developing and optimizing its power assets. Its segments include Bitcoin Mining and Engineering. The Bitcoin Mining segment is engaged in Bitcoin mining activities. The Engineering segment designs and manufacturers power distribution equipment and custom engineered electrical products. This segment also provides electricity distribution product design, manufacturing, and installation services primarily focused on large-scale commercial and governmental customers and serves clients across a range of markets including data center, power generation, utility, water, industrial, and alternative energy. It is also focused on developing a portion of its power capacity for artificial intelligence (AI)/ high-performance computing (HPC) uses. The Company provides electrical engineering services to a customer base of energy developers and data center operators.</v>
    <v>816</v>
    <v>Nasdaq Stock Market</v>
    <v>XNAS</v>
    <v>XNAS</v>
    <v>3855 AMBROSIA STREET, SUITE 301, CASTLE ROCK, CO, 80109 US</v>
    <v>13.015000000000001</v>
    <v>Financial Technology (Fintech) &amp; Infrastructure</v>
    <v>Stock</v>
    <v>46318.999907603909</v>
    <v>56</v>
    <v>12.44</v>
    <v>RIOT PLATFORMS, INC.</v>
    <v>RIOT PLATFORMS, INC.</v>
    <v>12.75</v>
    <v>0</v>
    <v>12.89</v>
    <v>12.53</v>
    <v>12.48</v>
    <v>375258900</v>
    <v>RIOT</v>
    <v>RIOT PLATFORMS, INC. (XNAS:RIOT)</v>
    <v>14774650</v>
    <v>17426254</v>
    <v>2017</v>
  </rv>
  <rv s="2">
    <v>57</v>
  </rv>
  <rv s="0">
    <v>https://www.bing.com/financeapi/forcetrigger?t=ayd1dm&amp;q=XNAS%3aHIVE&amp;form=skydnc</v>
    <v>Learn more on Bing</v>
  </rv>
  <rv s="4">
    <v>5</v>
    <v>HIVE DIGITAL TECHNOLOGIES LTD. (XNAS:HIVE)</v>
    <v>2</v>
    <v>13</v>
    <v>Finance</v>
    <v>4</v>
    <v>en-GB</v>
    <v>ayd1dm</v>
    <v>268435456</v>
    <v>1</v>
    <v>Powered by Refinitiv</v>
    <v>6.3</v>
    <v>1.73</v>
    <v>3.4129999999999998</v>
    <v>-0.02</v>
    <v>-1.0256000000000001E-2</v>
    <v>8.0000000000000002E-3</v>
    <v>4.1449999999999994E-3</v>
    <v>USD</v>
    <v>HIVE Digital Technologies Ltd. (HIVE) builds and operates Tier-I and Tier-III data centers across Canada, Sweden, and Paraguay, serving both Bitcoin and high-performance computing clients. The Company’s primary business is operating data centers, the computing power of which is used for high performance computing (HPC) and generating hashrate which is sold to mining pools and then used for the mining of cryptocurrencies. The mining pools acquire the hashrate from HIVE based on a Full Pay-Per-Share (FPPS) payout model. Its twin-turbo engine infrastructure-driven by hashrate services and graphic processing units (GPUs)-accelerated artificial intelligence (AI) computing. The mining pools acquire the hashrate from HIVE based on an FPPS payout model. The Company sells computational power to various third-party aggregators, including mining pools, enterprises supported by AI, and other miscellaneous data center applications.</v>
    <v>29</v>
    <v>Nasdaq Stock Market</v>
    <v>XNAS</v>
    <v>XNAS</v>
    <v>370-1095 West Pender Street, VANCOUVER, BC, V6E 2M6 CA</v>
    <v>1.99</v>
    <v>Financial Technology (Fintech) &amp; Infrastructure</v>
    <v>Stock</v>
    <v>46318.999529154687</v>
    <v>59</v>
    <v>1.91</v>
    <v>748353500</v>
    <v>HIVE DIGITAL TECHNOLOGIES LTD.</v>
    <v>HIVE DIGITAL TECHNOLOGIES LTD.</v>
    <v>1.95</v>
    <v>0</v>
    <v>1.95</v>
    <v>1.93</v>
    <v>1.9379999999999999</v>
    <v>276224100</v>
    <v>HIVE</v>
    <v>HIVE DIGITAL TECHNOLOGIES LTD. (XNAS:HIVE)</v>
    <v>8188075</v>
    <v>11219377</v>
    <v>1987</v>
  </rv>
  <rv s="2">
    <v>60</v>
  </rv>
  <rv s="0">
    <v>https://www.bing.com/financeapi/forcetrigger?t=a234r7&amp;q=XNAS%3aSMCI&amp;form=skydnc</v>
    <v>Learn more on Bing</v>
  </rv>
  <rv s="4">
    <v>5</v>
    <v>SUPER MICRO COMPUTER, INC. (XNAS:SMCI)</v>
    <v>2</v>
    <v>6</v>
    <v>Finance</v>
    <v>4</v>
    <v>en-GB</v>
    <v>a234r7</v>
    <v>268435456</v>
    <v>1</v>
    <v>Powered by Refinitiv</v>
    <v>54.08</v>
    <v>19.48</v>
    <v>2.1505000000000001</v>
    <v>-0.78</v>
    <v>-2.3132E-2</v>
    <v>2.35E-2</v>
    <v>7.1339999999999999E-4</v>
    <v>USD</v>
    <v>Super Micro Computer, Inc. is an application-optimized Total IT solutions provider including server, artificial intelligence (AI) systems, storage, Internet of Things (IoT) devices, switches, software, and support services. Total IT Solutions include complete servers, storage systems, modular blade servers, workstations, full-rack scale solutions, networking devices, server sub-systems, and server management. Its products are designed and manufactured in-house (in the United States, Taiwan, and the Netherlands). The Company's portfolio of Server Building Block Solutions allows customers to optimize for their exact workload and application by selecting from a broad family of systems built from the Company's flexible and reusable building blocks that support a comprehensive set of form factors, processors, memory, GPUs, storage, networking, power, and cooling solutions (air-conditioned, free air cooling or liquid cooling).</v>
    <v>7000</v>
    <v>Nasdaq Stock Market</v>
    <v>XNAS</v>
    <v>XNAS</v>
    <v>980 Rock Avenue, SAN JOSE, CA, 95131 US</v>
    <v>34.14</v>
    <v>Computers, Phones &amp; Household Electronics</v>
    <v>Stock</v>
    <v>46318.999784247659</v>
    <v>62</v>
    <v>32.729999999999997</v>
    <v>21640440276</v>
    <v>SUPER MICRO COMPUTER, INC.</v>
    <v>SUPER MICRO COMPUTER, INC.</v>
    <v>33.700000000000003</v>
    <v>10.7165</v>
    <v>33.72</v>
    <v>32.94</v>
    <v>32.963500000000003</v>
    <v>656965400</v>
    <v>SMCI</v>
    <v>SUPER MICRO COMPUTER, INC. (XNAS:SMCI)</v>
    <v>29728043</v>
    <v>37241363</v>
    <v>2006</v>
  </rv>
  <rv s="2">
    <v>63</v>
  </rv>
  <rv s="0">
    <v>https://www.bing.com/financeapi/forcetrigger?t=c62ogh&amp;q=XNAS%3aSOUN&amp;form=skydnc</v>
    <v>Learn more on Bing</v>
  </rv>
  <rv s="1">
    <v>0</v>
    <v>SOUNDHOUND AI, INC. (XNAS:SOUN)</v>
    <v>2</v>
    <v>3</v>
    <v>Finance</v>
    <v>4</v>
    <v>en-GB</v>
    <v>c62ogh</v>
    <v>268435456</v>
    <v>1</v>
    <v>Powered by Refinitiv</v>
    <v>19.09</v>
    <v>4.3499999999999996</v>
    <v>2.9125000000000001</v>
    <v>-7.0000000000000007E-2</v>
    <v>-1.5556E-2</v>
    <v>-2.7400000000000001E-2</v>
    <v>-6.1850000000000004E-3</v>
    <v>USD</v>
    <v>SoundHound AI, Inc. is a voice and agentic artificial intelligence (AI) company that enables businesses to deliver natural, end-to-end conversational experiences across digital and physical channels, including phones, kiosks, chat, smart devices, drive-thrus, televisions (TVs), in-vehicle, and others. Through its proprietary technology, its voice AI delivers speed and accuracy in numerous languages to product creators and service providers across automotive, TV, and internet of things (IoT), and to customer service industries via groundbreaking AI-driven products like Smart Answering, Smart Ordering, and Dynamic Interaction. Along with SoundHound Chat AI, a voice assistant with integrated Generative AI. Its agentic platform, OASYS, is a self-learning, orchestrated AI system where organizations can build and deploy conversational AI agents to handle transactions, tasks, and workflows on behalf of customers and employees.</v>
    <v>954</v>
    <v>Nasdaq Stock Market</v>
    <v>XNAS</v>
    <v>XNAS</v>
    <v>5400 Betsy Ross Drive, SANTA CLARA, CA, 95054 US</v>
    <v>4.5</v>
    <v>Software &amp; IT Services</v>
    <v>Stock</v>
    <v>46318.999997510939</v>
    <v>65</v>
    <v>4.3499999999999996</v>
    <v>SOUNDHOUND AI, INC.</v>
    <v>SOUNDHOUND AI, INC.</v>
    <v>4.46</v>
    <v>0</v>
    <v>4.5</v>
    <v>4.43</v>
    <v>4.4025999999999996</v>
    <v>486772200</v>
    <v>SOUN</v>
    <v>SOUNDHOUND AI, INC. (XNAS:SOUN)</v>
    <v>10722715</v>
    <v>15511427</v>
    <v>2020</v>
  </rv>
  <rv s="2">
    <v>66</v>
  </rv>
  <rv s="0">
    <v>https://www.bing.com/financeapi/forcetrigger?t=c1wr27&amp;q=XNYS%3aZETA&amp;form=skydnc</v>
    <v>Learn more on Bing</v>
  </rv>
  <rv s="8">
    <v>14</v>
    <v>ZETA GLOBAL HOLDINGS CORP. (XNYS:ZETA)</v>
    <v>2</v>
    <v>15</v>
    <v>Finance</v>
    <v>16</v>
    <v>en-GB</v>
    <v>c1wr27</v>
    <v>268435456</v>
    <v>1</v>
    <v>Powered by Refinitiv</v>
    <v>35.75</v>
    <v>14.365</v>
    <v>1.2393000000000001</v>
    <v>0.47</v>
    <v>1.4020999999999999E-2</v>
    <v>-0.12</v>
    <v>-3.5310000000000003E-3</v>
    <v>USD</v>
    <v>Zeta Global Holdings Corp. is a marketing technology company that uses proprietary data, artificial intelligence (AI) and software to create a technology platform that enables marketers to acquire, retain and grow customer relationships. The Company empowers its customers to target, connect and engage consumers through software that delivers personalized marketing across all addressable channels, including email, social media, web, chat, Connected TV and video, among others. Its Generative AI (GenAI)-driven marketing solutions enable brands to personalize experiences on a scale, measure impact with precision and optimize marketing spending to increase return on investment. Its Zeta Marketing Platform (ZMP) is an AI-powered marketing platform with identity data at its core. Leveraging GenAI and machine learning, the ZMP processes billions of structured and unstructured data signals to predict consumer intent, optimize messaging and drive personalized messaging across all channels.</v>
    <v>3300</v>
    <v>New York Stock Exchange</v>
    <v>XNYS</v>
    <v>XNYS</v>
    <v>3 Park Avenue, 33Rd Floor, NEW YORK, NY, 10016 US</v>
    <v>34.024999999999999</v>
    <v>Software &amp; IT Services</v>
    <v>Stock</v>
    <v>46318.997696110935</v>
    <v>68</v>
    <v>32.844999999999999</v>
    <v>ZETA GLOBAL HOLDINGS CORP.</v>
    <v>ZETA GLOBAL HOLDINGS CORP.</v>
    <v>33.21</v>
    <v>33.520000000000003</v>
    <v>33.99</v>
    <v>33.86</v>
    <v>251013600</v>
    <v>ZETA</v>
    <v>ZETA GLOBAL HOLDINGS CORP. (XNYS:ZETA)</v>
    <v>3120730</v>
    <v>6243132</v>
    <v>2012</v>
  </rv>
  <rv s="2">
    <v>69</v>
  </rv>
  <rv s="9">
    <v>17</v>
    <v>TEMPUS AI, INC. (XNAS:TEM)</v>
    <v>18</v>
    <v>3</v>
    <v>Finance</v>
    <v>4</v>
    <v>en-GB</v>
    <v>cd9jsm</v>
    <v>268435456</v>
    <v>1</v>
    <v>Powered by Refinitiv</v>
    <v>93.38</v>
    <v>40.770000000000003</v>
    <v>3.03</v>
    <v>3.8050000000000002</v>
    <v>5.9630000000000002E-2</v>
    <v>-0.55500000000000005</v>
    <v>-8.208E-3</v>
    <v>USD</v>
    <v>Tempus AI, Inc. is a technology company advancing precision medicine through the practical application of artificial intelligence in healthcare. It offers AI-enabled precision medicine solutions to physicians to deliver personalized patient care and, in parallel, facilitates discovery, development and delivery of optimal therapeutics. It provides three product lines: Genomics, Data and artificial intelligence applications (AI). The Genomics product line leverages its laboratories to provide next generation sequencing (NGS) diagnostics, polymerase chain reaction, profiling, molecular genotyping and other anatomic and molecular pathology testing. The data generated in its lab or ingested into its platform is structured and de-identified, prior to commercialization. Its AI Applications is focused on developing and providing diagnostics that are algorithmic in nature, implementing new software as a medical device, and building and deploying clinical decision support tools.</v>
    <v>3800</v>
    <v>Nasdaq Stock Market</v>
    <v>XNAS</v>
    <v>XNAS</v>
    <v>600 West Chicago Avenue, Suite 510, CHICAGO, IL, 60654 US</v>
    <v>68.144999999999996</v>
    <v>Biotechnology &amp; Medical Research</v>
    <v>Stock</v>
    <v>46318.999056828128</v>
    <v>62.670299999999997</v>
    <v>TEMPUS AI, INC.</v>
    <v>TEMPUS AI, INC.</v>
    <v>63.94</v>
    <v>0</v>
    <v>63.81</v>
    <v>67.614999999999995</v>
    <v>67.06</v>
    <v>182242000</v>
    <v>TEM</v>
    <v>TEMPUS AI, INC. (XNAS:TEM)</v>
    <v>4691091</v>
    <v>6742500</v>
    <v>2025</v>
  </rv>
  <rv s="2">
    <v>71</v>
  </rv>
  <rv s="10">
    <fb t="e">#N/A</fb>
    <v>6</v>
    <v>4</v>
  </rv>
  <rv s="0">
    <v>https://www.bing.com/financeapi/forcetrigger?t=brg5u2&amp;q=XNYS%3aHIMS&amp;form=skydnc</v>
    <v>Learn more on Bing</v>
  </rv>
  <rv s="8">
    <v>14</v>
    <v>HIMS &amp; HERS HEALTH, INC. (XNYS:HIMS)</v>
    <v>2</v>
    <v>15</v>
    <v>Finance</v>
    <v>4</v>
    <v>en-GB</v>
    <v>brg5u2</v>
    <v>268435456</v>
    <v>1</v>
    <v>Powered by Refinitiv</v>
    <v>50.99</v>
    <v>13.74</v>
    <v>2.5265</v>
    <v>-1.42</v>
    <v>-4.8746999999999999E-2</v>
    <v>0.09</v>
    <v>3.2479999999999996E-3</v>
    <v>USD</v>
    <v>Hims &amp; Hers Health, Inc. operates as a consumer-first platform, which helps customers to fulfill their health and wellness needs. Its platform includes access to a provider network, a clinically focused electronic medical record system, digital prescriptions, cloud-enabled pharmacy fulfillment, and personalization capabilities. Its digital platform enables access to treatments for a range of conditions, including primarily those related to sexual health, hair loss, hormone health, weight loss, dermatology, and mental health, as well as services such as comprehensive laboratory testing. It connects patients to licensed healthcare professionals who can prescribe medications when appropriate and prescriptions are fulfilled online through licensed pharmacies. It also offers access to a range of health and wellness products designed to meet individual needs, which can include curated prescription and non-prescription products.</v>
    <v>2442</v>
    <v>New York Stock Exchange</v>
    <v>XNYS</v>
    <v>XNYS</v>
    <v>2269 Chestnut St, #523, SAN FRANCISCO, CA, 94123 US</v>
    <v>28.905000000000001</v>
    <v>Healthcare Providers &amp; Services</v>
    <v>Stock</v>
    <v>46318.999842430472</v>
    <v>74</v>
    <v>27.3</v>
    <v>HIMS &amp; HERS HEALTH, INC.</v>
    <v>HIMS &amp; HERS HEALTH, INC.</v>
    <v>28.85</v>
    <v>29.13</v>
    <v>27.71</v>
    <v>27.8</v>
    <v>233313400</v>
    <v>HIMS</v>
    <v>HIMS &amp; HERS HEALTH, INC. (XNYS:HIMS)</v>
    <v>9827569</v>
    <v>10396731</v>
    <v>2021</v>
  </rv>
  <rv s="2">
    <v>75</v>
  </rv>
  <rv s="0">
    <v>https://www.bing.com/financeapi/forcetrigger?t=b19hc7&amp;q=XNYS%3aVRT&amp;form=skydnc</v>
    <v>Learn more on Bing</v>
  </rv>
  <rv s="1">
    <v>0</v>
    <v>VERTIV HOLDINGS CO (XNYS:VRT)</v>
    <v>2</v>
    <v>3</v>
    <v>Finance</v>
    <v>4</v>
    <v>en-GB</v>
    <v>b19hc7</v>
    <v>268435456</v>
    <v>1</v>
    <v>Powered by Refinitiv</v>
    <v>379.935</v>
    <v>147.82</v>
    <v>2.1280999999999999</v>
    <v>-1.27</v>
    <v>-6.4929999999999996E-3</v>
    <v>0.77149999999999996</v>
    <v>3.9700000000000004E-3</v>
    <v>USD</v>
    <v>Vertiv Holdings Co. provides mission-critical digital infrastructure technologies and lifecycle services primarily for data centers, communication networks, and commercial and industrial environments. The Company operates in three business segments: the Americas; Asia Pacific, and Europe, Middle East &amp; Africa. The Company's offerings include alternate current (AC) and direct current (DC) power management, thermal management, low/medium voltage switchgear, busbar, air cooled and liquid cooled thermal management products, integrated modular solutions, racks, single phase UPS, rack power distribution, rack thermal systems, configurable integrated solutions, energy storage solutions, hardware, software for managing IT equipment, management systems for monitoring and controlling digital infrastructure, and services. It also provides preventative maintenance, acceptance testing, engineering and consulting, remote monitoring, training, spare parts, specialized fluid management, and others.</v>
    <v>34000</v>
    <v>New York Stock Exchange</v>
    <v>XNYS</v>
    <v>XNYS</v>
    <v>505 N. Cleveland Ave., WESTERVILLE, OH, 43082 US</v>
    <v>196.73</v>
    <v>Machinery, Equipment &amp; Components</v>
    <v>Stock</v>
    <v>46318.999987673436</v>
    <v>77</v>
    <v>187.24</v>
    <v>VERTIV HOLDINGS CO</v>
    <v>VERTIV HOLDINGS CO</v>
    <v>191.6</v>
    <v>44.2622</v>
    <v>195.59</v>
    <v>194.32</v>
    <v>195.0915</v>
    <v>384988200</v>
    <v>VRT</v>
    <v>VERTIV HOLDINGS CO (XNYS:VRT)</v>
    <v>7398336</v>
    <v>5265947</v>
    <v>2016</v>
  </rv>
  <rv s="2">
    <v>78</v>
  </rv>
  <rv s="0">
    <v>https://www.bing.com/financeapi/forcetrigger?t=bpmtzr&amp;q=XNYS%3aJMIA&amp;form=skydnc</v>
    <v>Learn more on Bing</v>
  </rv>
  <rv s="8">
    <v>14</v>
    <v>Jumia Technologies AG (XNYS:JMIA)</v>
    <v>2</v>
    <v>15</v>
    <v>Finance</v>
    <v>4</v>
    <v>en-GB</v>
    <v>bpmtzr</v>
    <v>268435456</v>
    <v>1</v>
    <v>Powered by Refinitiv</v>
    <v>14.72</v>
    <v>5.585</v>
    <v>2.6613000000000002</v>
    <v>-0.21</v>
    <v>-3.5533000000000002E-2</v>
    <v>1.01E-2</v>
    <v>1.7719999999999999E-3</v>
    <v>USD</v>
    <v>Jumia Technologies AG is a Germany-based e-commerce platform provider. The Company’s platform consist of sellers with consumers, its logistics service, which enables the shipment and delivery of packages from sellers to consumers, and its payment service, which facilitates transactions among participants active on the Company’s platform. The Company’s marketplace is consists of a range of sellers that offer goods in a wide range of categories, such as fashion and apparel, smartphones, home and living, consumer packaged goods, beauty and perfumes and other electronics. The Company also provide consumers with access to a various services, such as restaurant food delivery, hotel and flight booking, classified advertising and airtime recharge.</v>
    <v>1770</v>
    <v>New York Stock Exchange</v>
    <v>XNYS</v>
    <v>XNYS</v>
    <v>Skalitzer Strasse 104, Berlin, BERLIN, 10997 DE</v>
    <v>5.93</v>
    <v>Software &amp; IT Services</v>
    <v>Stock</v>
    <v>46318.979226284377</v>
    <v>80</v>
    <v>5.6550000000000002</v>
    <v>Jumia Technologies AG</v>
    <v>Jumia Technologies AG</v>
    <v>5.83</v>
    <v>5.91</v>
    <v>5.7</v>
    <v>5.7100999999999997</v>
    <v>124567900</v>
    <v>JMIA</v>
    <v>Jumia Technologies AG (XNYS:JMIA)</v>
    <v>1209243</v>
    <v>1363079</v>
    <v>2019</v>
  </rv>
  <rv s="2">
    <v>81</v>
  </rv>
  <rv s="0">
    <v>https://www.bing.com/financeapi/forcetrigger?t=bh5hqh&amp;q=XNAS%3aESTA&amp;form=skydnc</v>
    <v>Learn more on Bing</v>
  </rv>
  <rv s="1">
    <v>0</v>
    <v>ESTABLISHMENT LABS HOLDINGS INC. (XNAS:ESTA)</v>
    <v>2</v>
    <v>3</v>
    <v>Finance</v>
    <v>4</v>
    <v>en-GB</v>
    <v>bh5hqh</v>
    <v>268435456</v>
    <v>1</v>
    <v>Powered by Refinitiv</v>
    <v>97.59</v>
    <v>47</v>
    <v>1.0261</v>
    <v>0.28000000000000003</v>
    <v>4.4080000000000005E-3</v>
    <v>0</v>
    <v>0</v>
    <v>USD</v>
    <v>Establishment Labs Holdings Inc. is Costa Rica-based medical technology and aesthetics company that is focused on women's health reconstruction market. The Company is engaged in the designing, developing, manufacturing and marketing of product portfolio consisting of silicone-filled breast and body shaping implants. The main activities are conducted at two manufacturing facilities in Costa Rica including Motiva Implants brand sold in over 80 countries globally through a combination of distributors and direct sales to customers.</v>
    <v>56</v>
    <v>Nasdaq Stock Market</v>
    <v>XNAS</v>
    <v>XNAS</v>
    <v>Coyol Free Zone, B15, ALAJUELA, ALAJUELA CR</v>
    <v>64.94</v>
    <v>Healthcare Equipment &amp; Supplies</v>
    <v>Stock</v>
    <v>46318.979209467187</v>
    <v>83</v>
    <v>62.85</v>
    <v>ESTABLISHMENT LABS HOLDINGS INC.</v>
    <v>ESTABLISHMENT LABS HOLDINGS INC.</v>
    <v>63.14</v>
    <v>0</v>
    <v>63.52</v>
    <v>63.8</v>
    <v>63.8</v>
    <v>29801890</v>
    <v>ESTA</v>
    <v>ESTABLISHMENT LABS HOLDINGS INC. (XNAS:ESTA)</v>
    <v>346314</v>
    <v>399043</v>
    <v>2013</v>
  </rv>
  <rv s="2">
    <v>84</v>
  </rv>
  <rv s="0">
    <v>https://www.bing.com/financeapi/forcetrigger?t=bxb5m7&amp;q=XNYS%3aIONQ&amp;form=skydnc</v>
    <v>Learn more on Bing</v>
  </rv>
  <rv s="11">
    <v>19</v>
    <v>IONQ, INC. (XNYS:IONQ)</v>
    <v>2</v>
    <v>20</v>
    <v>Finance</v>
    <v>4</v>
    <v>en-GB</v>
    <v>bxb5m7</v>
    <v>268435456</v>
    <v>1</v>
    <v>Powered by Refinitiv</v>
    <v>73.650000000000006</v>
    <v>25.89</v>
    <v>3.3039000000000001</v>
    <v>0.11</v>
    <v>3.5299999999999997E-3</v>
    <v>-7.6499999999999999E-2</v>
    <v>-2.4460000000000003E-3</v>
    <v>USD</v>
    <v>IonQ, Inc. is engaged in the quantum computing and networking industry, delivering high-performance systems capable of solving complex commercial and research use cases. Its generation quantum computers, IonQ Forte and IonQ Forte Enterprise, are cutting-edge systems, boasting 36 algorithmic qubits. It sells specialized quantum computing and networking hardware together with related maintenance and support. It also sells access to several quantum computers of various qubit capacities and is in the process of researching and developing technologies for quantum computers with increasing computational capabilities. It makes access to its quantum computers available via three cloud platforms, Amazon Web Services' (AWS) Amazon Braket, Microsoft's Azure Quantum and Google's Cloud Marketplace, and also to select customers via its own cloud service. Its product portfolio also includes quantum key distribution (QKD) systems, quantum random number generators (QRNGs), and single-photon detectors.</v>
    <v>1132</v>
    <v>New York Stock Exchange</v>
    <v>XNYS</v>
    <v>XNYS</v>
    <v>4505 Campus Drive, Suite 100, COLLEGE PARK, MD, 20740 US</v>
    <v>31.58</v>
    <v>Computers, Phones &amp; Household Electronics</v>
    <v>Stock</v>
    <v>46318.999718703126</v>
    <v>86</v>
    <v>30.38</v>
    <v>13427578779</v>
    <v>IONQ, INC.</v>
    <v>IONQ, INC.</v>
    <v>30.92</v>
    <v>31.16</v>
    <v>31.27</v>
    <v>31.1935</v>
    <v>429407700</v>
    <v>IONQ</v>
    <v>IONQ, INC. (XNYS:IONQ)</v>
    <v>13094036</v>
    <v>26339638</v>
    <v>2020</v>
  </rv>
  <rv s="2">
    <v>87</v>
  </rv>
  <rv s="0">
    <v>https://www.bing.com/financeapi/forcetrigger?t=c1uvkr&amp;q=XNAS%3aRGTI&amp;form=skydnc</v>
    <v>Learn more on Bing</v>
  </rv>
  <rv s="4">
    <v>5</v>
    <v>RIGETTI COMPUTING, INC. (XNAS:RGTI)</v>
    <v>2</v>
    <v>6</v>
    <v>Finance</v>
    <v>4</v>
    <v>en-GB</v>
    <v>c1uvkr</v>
    <v>268435456</v>
    <v>1</v>
    <v>Powered by Refinitiv</v>
    <v>44.52</v>
    <v>11.11</v>
    <v>2.1417000000000002</v>
    <v>0.04</v>
    <v>3.4839999999999997E-3</v>
    <v>-0.09</v>
    <v>-7.8120000000000004E-3</v>
    <v>USD</v>
    <v>Rigetti Computing, Inc. is a full-stack quantum computing company. The Company operates quantum computers over the cloud and serves global enterprise, government, and research clients through its Rigetti Quantum Cloud Services platform. The Company’s quantum-classical infrastructure provides high-performance integration with public and private clouds for practical quantum computing. It has developed a multi-chip quantum processor for scalable quantum computing systems. Through the Company’s Quantum Computing as a Service (QCaaS) platform, its machines can be integrated into any public, private or hybrid cloud. It is also engaged in the sale of quantum processing units (QPUs) and custom computing components, and development contracts and other services. Its QPUs contain fabricated silicon-based chips featuring superconducting qubits. The Company designs and manufactures its chips in-house at Fab-1, an integrated quantum device manufacturing facility.</v>
    <v>162</v>
    <v>Nasdaq Stock Market</v>
    <v>XNAS</v>
    <v>XNAS</v>
    <v>775 Heinz Avenue, BERKELEY, CA, 94710 US</v>
    <v>11.61</v>
    <v>Semiconductors &amp; Semiconductor Equipment</v>
    <v>Stock</v>
    <v>46318.999821365622</v>
    <v>89</v>
    <v>11.19</v>
    <v>3845015424</v>
    <v>RIGETTI COMPUTING, INC.</v>
    <v>RIGETTI COMPUTING, INC.</v>
    <v>11.32</v>
    <v>0</v>
    <v>11.48</v>
    <v>11.52</v>
    <v>11.43</v>
    <v>333768700</v>
    <v>RGTI</v>
    <v>RIGETTI COMPUTING, INC. (XNAS:RGTI)</v>
    <v>8613138</v>
    <v>15651683</v>
    <v>2022</v>
  </rv>
  <rv s="2">
    <v>90</v>
  </rv>
  <rv s="0">
    <v>https://www.bing.com/financeapi/forcetrigger?t=bx3ch7&amp;q=XNYS%3aXPOA&amp;form=skydnc</v>
    <v>Learn more on Bing</v>
  </rv>
  <rv s="4">
    <v>5</v>
    <v>D-WAVE QUANTUM INC. (XNAS:QBTS)</v>
    <v>2</v>
    <v>6</v>
    <v>Finance</v>
    <v>4</v>
    <v>en-GB</v>
    <v>bx3ch7</v>
    <v>268435456</v>
    <v>1</v>
    <v>Powered by Refinitiv</v>
    <v>37.619999999999997</v>
    <v>11.26</v>
    <v>2.3163</v>
    <v>0.03</v>
    <v>2.5800000000000003E-3</v>
    <v>0.03</v>
    <v>2.5729999999999998E-3</v>
    <v>USD</v>
    <v>D-Wave Quantum Inc. is a quantum computing company, which is engaged in the development and delivery of quantum computing systems, software, and services. The Company builds and delivers systems, cloud services, application development tools, and professional services to support the end-to-end quantum computing journey for enterprises and developers. The Company's products include Cloud Platform, Systems, Professional Services, and others. Under its Cloud Platform, the Leap quantum cloud service delivers immediate, real-time access to its quantum computers and hybrid solvers services. Under its Systems, the Advantage quantum system is a quantum computer designed for business. It also offers quantum applications to a range of customers, including resource scheduling, factory scheduling, industrial construction design, drug discovery, and others. It offers solutions across workforce scheduling, production scheduling, vehicle routing, resource optimization, and cargo loading.</v>
    <v>382</v>
    <v>Nasdaq Stock Market</v>
    <v>XNAS</v>
    <v>XNAS</v>
    <v>2650 East Bayshore Road, PALO ALTO, CA, 94303 US</v>
    <v>11.69</v>
    <v>Software &amp; IT Services</v>
    <v>Stock</v>
    <v>46318.999946503907</v>
    <v>92</v>
    <v>11.26</v>
    <v>4426446156</v>
    <v>D-WAVE QUANTUM INC.</v>
    <v>D-WAVE QUANTUM INC.</v>
    <v>11.56</v>
    <v>0</v>
    <v>11.63</v>
    <v>11.66</v>
    <v>11.69</v>
    <v>379626600</v>
    <v>QBTS</v>
    <v>D-WAVE QUANTUM INC. (XNAS:QBTS)</v>
    <v>10480097</v>
    <v>15866579</v>
    <v>2022</v>
  </rv>
  <rv s="2">
    <v>93</v>
  </rv>
  <rv s="9">
    <v>17</v>
    <v>GE VERNOVA INC. (XNYS:GEV)</v>
    <v>18</v>
    <v>3</v>
    <v>Finance</v>
    <v>4</v>
    <v>en-GB</v>
    <v>ccmvww</v>
    <v>268435456</v>
    <v>1</v>
    <v>Powered by Refinitiv</v>
    <v>1195.94</v>
    <v>530.16</v>
    <v>1.3069999999999999</v>
    <v>-12.42</v>
    <v>-1.5011000000000002E-2</v>
    <v>-0.86</v>
    <v>-1.0549999999999999E-3</v>
    <v>USD</v>
    <v>GE Vernova Inc. is engaged in the electric power industry, with products and services that generate, transfer, orchestrate, convert, and store electricity. It designs, manufactures, delivers, and services technologies to create a sustainable electric power system, enabling electrification and decarbonization. Power segment includes the design, manufacture, and servicing of gas, nuclear, hydro, and steam technologies, providing a critical foundation of dispatchable, flexible, stable, and reliable power. Wind segment includes its wind generation technologies, inclusive of onshore and offshore wind turbines and blades. The electrification segment includes grid solutions, power conversion and storage, and electrification software technologies required for the transmission, distribution, conversion, storage, and orchestration of electricity from point of generation to point of consumption. Its accelerator business includes advanced research, consulting services and financial services.</v>
    <v>75000</v>
    <v>New York Stock Exchange</v>
    <v>XNYS</v>
    <v>XNYS</v>
    <v>58 Charles Street, CAMBRIDGE, MA, 02141 US</v>
    <v>832.43</v>
    <v>Electrical Utilities &amp; IPPs</v>
    <v>Stock</v>
    <v>46318.999998772655</v>
    <v>796.41499999999996</v>
    <v>GE VERNOVA INC.</v>
    <v>GE VERNOVA INC.</v>
    <v>825</v>
    <v>23.651499999999999</v>
    <v>827.42</v>
    <v>815</v>
    <v>814.14</v>
    <v>266333600</v>
    <v>GEV</v>
    <v>GE VERNOVA INC. (XNYS:GEV)</v>
    <v>3861865</v>
    <v>2397888</v>
    <v>2023</v>
  </rv>
  <rv s="2">
    <v>95</v>
  </rv>
  <rv s="0">
    <v>https://www.bing.com/financeapi/forcetrigger?t=c4xjc7&amp;q=XNAS%3aCEG&amp;form=skydnc</v>
    <v>Learn more on Bing</v>
  </rv>
  <rv s="4">
    <v>5</v>
    <v>CONSTELLATION ENERGY CORPORATION. (XNAS:CEG)</v>
    <v>2</v>
    <v>6</v>
    <v>Finance</v>
    <v>4</v>
    <v>en-GB</v>
    <v>c4xjc7</v>
    <v>268435456</v>
    <v>1</v>
    <v>Powered by Refinitiv</v>
    <v>406.04250000000002</v>
    <v>228.63</v>
    <v>1.1325000000000001</v>
    <v>-1.76</v>
    <v>-6.8960000000000002E-3</v>
    <v>-3.5900000000000001E-2</v>
    <v>-1.416E-4</v>
    <v>USD</v>
    <v>Constellation Energy Corporation is a producer of emissions-free energy and an energy supplier to businesses, homes and public sector customers nationwide. The Company’s nuclear, hydro, wind, and solar generation facilities have the generating capacity to power the equivalent of 27 million homes, providing about 10% of the nation’s clean energy. Its segments include Mid-Atlantic, Midwest, New York, ERCOT, and Other Power Regions. Through its integrated business operations, it sells electricity, natural gas, and other energy-related products and sustainable solutions to various types of customers, including distribution utilities, municipalities, cooperatives, commercial, industrial, public sector, and residential customers in markets across multiple geographic regions. It operates approximately 55 gigawatts of capacity from nuclear, natural gas, geothermal, hydro, wind and solar facilities.</v>
    <v>15291</v>
    <v>Nasdaq Stock Market</v>
    <v>XNAS</v>
    <v>XNAS</v>
    <v>1310 Point Street, BALTIMORE, MD, 21231 US</v>
    <v>256.79000000000002</v>
    <v>Electrical Utilities &amp; IPPs</v>
    <v>Stock</v>
    <v>46318.999992881247</v>
    <v>97</v>
    <v>247.2</v>
    <v>89799210530</v>
    <v>CONSTELLATION ENERGY CORPORATION.</v>
    <v>CONSTELLATION ENERGY CORPORATION.</v>
    <v>254</v>
    <v>24.865600000000001</v>
    <v>255.21</v>
    <v>253.45</v>
    <v>253.41409999999999</v>
    <v>354307400</v>
    <v>CEG</v>
    <v>CONSTELLATION ENERGY CORPORATION. (XNAS:CEG)</v>
    <v>2888283</v>
    <v>4042739</v>
    <v>2021</v>
  </rv>
  <rv s="2">
    <v>98</v>
  </rv>
  <rv s="0">
    <v>https://www.bing.com/financeapi/forcetrigger?t=c2m6c7&amp;q=XNYS%3aALCC&amp;form=skydnc</v>
    <v>Learn more on Bing</v>
  </rv>
  <rv s="8">
    <v>14</v>
    <v>OKLO INC. (XNYS:OKLO)</v>
    <v>2</v>
    <v>15</v>
    <v>Finance</v>
    <v>4</v>
    <v>en-GB</v>
    <v>c2m6c7</v>
    <v>268435456</v>
    <v>1</v>
    <v>Powered by Refinitiv</v>
    <v>152.06</v>
    <v>26.07</v>
    <v>1.3024</v>
    <v>-0.66</v>
    <v>-2.4434999999999998E-2</v>
    <v>-0.03</v>
    <v>-1.139E-3</v>
    <v>USD</v>
    <v>Oklo Inc. is an advanced nuclear technology company. It is engaged in developing fast fission power plants to provide clean, reliable, and affordable energy at scale. It focuses on producing electricity and heat from its Aurora powerhouses, which can run on fresh, recycled, or down-blended nuclear fuel. It is also commercializing nuclear fuel recycling technology that can convert used nuclear fuel into usable fuel for its powerhouses and those of others. Its Aurora powerhouse product line is designed with embedded safety features, to be able to run on fresh, recycled, or down-blended fuel, and to produce 15-75 megawatts of electric (MWe). Its radioisotope activities are to support domestic supply for medical, industrial, space, defense, and other critical applications. Its capabilities also include high-precision machining, prototyping, fabrication, inspection, and others. It also specializes in process development and skid fabrication with a long background in reactive metals.</v>
    <v>205</v>
    <v>New York Stock Exchange</v>
    <v>XNYS</v>
    <v>XNYS</v>
    <v>3190 Coronado Dr, SANTA CLARA, CA, 95054 US</v>
    <v>26.9</v>
    <v>Electrical Utilities &amp; IPPs</v>
    <v>Stock</v>
    <v>46318.99974851797</v>
    <v>100</v>
    <v>26.07</v>
    <v>OKLO INC.</v>
    <v>OKLO INC.</v>
    <v>26.68</v>
    <v>27.01</v>
    <v>26.35</v>
    <v>26.32</v>
    <v>186017700</v>
    <v>OKLO</v>
    <v>OKLO INC. (XNYS:OKLO)</v>
    <v>6120608</v>
    <v>9531941</v>
    <v>2021</v>
  </rv>
  <rv s="2">
    <v>101</v>
  </rv>
  <rv s="0">
    <v>https://www.bing.com/financeapi/forcetrigger?t=bx1rdm&amp;q=XNYS%3aSMR&amp;form=skydnc</v>
    <v>Learn more on Bing</v>
  </rv>
  <rv s="11">
    <v>19</v>
    <v>NUSCALE POWER CORPORATION (XNYS:SMR)</v>
    <v>2</v>
    <v>20</v>
    <v>Finance</v>
    <v>4</v>
    <v>en-GB</v>
    <v>bx1rdm</v>
    <v>268435456</v>
    <v>1</v>
    <v>Powered by Refinitiv</v>
    <v>45.54</v>
    <v>5.2</v>
    <v>2.4192999999999998</v>
    <v>0</v>
    <v>0</v>
    <v>-0.06</v>
    <v>-1.1152E-2</v>
    <v>USD</v>
    <v>NuScale Power Corporation is a provider of proprietary advanced small modular reactor (SMR) nuclear technology. The NuScale Power Module, the Company's SMR technology, is a small pressurized water reactor that can generate approximately 77 megawatts of electricity (MWe) or 250 megawatts thermal (gross) and can be scaled to meet customer needs through an array of flexible configurations of up to 924 MWe (12 modules) of output. In addition to the sale of NPMs, it offers a diversified suite of services throughout the development and operating life of the power plant. The Company's suite of services is planned to include licensing support, testing, training, fuel supply services and program management, among others. It serves a range of customers consisting of domestic and international governments, utilities, state-owned enterprises and technology and industrial companies in need of carbon-free, reliable energy.</v>
    <v>428</v>
    <v>New York Stock Exchange</v>
    <v>XNYS</v>
    <v>XNYS</v>
    <v>1100 Ne Circle Blvd., Suite 350, CORVALLIS, OR, 97330 US</v>
    <v>5.45</v>
    <v>Electrical Utilities &amp; IPPs</v>
    <v>Stock</v>
    <v>46318.999669316407</v>
    <v>103</v>
    <v>5.2</v>
    <v>2311911354</v>
    <v>NUSCALE POWER CORPORATION</v>
    <v>NUSCALE POWER CORPORATION</v>
    <v>5.29</v>
    <v>5.38</v>
    <v>5.38</v>
    <v>5.32</v>
    <v>429723300</v>
    <v>SMR</v>
    <v>NUSCALE POWER CORPORATION (XNYS:SMR)</v>
    <v>21677430</v>
    <v>33436779</v>
    <v>2022</v>
  </rv>
  <rv s="2">
    <v>104</v>
  </rv>
  <rv s="12">
    <v>21</v>
    <v>Nano Nuclear Energy Inc. (XNAS:NNE)</v>
    <v>18</v>
    <v>6</v>
    <v>Finance</v>
    <v>4</v>
    <v>en-GB</v>
    <v>cd5wxm</v>
    <v>268435456</v>
    <v>1</v>
    <v>Powered by Refinitiv</v>
    <v>49.5</v>
    <v>11.95</v>
    <v>4</v>
    <v>-0.37</v>
    <v>-2.9529E-2</v>
    <v>0.08</v>
    <v>6.5790000000000006E-3</v>
    <v>USD</v>
    <v>NANO Nuclear Energy Inc. is a nuclear energy and technology company. The Company is engaged in developing clean energy solutions. Its business lines include Nuclear Reactor Business, Fuel Processing Business, Fuel Transportation Business and Nuclear Consultation Services. The Nuclear Reactor Business is engaged in developing nuclear microreactors with a focus on KRONOS MMR Energy System, which is a reactor designed for both small- and large-scale operations. The Fuel Processing Business develops domestic low-enriched uranium (LEU) and high-assay low-enriched uranium (HALEU) fuel supply chain to supply fuel for reactors and to the broader nuclear reactor industry. Nuclear Consultation Services provides nuclear service support and consultation services for the nuclear energy industry. Its subsidiaries include HALEU Energy Fuel Inc., American Uranium Inc., Advanced Fuel Transportation Inc., Nano Nuclear Space Inc., Kronos MMR Inc., LOKI MMR Inc., and True North Nuclear Ltd.</v>
    <v>36</v>
    <v>Nasdaq Stock Market</v>
    <v>XNAS</v>
    <v>XNAS</v>
    <v>10 Times Square, 30th Floor, NEW YORK, NY, 10018 US</v>
    <v>12.45</v>
    <v>Electrical Utilities &amp; IPPs</v>
    <v>Stock</v>
    <v>46318.995128923438</v>
    <v>11.95</v>
    <v>652969504</v>
    <v>Nano Nuclear Energy Inc.</v>
    <v>Nano Nuclear Energy Inc.</v>
    <v>12.4</v>
    <v>0</v>
    <v>12.53</v>
    <v>12.16</v>
    <v>12.24</v>
    <v>53698150</v>
    <v>NNE</v>
    <v>Nano Nuclear Energy Inc. (XNAS:NNE)</v>
    <v>1660447</v>
    <v>2075700</v>
    <v>2022</v>
  </rv>
  <rv s="2">
    <v>106</v>
  </rv>
  <rv s="0">
    <v>https://www.bing.com/financeapi/forcetrigger?t=a1p252&amp;q=XNYS%3aBWXT&amp;form=skydnc</v>
    <v>Learn more on Bing</v>
  </rv>
  <rv s="4">
    <v>5</v>
    <v>BWX TECHNOLOGIES, INC. (XNYS:BWXT)</v>
    <v>2</v>
    <v>6</v>
    <v>Finance</v>
    <v>4</v>
    <v>en-GB</v>
    <v>a1p252</v>
    <v>268435456</v>
    <v>1</v>
    <v>Powered by Refinitiv</v>
    <v>241.82</v>
    <v>123.05</v>
    <v>0.75180000000000002</v>
    <v>-0.11</v>
    <v>-8.6410000000000002E-4</v>
    <v>0.81</v>
    <v>6.3680000000000004E-3</v>
    <v>USD</v>
    <v>BWX Technologies, Inc. is a specialty manufacturer of nuclear components, a developer of nuclear technologies and a service provider. The Company also provides special nuclear materials processing, environmental site restoration services, products, and services. Its Government Operations segment manufactures naval nuclear reactors, including related nuclear fuel, for the United States Naval Nuclear Propulsion Program for use in submarines and aircraft carriers. It also fabricates fuel-bearing precision components that range in weight from a few grams to hundreds of tons, manufactures electromechanical equipment, and performs design, manufacturing, inspection, assembly, and testing activities. The Company is also a provider of advanced specialty materials, fabrication, and high-strength alloy manufacturing. Its Commercial Operations segment designs and manufactures commercial nuclear steam generators, heat exchangers, pressure vessels, reactor components, and other auxiliary equipment.</v>
    <v>10400</v>
    <v>New York Stock Exchange</v>
    <v>XNYS</v>
    <v>XNYS</v>
    <v>800 Main Street, 4Th Floor, LYNCHBURG, VA, 24504 US</v>
    <v>127.78</v>
    <v>Aerospace &amp; Defense</v>
    <v>Stock</v>
    <v>46318.998481943752</v>
    <v>108</v>
    <v>123.05</v>
    <v>11653399636</v>
    <v>BWX TECHNOLOGIES, INC.</v>
    <v>BWX TECHNOLOGIES, INC.</v>
    <v>125.67</v>
    <v>32.954300000000003</v>
    <v>127.3</v>
    <v>127.19</v>
    <v>128</v>
    <v>91621980</v>
    <v>BWXT</v>
    <v>BWX TECHNOLOGIES, INC. (XNYS:BWXT)</v>
    <v>1049587</v>
    <v>1281922</v>
    <v>2010</v>
  </rv>
  <rv s="2">
    <v>109</v>
  </rv>
  <rv s="0">
    <v>https://www.bing.com/financeapi/forcetrigger?t=a1pcnm&amp;q=XNYS%3aCCJ&amp;form=skydnc</v>
    <v>Learn more on Bing</v>
  </rv>
  <rv s="1">
    <v>0</v>
    <v>CAMECO CORPORATION (XNYS:CCJ)</v>
    <v>2</v>
    <v>3</v>
    <v>Finance</v>
    <v>4</v>
    <v>en-GB</v>
    <v>a1pcnm</v>
    <v>268435456</v>
    <v>1</v>
    <v>Powered by Refinitiv</v>
    <v>135.24</v>
    <v>76.92</v>
    <v>1.1089</v>
    <v>-0.33</v>
    <v>-4.1810000000000007E-3</v>
    <v>0.1</v>
    <v>1.2720000000000001E-3</v>
    <v>USD</v>
    <v>Cameco Corporation is a provider of uranium fuel to generate baseload electricity around the globe. Its segments include uranium, fuel services and Westinghouse. The uranium segment involves the exploration for, mining, milling, purchase and sale of uranium concentrate. The fuel services segment involves the refining, conversion and fabrication of uranium concentrate and the purchase and sale of conversion services. The Westinghouse segment reflects its earnings from this equity-accounted investment. Westinghouse is a nuclear reactor technology original equipment manufacturer and a global provider of products and services to commercial utilities and government agencies. It provides outage and maintenance services, engineering support, instrumentation and controls equipment, plant modification, and components and parts to nuclear reactors. It has two operating mines, Cigar Lake and McArthur River as well as a mill at Key Lake. It also has ownership interests in Global Laser Enrichment.</v>
    <v>3082</v>
    <v>New York Stock Exchange</v>
    <v>XNYS</v>
    <v>XNYS</v>
    <v>2121 11th St W, SASKATOON, SK, S7M 1J3 CA</v>
    <v>79.055000000000007</v>
    <v>Uranium</v>
    <v>Stock</v>
    <v>46318.997742916406</v>
    <v>111</v>
    <v>76.92</v>
    <v>CAMECO CORPORATION</v>
    <v>CAMECO CORPORATION</v>
    <v>78.430000000000007</v>
    <v>137.53120000000001</v>
    <v>78.930000000000007</v>
    <v>78.599999999999994</v>
    <v>78.7</v>
    <v>435533000</v>
    <v>CCJ</v>
    <v>CAMECO CORPORATION (XNYS:CCJ)</v>
    <v>3109744</v>
    <v>3442829</v>
    <v>1997</v>
  </rv>
  <rv s="2">
    <v>112</v>
  </rv>
  <rv s="0">
    <v>https://www.bing.com/financeapi/forcetrigger?t=a1vgur&amp;q=XNAS%3aWULF&amp;form=skydnc</v>
    <v>Learn more on Bing</v>
  </rv>
  <rv s="1">
    <v>0</v>
    <v>TERAWULF INC. (XNAS:WULF)</v>
    <v>2</v>
    <v>3</v>
    <v>Finance</v>
    <v>4</v>
    <v>en-GB</v>
    <v>a1vgur</v>
    <v>268435456</v>
    <v>1</v>
    <v>Powered by Refinitiv</v>
    <v>29.84</v>
    <v>10.35</v>
    <v>4.0144000000000002</v>
    <v>0</v>
    <v>0</v>
    <v>7.0000000000000007E-2</v>
    <v>6.1839999999999994E-3</v>
    <v>USD</v>
    <v>TeraWulf Inc. develops, owns, and operates digital infrastructure platforms that support artificial intelligence (AI), high-performance computing (HPC), and other compute-intensive workloads. The Company uses power infrastructure, grid connectivity, and development sites to provide capacity for data center and compute deployments. The Company operates in energy markets and grid integration and provides infrastructure for AI and computing workloads in the United States. The Company operates through two segments: Digital Asset Mining and HPC Leasing. Digital Asset Mining consists of providing hash computation services to a mining pool operator facilitating transaction validation on the global bitcoin network using its fleet of application-specific integrated circuit miners. HPC Leasing consists of providing high-density colocation services to third parties for HPC operations. Its subsidiaries include Akela Data LLC, Big Country Wulf LLC, Lake Hawkeye LLC, and others.</v>
    <v>141</v>
    <v>Nasdaq Stock Market</v>
    <v>XNAS</v>
    <v>XNAS</v>
    <v>9 Federal Street, EASTON, MD, 21601 US</v>
    <v>11.95</v>
    <v>Financial Technology (Fintech) &amp; Infrastructure</v>
    <v>Stock</v>
    <v>46318.999468378905</v>
    <v>114</v>
    <v>11.07</v>
    <v>TERAWULF INC.</v>
    <v>TERAWULF INC.</v>
    <v>11.28</v>
    <v>0</v>
    <v>11.32</v>
    <v>11.32</v>
    <v>11.39</v>
    <v>498968700</v>
    <v>WULF</v>
    <v>TERAWULF INC. (XNAS:WULF)</v>
    <v>36319304</v>
    <v>35588334</v>
    <v>2021</v>
  </rv>
  <rv s="2">
    <v>115</v>
  </rv>
  <rv s="0">
    <v>https://www.bing.com/financeapi/forcetrigger?t=a1zgm7&amp;q=XNAS%3aPANW&amp;form=skydnc</v>
    <v>Learn more on Bing</v>
  </rv>
  <rv s="4">
    <v>5</v>
    <v>PALO ALTO NETWORKS, INC. (XNAS:PANW)</v>
    <v>2</v>
    <v>6</v>
    <v>Finance</v>
    <v>4</v>
    <v>en-GB</v>
    <v>a1zgm7</v>
    <v>268435456</v>
    <v>1</v>
    <v>Powered by Refinitiv</v>
    <v>432.32499999999999</v>
    <v>139.57060000000001</v>
    <v>0.95309999999999995</v>
    <v>25.63</v>
    <v>7.2212999999999999E-2</v>
    <v>1.55</v>
    <v>4.0730000000000002E-3</v>
    <v>USD</v>
    <v>Palo Alto Networks, Inc. is a global artificial intelligence (AI) cybersecurity company, with a comprehensive portfolio of cybersecurity solutions and platforms across network, cloud, security operations, AI and Identity. Its network security platform includes Secure Access Service Edge (SASE), Next-Generation Firewalls, Cloud Delivered Security Services (CDSS), Prisma AIRS, and Strata Cloud Manager (SCM). It delivers security operations capabilities that unifies standalone Security Information and Event Management (SIEM) tools, endpoint security, security automation, cloud detection and response (CDR), as well as attack surface management (ASM) capabilities on its Cortex platform. It delivers comprehensive security across the cloud application development lifecycle through Cortex Cloud. Its Unit 42 brings together expertise across threat research, incident response, and security consulting to deliver intelligence-driven, response-ready outcomes that help customers reduce cyber risk.</v>
    <v>21921</v>
    <v>Nasdaq Stock Market</v>
    <v>XNAS</v>
    <v>XNAS</v>
    <v>3000 Tannery Way, SANTA CLARA, CA, 95054 US</v>
    <v>381.49</v>
    <v>Software &amp; IT Services</v>
    <v>Stock</v>
    <v>46318.999726828122</v>
    <v>117</v>
    <v>351.24009999999998</v>
    <v>311289900000</v>
    <v>PALO ALTO NETWORKS, INC.</v>
    <v>PALO ALTO NETWORKS, INC.</v>
    <v>354.3</v>
    <v>697.11080000000004</v>
    <v>354.92</v>
    <v>380.55</v>
    <v>382.1</v>
    <v>818000000</v>
    <v>PANW</v>
    <v>PALO ALTO NETWORKS, INC. (XNAS:PANW)</v>
    <v>6591668</v>
    <v>5723814</v>
    <v>2005</v>
  </rv>
  <rv s="2">
    <v>118</v>
  </rv>
  <rv s="0">
    <v>https://www.bing.com/financeapi/forcetrigger?t=a1qe5r&amp;q=XNAS%3aCSCO&amp;form=skydnc</v>
    <v>Learn more on Bing</v>
  </rv>
  <rv s="1">
    <v>0</v>
    <v>CISCO SYSTEMS, INC. (XNAS:CSCO)</v>
    <v>2</v>
    <v>3</v>
    <v>Finance</v>
    <v>4</v>
    <v>en-GB</v>
    <v>a1qe5r</v>
    <v>268435456</v>
    <v>1</v>
    <v>Powered by Refinitiv</v>
    <v>130.3656</v>
    <v>70.06</v>
    <v>1.0017</v>
    <v>1.61</v>
    <v>1.5349E-2</v>
    <v>0.08</v>
    <v>7.5120000000000004E-4</v>
    <v>USD</v>
    <v>Cisco Systems, Inc. designs and sells a range of technologies that power the Internet. The Company is integrating its product portfolios across networking, security, collaboration, applications and cloud. The Company's segments include the Americas; Europe, Middle East, and Africa (EMEA), and Asia Pacific, Japan, and China (APJC). Its Networking product category represents its core networking technologies of switching, routing, wireless, fifth generation (5G), silicon, optics solutions and compute products. Its Security product category consists of its cloud and application security, industrial security, network security, and user and device security offerings. Its Collaboration product category consists of its meetings, collaboration devices, calling, contact center and platform as a service (CPaaS) offering. Its Observability product category consists of its full stack observability offerings.</v>
    <v>82400</v>
    <v>Nasdaq Stock Market</v>
    <v>XNAS</v>
    <v>XNAS</v>
    <v>170 West Tasman Dr, SAN JOSE, CA, 95134-1706 US</v>
    <v>106.955</v>
    <v>Communications &amp; Networking</v>
    <v>Stock</v>
    <v>46318.999664432813</v>
    <v>120</v>
    <v>104.04</v>
    <v>CISCO SYSTEMS, INC.</v>
    <v>CISCO SYSTEMS, INC.</v>
    <v>104.32</v>
    <v>31.515999999999998</v>
    <v>104.89</v>
    <v>106.5</v>
    <v>106.58</v>
    <v>3942587000</v>
    <v>CSCO</v>
    <v>CISCO SYSTEMS, INC. (XNAS:CSCO)</v>
    <v>13560886</v>
    <v>18429131</v>
    <v>2021</v>
  </rv>
  <rv s="2">
    <v>121</v>
  </rv>
  <rv s="0">
    <v>https://www.bing.com/financeapi/forcetrigger?t=a1retc&amp;q=XNYS%3aDELL&amp;form=skydnc</v>
    <v>Learn more on Bing</v>
  </rv>
  <rv s="4">
    <v>5</v>
    <v>DELL TECHNOLOGIES INC. (XNYS:DELL)</v>
    <v>2</v>
    <v>6</v>
    <v>Finance</v>
    <v>4</v>
    <v>en-GB</v>
    <v>a1retc</v>
    <v>268435456</v>
    <v>1</v>
    <v>Powered by Refinitiv</v>
    <v>595.51</v>
    <v>110.22</v>
    <v>1.4204000000000001</v>
    <v>3.49</v>
    <v>7.705E-3</v>
    <v>0.4869</v>
    <v>1.067E-3</v>
    <v>USD</v>
    <v>Dell Technologies Inc. is a global technology company. The Company designs, develops, manufactures, markets, sells, and supports a range of comprehensive and integrated solutions, products, and services. Its segments include Infrastructure Solutions Group (ISG) and Client Solutions Group (CSG). ISG includes the Company’s artificial intelligence (AI)-optimized servers' offerings, traditional servers and networking offerings, and storage offerings as major product categories. The Company's AI-optimized servers are designed to run high-value workloads, including AI model training, fine-tuning, and inferencing. CSG includes the Company’s commercial offerings and consumer offerings as major product categories. The Company’s CSG portfolio includes branded PCs including notebooks, desktops, workstations and branded peripherals that include displays, docking stations, keyboards, mice, and webcam and audio devices, as well as third-party software and peripherals.</v>
    <v>97000</v>
    <v>New York Stock Exchange</v>
    <v>XNYS</v>
    <v>XNYS</v>
    <v>One Dell Way, ROUND ROCK, TX, 78682 US</v>
    <v>464.80500000000001</v>
    <v>Computers, Phones &amp; Household Electronics</v>
    <v>Stock</v>
    <v>46318.999828935157</v>
    <v>123</v>
    <v>449.7201</v>
    <v>290210348788</v>
    <v>DELL TECHNOLOGIES INC.</v>
    <v>DELL TECHNOLOGIES INC.</v>
    <v>451.61500000000001</v>
    <v>26.281400000000001</v>
    <v>452.95</v>
    <v>456.44</v>
    <v>456.92689999999999</v>
    <v>635812700</v>
    <v>DELL</v>
    <v>DELL TECHNOLOGIES INC. (XNYS:DELL)</v>
    <v>4336461</v>
    <v>7248161</v>
    <v>2026</v>
  </rv>
  <rv s="2">
    <v>124</v>
  </rv>
  <rv s="0">
    <v>https://www.bing.com/financeapi/forcetrigger?t=bvlqa2&amp;q=XNYS%3aSNOW&amp;form=skydnc</v>
    <v>Learn more on Bing</v>
  </rv>
  <rv s="8">
    <v>14</v>
    <v>SNOWFLAKE INC. (XNYS:SNOW)</v>
    <v>2</v>
    <v>15</v>
    <v>Finance</v>
    <v>4</v>
    <v>en-GB</v>
    <v>bvlqa2</v>
    <v>268435456</v>
    <v>1</v>
    <v>Powered by Refinitiv</v>
    <v>384.56</v>
    <v>118.3</v>
    <v>1.3163</v>
    <v>11.47</v>
    <v>3.6533000000000003E-2</v>
    <v>0.05</v>
    <v>1.5359999999999999E-4</v>
    <v>USD</v>
    <v>Snowflake Inc. is an artificial intelligence (AI) data cloud company. The Company provides a platform which powers the AI data cloud, enabling customers to consolidate data into a single source of truth to drive insights, apply AI to solve business problems, build data applications, and share data and data products. Its cloud-native architecture includes three independently scalable but logically integrated layers across storage, compute, and cloud services. The storage layer ingests massive amounts and varieties of structured, semi-structured, and unstructured data. The compute layer provides dedicated resources to enable users to simultaneously access common data sets for many use cases with minimal latency. The cloud services layer enables users to securely use AI within applications, tools, and processes. Its platform supports a wide range of product categories for customers’ business objectives, including analytics, data engineering, AI, applications and collaboration.</v>
    <v>9060</v>
    <v>New York Stock Exchange</v>
    <v>XNYS</v>
    <v>XNYS</v>
    <v>135 Constitution Drive, MENLO PARK, CA, 94025 US</v>
    <v>325.62</v>
    <v>Software &amp; IT Services</v>
    <v>Stock</v>
    <v>46318.999725277346</v>
    <v>126</v>
    <v>310.31</v>
    <v>SNOWFLAKE INC.</v>
    <v>SNOWFLAKE INC.</v>
    <v>310.31</v>
    <v>313.95999999999998</v>
    <v>325.43</v>
    <v>325.48</v>
    <v>352800000</v>
    <v>SNOW</v>
    <v>SNOWFLAKE INC. (XNYS:SNOW)</v>
    <v>3136249</v>
    <v>4407836</v>
    <v>2012</v>
  </rv>
  <rv s="2">
    <v>127</v>
  </rv>
  <rv s="13">
    <v>22</v>
    <v>PALANTIR TECHNOLOGIES INC. (XSWX:PLTR)</v>
    <v>18</v>
    <v>23</v>
    <v>Finance</v>
    <v>24</v>
    <v>en-GB</v>
    <v>ciw55r</v>
    <v>268435456</v>
    <v>1</v>
    <v>Powered by Refinitiv</v>
    <v>1.6363000000000001</v>
    <v>-1.48</v>
    <v>-7.5849999999999997E-3</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4401</v>
    <v>SIX Swiss Exchange</v>
    <v>XSWX</v>
    <v>XSWX</v>
    <v>19505 Biscayne Boulevard, Suite 2350, AVENTURA, FL, 33180 US</v>
    <v>193.64</v>
    <v>Software &amp; IT Services</v>
    <v>Stock</v>
    <v>46315.646122685182</v>
    <v>193.64</v>
    <v>471456000000</v>
    <v>PALANTIR TECHNOLOGIES INC.</v>
    <v>PALANTIR TECHNOLOGIES INC.</v>
    <v>193.64</v>
    <v>165.01070000000001</v>
    <v>195.12</v>
    <v>193.64</v>
    <v>2403059000</v>
    <v>PLTR</v>
    <v>PALANTIR TECHNOLOGIES INC. (XSWX:PLTR)</v>
    <v>5</v>
    <v>24622950</v>
    <v>2003</v>
  </rv>
  <rv s="2">
    <v>129</v>
  </rv>
  <rv s="0">
    <v>https://www.bing.com/financeapi/forcetrigger?t=a21icw&amp;q=XNAS%3aPYPL&amp;form=skydnc</v>
    <v>Learn more on Bing</v>
  </rv>
  <rv s="1">
    <v>0</v>
    <v>PAYPAL HOLDINGS, INC. (XNAS:PYPL)</v>
    <v>2</v>
    <v>3</v>
    <v>Finance</v>
    <v>4</v>
    <v>en-GB</v>
    <v>a21icw</v>
    <v>268435456</v>
    <v>1</v>
    <v>Powered by Refinitiv</v>
    <v>79.215000000000003</v>
    <v>38.46</v>
    <v>1.3491</v>
    <v>-0.51500000000000001</v>
    <v>-8.9510000000000006E-3</v>
    <v>-7.0000000000000007E-2</v>
    <v>-1.2280000000000001E-3</v>
    <v>USD</v>
    <v>PayPal Holdings, Inc. offers a technology platform. The Company’s products are designed to enable digital payments and simplify commerce experiences for consumers and merchants to make selling, shopping, and sending and receiving money simple, personalized, and secure, online or offline, including mobile. It provides consumers with a digital wallet that enables them to send payments to merchants securely using a variety of funding sources, which include a bank account, a PayPal or Venmo account balance, its consumer credit products, a credit card, a debit card, certain cryptocurrencies, or other stored value products. It operates a global, two-sided network at scale that connects consumers and merchants with 434 million active accounts across approximately 200 markets. Its brands include PayPal, Braintree, Venmo, Xoom, Hyperwallet, PayPal Zettle, PayPal Honey, and Paidy. It offers financing products through the PayPal Working Capital (PPWC) and PayPal Business Loan (PPBL).</v>
    <v>23800</v>
    <v>Nasdaq Stock Market</v>
    <v>XNAS</v>
    <v>XNAS</v>
    <v>2211 N 1st St, SAN JOSE, CA, 95131 US</v>
    <v>57.57</v>
    <v>Professional &amp; Commercial Services</v>
    <v>Stock</v>
    <v>46318.999667661716</v>
    <v>131</v>
    <v>56.84</v>
    <v>PAYPAL HOLDINGS, INC.</v>
    <v>PAYPAL HOLDINGS, INC.</v>
    <v>56.91</v>
    <v>10.848800000000001</v>
    <v>57.534999999999997</v>
    <v>57.02</v>
    <v>56.95</v>
    <v>855460900</v>
    <v>PYPL</v>
    <v>PAYPAL HOLDINGS, INC. (XNAS:PYPL)</v>
    <v>8472008</v>
    <v>12225759</v>
    <v>2015</v>
  </rv>
  <rv s="2">
    <v>132</v>
  </rv>
  <rv s="0">
    <v>https://www.bing.com/financeapi/forcetrigger?t=bwve27&amp;q=XNYS%3aRBLX&amp;form=skydnc</v>
    <v>Learn more on Bing</v>
  </rv>
  <rv s="11">
    <v>19</v>
    <v>ROBLOX CORPORATION (XNYS:RBLX)</v>
    <v>2</v>
    <v>20</v>
    <v>Finance</v>
    <v>4</v>
    <v>en-GB</v>
    <v>bwve27</v>
    <v>268435456</v>
    <v>1</v>
    <v>Powered by Refinitiv</v>
    <v>134.66999999999999</v>
    <v>33.880000000000003</v>
    <v>1.4300999999999999</v>
    <v>-1.07</v>
    <v>-1.983E-2</v>
    <v>1.0200000000000001E-2</v>
    <v>1.9290000000000003E-4</v>
    <v>USD</v>
    <v>Roblox Corporation is an immersive gaming and creation platform. The Company's Platform consists of the Roblox Client, the Roblox Studio, and the Roblox Cloud. Roblox Client is an application that allows users to seamlessly explore immersive experiences. Roblox Studio is a free toolset that allows creators to build, publish, and operate immersive experiences and other content accessed with the Roblox Client. Roblox Cloud includes the services and infrastructure that power our Platform. Roblox Client operates on iOS, Android, Windows, Mac, Xbox, PlayStation, Chromebook, and select virtual reality (VR) hardware. Roblox Cloud automatically translates experiences into 17 languages including Arabic, simplified Chinese, traditional Chinese, English, French, German, Indonesian, Italian, Japanese, Korean, Polish, Portuguese, Russian, Spanish, Thai, Turkish, and Vietnamese. The Company offers creators the ability to build engaging, immersive experiences, and avatar-related items.</v>
    <v>3065</v>
    <v>New York Stock Exchange</v>
    <v>XNYS</v>
    <v>XNYS</v>
    <v>3150 South Delaware Street, SAN MATEO, CA, 94403 US</v>
    <v>54.125599999999999</v>
    <v>Software &amp; IT Services</v>
    <v>Stock</v>
    <v>46318.999902731251</v>
    <v>134</v>
    <v>52.42</v>
    <v>37783341351</v>
    <v>ROBLOX CORPORATION</v>
    <v>ROBLOX CORPORATION</v>
    <v>53.5</v>
    <v>53.96</v>
    <v>52.89</v>
    <v>52.900199999999998</v>
    <v>714375900</v>
    <v>RBLX</v>
    <v>ROBLOX CORPORATION (XNYS:RBLX)</v>
    <v>5609945</v>
    <v>11671540</v>
    <v>2025</v>
  </rv>
  <rv s="2">
    <v>135</v>
  </rv>
  <rv s="0">
    <v>http://en.wikipedia.org/wiki/Roku,_Inc.</v>
    <v>Wikipedia</v>
  </rv>
  <rv s="5">
    <v>13</v>
    <v>137</v>
  </rv>
  <rv s="6">
    <v>11</v>
    <v>https://www.bing.com/th?id=AMMS_13240dc8e8eb91fe0ba2ee2ae9b85354&amp;qlt=95</v>
    <v>138</v>
    <v>0</v>
    <v>https://www.bing.com/images/search?form=xlimg&amp;q=roku+cnnmoney</v>
    <v>Image of ROKU, INC.</v>
  </rv>
  <rv s="0">
    <v>https://www.bing.com/financeapi/forcetrigger?t=a226p2&amp;q=XNAS%3aROKU&amp;form=skydnc</v>
    <v>Learn more on Bing</v>
  </rv>
  <rv s="14">
    <v>25</v>
    <v>ROKU, INC. (XNAS:ROKU)</v>
    <v>9</v>
    <v>26</v>
    <v>Finance</v>
    <v>4</v>
    <v>en-GB</v>
    <v>a226p2</v>
    <v>268435456</v>
    <v>1</v>
    <v>Powered by Refinitiv</v>
    <v>160.22</v>
    <v>78.53</v>
    <v>2.1217999999999999</v>
    <v>-1.48</v>
    <v>-9.247E-3</v>
    <v>-0.16</v>
    <v>-1.0090000000000001E-3</v>
    <v>USD</v>
    <v>Roku, Inc. is a TV streaming platform in the United States, Canada, and Mexico. The Company connects viewers to the content they love, enables content publishers to build and monetize audiences through advertising and subscriptions, and provides advertisers with capabilities to reach and engage consumers. The Company's segments include Advertising, Subscriptions, and Devices. The Company's Advertising segment includes the sale of digital advertising, including direct and programmatic video advertising, ads integrated into its user interface (UI), and related services. The Company's Subscriptions segment includes the sale of subscriptions to end users. The Company's Devices segment includes the sale of streaming players, Roku-made TVs, smart home products and services, audio products, and related accessories. The Company also owns and operates The Roku Channel, the home of premium and free entertainment; Howdy, a low-cost subscription service; and Frndly TV, a live TV streaming service.</v>
    <v>3600</v>
    <v>Nasdaq Stock Market</v>
    <v>XNAS</v>
    <v>XNAS</v>
    <v>1173 Coleman Avenue, SAN JOSE, CA, 95110 US</v>
    <v>160.22</v>
    <v>139</v>
    <v>Media &amp; Publishing</v>
    <v>Stock</v>
    <v>46318.999285022655</v>
    <v>140</v>
    <v>158.52000000000001</v>
    <v>23550810948</v>
    <v>ROKU, INC.</v>
    <v>ROKU, INC.</v>
    <v>159.345</v>
    <v>68.381799999999998</v>
    <v>160.06</v>
    <v>158.58000000000001</v>
    <v>158.41999999999999</v>
    <v>148510600</v>
    <v>ROKU</v>
    <v>ROKU, INC. (XNAS:ROKU)</v>
    <v>3272187</v>
    <v>1854466</v>
    <v>2002</v>
  </rv>
  <rv s="2">
    <v>141</v>
  </rv>
  <rv s="0">
    <v>https://www.bing.com/financeapi/forcetrigger?t=bptw77&amp;q=XNYS%3aUBER&amp;form=skydnc</v>
    <v>Learn more on Bing</v>
  </rv>
  <rv s="4">
    <v>5</v>
    <v>UBER TECHNOLOGIES, INC. (XNYS:UBER)</v>
    <v>2</v>
    <v>6</v>
    <v>Finance</v>
    <v>4</v>
    <v>en-GB</v>
    <v>bptw77</v>
    <v>268435456</v>
    <v>1</v>
    <v>Powered by Refinitiv</v>
    <v>100.35</v>
    <v>65.41</v>
    <v>1.323</v>
    <v>-2.37</v>
    <v>-3.4312999999999996E-2</v>
    <v>0.4</v>
    <v>5.9969999999999997E-3</v>
    <v>USD</v>
    <v>Uber Technologies, Inc. operates a technology platform that uses network and technology to power movement from point A to point B. It develops and operates technology applications supporting a variety of offerings on its platform (platform(s)). Its segments include Mobility, Delivery and Freight. Mobility products connect consumers with drivers who provide rides in a variety of vehicles, such as cars, auto rickshaws, motorbikes, minibuses, or taxis. Delivery offerings allow consumers to search for and discover local restaurants, order a meal, and either pick-up at the restaurant or have the meal delivered. In certain markets, the Delivery segment provides offerings for grocery, alcohol, and convenience store delivery as well as select other goods. The Freight segment connects carriers with shippers on its platform, and gives carriers upfront, pricing and the ability to book a shipment. The Freight segment also includes transportation management and other logistics service offerings.</v>
    <v>34000</v>
    <v>New York Stock Exchange</v>
    <v>XNYS</v>
    <v>XNYS</v>
    <v>1725 3Rd Street, SAN FRANCISCO, CA, 94158 US</v>
    <v>68.900000000000006</v>
    <v>Software &amp; IT Services</v>
    <v>Stock</v>
    <v>46318.999972661717</v>
    <v>143</v>
    <v>66.430000000000007</v>
    <v>136238752000</v>
    <v>UBER TECHNOLOGIES, INC.</v>
    <v>UBER TECHNOLOGIES, INC.</v>
    <v>68.47</v>
    <v>15.1614</v>
    <v>69.069999999999993</v>
    <v>66.7</v>
    <v>67.099999999999994</v>
    <v>2042560000</v>
    <v>UBER</v>
    <v>UBER TECHNOLOGIES, INC. (XNYS:UBER)</v>
    <v>18778176</v>
    <v>15933749</v>
    <v>2010</v>
  </rv>
  <rv s="2">
    <v>144</v>
  </rv>
  <rv s="0">
    <v>https://www.bing.com/financeapi/forcetrigger?t=a269ec&amp;q=XNYS%3aXOM&amp;form=skydnc</v>
    <v>Learn more on Bing</v>
  </rv>
  <rv s="4">
    <v>5</v>
    <v>EXXONMOBIL HOLDINGS CORPORATION (XNYS:XOM)</v>
    <v>2</v>
    <v>6</v>
    <v>Finance</v>
    <v>4</v>
    <v>en-GB</v>
    <v>a269ec</v>
    <v>268435456</v>
    <v>1</v>
    <v>Powered by Refinitiv</v>
    <v>183.75</v>
    <v>112.51</v>
    <v>0.1641</v>
    <v>4.9800000000000004</v>
    <v>2.7940999999999997E-2</v>
    <v>7.0000000000000007E-2</v>
    <v>3.8210000000000002E-4</v>
    <v>USD</v>
    <v>ExxonMobil Holdings Corporation is a holding company whose direct, wholly owned subsidiary and principal operating company is Exxon Mobil Corporation. Its principal business involves exploration and production of crude oil and natural gas; manufacture, trade, transport and sale of crude oil, natural gas, petroleum products, petrochemicals, and a wide variety of specialty products; and pursuit of lower-emission and other new business opportunities, including carbon capture and storage, hydrogen and ammonia, lower-emission fuels, Proxxima resin systems, carbon materials, low-carbon data centers, and lithium. Affiliates of the Company conduct research programs in support of these businesses. It operates or markets its products in the United States and most other countries of the world. Its Upstream businesses include unconventional, conventional, deepwater, heavy oil and liquefied natural gas. It also manufactures and distributes products derived from crude oil and other feedstocks.</v>
    <v>58000</v>
    <v>New York Stock Exchange</v>
    <v>XNYS</v>
    <v>XNYS</v>
    <v>22777 SPRINGWOODS VILLAGE PKWY, SPRING, TX, 77389-1425 US</v>
    <v>183.75</v>
    <v>Oil &amp; Gas</v>
    <v>Stock</v>
    <v>46318.999350647653</v>
    <v>146</v>
    <v>179</v>
    <v>753343397520</v>
    <v>EXXONMOBIL HOLDINGS CORPORATION</v>
    <v>EXXONMOBIL HOLDINGS CORPORATION</v>
    <v>179.37</v>
    <v>22.984500000000001</v>
    <v>178.23</v>
    <v>183.21</v>
    <v>183.28</v>
    <v>4111912000</v>
    <v>XOM</v>
    <v>EXXONMOBIL HOLDINGS CORPORATION (XNYS:XOM)</v>
    <v>11522157</v>
    <v>12806951</v>
    <v>2026</v>
  </rv>
  <rv s="2">
    <v>147</v>
  </rv>
  <rv s="0">
    <v>https://www.bing.com/financeapi/forcetrigger?t=b1ldf2&amp;q=XSWX%3aABBN&amp;form=skydnc</v>
    <v>Learn more on Bing</v>
  </rv>
  <rv s="15">
    <v>27</v>
    <v>Abb Ltd (XSWX:ABBN)</v>
    <v>2</v>
    <v>28</v>
    <v>Finance</v>
    <v>24</v>
    <v>en-GB</v>
    <v>b1ldf2</v>
    <v>268435456</v>
    <v>1</v>
    <v>Powered by Refinitiv</v>
    <v>89.14</v>
    <v>53.78</v>
    <v>1.0270999999999999</v>
    <v>-1.1399999999999999</v>
    <v>-1.6541E-2</v>
    <v>CHF</v>
    <v>Abb Ltd is a holding company. The Company's segments include Electrification Products, Robotics and Motion, Industrial Automation, Power Grids, and Corporate and Other. It operates through four divisions: Electrification Products, Robotics and Motion, Industrial Automation and Power Grids. It is engaged in serving customers in utilities, industry and transport and infrastructure. The Electrification Products segment manufactures and sells products and services including low and medium-voltage switchgear, breakers, switches and control products. The Robotics and Motion segment manufactures and sells motors, generators, variable speed drives and robots and robotics. The Industrial Automation segment develops and sells control and plant optimization systems, and automation products and solutions. The Power Grids segment supplies power and automation products, systems, and service and software solutions.</v>
    <v>112700</v>
    <v>SIX Swiss Exchange</v>
    <v>XSWX</v>
    <v>XSWX</v>
    <v>Affolternstrasse 44, ZUERICH, ZUERICH, 8050 CH</v>
    <v>69.12</v>
    <v>Machinery, Equipment &amp; Components</v>
    <v>Stock</v>
    <v>46318.786226851851</v>
    <v>149</v>
    <v>67.319999999999993</v>
    <v>123573400000</v>
    <v>Abb Ltd</v>
    <v>Abb Ltd</v>
    <v>69.040000000000006</v>
    <v>29.4696</v>
    <v>68.92</v>
    <v>67.78</v>
    <v>1823154000</v>
    <v>ABBN</v>
    <v>Abb Ltd (XSWX:ABBN)</v>
    <v>3412972</v>
    <v>3066080</v>
    <v>1999</v>
  </rv>
  <rv s="2">
    <v>150</v>
  </rv>
  <rv s="0">
    <v>https://www.bing.com/financeapi/forcetrigger?t=a1qlz2&amp;q=XNYS%3aCVX&amp;form=skydnc</v>
    <v>Learn more on Bing</v>
  </rv>
  <rv s="4">
    <v>5</v>
    <v>CHEVRON CORPORATION (XNYS:CVX)</v>
    <v>2</v>
    <v>6</v>
    <v>Finance</v>
    <v>4</v>
    <v>en-GB</v>
    <v>a1qlz2</v>
    <v>268435456</v>
    <v>1</v>
    <v>Powered by Refinitiv</v>
    <v>233.74</v>
    <v>146.49</v>
    <v>0.46510000000000001</v>
    <v>6.53</v>
    <v>2.8806999999999999E-2</v>
    <v>-0.01</v>
    <v>-4.2880000000000003E-5</v>
    <v>USD</v>
    <v>Chevron Corporation is an integrated energy company. The Company produces crude oil and natural gas; manufactures transportation fuels, lubricants, petrochemicals and additives; and develops technologies that enhance its business and industry. The Company’s segments include Upstream and Downstream. Upstream operations consist primarily of exploring for, developing, producing and transporting crude oil and natural gas; liquefaction, transportation and regasification associated with LNG; transporting crude oil by major international oil export pipelines; processing, transporting, storage and marketing of natural gas; carbon capture and storage; and a gas-to-liquids plant. Downstream operations consist primarily of the refining of crude oil into petroleum products; marketing crude oil, refined products, and lubricants; manufacturing and marketing of renewable fuels, and transporting of crude oil and refined products by pipeline, marine vessel, motor equipment and rail car.</v>
    <v>43039</v>
    <v>New York Stock Exchange</v>
    <v>XNYS</v>
    <v>XNYS</v>
    <v>1400 SMITH STREET, HOUSTON, TX, 77002 US</v>
    <v>233.74</v>
    <v>Oil &amp; Gas</v>
    <v>Stock</v>
    <v>46318.999852939065</v>
    <v>152</v>
    <v>227.98</v>
    <v>460769554910</v>
    <v>CHEVRON CORPORATION</v>
    <v>CHEVRON CORPORATION</v>
    <v>228.19</v>
    <v>21.7364</v>
    <v>226.68</v>
    <v>233.21</v>
    <v>233.2</v>
    <v>1975771000</v>
    <v>CVX</v>
    <v>CHEVRON CORPORATION (XNYS:CVX)</v>
    <v>8143041</v>
    <v>9176657</v>
    <v>1926</v>
  </rv>
  <rv s="2">
    <v>153</v>
  </rv>
  <rv s="0">
    <v>https://www.bing.com/financeapi/forcetrigger?t=brh6oc&amp;q=XNYS%3aNET&amp;form=skydnc</v>
    <v>Learn more on Bing</v>
  </rv>
  <rv s="11">
    <v>19</v>
    <v>CLOUDFLARE, INC. (XNYS:NET)</v>
    <v>2</v>
    <v>20</v>
    <v>Finance</v>
    <v>4</v>
    <v>en-GB</v>
    <v>brh6oc</v>
    <v>268435456</v>
    <v>1</v>
    <v>Powered by Refinitiv</v>
    <v>370.35</v>
    <v>158.83000000000001</v>
    <v>1.3492</v>
    <v>22.12</v>
    <v>7.2857000000000005E-2</v>
    <v>1.27</v>
    <v>3.8990000000000001E-3</v>
    <v>USD</v>
    <v>Cloudflare, Inc. is a connectivity cloud company. The Company delivers a range of services to businesses of all sizes and in all geographies, enhancing the performance of business-critical applications. Its full suite of products consists of application services that help deliver security, performance, and reliability for any organization's applications connected to the Internet, including Websites and application programming interfaces (APIs) and its secure access service edge (SASE) platform, which contains its suite of and workplace security services and network services solutions to help ensure traffic in and out of an organization’s network and devices is verified and authorized and data is protected and secured, as well as to securely connect data centers, cloud services, and branch offices to an organization with its connectivity cloud. The Company also offers developer-based solutions which build and deploys serverless and artificial intelligence applications.</v>
    <v>5483</v>
    <v>New York Stock Exchange</v>
    <v>XNYS</v>
    <v>XNYS</v>
    <v>101 Townsend St, SAN FRANCISCO, CA, 94107-1934 US</v>
    <v>328</v>
    <v>Software &amp; IT Services</v>
    <v>Stock</v>
    <v>46318.999939374997</v>
    <v>155</v>
    <v>299.27</v>
    <v>115985840681</v>
    <v>CLOUDFLARE, INC.</v>
    <v>CLOUDFLARE, INC.</v>
    <v>306.7</v>
    <v>303.61</v>
    <v>325.73</v>
    <v>327</v>
    <v>356079700</v>
    <v>NET</v>
    <v>CLOUDFLARE, INC. (XNYS:NET)</v>
    <v>4177185</v>
    <v>3080379</v>
    <v>2009</v>
  </rv>
  <rv s="2">
    <v>156</v>
  </rv>
  <rv s="0">
    <v>https://www.bing.com/financeapi/forcetrigger?t=a1ut3m&amp;q=XNAS%3aHON&amp;form=skydnc</v>
    <v>Learn more on Bing</v>
  </rv>
  <rv s="1">
    <v>0</v>
    <v>HONEYWELL INTERNATIONAL INCORPORATION (XNAS:HON)</v>
    <v>2</v>
    <v>3</v>
    <v>Finance</v>
    <v>4</v>
    <v>en-GB</v>
    <v>a1ut3m</v>
    <v>268435456</v>
    <v>1</v>
    <v>Powered by Refinitiv</v>
    <v>260.15019999999998</v>
    <v>195.76779999999999</v>
    <v>0.8216</v>
    <v>2.84</v>
    <v>1.3009E-2</v>
    <v>-0.88</v>
    <v>-3.9789999999999999E-3</v>
    <v>USD</v>
    <v>Honeywell International Inc. is a pure-play automation company. It serves the building, industrial, and process sectors with a portfolio of services, solutions, and products supported by its Honeywell Technologies Accelerator operating system and Honeywell Technologies Forge intelligence layer. Its Building Automation segment offers fire detection, building controls and optimization software, energy management systems, access control, and video management software, complemented by installation, maintenance, and upgrades. Its Process Automation and Technology segment provides end-to-end solutions that drive automation throughout the industrial lifecycle, develop and innovate advanced process technology solutions, and help accelerate customers' digital transformations. Its industrial automation segment provides sensing and measurement solutions serving applications across diversified verticals, including energy, power and utilities, aerospace and defense, medical devices, and others.</v>
    <v>101000</v>
    <v>Nasdaq Stock Market</v>
    <v>XNAS</v>
    <v>XNAS</v>
    <v>855 S. Mint Street, CHARLOTTE, NC, 28202 US</v>
    <v>223.43</v>
    <v>Consumer Goods Conglomerates</v>
    <v>Stock</v>
    <v>46318.995904582815</v>
    <v>158</v>
    <v>212.57</v>
    <v>HONEYWELL INTERNATIONAL INCORPORATION</v>
    <v>HONEYWELL INTERNATIONAL INCORPORATION</v>
    <v>215.87</v>
    <v>10.154999999999999</v>
    <v>218.31</v>
    <v>221.15</v>
    <v>220.27</v>
    <v>317358500</v>
    <v>HON</v>
    <v>HONEYWELL INTERNATIONAL INCORPORATION (XNAS:HON)</v>
    <v>2620851</v>
    <v>2714410</v>
    <v>1985</v>
  </rv>
  <rv s="2">
    <v>159</v>
  </rv>
  <rv s="0">
    <v>https://www.bing.com/financeapi/forcetrigger?t=aqcdfr&amp;q=XWAR%3aMDB&amp;form=skydnc</v>
    <v>Learn more on Bing</v>
  </rv>
  <rv s="16">
    <v>29</v>
    <v>Medicofarma Biotech SA (XWAR:MDB)</v>
    <v>2</v>
    <v>30</v>
    <v>Finance</v>
    <v>31</v>
    <v>en-GB</v>
    <v>aqcdfr</v>
    <v>268435456</v>
    <v>1</v>
    <v>Powered by Refinitiv</v>
    <v>0.64</v>
    <v>0.33</v>
    <v>4.8000000000000001E-2</v>
    <v>0</v>
    <v>0</v>
    <v>PLN</v>
    <v>Medicofarma Biotech SA, formerly InBook SA, is a Poland-based biotechnology company. It is engaged in works on drugs, medical devices and biotechnological products. It's research and development works are carried out in laboratories in Lublin and Poznan.</v>
    <v>12</v>
    <v>Warsaw Stock Exchange</v>
    <v>XWAR</v>
    <v>XWAR</v>
    <v>Sokolowska 9/lok.U19, WARSZAWA, WOJ. MAZOWIECKIE, 01-142 PL</v>
    <v>0.35799999999999998</v>
    <v>Biotechnology &amp; Medical Research</v>
    <v>Stock</v>
    <v>46318.652777777781</v>
    <v>161</v>
    <v>0.34799999999999998</v>
    <v>23928360</v>
    <v>Medicofarma Biotech SA</v>
    <v>Medicofarma Biotech SA</v>
    <v>0.35399999999999998</v>
    <v>0.35199999999999998</v>
    <v>0.35199999999999998</v>
    <v>67978300</v>
    <v>MDB</v>
    <v>Medicofarma Biotech SA (XWAR:MDB)</v>
    <v>4809</v>
    <v>14180</v>
    <v>2008</v>
  </rv>
  <rv s="2">
    <v>162</v>
  </rv>
  <rv s="0">
    <v>http://pt.wikipedia.org/wiki/Oracle_Corporation</v>
    <v>Wikipedia</v>
  </rv>
  <rv s="5">
    <v>13</v>
    <v>164</v>
  </rv>
  <rv s="6">
    <v>11</v>
    <v>https://www.bing.com/th?id=AMMS_672116c618c664d13b2515d6587ba357&amp;qlt=95</v>
    <v>165</v>
    <v>0</v>
    <v>https://www.bing.com/images/search?form=xlimg&amp;q=oracle+corporation</v>
    <v>Image of ORACLE CORPORATION</v>
  </rv>
  <rv s="0">
    <v>https://www.bing.com/financeapi/forcetrigger?t=a1zbec&amp;q=XNYS%3aORCL&amp;form=skydnc</v>
    <v>Learn more on Bing</v>
  </rv>
  <rv s="7">
    <v>7</v>
    <v>ORACLE CORPORATION (XNYS:ORCL)</v>
    <v>9</v>
    <v>10</v>
    <v>Finance</v>
    <v>4</v>
    <v>en-GB</v>
    <v>a1zbec</v>
    <v>268435456</v>
    <v>1</v>
    <v>Powered by Refinitiv</v>
    <v>287.19</v>
    <v>114.5</v>
    <v>1.7877000000000001</v>
    <v>0.62</v>
    <v>4.9389999999999998E-3</v>
    <v>-0.01</v>
    <v>-7.926000000000001E-5</v>
    <v>USD</v>
    <v>Oracle Corporation offers integrated suites of applications plus secure, autonomous infrastructure in the Oracle Cloud. The Company operates through three businesses: cloud and license, hardware and service. Its cloud and license business is engaged in the sale, marketing and delivery of its enterprise applications and infrastructure technologies through cloud and on-premise deployment models including its cloud services and license support offerings, and its cloud license and on-premise license offerings. Its hardware business provides infrastructure technologies including Oracle Engineered Systems, servers, storage, industry-specific hardware, operating systems, virtualization, management and other hardware-related software to support diverse IT environments. Its services business provides services to customers and partners to help maximize the performance of their investments in Oracle applications and infrastructure technologies.</v>
    <v>141000</v>
    <v>New York Stock Exchange</v>
    <v>XNYS</v>
    <v>XNYS</v>
    <v>2300 Oracle Way, AUSTIN, TX, 78741 US</v>
    <v>128.33000000000001</v>
    <v>166</v>
    <v>Software &amp; IT Services</v>
    <v>Stock</v>
    <v>46318.99998388828</v>
    <v>167</v>
    <v>124.39</v>
    <v>ORACLE CORPORATION</v>
    <v>ORACLE CORPORATION</v>
    <v>124.87</v>
    <v>19.7075</v>
    <v>125.54</v>
    <v>126.16</v>
    <v>126.15</v>
    <v>3031501000</v>
    <v>ORCL</v>
    <v>ORACLE CORPORATION (XNYS:ORCL)</v>
    <v>19223405</v>
    <v>30562104</v>
    <v>2005</v>
  </rv>
  <rv s="2">
    <v>168</v>
  </rv>
  <rv s="0">
    <v>https://www.bing.com/financeapi/forcetrigger?t=a1ynp2&amp;q=XNYS%3aNOK&amp;form=skydnc</v>
    <v>Learn more on Bing</v>
  </rv>
  <rv s="1">
    <v>0</v>
    <v>Nokia Oyj (XNYS:NOK)</v>
    <v>2</v>
    <v>3</v>
    <v>Finance</v>
    <v>4</v>
    <v>en-GB</v>
    <v>a1ynp2</v>
    <v>268435456</v>
    <v>1</v>
    <v>Powered by Refinitiv</v>
    <v>17.45</v>
    <v>5.835</v>
    <v>1.2343</v>
    <v>0.26</v>
    <v>3.2995000000000003E-2</v>
    <v>-0.02</v>
    <v>-2.457E-3</v>
    <v>USD</v>
    <v>Nokia Oyj is a Finland-based company engaged in the network and Internet protocol (IP) infrastructure, software, and related services market. The Company's businesses include Nokia Networks and Nokia Technologies. The Company's segments include Ultra Broadband Networks, IP Networks and Applications, and Nokia Technologies. The Ultra Broadband Networks segment comprises Mobile Networks and Fixed Networks operating segments. The IP Networks and Applications segment comprises IP/Optical Networks and Applications &amp; Analytics operating segments. The Applications &amp; Analytics operating segment offers software solutions spanning customer experience management, network operations and management, communications and collaboration, policy and charging, as well as Cloud, Internet of things (IoT), security, and analytics platforms that enable digital services providers and enterprises to accelerate and optimize their customer experience. The Company has Comptel Oyj among its subsidiaries.</v>
    <v>77586</v>
    <v>New York Stock Exchange</v>
    <v>XNYS</v>
    <v>XNYS</v>
    <v>Karakaari 7, Espoo, VLASENICE, 02610 FI</v>
    <v>8.2650000000000006</v>
    <v>Communications &amp; Networking</v>
    <v>Stock</v>
    <v>46318.999856885937</v>
    <v>170</v>
    <v>8.0381</v>
    <v>Nokia Oyj</v>
    <v>Nokia Oyj</v>
    <v>8.08</v>
    <v>47.917700000000004</v>
    <v>7.88</v>
    <v>8.14</v>
    <v>8.1199999999999992</v>
    <v>5742240000</v>
    <v>NOK</v>
    <v>Nokia Oyj (XNYS:NOK)</v>
    <v>84703619</v>
    <v>79735635</v>
    <v>1997</v>
  </rv>
  <rv s="2">
    <v>171</v>
  </rv>
  <rv s="0">
    <v>https://www.bing.com/financeapi/forcetrigger?t=a1yoa2&amp;q=XNYS%3aNOW&amp;form=skydnc</v>
    <v>Learn more on Bing</v>
  </rv>
  <rv s="4">
    <v>5</v>
    <v>SERVICENOW, INC. (XNYS:NOW)</v>
    <v>2</v>
    <v>6</v>
    <v>Finance</v>
    <v>4</v>
    <v>en-GB</v>
    <v>a1yoa2</v>
    <v>268435456</v>
    <v>1</v>
    <v>Powered by Refinitiv</v>
    <v>192.96600000000001</v>
    <v>81.239999999999995</v>
    <v>0.9395</v>
    <v>1.96</v>
    <v>1.2484E-2</v>
    <v>0.19</v>
    <v>1.1949999999999999E-3</v>
    <v>USD</v>
    <v>ServiceNow, Inc. provides an artificial intelligence (AI) platform for business transformation. The Company’s AI platform connects people, processes, data, and devices to increase productivity and maximize business outcomes. Its intelligent platform, the Now Platform, is a cloud-based solution that helps enterprises and organizations across public and private sectors digitize workflows. The workflow applications built on the Now Platform are organized into four primary areas: Technology, CRM and Industry, Core Business and Creator. Its products include IT Service Management, IT Operations Management, HR Service Delivery, ServiceNow AI Agents, AI Experience, Build Agent, ServiceNow AI Control Tower, AI Agent Fabric, RaptorDB, Workflow Data Fabric, Workplace Service Delivery, ServiceNow Platform Encryption, Telecommunications Service Operations Management, and others. The Company also offers identity security, helping organizations secure access across the enterprise.</v>
    <v>29187</v>
    <v>New York Stock Exchange</v>
    <v>XNYS</v>
    <v>XNYS</v>
    <v>2225 Lawson Lane, SANTA CLARA, CA, 95054 US</v>
    <v>159.5</v>
    <v>Software &amp; IT Services</v>
    <v>Stock</v>
    <v>46318.999937626562</v>
    <v>173</v>
    <v>153.7201</v>
    <v>164342703520</v>
    <v>SERVICENOW, INC.</v>
    <v>SERVICENOW, INC.</v>
    <v>156.38</v>
    <v>98.024900000000002</v>
    <v>157</v>
    <v>158.96</v>
    <v>159.15</v>
    <v>1033862000</v>
    <v>NOW</v>
    <v>SERVICENOW, INC. (XNYS:NOW)</v>
    <v>11100759</v>
    <v>11429082</v>
    <v>2012</v>
  </rv>
  <rv s="2">
    <v>174</v>
  </rv>
  <rv s="0">
    <v>http://en.wikipedia.org/wiki/Hewlett-Packard</v>
    <v>Wikipedia</v>
  </rv>
  <rv s="5">
    <v>13</v>
    <v>176</v>
  </rv>
  <rv s="6">
    <v>11</v>
    <v>https://www.bing.com/th?id=AMMS_98757b1e7b158827481b7c629463c21b&amp;qlt=95</v>
    <v>177</v>
    <v>0</v>
    <v>https://www.bing.com/images/search?form=xlimg&amp;q=hp+company</v>
    <v>Image of HP INC.</v>
  </rv>
  <rv s="0">
    <v>https://www.bing.com/financeapi/forcetrigger?t=a1uu5r&amp;q=XNYS%3aHPQ&amp;form=skydnc</v>
    <v>Learn more on Bing</v>
  </rv>
  <rv s="14">
    <v>25</v>
    <v>HP INC. (XNYS:HPQ)</v>
    <v>9</v>
    <v>26</v>
    <v>Finance</v>
    <v>4</v>
    <v>en-GB</v>
    <v>a1uu5r</v>
    <v>268435456</v>
    <v>1</v>
    <v>Powered by Refinitiv</v>
    <v>36.225000000000001</v>
    <v>17.559999999999999</v>
    <v>1.1641999999999999</v>
    <v>-0.12</v>
    <v>-3.555E-3</v>
    <v>-0.01</v>
    <v>-2.9730000000000002E-4</v>
    <v>USD</v>
    <v>HP Inc. is a global provider of sustainable devices, services and subscriptions for personal computing (PC), printing, three-dimensional (3D) printing, hybrid work, gaming and other related technologies. The Company's segments include Personal Systems, Printing and Corporate Investments. Its Personal Systems segment offers desktops, notebooks, and workstations, thin clients, retail point-of-sale (POS) systems, displays, hybrid systems, software, solutions including endpoint security and services. Its Printing segment provides consumer and commercial printer hardware, supplies, services and solutions. Printing is also focused on graphics and 3D printing and personalization in the commercial and industrial markets. Its Corporate Investments segment includes certain business incubation and investment projects. Its security solutions provide layered resiliency using features such as containment and isolation technology as well as artificial intelligence (AI) deep learning.</v>
    <v>55000</v>
    <v>New York Stock Exchange</v>
    <v>XNYS</v>
    <v>XNYS</v>
    <v>1501 Page Mill Road, PALO ALTO, CA, 94304 US</v>
    <v>34.25</v>
    <v>178</v>
    <v>Computers, Phones &amp; Household Electronics</v>
    <v>Stock</v>
    <v>46318.999663830466</v>
    <v>179</v>
    <v>32.835000000000001</v>
    <v>30336249240</v>
    <v>HP INC.</v>
    <v>HP INC.</v>
    <v>33.65</v>
    <v>12.866899999999999</v>
    <v>33.76</v>
    <v>33.64</v>
    <v>33.630000000000003</v>
    <v>901791000</v>
    <v>HPQ</v>
    <v>HP INC. (XNYS:HPQ)</v>
    <v>12124912</v>
    <v>13315031</v>
    <v>1998</v>
  </rv>
  <rv s="2">
    <v>180</v>
  </rv>
  <rv s="0">
    <v>http://en.wikipedia.org/wiki/Qualcomm</v>
    <v>Wikipedia</v>
  </rv>
  <rv s="5">
    <v>13</v>
    <v>182</v>
  </rv>
  <rv s="6">
    <v>11</v>
    <v>https://www.bing.com/th?id=AMMS_2b1c176dae370ecc0d55a1517537f595&amp;qlt=95</v>
    <v>183</v>
    <v>0</v>
    <v>https://www.bing.com/images/search?form=xlimg&amp;q=qualcomm</v>
    <v>Image of QUALCOMM INCORPORATED</v>
  </rv>
  <rv s="0">
    <v>https://www.bing.com/financeapi/forcetrigger?t=a21k2w&amp;q=XNAS%3aQCOM&amp;form=skydnc</v>
    <v>Learn more on Bing</v>
  </rv>
  <rv s="14">
    <v>25</v>
    <v>QUALCOMM INCORPORATED (XNAS:QCOM)</v>
    <v>9</v>
    <v>26</v>
    <v>Finance</v>
    <v>4</v>
    <v>en-GB</v>
    <v>a21k2w</v>
    <v>268435456</v>
    <v>1</v>
    <v>Powered by Refinitiv</v>
    <v>259.92</v>
    <v>121.99</v>
    <v>1.6944999999999999</v>
    <v>3.08</v>
    <v>1.7821E-2</v>
    <v>-0.18</v>
    <v>-1.023E-3</v>
    <v>USD</v>
    <v>Qualcomm Incorporated is engaged in the development and commercialization of foundational technologies for the wireless industry, including third generation (3G), fourth generation (4G) and fifth generation (5G) wireless connectivity, and high-performance and low-power computing, including on-device artificial intelligence. Its segments include Qualcomm CDMA Technologies (QCT), Qualcomm Technology Licensing (QTL) and Qualcomm Strategic Initiatives. QCT develops and supplies integrated circuits and system software based on 3G/4G/5G and other technologies, including radio frequency front-end, digital cockpit and advanced driver assistance and automated driving, Internet of things including consumer electronic devices, industrial devices and edge networking products. QTL grants licenses or otherwise provides rights to use portions of its intellectual property portfolio that includes certain patent rights essential to and/or useful in the manufacture and sale of certain wireless products.</v>
    <v>52000</v>
    <v>Nasdaq Stock Market</v>
    <v>XNAS</v>
    <v>XNAS</v>
    <v>5775 Morehouse Drive, SAN DIEGO, CA, 92121 US</v>
    <v>176.97499999999999</v>
    <v>184</v>
    <v>Semiconductors &amp; Semiconductor Equipment</v>
    <v>Stock</v>
    <v>46318.999768564063</v>
    <v>185</v>
    <v>171.47499999999999</v>
    <v>184705500000</v>
    <v>QUALCOMM INCORPORATED</v>
    <v>QUALCOMM INCORPORATED</v>
    <v>172.07</v>
    <v>20.002600000000001</v>
    <v>172.83</v>
    <v>175.91</v>
    <v>175.73</v>
    <v>1050000000</v>
    <v>QCOM</v>
    <v>QUALCOMM INCORPORATED (XNAS:QCOM)</v>
    <v>7255809</v>
    <v>12653239</v>
    <v>1991</v>
  </rv>
  <rv s="2">
    <v>186</v>
  </rv>
  <rv s="0">
    <v>https://www.bing.com/financeapi/forcetrigger?t=a1nz8m&amp;q=XNAS%3aAVGO&amp;form=skydnc</v>
    <v>Learn more on Bing</v>
  </rv>
  <rv s="4">
    <v>5</v>
    <v>BROADCOM INC. (XNAS:AVGO)</v>
    <v>2</v>
    <v>6</v>
    <v>Finance</v>
    <v>4</v>
    <v>en-GB</v>
    <v>a1nz8m</v>
    <v>268435456</v>
    <v>1</v>
    <v>Powered by Refinitiv</v>
    <v>495</v>
    <v>289.95999999999998</v>
    <v>1.5024999999999999</v>
    <v>-1.56</v>
    <v>-4.8259999999999996E-3</v>
    <v>0.67700000000000005</v>
    <v>2.1050000000000001E-3</v>
    <v>USD</v>
    <v>Broadcom Inc. is a global technology company. It designs, develops and supplies a broad range of semiconductor and semiconductor-based solutions and infrastructure software solutions. Its semiconductor solutions segment are used in an array of environments, end products and applications such as enterprise and artificial intelligence (AI) data centers, servers and networking and connectivity equipment, and storage systems, home connectivity devices, set-top boxes, broadband access, telecommunication equipment, wireless devices and base stations, factory automation, power generation and alternative energy systems, and electronic displays. Its semiconductor solutions also include intellectual property (IP) licensing. Its infrastructure software segment includes its private cloud, mainframe software, cybersecurity and enterprise software portfolios, and its FC SAN business. Its infrastructure software solutions help enterprises simplify their information technology (IT) environments.</v>
    <v>33000</v>
    <v>Nasdaq Stock Market</v>
    <v>XNAS</v>
    <v>XNAS</v>
    <v>3421 Hillview Avenue, PALO ALTO, CA, 94304 US</v>
    <v>327.7</v>
    <v>Semiconductors &amp; Semiconductor Equipment</v>
    <v>Stock</v>
    <v>46318.999903414064</v>
    <v>188</v>
    <v>320.23</v>
    <v>1535581298400</v>
    <v>BROADCOM INC.</v>
    <v>BROADCOM INC.</v>
    <v>321.5</v>
    <v>41.283499999999997</v>
    <v>323.24</v>
    <v>321.68</v>
    <v>322.35700000000003</v>
    <v>4773630000</v>
    <v>AVGO</v>
    <v>BROADCOM INC. (XNAS:AVGO)</v>
    <v>15917005</v>
    <v>22776595</v>
    <v>2018</v>
  </rv>
  <rv s="2">
    <v>189</v>
  </rv>
  <rv s="0">
    <v>https://www.bing.com/financeapi/forcetrigger?t=a2x7qh&amp;q=OTCM%3aSTMEF&amp;form=skydnc</v>
    <v>Learn more on Bing</v>
  </rv>
  <rv s="17">
    <v>32</v>
    <v>STMicroelectronics N.V. (OTCM:STMEF)</v>
    <v>2</v>
    <v>33</v>
    <v>Finance</v>
    <v>24</v>
    <v>en-GB</v>
    <v>a2x7qh</v>
    <v>268435456</v>
    <v>1</v>
    <v>Powered by Refinitiv</v>
    <v>80.86</v>
    <v>23.1205</v>
    <v>1.4255</v>
    <v>-0.24</v>
    <v>-5.4130000000000003E-3</v>
    <v>USD</v>
    <v>STMicroelectronics NV is a Switzerland-based company primarily engaged in the semiconductor industry. The Company designs, develops, manufactures, and markets semiconductor products for the automotive, industrial, consumer electronics, communications, computer, and peripheral markets. STMicroelectronics NV's segments include AM&amp;S (Analog Products, Micro-Electro-Mechanical Systems (MEMS) and Sensors Group), P&amp;D (Power and Discrete Products), EMP (Embedded Processing), and RFOC (Radio Frequency (RF) and Optical Communications). The AM&amp;S segment comprises analog products, MEMS sensors and actuators, as well as optical sensing solutions. The P&amp;D segment comprises discrete and power transistor products. The EMP segment comprises general-purpose and automotive microcontrollers, connected security products, and custom processing products. The RFOC segment comprises space, ranging, and connectivity products; digital audio and signalling solutions; and optical and RF communication technologies.</v>
    <v>47737</v>
    <v>OTC Markets</v>
    <v>OTCM</v>
    <v>OTCM</v>
    <v>39 Chemin du Champ des Filles, PLAN-LES-OUATES, GENEVE, 1228 CH</v>
    <v>44.1</v>
    <v>Semiconductors &amp; Semiconductor Equipment</v>
    <v>Stock</v>
    <v>46318.781678159372</v>
    <v>191</v>
    <v>44.1</v>
    <v>STMicroelectronics N.V.</v>
    <v>STMicroelectronics N.V.</v>
    <v>44.1</v>
    <v>484.59019999999998</v>
    <v>44.34</v>
    <v>44.1</v>
    <v>911281900</v>
    <v>STMEF</v>
    <v>STMicroelectronics N.V. (OTCM:STMEF)</v>
    <v>60023</v>
    <v>2235830</v>
    <v>1987</v>
  </rv>
  <rv s="2">
    <v>192</v>
  </rv>
  <rv s="0">
    <v>https://www.bing.com/financeapi/forcetrigger?t=a1wxjc&amp;q=XNAS%3aLITE&amp;form=skydnc</v>
    <v>Learn more on Bing</v>
  </rv>
  <rv s="1">
    <v>0</v>
    <v>LUMENTUM HOLDINGS INC. (XNAS:LITE)</v>
    <v>2</v>
    <v>3</v>
    <v>Finance</v>
    <v>4</v>
    <v>en-GB</v>
    <v>a1wxjc</v>
    <v>268435456</v>
    <v>1</v>
    <v>Powered by Refinitiv</v>
    <v>1143</v>
    <v>157.39500000000001</v>
    <v>1.6449</v>
    <v>3.63</v>
    <v>4.8240000000000002E-3</v>
    <v>-0.37</v>
    <v>-4.8930000000000002E-4</v>
    <v>USD</v>
    <v>Lumentum Holdings Inc. is an optical and photonic technology that powers the networks and infrastructure behind artificial intelligence (AI), cloud computing, and next-generation communications. Its segments include Cloud &amp; Networking and Industrial Tech. The Cloud &amp; Networking segment products include a comprehensive portfolio of optical and photonic components, modules, and subsystems supplied to cloud and communications network operators and network equipment manufacturers building cloud data center infrastructure, including products for AI and machine learning and data center interconnect (DCI) applications, and communications service provider networks, including products for access (local), metro (intracity), long-haul (city-to-city and worldwide), and submarine (undersea) network infrastructure. The Industrial Tech segment's products include short-pulse solid-state lasers, kilowatt-class fiber lasers, diode lasers, and gas lasers, serving a range of end-market applications.</v>
    <v>13757</v>
    <v>Nasdaq Stock Market</v>
    <v>XNAS</v>
    <v>XNAS</v>
    <v>1001 Ridder Park Dr, SAN JOSE, CA, 95131-2314 US</v>
    <v>788.89520000000005</v>
    <v>Communications &amp; Networking</v>
    <v>Stock</v>
    <v>46318.999934154686</v>
    <v>194</v>
    <v>736.01009999999997</v>
    <v>LUMENTUM HOLDINGS INC.</v>
    <v>LUMENTUM HOLDINGS INC.</v>
    <v>760</v>
    <v>0</v>
    <v>752.54</v>
    <v>756.17</v>
    <v>755.8</v>
    <v>90582860</v>
    <v>LITE</v>
    <v>LUMENTUM HOLDINGS INC. (XNAS:LITE)</v>
    <v>3934967</v>
    <v>4932845</v>
    <v>2015</v>
  </rv>
  <rv s="2">
    <v>195</v>
  </rv>
  <rv s="0">
    <v>https://www.bing.com/financeapi/forcetrigger?t=a1tym7&amp;q=XNYS%3aGLW&amp;form=skydnc</v>
    <v>Learn more on Bing</v>
  </rv>
  <rv s="1">
    <v>0</v>
    <v>CORNING INCORPORATED (XNYS:GLW)</v>
    <v>2</v>
    <v>3</v>
    <v>Finance</v>
    <v>4</v>
    <v>en-GB</v>
    <v>a1tym7</v>
    <v>268435456</v>
    <v>1</v>
    <v>Powered by Refinitiv</v>
    <v>271.77999999999997</v>
    <v>77.39</v>
    <v>1.2103999999999999</v>
    <v>-0.3</v>
    <v>-2.4199999999999998E-3</v>
    <v>-0.28999999999999998</v>
    <v>-2.3449999999999999E-3</v>
    <v>USD</v>
    <v>Corning Incorporated operates as an innovator in materials science. Its Optical Communications segment manufactures carrier network and enterprise network components for the telecommunications industry and others. Its Glass Innovations segment utilizes proprietary melting, precision forming, strengthening, and finishing processes to create flat glass substrates for LCD and OLED displays and cover materials for mobile consumer electronics; and provides material formulations and optical fabrication for specialty glass, glass ceramic, fluoride crystal, and other precision materials and components for various applications. Its Automotive segment manufactures ceramic substrates and filter products for emissions control systems in mobile applications; as well as technical glass and optic products and solutions for the interior and exterior of vehicles. Its Solar segment manufactures silicon materials and products for semiconductors and solar applications.</v>
    <v>67200</v>
    <v>New York Stock Exchange</v>
    <v>XNYS</v>
    <v>XNYS</v>
    <v>One Riverfront Plaza, CORNING, NY, 14831 US</v>
    <v>126.75</v>
    <v>Electronic Equipment &amp; Parts</v>
    <v>Stock</v>
    <v>46318.999818113283</v>
    <v>197</v>
    <v>121.804</v>
    <v>CORNING INCORPORATED</v>
    <v>CORNING INCORPORATED</v>
    <v>123.77</v>
    <v>56.927100000000003</v>
    <v>123.99</v>
    <v>123.69</v>
    <v>123.4</v>
    <v>861388300</v>
    <v>GLW</v>
    <v>CORNING INCORPORATED (XNYS:GLW)</v>
    <v>8560786</v>
    <v>7908552</v>
    <v>1936</v>
  </rv>
  <rv s="2">
    <v>198</v>
  </rv>
  <rv s="0">
    <v>https://www.bing.com/financeapi/forcetrigger?t=a1vgar&amp;q=XNAS%3aIIVI&amp;form=skydnc</v>
    <v>Learn more on Bing</v>
  </rv>
  <rv s="4">
    <v>5</v>
    <v>Coherent Corp. (XNYS:COHR)</v>
    <v>2</v>
    <v>6</v>
    <v>Finance</v>
    <v>4</v>
    <v>en-GB</v>
    <v>a1vgar</v>
    <v>268435456</v>
    <v>1</v>
    <v>Powered by Refinitiv</v>
    <v>440</v>
    <v>115</v>
    <v>2.2176</v>
    <v>1.47</v>
    <v>7.0730000000000003E-3</v>
    <v>-1.3</v>
    <v>-6.2109999999999995E-3</v>
    <v>USD</v>
    <v>Coherent Corp. is a vertically integrated manufacturing company that develops, manufactures, and markets lasers, transceivers, and other optical and optoelectronic devices, modules, and systems, as well as engineered materials, for use in the communications, industrial, instrumentation and electronics markets. Its segments include datacenter &amp; communications, and industrial. Its datacenter &amp; communications segment offers optical transceivers, optical circuit switches, interconnect cables, optical instruments, optoelectronic devices, communication components, and wavelength management products. Its industrial segment offers lasers, machines &amp; systems, components &amp; accessories, optics, laser measurement instruments, ceramics &amp; metal matrix, ion implantation, engineered materials, and wide-bandgap electronics. Its subsidiaries include Finisar Australia Pty Limited, Nufibre PTY LTD, Finisar Brasil Suporte De Vendas LTDA, Coherent Aerospace &amp; Defense, Inc., and Coherent Asia, Inc.</v>
    <v>51478</v>
    <v>New York Stock Exchange</v>
    <v>XNYS</v>
    <v>XNYS</v>
    <v>375 Saxonburg Blvd, SAXONBURG, PA, 16056 US</v>
    <v>215.38</v>
    <v>Electronic Equipment &amp; Parts</v>
    <v>Stock</v>
    <v>46318.999904293749</v>
    <v>200</v>
    <v>203.55</v>
    <v>41215730848</v>
    <v>Coherent Corp.</v>
    <v>Coherent Corp.</v>
    <v>207.85</v>
    <v>50.441699999999997</v>
    <v>207.82</v>
    <v>209.29</v>
    <v>207.99</v>
    <v>196931200</v>
    <v>COHR</v>
    <v>Coherent Corp. (XNYS:COHR)</v>
    <v>6178921</v>
    <v>7280522</v>
    <v>1971</v>
  </rv>
  <rv s="2">
    <v>201</v>
  </rv>
  <rv s="0">
    <v>https://www.bing.com/financeapi/forcetrigger?t=ajgrar&amp;q=XMIL%3aUCG&amp;form=skydnc</v>
    <v>Learn more on Bing</v>
  </rv>
  <rv s="18">
    <v>34</v>
    <v>UniCredit SpA (XMIL:UCG)</v>
    <v>2</v>
    <v>35</v>
    <v>Finance</v>
    <v>36</v>
    <v>en-GB</v>
    <v>ajgrar</v>
    <v>268435456</v>
    <v>1</v>
    <v>Powered by Refinitiv</v>
    <v>86.42</v>
    <v>57.36</v>
    <v>1.7282</v>
    <v>0.39</v>
    <v>5.4429999999999999E-3</v>
    <v>EUR</v>
    <v>UniCredit SpA is an Italy-based holding company engaged in the financial sector. Its division model is based on seven business lines: Commercial Banking Italy, Central and Eastern Europe (CEE), Corporate and Investment Banking (CIB), Commercial Banking Germany, Commercial Banking Austria and Fineco. UniCredit SpA offers banking and financial services for families, individuals and corporate clients, including accounts, loans, mortgages, investments, wealth management, as well as financial advice and insurance products, among others. Through numerous subsidiaries, the Company operates in the domestic market, Germany, Austria and CEE.</v>
    <v>66180</v>
    <v>Borsa Italiana</v>
    <v>XMIL</v>
    <v>XMIL</v>
    <v>Piazza Gae Aulenti 3 - Tower A, MILANO, MILANO, 20154 IT</v>
    <v>72.319999999999993</v>
    <v>Banking Services</v>
    <v>Stock</v>
    <v>46318.666666666664</v>
    <v>203</v>
    <v>70.66</v>
    <v>108632900000</v>
    <v>UniCredit SpA</v>
    <v>UniCredit SpA</v>
    <v>72.05</v>
    <v>10.1396</v>
    <v>71.650000000000006</v>
    <v>72.040000000000006</v>
    <v>1507953000</v>
    <v>UCG</v>
    <v>UniCredit SpA (XMIL:UCG)</v>
    <v>4136999</v>
    <v>4032830</v>
  </rv>
  <rv s="2">
    <v>204</v>
  </rv>
  <rv s="12">
    <v>21</v>
    <v>SANDISK CORPORATION (XNAS:SNDK)</v>
    <v>18</v>
    <v>6</v>
    <v>Finance</v>
    <v>4</v>
    <v>en-GB</v>
    <v>cfwqww</v>
    <v>268435456</v>
    <v>1</v>
    <v>Powered by Refinitiv</v>
    <v>2354.3899000000001</v>
    <v>146</v>
    <v>2.6789999999999998</v>
    <v>-22.9</v>
    <v>-1.8161E-2</v>
    <v>1.2942</v>
    <v>1.0449999999999999E-3</v>
    <v>USD</v>
    <v>SanDisk Corporation is a developer, manufacturer and provider of data storage devices and solutions based on NAND flash technology and has consumer brands and franchises globally. The Company's solutions include a range of solid state drives (SSDs) embedded products, removable cards, universal serial bus (USB) drives, and wafers and components. Its broad portfolio of technology and products addresses multiple end markets of Datacenter, Edge and Consumer. Its Datacenter end market is composed primarily of products for public or private cloud environments and enterprise customers. The Company, through the Edge end market, provides original equipment manufacturer and channel customers a broad array of high-performance flash solutions across personal computer, mobile, gaming, automotive, virtual reality headsets, at-home entertainment, and industrial spaces. The Company serves the Consumer end market with a broad range of retail and other end-user products.</v>
    <v>11100</v>
    <v>Nasdaq Stock Market</v>
    <v>XNAS</v>
    <v>XNAS</v>
    <v>951 Sandisk Drive, MILPITAS, CA, 95035 US</v>
    <v>1299.99</v>
    <v>Computers, Phones &amp; Household Electronics</v>
    <v>Stock</v>
    <v>46318.999990635937</v>
    <v>1228.8900000000001</v>
    <v>178929504628</v>
    <v>SANDISK CORPORATION</v>
    <v>SANDISK CORPORATION</v>
    <v>1271.6199999999999</v>
    <v>17.1097</v>
    <v>1260.93</v>
    <v>1238.03</v>
    <v>1239.3242</v>
    <v>144527600</v>
    <v>SNDK</v>
    <v>SANDISK CORPORATION (XNAS:SNDK)</v>
    <v>7923529</v>
    <v>8684198</v>
    <v>2024</v>
  </rv>
  <rv s="2">
    <v>206</v>
  </rv>
  <rv s="0">
    <v>http://en.wikipedia.org/wiki/Western_Digital</v>
    <v>Wikipedia</v>
  </rv>
  <rv s="5">
    <v>13</v>
    <v>208</v>
  </rv>
  <rv s="6">
    <v>11</v>
    <v>https://www.bing.com/th?id=AMMS_b9efb984265253a027f300c3dcbbcbc0&amp;qlt=95</v>
    <v>209</v>
    <v>0</v>
    <v>https://www.bing.com/images/search?form=xlimg&amp;q=western+digital</v>
    <v>Image of WESTERN DIGITAL CORPORATION</v>
  </rv>
  <rv s="0">
    <v>https://www.bing.com/financeapi/forcetrigger?t=a25rnm&amp;q=XNAS%3aWDC&amp;form=skydnc</v>
    <v>Learn more on Bing</v>
  </rv>
  <rv s="14">
    <v>25</v>
    <v>WESTERN DIGITAL CORPORATION (XNAS:WDC)</v>
    <v>9</v>
    <v>26</v>
    <v>Finance</v>
    <v>4</v>
    <v>en-GB</v>
    <v>a25rnm</v>
    <v>268435456</v>
    <v>1</v>
    <v>Powered by Refinitiv</v>
    <v>799.87</v>
    <v>121.715</v>
    <v>2.2770999999999999</v>
    <v>-10.52</v>
    <v>-2.9702000000000003E-2</v>
    <v>-2.5459999999999998</v>
    <v>-7.4080000000000005E-3</v>
    <v>USD</v>
    <v>Western Digital Corporation is a developer, manufacturer and provider of data storage devices and solutions on hard disk drives (HDD) technologies. The Company manufactures, markets, and sells data storage devices and solutions through its sales personnel, dealers, distributors, retailers, and subsidiaries. Its portfolio of technology and products addresses end markets: Cloud, Client, and Consumer. Cloud is comprised primarily of products for public or private cloud environments and enterprise customers. Through the Client end market, the Company provides its original equipment manufacturer (OEM) and channel customers with a broad array of high-performance HDD solutions across desktops and notebooks. The Consumer end market offers a range of retail and other end-user products. Its product portfolio includes Internal HDD, Data Center Drives, Data Center Platforms, External Drives, Portable Drives, network-attached storage (NAS) for Home and Office, and Accessories.</v>
    <v>40000</v>
    <v>Nasdaq Stock Market</v>
    <v>XNAS</v>
    <v>XNAS</v>
    <v>5601 Great Oaks Parkway, SAN JOSE, CA, 95119 US</v>
    <v>360.66</v>
    <v>210</v>
    <v>Computers, Phones &amp; Household Electronics</v>
    <v>Stock</v>
    <v>46318.999974375001</v>
    <v>211</v>
    <v>339.55</v>
    <v>128384114560</v>
    <v>WESTERN DIGITAL CORPORATION</v>
    <v>WESTERN DIGITAL CORPORATION</v>
    <v>346.1</v>
    <v>13.7073</v>
    <v>354.19</v>
    <v>343.67</v>
    <v>341.12400000000002</v>
    <v>373568000</v>
    <v>WDC</v>
    <v>WESTERN DIGITAL CORPORATION (XNAS:WDC)</v>
    <v>13953729</v>
    <v>9268205</v>
    <v>2000</v>
  </rv>
  <rv s="2">
    <v>212</v>
  </rv>
  <rv s="0">
    <v>https://www.bing.com/financeapi/forcetrigger?t=a23rjc&amp;q=XNAS%3aSTX&amp;form=skydnc</v>
    <v>Learn more on Bing</v>
  </rv>
  <rv s="4">
    <v>5</v>
    <v>SEAGATE TECHNOLOGY HOLDINGS PUBLIC LIMITED COMPANY (XNAS:STX)</v>
    <v>2</v>
    <v>6</v>
    <v>Finance</v>
    <v>4</v>
    <v>en-GB</v>
    <v>a23rjc</v>
    <v>268435456</v>
    <v>1</v>
    <v>Powered by Refinitiv</v>
    <v>1145</v>
    <v>217.67</v>
    <v>2.1669999999999998</v>
    <v>-11.65</v>
    <v>-1.8142000000000002E-2</v>
    <v>0.51</v>
    <v>8.0889999999999998E-4</v>
    <v>USD</v>
    <v>Seagate Technology Holdings plc provides mass-data storage infrastructure solution. The Company’s principal products are hard disk drives, commonly referred to as disk drives, hard drives (HDDs). In addition to HDDs, the Company produces a range of data storage products, including solid state drives (SSDs), solid state hybrid drives, storage subsystems, as well as a scalable edge-to-cloud mass data platform. Its HDD products are designed for mass capacity storage and legacy markets. Mass capacity storage involves use cases, such as hyperscale data centers and public clouds, as well as emerging use cases. The Company’s HDD and SSD product portfolio includes Serial Advanced Technology Attachment, Serial Attached SCSI and Non-Volatile Memory Express based designs to support a variety of mass capacity and legacy applications. Its systems portfolio includes storage subsystems for enterprises, cloud service providers, scale-out storage servers and original equipment manufacturers.</v>
    <v>30000</v>
    <v>Nasdaq Stock Market</v>
    <v>XNAS</v>
    <v>XNAS</v>
    <v>121 Woodlands Avenue 5, 739009 SG</v>
    <v>655.6</v>
    <v>Computers, Phones &amp; Household Electronics</v>
    <v>Stock</v>
    <v>46318.999900555471</v>
    <v>214</v>
    <v>621.00009999999997</v>
    <v>144407997041</v>
    <v>SEAGATE TECHNOLOGY HOLDINGS PUBLIC LIMITED COMPANY</v>
    <v>SEAGATE TECHNOLOGY HOLDINGS PUBLIC LIMITED COMPANY</v>
    <v>633</v>
    <v>46.184100000000001</v>
    <v>642.14</v>
    <v>630.49</v>
    <v>631</v>
    <v>229040900</v>
    <v>STX</v>
    <v>SEAGATE TECHNOLOGY HOLDINGS PUBLIC LIMITED COMPANY (XNAS:STX)</v>
    <v>5572336</v>
    <v>4901617</v>
    <v>2017</v>
  </rv>
  <rv s="2">
    <v>215</v>
  </rv>
  <rv s="0">
    <v>https://www.bing.com/financeapi/forcetrigger?t=bx11w7&amp;q=XNAS%3aCIFR&amp;form=skydnc</v>
    <v>Learn more on Bing</v>
  </rv>
  <rv s="1">
    <v>0</v>
    <v>CIPHER DIGITAL INC. (XNAS:CIFR)</v>
    <v>2</v>
    <v>3</v>
    <v>Finance</v>
    <v>4</v>
    <v>en-GB</v>
    <v>bx11w7</v>
    <v>268435456</v>
    <v>1</v>
    <v>Powered by Refinitiv</v>
    <v>30.14</v>
    <v>7.9</v>
    <v>3.5114000000000001</v>
    <v>-0.38</v>
    <v>-4.5673000000000005E-2</v>
    <v>-0.01</v>
    <v>-1.2590000000000001E-3</v>
    <v>USD</v>
    <v>Cipher Digital Inc., formerly Cipher Mining Inc., is a high-performance computing (HPC) data center developer and operator. The Company is dedicated to developing and operating industrial-scale data centers engineered for computing. Its vertical integration spans critical stages of the data center value chain, including land and power origination and interconnection, site development, data center design and construction, oversight and ongoing facility operations. It also operates and maintains energy-intensive data center facilities. Its data center portfolio consists of 4.2 gigawatts (GW) of capacity across 10 sites, at various stages of interconnection. The Company is engaged in developing 600 megawatts (MW) of HPC data center facilities across two sites for hyperscaler tenants and operates approximately 207 MW of power at one bitcoin mining data center in Texas. It also maintains a pipeline of approximately 3.4 GW across seven sites in Texas and one additional site in Ohio.</v>
    <v>66</v>
    <v>Nasdaq Stock Market</v>
    <v>XNAS</v>
    <v>XNAS</v>
    <v>1 Vanderbilt Avenue, Floor 54, NEW YORK, NY, 10017 US</v>
    <v>8.52</v>
    <v>Financial Technology (Fintech) &amp; Infrastructure</v>
    <v>Stock</v>
    <v>46318.999999675783</v>
    <v>217</v>
    <v>7.9</v>
    <v>CIPHER DIGITAL INC.</v>
    <v>CIPHER DIGITAL INC.</v>
    <v>8.25</v>
    <v>0</v>
    <v>8.32</v>
    <v>7.94</v>
    <v>7.93</v>
    <v>415030700</v>
    <v>CIFR</v>
    <v>CIPHER DIGITAL INC. (XNAS:CIFR)</v>
    <v>30535496</v>
    <v>43059753</v>
    <v>2020</v>
  </rv>
  <rv s="2">
    <v>218</v>
  </rv>
  <rv s="0">
    <v>https://www.bing.com/financeapi/forcetrigger?t=a26dyc&amp;q=XNAS%3aYNDX&amp;form=skydnc</v>
    <v>Learn more on Bing</v>
  </rv>
  <rv s="1">
    <v>0</v>
    <v>Nebius Group NV (XNAS:NBIS)</v>
    <v>2</v>
    <v>3</v>
    <v>Finance</v>
    <v>4</v>
    <v>en-GB</v>
    <v>a26dyc</v>
    <v>268435456</v>
    <v>1</v>
    <v>Powered by Refinitiv</v>
    <v>299.86</v>
    <v>73.52</v>
    <v>-15.577</v>
    <v>-0.43</v>
    <v>-2.702E-3</v>
    <v>-0.18</v>
    <v>-1.134E-3</v>
    <v>USD</v>
    <v>Nebius Group NV is a Netherlands-based infrastructure company operating in the technology industry. The Company is engaged in developing a portfolio of artificial intelligence-related technology assets. It is involved in creating an artificial intelligence-centric player to integrate the essential elements of artificial intelligence development with infrastructure, data and advisory globally. It offers products and services such as a cloud platform for artificial intelligence-related workloads, development team services for autonomous vehicles, development of generative artificial intelligence. Nebius builds full-stack infrastructure to service the growth of the global AI industry, including GPU clusters, cloud platforms and tools and services for developers. Company is developing three other businesses that operate under their own brands: Toloka AI, TripleTen and Avride.</v>
    <v>1500</v>
    <v>Nasdaq Stock Market</v>
    <v>XNAS</v>
    <v>XNAS</v>
    <v>Schiphol Boulevard 165, SCHIPHOL, NOORD-HOLLAND, 1118BG NL</v>
    <v>162.99</v>
    <v>Professional &amp; Commercial Services</v>
    <v>Stock</v>
    <v>46318.999973818747</v>
    <v>220</v>
    <v>155.8578</v>
    <v>Nebius Group NV</v>
    <v>Nebius Group NV</v>
    <v>158.9</v>
    <v>0</v>
    <v>159.16999999999999</v>
    <v>158.74</v>
    <v>158.56</v>
    <v>271855200</v>
    <v>NBIS</v>
    <v>Nebius Group NV (XNAS:NBIS)</v>
    <v>13496767</v>
    <v>19840143</v>
    <v>2004</v>
  </rv>
  <rv s="2">
    <v>221</v>
  </rv>
  <rv s="0">
    <v>https://www.bing.com/financeapi/forcetrigger?t=ajg81h&amp;q=XMIL%3aRACE&amp;form=skydnc</v>
    <v>Learn more on Bing</v>
  </rv>
  <rv s="15">
    <v>27</v>
    <v>Ferrari N.V. (XMIL:RACE)</v>
    <v>2</v>
    <v>37</v>
    <v>Finance</v>
    <v>36</v>
    <v>en-GB</v>
    <v>ajg81h</v>
    <v>268435456</v>
    <v>1</v>
    <v>Powered by Refinitiv</v>
    <v>377.5</v>
    <v>269</v>
    <v>0.76819999999999999</v>
    <v>-4.55</v>
    <v>-1.2851E-2</v>
    <v>EUR</v>
    <v>Ferrari NV, known as Ferrari, is an Italy-based designer, manufacturer and retailer of sports cars that is incorporated in the Netherlands. It operates under the Ferrari brand. Its sports cars portfolio includes, among others, F12berlinetta, FF, Ferrari 488 GTB, 488 Spider, 458 Speciale, Ferrari California T, F12tdf and LaFerrari. The Company also offers financing services through Ferrari Financial Services. It also produces limited series and one-off cars. The Company divides its regional markets in EMEA (Europe, the Middle East, India and Africa), Americas, Greater China and Rest of APAC (Asia-Pacific region, excluding Greater China) and is active in over 60 markets worldwide through a network of authorized dealers.</v>
    <v>5743</v>
    <v>Borsa Italiana</v>
    <v>XMIL</v>
    <v>XMIL</v>
    <v>Via Abetone Inferiore No. 4, MARANELLO, MODENA, 41053 IT</v>
    <v>354.3</v>
    <v>Automobiles &amp; Auto Parts</v>
    <v>Stock</v>
    <v>46318.666666666664</v>
    <v>223</v>
    <v>348.1</v>
    <v>61958970000</v>
    <v>Ferrari N.V.</v>
    <v>Ferrari N.V.</v>
    <v>351.5</v>
    <v>37.854199999999999</v>
    <v>354.05</v>
    <v>349.5</v>
    <v>177278900</v>
    <v>RACE</v>
    <v>Ferrari N.V. (XMIL:RACE)</v>
    <v>286483</v>
    <v>306080</v>
    <v>2015</v>
  </rv>
  <rv s="2">
    <v>224</v>
  </rv>
  <rv s="0">
    <v>https://www.bing.com/financeapi/forcetrigger?t=ae96u2&amp;q=XPAR%3aMC&amp;form=skydnc</v>
    <v>Learn more on Bing</v>
  </rv>
  <rv s="15">
    <v>27</v>
    <v>LVMH Moet Hennessy Louis Vuitton SE (XPAR:MC)</v>
    <v>2</v>
    <v>37</v>
    <v>Finance</v>
    <v>24</v>
    <v>en-GB</v>
    <v>ae96u2</v>
    <v>268435456</v>
    <v>1</v>
    <v>Powered by Refinitiv</v>
    <v>654.70000000000005</v>
    <v>375.65</v>
    <v>1.4073</v>
    <v>-4.8</v>
    <v>-1.2378E-2</v>
    <v>EUR</v>
    <v>LVMH Moet Hennessy Louis Vuitton SE is a France‑based company. The Company specializes in luxury goods. It operates across several segments, including fashion and leather goods and it is featuring brands such as Louis Vuitton, Kenzo, Celine, Fendi, Marc Jacobs, and Givenchy; watches and Jewelry segment includes brands such as Bulgari, TAG Heuer, Zenith, Hublot, Chaumet, Fred, and Tiffany; perfumes and cosmetics offers fragrances and beauty products from Christian Dior, Guerlain, Loewe, Kenzo, Make Up For Ever, and Acqua di Parma. Its wines and spirits division includes champagne houses such as Moet &amp; Chandon, Mercier, Veuve Clicquot Ponsardin, and Dom Perignon, along with wines like Cape Mentelle and Chateau d’Yquem, and spirits including cognacs and Glenmorangie whisky.</v>
    <v>196647</v>
    <v>Euronext Paris</v>
    <v>XPAR</v>
    <v>XPAR</v>
    <v>22 AVENUE MONTAIGNE, PARIS, ILE-DE-FRANCE, 75008 FR</v>
    <v>388.2</v>
    <v>Textiles &amp; Apparel</v>
    <v>Stock</v>
    <v>46318.666666666664</v>
    <v>226</v>
    <v>380.05</v>
    <v>189434100000</v>
    <v>LVMH Moet Hennessy Louis Vuitton SE</v>
    <v>LVMH Moet Hennessy Louis Vuitton SE</v>
    <v>387.2</v>
    <v>17.6721</v>
    <v>387.8</v>
    <v>383</v>
    <v>494606100</v>
    <v>MC</v>
    <v>LVMH Moet Hennessy Louis Vuitton SE (XPAR:MC)</v>
    <v>794428</v>
    <v>637060</v>
    <v>1987</v>
  </rv>
  <rv s="2">
    <v>227</v>
  </rv>
  <rv s="0">
    <v>https://www.bing.com/financeapi/forcetrigger?t=afr3u2&amp;q=XETR%3aMBG&amp;form=skydnc</v>
    <v>Learn more on Bing</v>
  </rv>
  <rv s="15">
    <v>27</v>
    <v>Mercedes-Benz Group AG (XETR:MBG)</v>
    <v>2</v>
    <v>37</v>
    <v>Finance</v>
    <v>24</v>
    <v>en-GB</v>
    <v>afr3u2</v>
    <v>268435456</v>
    <v>1</v>
    <v>Powered by Refinitiv</v>
    <v>62.34</v>
    <v>38.89</v>
    <v>0.99650000000000005</v>
    <v>-0.78</v>
    <v>-1.8786000000000001E-2</v>
    <v>EUR</v>
    <v>Mercedes-Benz Group AG, formerly Daimler AG (Daimler), is a Germany-based automotive engineering company. The Company engages in the development, production and distribution of cars and vans in Germany. The segments include Mercedes-Benz Cars, Mercedes-Benz Vans and Mercedes-Benz Financial Services. The Mercedes-Benz Cars segment includes vehicles of the Mercedes-Benz brand, Mercedes-AMG and Mercedes-Maybach, as well as the G-Class product brand. The Mercedes-Benz Vans sells vans under the brand name Mercedes-Benz, as well as corresponding spare parts and accessories. The Mercedes-Benz Financial Services segment supports the sales of the Mercedes-Benz Group’s automotive brands worldwide. The Company's product range primarily includes leasing and financing contracts for end customers and dealers, insurance services and subscription and rental models as well as fleet management services for business customers.</v>
    <v>152528</v>
    <v>Xetra</v>
    <v>XETR</v>
    <v>XETR</v>
    <v>Mercedesstrasse 120, STUTTGART, BADEN-WUERTTEMBERG, 70372 DE</v>
    <v>41.645000000000003</v>
    <v>Automobiles &amp; Auto Parts</v>
    <v>Stock</v>
    <v>46318.836805555555</v>
    <v>229</v>
    <v>40.594999999999999</v>
    <v>39270930000</v>
    <v>Mercedes-Benz Group AG</v>
    <v>Mercedes-Benz Group AG</v>
    <v>41.15</v>
    <v>7.8620999999999999</v>
    <v>41.52</v>
    <v>40.74</v>
    <v>962903700</v>
    <v>MBG</v>
    <v>Mercedes-Benz Group AG (XETR:MBG)</v>
    <v>3119388</v>
    <v>2159090</v>
    <v>1998</v>
  </rv>
  <rv s="2">
    <v>230</v>
  </rv>
  <rv s="0">
    <v>https://www.bing.com/financeapi/forcetrigger?t=ajgoa2&amp;q=XMIL%3aTGYM&amp;form=skydnc</v>
    <v>Learn more on Bing</v>
  </rv>
  <rv s="18">
    <v>34</v>
    <v>Technogym S.p.A. (XMIL:TGYM)</v>
    <v>2</v>
    <v>35</v>
    <v>Finance</v>
    <v>36</v>
    <v>en-GB</v>
    <v>ajgoa2</v>
    <v>268435456</v>
    <v>1</v>
    <v>Powered by Refinitiv</v>
    <v>21.82</v>
    <v>11.92</v>
    <v>0.88100000000000001</v>
    <v>-0.15</v>
    <v>-1.2116E-2</v>
    <v>EUR</v>
    <v>Technogym SpA is an Italy-based company engaged in the recreational products industry. The Company manufactures fitness equipment. It designs and manufactures fitness equipment for private individuals, corporations, fitness centres, hotels and spas and medical centres. The Company's products offer include treadmills, exercise bikes, cross trainers, circuit training, core exercises equipment, fitness accessories, gym benches, kinesis, legs exercises equipment, multi gyms, plate loaded equipment, software and hardware, steppers, stretching machines, upper body equipment and weights, dumbbells and bars for cardiovascular training, group fitness, resistance and functional training and strength training, among others.</v>
    <v>2800</v>
    <v>Borsa Italiana</v>
    <v>XMIL</v>
    <v>XMIL</v>
    <v>Via Calcinaro, 2861, CESENA, FORLI CESENA, 47521 IT</v>
    <v>12.46</v>
    <v>Leisure Products</v>
    <v>Stock</v>
    <v>46318.666666666664</v>
    <v>232</v>
    <v>12.23</v>
    <v>2462235000</v>
    <v>Technogym S.p.A.</v>
    <v>Technogym S.p.A.</v>
    <v>12.46</v>
    <v>21.2363</v>
    <v>12.38</v>
    <v>12.23</v>
    <v>201327500</v>
    <v>TGYM</v>
    <v>Technogym S.p.A. (XMIL:TGYM)</v>
    <v>202245</v>
    <v>214020</v>
  </rv>
  <rv s="2">
    <v>233</v>
  </rv>
  <rv s="0">
    <v>https://www.bing.com/financeapi/forcetrigger?t=afr9yc&amp;q=XETR%3aDTE&amp;form=skydnc</v>
    <v>Learn more on Bing</v>
  </rv>
  <rv s="15">
    <v>27</v>
    <v>Deutsche Telekom AG (XETR:DTE)</v>
    <v>2</v>
    <v>37</v>
    <v>Finance</v>
    <v>24</v>
    <v>en-GB</v>
    <v>afr9yc</v>
    <v>268435456</v>
    <v>1</v>
    <v>Powered by Refinitiv</v>
    <v>34.36</v>
    <v>23.53</v>
    <v>0.57609999999999995</v>
    <v>-0.83</v>
    <v>-3.1703999999999996E-2</v>
    <v>EUR</v>
    <v>Deutsche Telekom AG is a Germany-based company that provides information technology (IT) and telecommunications services. The Company's operating segments include Germany, consisting of fixed-network and mobile activities in Germany; United States, which consists of mobile activities in the United States market; Europe, consisting of fixed-network and mobile operations of the national companies in various European countries, such as Greece, Romania, Hungary, Poland, the Czech Republic, Croatia, Slovakia, Austria, Albania, Macedonia and Montenegro; Systems Solutions, which operates information and communication technology (ICT) systems for multinational corporations and public sector institutions; Group Development, comprising the entities T-Mobile Netherlands and Deutsche Funkturm (DFMG) and its equity investment in Stroeer SE &amp; Co. KGaA, and Group Headquarters &amp; Group Services, which consists of the operations of service headquarters and various other subsidiaries of the Company.</v>
    <v>191796</v>
    <v>Xetra</v>
    <v>XETR</v>
    <v>XETR</v>
    <v>Friedrich-Ebert-Allee 140, BONN, NORDRHEIN-WESTFALEN, 53113 DE</v>
    <v>25.79</v>
    <v>Telecommunications Services</v>
    <v>Stock</v>
    <v>46318.836805555555</v>
    <v>235</v>
    <v>25.1</v>
    <v>123074200000</v>
    <v>Deutsche Telekom AG</v>
    <v>Deutsche Telekom AG</v>
    <v>25.79</v>
    <v>14.662599999999999</v>
    <v>26.18</v>
    <v>25.35</v>
    <v>4849778000</v>
    <v>DTE</v>
    <v>Deutsche Telekom AG (XETR:DTE)</v>
    <v>8123720</v>
    <v>8859230</v>
    <v>1995</v>
  </rv>
  <rv s="2">
    <v>236</v>
  </rv>
  <rv s="0">
    <v>https://www.bing.com/financeapi/forcetrigger?t=ae7vjc&amp;q=XPAR%3aBN&amp;form=skydnc</v>
    <v>Learn more on Bing</v>
  </rv>
  <rv s="15">
    <v>27</v>
    <v>Danone SA (XPAR:BN)</v>
    <v>2</v>
    <v>37</v>
    <v>Finance</v>
    <v>24</v>
    <v>en-GB</v>
    <v>ae7vjc</v>
    <v>268435456</v>
    <v>1</v>
    <v>Powered by Refinitiv</v>
    <v>80.14</v>
    <v>57.26</v>
    <v>0.48449999999999999</v>
    <v>-0.14000000000000001</v>
    <v>-2.2439999999999999E-3</v>
    <v>EUR</v>
    <v>Danone SA is a France-based global food and beverage company. It operates through four segments: Essential Dairy and Plant-Based Products (EDP), Waters and Specialized Nutrition, including Early Life Nutrition and Medical Nutrition. EDP produces and distributes fresh fermented dairy products and other dairy specialties, plant-based products and beverages, coffee creamers and organic products; Waters sells bottled water and water sold in small and large containers; Early Life Nutrition offers baby formula (infant milk formula, follow-on milk, growing up milks), milk and fruit-based desserts, cereals, jars of baby food and ready-made baby food; Advanced Medical Nutrition offers adult or pediatric clinical nutrition products to be taken orally or through a tube in the event of malnutrition related to illness or other causes. The Company’s brands portfolio includes Activia, Actimel, Alpro, Danette, Danonino, Danio, evian, Volvic, Nutrilon/Aptamil, Nutricia, and others.</v>
    <v>88670</v>
    <v>Euronext Paris</v>
    <v>XPAR</v>
    <v>XPAR</v>
    <v>59-61 rue La Fayette, PARIS, ILE-DE-FRANCE, 75009 FR</v>
    <v>62.58</v>
    <v>Food &amp; Tobacco</v>
    <v>Stock</v>
    <v>46318.666666666664</v>
    <v>238</v>
    <v>61.72</v>
    <v>42530910000</v>
    <v>Danone SA</v>
    <v>Danone SA</v>
    <v>62.56</v>
    <v>20.5943</v>
    <v>62.38</v>
    <v>62.24</v>
    <v>683337200</v>
    <v>BN</v>
    <v>Danone SA (XPAR:BN)</v>
    <v>1166824</v>
    <v>1316500</v>
    <v>1955</v>
  </rv>
  <rv s="2">
    <v>239</v>
  </rv>
  <rv s="0">
    <v>https://www.bing.com/financeapi/forcetrigger?t=ae9qim&amp;q=XPAR%3aOR&amp;form=skydnc</v>
    <v>Learn more on Bing</v>
  </rv>
  <rv s="15">
    <v>27</v>
    <v>L'Oreal SA (XPAR:OR)</v>
    <v>2</v>
    <v>37</v>
    <v>Finance</v>
    <v>24</v>
    <v>en-GB</v>
    <v>ae9qim</v>
    <v>268435456</v>
    <v>1</v>
    <v>Powered by Refinitiv</v>
    <v>438.65</v>
    <v>338.85</v>
    <v>0.83750000000000002</v>
    <v>23.3</v>
    <v>5.6416000000000001E-2</v>
    <v>EUR</v>
    <v>L'Oreal SA is a France-based cosmetic group company. The Company is predominantly engaged and offers skin care products, makeup products, hair care products, perfumes, colouring products and others. Its products are marketed through mass distribution and distance selling, selective distribution, hair salons and pharmacies. Its cosmetics division is organized into four divisions, consumer cosmetics: brands L'Oral paris, Garnier, Maybelline New York and NYX professional makeup, Stylenanda, Essie and Mixa, luxury cosmetics: Lancome, Kiehl's, Giorgio Armani Beauty, Yves Saint Laurent Beaute, Biotherm, Helena Rubinstein, Shu Uemura, IT Cosmetics, Urban Decay, Ralph Lauren, Mugler, Viktor&amp;Rolf, Valentino, Azzaro, Prada, Takami and Aesop, active cosmetic products : La Roche-Posay, Vichy, CeraVe, SkinCeuticals and Skinbetter Science and professional products : L'Oreal Professionnel, Kerastase, Redken, Matrix and PureOlogy.</v>
    <v>94610</v>
    <v>Euronext Paris</v>
    <v>XPAR</v>
    <v>XPAR</v>
    <v>14, rue Royale, PARIS, ILE-DE-FRANCE, 75008 FR</v>
    <v>438.65</v>
    <v>Personal &amp; Household Products &amp; Services</v>
    <v>Stock</v>
    <v>46318.666666666664</v>
    <v>241</v>
    <v>424.3</v>
    <v>232685300000</v>
    <v>L'Oreal SA</v>
    <v>L'Oreal SA</v>
    <v>435</v>
    <v>34.9343</v>
    <v>413</v>
    <v>436.3</v>
    <v>533314900</v>
    <v>OR</v>
    <v>L'Oreal SA (XPAR:OR)</v>
    <v>934050</v>
    <v>400170</v>
    <v>1963</v>
  </rv>
  <rv s="2">
    <v>242</v>
  </rv>
  <rv s="0">
    <v>https://www.bing.com/financeapi/forcetrigger?t=bwxmnm&amp;q=XAMS%3aUNA&amp;form=skydnc</v>
    <v>Learn more on Bing</v>
  </rv>
  <rv s="15">
    <v>27</v>
    <v>UNILEVER PLC (XAMS:UNA)</v>
    <v>2</v>
    <v>38</v>
    <v>Finance</v>
    <v>24</v>
    <v>en-GB</v>
    <v>bwxmnm</v>
    <v>268435456</v>
    <v>1</v>
    <v>Powered by Refinitiv</v>
    <v>63.39</v>
    <v>46.97</v>
    <v>0.88470000000000004</v>
    <v>-0.34</v>
    <v>-5.7279999999999996E-3</v>
    <v>EUR</v>
    <v>Unilever PLC is a United Kingdom-based global consumer goods business. The Company's segments include Beauty &amp; Wellbeing, Personal Care, Home Care and Foods. The Beauty &amp; Wellbeing segment primarily sells hair care (shampoo, conditioner, styling), skin care (face, hand and body moisturizers) and includes Prestige Beauty and Wellbeing. The Personal Care segment primarily sells skin cleansing (soap, shower), deodorant and oral care (toothpaste, toothbrush, mouthwash) products. The Home Care segment primarily sells fabric care (washing powders and liquids, rinse conditioners) and a range of home and hygiene cleaning products. The Foods segment primarily sells cooking aids and mini-meals (soups, bouillons, seasonings), condiments (mayonnaise, ketchup) and Unilever Food Solutions. The Company's beauty &amp; wellbeing brands include CLEAR, Dermalogica, Liquid I.V., Dove and TRESemme. The Company's home care brands include Cif, Comfort, Domestos, OMO, Radiant, Sunlight and Surf.</v>
    <v>96092</v>
    <v>Euronext Amsterdam</v>
    <v>XAMS</v>
    <v>XAMS</v>
    <v>Unilever House, Blackfriars, LONDON, EC4P 4BQ GB</v>
    <v>59.93</v>
    <v>Personal &amp; Household Products &amp; Services</v>
    <v>Stock</v>
    <v>46318.666666666664</v>
    <v>244</v>
    <v>58.85</v>
    <v>106369900000</v>
    <v>UNILEVER PLC</v>
    <v>UNILEVER PLC</v>
    <v>59.5</v>
    <v>24.791</v>
    <v>59.36</v>
    <v>59.02</v>
    <v>2154328000</v>
    <v>UNA</v>
    <v>UNILEVER PLC (XAMS:UNA)</v>
    <v>1057647</v>
    <v>3033260</v>
    <v>1894</v>
  </rv>
  <rv s="2">
    <v>245</v>
  </rv>
  <rv s="0">
    <v>https://www.bing.com/financeapi/forcetrigger?t=ajgi8m&amp;q=XMIL%3aSPM&amp;form=skydnc</v>
    <v>Learn more on Bing</v>
  </rv>
  <rv s="15">
    <v>27</v>
    <v>Saipem SpA (XMIL:SPM)</v>
    <v>2</v>
    <v>37</v>
    <v>Finance</v>
    <v>36</v>
    <v>en-GB</v>
    <v>ajgi8m</v>
    <v>268435456</v>
    <v>1</v>
    <v>Powered by Refinitiv</v>
    <v>4.8499999999999996</v>
    <v>2.17</v>
    <v>1.3018000000000001</v>
    <v>0.17599999999999999</v>
    <v>4.1745999999999998E-2</v>
    <v>EUR</v>
    <v>Saipem SpA is an Italy-based company active as contractor in the oil and gas industry in remote areas and deepwater. It supplies engineering, procurement, project management and construction services with the design and the execution of offshore and onshore projects. In addition, the Company also offers technologies for the gas monetization and heavy oil exploitation. It is organized into five business units: Onshore Engineering &amp; Construction, Offshore Engineering &amp; Construction, Onshore Drilling, Offshore Drilling, and XSIGHT. The Engineering &amp; Construction business unit operates both onshore and offshore. The offshore activities include platforms, marine terminals, pipelines and the development of deepwater fields. The onshore activities focus on the laying of pipelines and installation of plant, equipment and the floaters. The Drilling business unit carries out drilling programs in the onshore and offshore environments globally.</v>
    <v>29858</v>
    <v>Borsa Italiana</v>
    <v>XMIL</v>
    <v>XMIL</v>
    <v>Via Luigi Russolo, 5, MILANO, MILANO, 20138 IT</v>
    <v>4.3920000000000003</v>
    <v>Oil &amp; Gas Related Equipment and Services</v>
    <v>Stock</v>
    <v>46318.666666666664</v>
    <v>247</v>
    <v>4.2439999999999998</v>
    <v>8764815000</v>
    <v>Saipem SpA</v>
    <v>Saipem SpA</v>
    <v>4.2649999999999997</v>
    <v>32.081800000000001</v>
    <v>4.2160000000000002</v>
    <v>4.3920000000000003</v>
    <v>1995632000</v>
    <v>SPM</v>
    <v>Saipem SpA (XMIL:SPM)</v>
    <v>17690897</v>
    <v>16699220</v>
    <v>1969</v>
  </rv>
  <rv s="2">
    <v>248</v>
  </rv>
  <rv s="0">
    <v>https://www.bing.com/financeapi/forcetrigger?t=ae8qf2&amp;q=XPAR%3aTTE&amp;form=skydnc</v>
    <v>Learn more on Bing</v>
  </rv>
  <rv s="15">
    <v>27</v>
    <v>TotalEnergies SE (XPAR:TTE)</v>
    <v>2</v>
    <v>37</v>
    <v>Finance</v>
    <v>24</v>
    <v>en-GB</v>
    <v>ae8qf2</v>
    <v>268435456</v>
    <v>1</v>
    <v>Powered by Refinitiv</v>
    <v>83.74</v>
    <v>52.24</v>
    <v>0.27360000000000001</v>
    <v>3.47</v>
    <v>4.3385999999999994E-2</v>
    <v>EUR</v>
    <v>TotalEnergies SE is a France-based company. The Company is predominantly engaged in the business as a worldwide oil group. Its segment divisions are divided into refining and chemistry such as refining of petroleum products and manufacture of basic chemistry and of specialty chemistry, petroleum products distribution, electricity generation from combined cycle gas plants and renewable energies, gas production, trading, transport and distribution primarily includes liquefied natural gas, natural gas, biogas, hydrogen, liquefied petroleum gas and hydrocarbon operating and production. The group is also operating in trading and sea transport of crude oil and oil products.</v>
    <v>102887</v>
    <v>Euronext Paris</v>
    <v>XPAR</v>
    <v>XPAR</v>
    <v>Tour Coupole - 2, place Jean Millier, Paris La Defense Cedex, PARIS, ILE-DE-FRANCE, 92078 FR</v>
    <v>83.74</v>
    <v>Oil &amp; Gas</v>
    <v>Stock</v>
    <v>46318.666666666664</v>
    <v>250</v>
    <v>80.88</v>
    <v>190609200000</v>
    <v>TotalEnergies SE</v>
    <v>TotalEnergies SE</v>
    <v>81.3</v>
    <v>11.8041</v>
    <v>79.98</v>
    <v>83.45</v>
    <v>2281657000</v>
    <v>TTE</v>
    <v>TotalEnergies SE (XPAR:TTE)</v>
    <v>4663160</v>
    <v>3311260</v>
    <v>1954</v>
  </rv>
  <rv s="2">
    <v>251</v>
  </rv>
  <rv s="0">
    <v>http://zh.wikipedia.org/wiki/安盛</v>
    <v>Wikipedia</v>
  </rv>
  <rv s="5">
    <v>13</v>
    <v>253</v>
  </rv>
  <rv s="6">
    <v>11</v>
    <v>https://www.bing.com/th?id=AMMS_5dd8814ab6b5531b762ec573d9293b6d&amp;qlt=95</v>
    <v>254</v>
    <v>0</v>
    <v>https://www.bing.com/images/search?form=xlimg&amp;q=axa</v>
    <v>Image of AXA SA</v>
  </rv>
  <rv s="0">
    <v>https://www.bing.com/financeapi/forcetrigger?t=ae8a3m&amp;q=XPAR%3aCS&amp;form=skydnc</v>
    <v>Learn more on Bing</v>
  </rv>
  <rv s="19">
    <v>39</v>
    <v>AXA SA (XPAR:CS)</v>
    <v>9</v>
    <v>40</v>
    <v>Finance</v>
    <v>24</v>
    <v>en-GB</v>
    <v>ae8a3m</v>
    <v>268435456</v>
    <v>1</v>
    <v>Powered by Refinitiv</v>
    <v>45.66</v>
    <v>36.549999999999997</v>
    <v>0.87949999999999995</v>
    <v>-0.31</v>
    <v>-7.3769999999999999E-3</v>
    <v>EUR</v>
    <v>AXA SA (AXA) is a France-based holding company engaged in the business of financial protection. AXA offers a broad range of products through business segments: Life &amp; Savings, Property &amp; Casualty, Health, Asset Management, and Banking. Its offering covers motor, household, property and general liability insurance, banking, savings vehicles, and other investment-based products for both Personal/Individual and Commercial/Group customers, as well as health, protection, and retirement products for individual or professional customers. AXA operates in seven geographical segments: France, Europe, Asia, AXA XL, the United States, International and Transversal &amp; Central Holdings. AXA SA is the holding company of AXA Group.</v>
    <v>103423</v>
    <v>Euronext Paris</v>
    <v>XPAR</v>
    <v>XPAR</v>
    <v>25, avenue Matignon, PARIS, ILE-DE-FRANCE, 75008 FR</v>
    <v>42.14</v>
    <v>255</v>
    <v>Insurance</v>
    <v>Stock</v>
    <v>46318.666666666664</v>
    <v>256</v>
    <v>41.19</v>
    <v>87218410000</v>
    <v>AXA SA</v>
    <v>AXA SA</v>
    <v>42.02</v>
    <v>8.7573000000000008</v>
    <v>42.02</v>
    <v>41.71</v>
    <v>2091067000</v>
    <v>CS</v>
    <v>AXA SA (XPAR:CS)</v>
    <v>4002474</v>
    <v>3033600</v>
    <v>1985</v>
  </rv>
  <rv s="2">
    <v>257</v>
  </rv>
  <rv s="0">
    <v>https://www.bing.com/financeapi/forcetrigger?t=aje5ur&amp;q=XMIL%3aBAMI&amp;form=skydnc</v>
    <v>Learn more on Bing</v>
  </rv>
  <rv s="15">
    <v>27</v>
    <v>Banco BPM SpA (XMIL:BAMI)</v>
    <v>2</v>
    <v>37</v>
    <v>Finance</v>
    <v>36</v>
    <v>en-GB</v>
    <v>aje5ur</v>
    <v>268435456</v>
    <v>1</v>
    <v>Powered by Refinitiv</v>
    <v>17.45</v>
    <v>10.94</v>
    <v>1.0334000000000001</v>
    <v>0.14000000000000001</v>
    <v>1.0814999999999998E-2</v>
    <v>EUR</v>
    <v>Banco BPM SpA is an Italy-based company engaged in the financial industry. The Company is a multi-channel bank, which provides a number of banking products and services. Its range of services include shares placement, establishment and management of specialized investment funds, corporate and individual current account, investor services, general financing operations, life and non-life insurance products, as well as Automated Teller Machines (ATM) services, e-purse services and Short Message Service (SMS). The Bank’s portfolio comprises products and services for individuals and business clients. It is active particularly in productive regions, such as Lombardy, Veneto and Piedmont. The Bank operates through Banca Popolare di Milano, Banca Popolare di Verona, Banca Popolare di Novara, Banca Popolare di Lodi and Credito Bergamasco, among others.</v>
    <v>18881</v>
    <v>Borsa Italiana</v>
    <v>XMIL</v>
    <v>XMIL</v>
    <v>Piazza Nogara, 2, VERONA, VERONA, 37121 IT</v>
    <v>13.085000000000001</v>
    <v>Banking Services</v>
    <v>Stock</v>
    <v>46318.666666666664</v>
    <v>259</v>
    <v>12.734999999999999</v>
    <v>19826160000</v>
    <v>Banco BPM SpA</v>
    <v>Banco BPM SpA</v>
    <v>12.95</v>
    <v>10.241899999999999</v>
    <v>12.945</v>
    <v>13.085000000000001</v>
    <v>1515182000</v>
    <v>BAMI</v>
    <v>Banco BPM SpA (XMIL:BAMI)</v>
    <v>4550351</v>
    <v>4841450</v>
    <v>2016</v>
  </rv>
  <rv s="2">
    <v>260</v>
  </rv>
  <rv s="0">
    <v>https://www.bing.com/financeapi/forcetrigger?t=aje7z2&amp;q=XMIL%3aBMPS&amp;form=skydnc</v>
    <v>Learn more on Bing</v>
  </rv>
  <rv s="18">
    <v>34</v>
    <v>Banca Monte dei Paschi di Siena SpA (XMIL:BMPS)</v>
    <v>2</v>
    <v>35</v>
    <v>Finance</v>
    <v>36</v>
    <v>en-GB</v>
    <v>aje7z2</v>
    <v>268435456</v>
    <v>1</v>
    <v>Powered by Refinitiv</v>
    <v>12.08</v>
    <v>6.85</v>
    <v>1.0866</v>
    <v>8.2000000000000003E-2</v>
    <v>7.7590000000000003E-3</v>
    <v>EUR</v>
    <v>Banca Monte dei Paschi di Siena SpA is an Italy-based company engaged in the banking sector. It provides banking services, asset management and private banking, including life insurance, pension funds and investment trusts. It operates though three business segments. The Retail Banking segment covers consumer lending, insurance, provision of financial and non-financial services to retail customers, wealth management, tax planning, financial advisory and planning for private customers. The Corporate Banking division oversees the Group's business strategies targeted to small and medium enterprises, institutions and large corporate for which it offers leasing, factoring, lending and financial products, among others. The Corporate Center segment includes the cancellation of intergroup entries, treasure, governance and support functions. It transfers non performing loans (NPL) to Banca Ifis SpA and Cerberus Management Capital LP.</v>
    <v>22030</v>
    <v>Borsa Italiana</v>
    <v>XMIL</v>
    <v>XMIL</v>
    <v>Piazza Salimbeni, 3, SIENA, SIENA, 53100 IT</v>
    <v>10.702</v>
    <v>Banking Services</v>
    <v>Stock</v>
    <v>46318.666666666664</v>
    <v>262</v>
    <v>10.481999999999999</v>
    <v>32359150000</v>
    <v>Banca Monte dei Paschi di Siena SpA</v>
    <v>Banca Monte dei Paschi di Siena SpA</v>
    <v>10.598000000000001</v>
    <v>6.3051000000000004</v>
    <v>10.568</v>
    <v>10.65</v>
    <v>3038418000</v>
    <v>BMPS</v>
    <v>Banca Monte dei Paschi di Siena SpA (XMIL:BMPS)</v>
    <v>8176287</v>
    <v>9016950</v>
  </rv>
  <rv s="2">
    <v>263</v>
  </rv>
  <rv s="0">
    <v>https://www.bing.com/financeapi/forcetrigger?t=amfsr7&amp;q=BMEX%3aCABK&amp;form=skydnc</v>
    <v>Learn more on Bing</v>
  </rv>
  <rv s="15">
    <v>27</v>
    <v>CaixaBank SA (BMEX:CABK)</v>
    <v>2</v>
    <v>37</v>
    <v>Finance</v>
    <v>24</v>
    <v>en-GB</v>
    <v>amfsr7</v>
    <v>268435456</v>
    <v>1</v>
    <v>Powered by Refinitiv</v>
    <v>13.555</v>
    <v>8.702</v>
    <v>0.68610000000000004</v>
    <v>6.5000000000000002E-2</v>
    <v>5.8399999999999997E-3</v>
    <v>EUR</v>
    <v>Caixabank SA is a Spain-based bank. Its activities are divided into two business segments: Banking and insurance, as well as Investments. The Banking and insurance division provides financial services for individual customers, including retail, private and personal banking, business customers, such as commercial and corporate banking, cash management and markets solutions, as well as offers insurance products. The Investments division includes investments in the international banking investee portfolio, as well as stakes in other companies, such as Repsol SA and Telefonica SA. The Bank operates through domestic and foreign branches, as well as representative offices in Europe, the Americas, Africa and Asia.</v>
    <v>47365</v>
    <v>Bolsas y Mercados Espanoles</v>
    <v>BMEX</v>
    <v>BMEX</v>
    <v>calle Pintor Sorolla, 2-4, VALENCIA, VALENCIA, 46002 ES</v>
    <v>11.33</v>
    <v>Banking Services</v>
    <v>Stock</v>
    <v>46318.666666666664</v>
    <v>265</v>
    <v>11.095000000000001</v>
    <v>78095540000</v>
    <v>CaixaBank SA</v>
    <v>CaixaBank SA</v>
    <v>11.2</v>
    <v>12.705500000000001</v>
    <v>11.13</v>
    <v>11.195</v>
    <v>6975930000</v>
    <v>CABK</v>
    <v>CaixaBank SA (BMEX:CABK)</v>
    <v>7638559</v>
    <v>6122990</v>
    <v>1980</v>
  </rv>
  <rv s="2">
    <v>266</v>
  </rv>
  <rv s="0">
    <v>https://www.bing.com/financeapi/forcetrigger?t=ae79f2&amp;q=XPAR%3aACA&amp;form=skydnc</v>
    <v>Learn more on Bing</v>
  </rv>
  <rv s="18">
    <v>34</v>
    <v>Credit Agricole SA (XPAR:ACA)</v>
    <v>2</v>
    <v>35</v>
    <v>Finance</v>
    <v>24</v>
    <v>en-GB</v>
    <v>ae79f2</v>
    <v>268435456</v>
    <v>1</v>
    <v>Powered by Refinitiv</v>
    <v>20.399999999999999</v>
    <v>14.685</v>
    <v>1.06</v>
    <v>6.5000000000000002E-2</v>
    <v>4.3759999999999997E-3</v>
    <v>EUR</v>
    <v>Credit Agricole SA is a France-based banking group. The Company provides retail banking activities in France (Crdit Lyonnais) and abroad. It offers banking and insurance services through a network of regional, local banks and branches. It provides asset management, insurance and private banking, assets under management. The Company offers activities, such as finance, investment, and market banking standard, specialized bank financing, stock operations, consulting in mergers and acquisitions, investment capital, etc. Its retail banking LCL is organized in four business lines: retail banking for individual customers, retail banking for small businesses, private banking, and corporate banking. The company provide financial products and services to individual customers, small businesses, corporates, and local authorities in France and abroad.</v>
    <v>81948</v>
    <v>Euronext Paris</v>
    <v>XPAR</v>
    <v>XPAR</v>
    <v>12 Place des Etats-Unis, Montrouge cedex, MONTROUGE, HAUTS-DE-SEINE, 92127 FR</v>
    <v>14.945</v>
    <v>Banking Services</v>
    <v>Stock</v>
    <v>46318.666666666664</v>
    <v>268</v>
    <v>14.685</v>
    <v>45146460000</v>
    <v>Credit Agricole SA</v>
    <v>Credit Agricole SA</v>
    <v>14.925000000000001</v>
    <v>7.4828999999999999</v>
    <v>14.855</v>
    <v>14.92</v>
    <v>3025902000</v>
    <v>ACA</v>
    <v>Credit Agricole SA (XPAR:ACA)</v>
    <v>6665958</v>
    <v>6427260</v>
  </rv>
  <rv s="2">
    <v>269</v>
  </rv>
  <rv s="0">
    <v>https://www.bing.com/financeapi/forcetrigger?t=ajepp2&amp;q=XMIL%3aDIA&amp;form=skydnc</v>
    <v>Learn more on Bing</v>
  </rv>
  <rv s="18">
    <v>34</v>
    <v>Diasorin S.p.A. (XMIL:DIA)</v>
    <v>2</v>
    <v>35</v>
    <v>Finance</v>
    <v>36</v>
    <v>en-GB</v>
    <v>ajepp2</v>
    <v>268435456</v>
    <v>1</v>
    <v>Powered by Refinitiv</v>
    <v>82.3</v>
    <v>52.34</v>
    <v>0.34260000000000002</v>
    <v>0.08</v>
    <v>1.005E-3</v>
    <v>EUR</v>
    <v>DiaSorin SpA is an Italy-based company engaged in healthcare industry. The Company specializes in provision of developing, producing and commercializing reagent kits for the in vitro diagnostics. The Company develops and manufactures reagents for in vitro diagnostics and produces products for the fields of infectious disease, hepatitis, endocrinology, bone &amp; mineral metabolism, cancer, brain injury, cardiac, therapeutic drug monitoring and autoimmunity. The Company’s business activities are divided into two markets. The Immunodiagnostics market develops, produces and markets immunoreagent kits, which are based on three techniques: Chemiluminescence (CLIA), Colorimetry (ELISA) and Radioimmunometry (RIA). The Molecular Diagnostics market supplies end laboratories with an automated result to perform the three steps for the final diagnostic result, including nucleic acids extraction, amplification and diagnosis. It operates through ELISA immunodiagnostic business portfolio.</v>
    <v>3260</v>
    <v>Borsa Italiana</v>
    <v>XMIL</v>
    <v>XMIL</v>
    <v>via Crescentino snc, SALUGGIA, VERCELLI, 13040 IT</v>
    <v>80.599999999999994</v>
    <v>Healthcare Equipment &amp; Supplies</v>
    <v>Stock</v>
    <v>46318.666666666664</v>
    <v>271</v>
    <v>79.040000000000006</v>
    <v>4460195000</v>
    <v>Diasorin S.p.A.</v>
    <v>Diasorin S.p.A.</v>
    <v>79.06</v>
    <v>29.569700000000001</v>
    <v>79.64</v>
    <v>79.72</v>
    <v>55948260</v>
    <v>DIA</v>
    <v>Diasorin S.p.A. (XMIL:DIA)</v>
    <v>165324</v>
    <v>144530</v>
  </rv>
  <rv s="2">
    <v>272</v>
  </rv>
  <rv s="0">
    <v>https://www.bing.com/financeapi/forcetrigger?t=ae8gm7&amp;q=XPAR%3aEL&amp;form=skydnc</v>
    <v>Learn more on Bing</v>
  </rv>
  <rv s="15">
    <v>27</v>
    <v>Essilorluxottica SA (XPAR:EL)</v>
    <v>2</v>
    <v>37</v>
    <v>Finance</v>
    <v>24</v>
    <v>en-GB</v>
    <v>ae8gm7</v>
    <v>268435456</v>
    <v>1</v>
    <v>Powered by Refinitiv</v>
    <v>323.8</v>
    <v>138.30000000000001</v>
    <v>0.82530000000000003</v>
    <v>4.05</v>
    <v>2.2862E-2</v>
    <v>EUR</v>
    <v>EssilorLuxottica SA is a France-based company specializing in the vision care and eye wear industry. Its operations include Ophthalmic Lenses &amp; Optical Instruments, Eye wear such as Frames and Sunglasses, Retail and Distribution Networks, and Equipment Manufacturing. It designs and produces corrective lenses incorporating technologies for addressing myopia, hypermetropia, and astigmatism. It also manufactures and markets both prescription and non-prescription frames and sunglasses. In addition, EssilorLuxottica develops and supplies machines, tools, and consumables used by prescription laboratories and optical professionals. The Company further offers non-prescription reading glasses, fashion eye wear, and related consumer accessories, as well as selected apparel, footwear, and accessories through its associated brands.</v>
    <v>213909</v>
    <v>Euronext Paris</v>
    <v>XPAR</v>
    <v>XPAR</v>
    <v>1-6 rue Paul Cezanne, PARIS, ILE-DE-FRANCE, 75008 FR</v>
    <v>182.95</v>
    <v>Healthcare Equipment &amp; Supplies</v>
    <v>Stock</v>
    <v>46318.666666666664</v>
    <v>274</v>
    <v>175.6</v>
    <v>84121660000</v>
    <v>Essilorluxottica SA</v>
    <v>Essilorluxottica SA</v>
    <v>176.7</v>
    <v>32.7746</v>
    <v>177.15</v>
    <v>181.2</v>
    <v>464247600</v>
    <v>EL</v>
    <v>Essilorluxottica SA (XPAR:EL)</v>
    <v>1330599</v>
    <v>978650</v>
    <v>1993</v>
  </rv>
  <rv s="2">
    <v>275</v>
  </rv>
  <rv s="0">
    <v>https://www.bing.com/financeapi/forcetrigger?t=ae9ya2&amp;q=XPAR%3aSAN&amp;form=skydnc</v>
    <v>Learn more on Bing</v>
  </rv>
  <rv s="15">
    <v>27</v>
    <v>Sanofi SA (XPAR:SAN)</v>
    <v>2</v>
    <v>37</v>
    <v>Finance</v>
    <v>24</v>
    <v>en-GB</v>
    <v>ae9ya2</v>
    <v>268435456</v>
    <v>1</v>
    <v>Powered by Refinitiv</v>
    <v>91.15</v>
    <v>69.75</v>
    <v>0.46920000000000001</v>
    <v>-0.83</v>
    <v>-1.1073999999999999E-2</v>
    <v>EUR</v>
    <v>Sanofi SA is a France-based healthcare company based in France. The Company focuses on patient needs and engages in the research, development, manufacture, and marketing of therapeutic solutions. Its three operating segments are: Pharmaceuticals, Consumer Healthcare (CHC), and Vaccines. The Pharmaceuticals includes: Immunology, Multiple Sclerosis / Neurology, Oncology, Rare Diseases, Rare Blood Disorders, Cardiovascular, Diabetes, Established Prescription Products. The Vaccines segment comprises, for all geographical territories, the commercial operations of Sanofi Pasteur, together with research, development, and production activities dedicated to vaccines. The CHC segment comprises the commercial operations for Sanofi’s Consumer Healthcare products, together with research, development and production activities dedicated to those products. The Company’s products developed in collaboration or franchise include Dupixent, Aubagio, Lemtrada, Cerezyme, Lumizyme, Jevtana, Fabrazyme.</v>
    <v>76493</v>
    <v>Euronext Paris</v>
    <v>XPAR</v>
    <v>XPAR</v>
    <v>46, avenue de la Grande Armee, PARIS, ILE-DE-FRANCE, 75017 FR</v>
    <v>74.67</v>
    <v>Pharmaceuticals</v>
    <v>Stock</v>
    <v>46318.666666666664</v>
    <v>277</v>
    <v>73.900000000000006</v>
    <v>89520160000</v>
    <v>Sanofi SA</v>
    <v>Sanofi SA</v>
    <v>74.67</v>
    <v>22.615500000000001</v>
    <v>74.95</v>
    <v>74.12</v>
    <v>1207773000</v>
    <v>SAN</v>
    <v>Sanofi SA (XPAR:SAN)</v>
    <v>1742949</v>
    <v>2156640</v>
    <v>1994</v>
  </rv>
  <rv s="2">
    <v>278</v>
  </rv>
  <rv s="0">
    <v>https://www.bing.com/financeapi/forcetrigger?t=aea12w&amp;q=XPAR%3aSGO&amp;form=skydnc</v>
    <v>Learn more on Bing</v>
  </rv>
  <rv s="15">
    <v>27</v>
    <v>Compagnie de Saint Gobain SA (XPAR:SGO)</v>
    <v>2</v>
    <v>37</v>
    <v>Finance</v>
    <v>24</v>
    <v>en-GB</v>
    <v>aea12w</v>
    <v>268435456</v>
    <v>1</v>
    <v>Powered by Refinitiv</v>
    <v>91.3</v>
    <v>63.52</v>
    <v>1.4477</v>
    <v>0.52</v>
    <v>7.8309999999999994E-3</v>
    <v>EUR</v>
    <v>Compagnie de Saint Gobain SA is a France-based group specialized in the design, manufacture, distribution of materials for the construction, mobility, healthcare, and industrial sectors solutions with the aim of improving wellbeing of life across the world. The Group, through its subsidiaries, operates through three sectors: Building Distribution (BD), Construction Products (CP) and Materials (IM). The BD Sector covers the distribution activities of the Company to the suppliers. The CP sector offers both interior solutions (insulation and gypsum) and exterior solutions (industrial mortars, pipes and exterior products). The IM sector provides flat glass and high-performance materials. Its solutions span from self-cleaning windows and photovoltaic glass to smart insulation systems, water supply systems with many industrial applications.</v>
    <v>161688</v>
    <v>Euronext Paris</v>
    <v>XPAR</v>
    <v>XPAR</v>
    <v>Tour Saint-Gobain, 12 place de l'Iris, La Defense Cedex, 92096 FR</v>
    <v>67.64</v>
    <v>Homebuilding &amp; Construction Supplies</v>
    <v>Stock</v>
    <v>46318.666666666664</v>
    <v>280</v>
    <v>66.14</v>
    <v>33114290000</v>
    <v>Compagnie de Saint Gobain SA</v>
    <v>Compagnie de Saint Gobain SA</v>
    <v>66.8</v>
    <v>12.215299999999999</v>
    <v>66.400000000000006</v>
    <v>66.92</v>
    <v>494834000</v>
    <v>SGO</v>
    <v>Compagnie de Saint Gobain SA (XPAR:SGO)</v>
    <v>1097396</v>
    <v>972720</v>
    <v>1981</v>
  </rv>
  <rv s="2">
    <v>281</v>
  </rv>
  <rv s="0">
    <v>https://www.bing.com/financeapi/forcetrigger?t=ajenkr&amp;q=XMIL%3aDANR&amp;form=skydnc</v>
    <v>Learn more on Bing</v>
  </rv>
  <rv s="18">
    <v>34</v>
    <v>Danieli &amp; C Officine Meccaniche SpA (XMIL:DANR)</v>
    <v>2</v>
    <v>35</v>
    <v>Finance</v>
    <v>36</v>
    <v>en-GB</v>
    <v>ajenkr</v>
    <v>268435456</v>
    <v>1</v>
    <v>Powered by Refinitiv</v>
    <v>52.45</v>
    <v>31.02</v>
    <v>1.3373999999999999</v>
    <v>-0.08</v>
    <v>-2.3599999999999997E-3</v>
    <v>EUR</v>
    <v>Danieli &amp; C Officine Meccaniche SpA is an Italy-based company primarily engaged in industrial sector. It designs, manufactures, sales and makes installation of machines and plants for the metallurgical industry. Its portfolio includes mines; pellet production plants; blast furnaces; direct reduction equipment; machinery for the treatment of scrap metal; steelworks for production of liquid steel; continuous casting machinery for blooms, billets and slabs; rolling mills for long products, seamless tubes and flat products; production lines for welded tubes and flat products; plants for secondary processing, such as peeling, rolling and drawing; forging presses and manipulators; extrusion presses for ferrous and non-ferrous metals; plants for longitudinal and transversal cutting; automation and control systems, and cranes and lifting equipment. It is also active in the production and sale of special steel. It operates through ESW Roehrenwerke GmbH and Telerobot Labs.</v>
    <v>10088</v>
    <v>Borsa Italiana</v>
    <v>XMIL</v>
    <v>XMIL</v>
    <v>Via Nazionale, 41, BUTTRIO, UDINE, 33042 IT</v>
    <v>34.42</v>
    <v>Machinery, Equipment &amp; Components</v>
    <v>Stock</v>
    <v>46318.666666666664</v>
    <v>283</v>
    <v>33.78</v>
    <v>3376813000</v>
    <v>Danieli &amp; C Officine Meccaniche SpA</v>
    <v>Danieli &amp; C Officine Meccaniche SpA</v>
    <v>34.28</v>
    <v>10.6259</v>
    <v>33.9</v>
    <v>33.82</v>
    <v>81304570</v>
    <v>DANR</v>
    <v>Danieli &amp; C Officine Meccaniche SpA (XMIL:DANR)</v>
    <v>51984</v>
    <v>103810</v>
  </rv>
  <rv s="2">
    <v>284</v>
  </rv>
  <rv s="0">
    <v>https://www.bing.com/financeapi/forcetrigger?t=afr9ec&amp;q=XETR%3aDPW&amp;form=skydnc</v>
    <v>Learn more on Bing</v>
  </rv>
  <rv s="15">
    <v>27</v>
    <v>DHL AG (XETR:DHL)</v>
    <v>2</v>
    <v>37</v>
    <v>Finance</v>
    <v>24</v>
    <v>en-GB</v>
    <v>afr9ec</v>
    <v>268435456</v>
    <v>1</v>
    <v>Powered by Refinitiv</v>
    <v>58.9</v>
    <v>38.76</v>
    <v>1.1365000000000001</v>
    <v>0.16</v>
    <v>2.8010000000000001E-3</v>
    <v>EUR</v>
    <v>DHL AG, formerly Deutsche Post AG, is a Germany-based company. The Company is the parent company of DHL Group. Under the DHL and Deutsche Post brands, DHL Group provides services like international express shipping, freight transport, supply chain management, e-commerce and post and parcel services. The Group operates through five divisions: Express; Global Forwarding, Freight, Supply Chain; eCommerce; and Post &amp; Parcel Germany. The Express division offers time-definite courier and express services. The Global Forwarding, Freight division comprises international air, ocean and overland freight forwarding services. The Supply Chain division delivers customized logistics services and supply chain based on globally standardized modular components including warehousing, transport and value-added services. The eCommerce division offers international parcel delivery service. The Post &amp; Parcel Germany division transports, sorts and delivers documents and goods in and outside of Germany.</v>
    <v>576627</v>
    <v>Xetra</v>
    <v>XETR</v>
    <v>XETR</v>
    <v>Charles-de-Gaulle-Str. 20, BONN, NORDRHEIN-WESTFALEN, 53113 DE</v>
    <v>57.28</v>
    <v>Freight &amp; Logistics Services</v>
    <v>Stock</v>
    <v>46318.836805555555</v>
    <v>286</v>
    <v>56.58</v>
    <v>65942910000</v>
    <v>DHL AG</v>
    <v>DHL AG</v>
    <v>56.92</v>
    <v>17.1614</v>
    <v>57.12</v>
    <v>57.28</v>
    <v>1150000000</v>
    <v>DHL</v>
    <v>DHL AG (XETR:DHL)</v>
    <v>1480788</v>
    <v>1472430</v>
    <v>1995</v>
  </rv>
  <rv s="2">
    <v>287</v>
  </rv>
  <rv s="0">
    <v>https://www.bing.com/financeapi/forcetrigger?t=ajg6ec&amp;q=XMIL%3aPRY&amp;form=skydnc</v>
    <v>Learn more on Bing</v>
  </rv>
  <rv s="18">
    <v>34</v>
    <v>Prysmian S.p.A. (XMIL:PRY)</v>
    <v>2</v>
    <v>35</v>
    <v>Finance</v>
    <v>36</v>
    <v>en-GB</v>
    <v>ajg6ec</v>
    <v>268435456</v>
    <v>1</v>
    <v>Powered by Refinitiv</v>
    <v>157.25</v>
    <v>79.16</v>
    <v>1.0454000000000001</v>
    <v>-1.02</v>
    <v>-1.0189999999999999E-2</v>
    <v>EUR</v>
    <v>Prysmian SpA is an Italy-based company active in the the development, design, production, supply and installation of cables. The Company’s business activities are divided into three principal sectors: Energy and Telecom. The Energy segment is divided into four lines of business, including Utilities, which consists of power transmission systems, submarine power transmission and distribution systems, power distribution cables and systems, and grid accessories and components; Trade &amp; Installers, offers cables for power distribution to and within buildings; Industrial, which includes cables for renewable, automotive, elevator and oil and gas sectors, and Other, which is active in the sale of semi-finished products, raw materials or other goods. The Telecom segment makes cable systems and connectivity products used in telecommunication networks, including optical fibre, optical cables, connectivity components, Optical Ground Wire ( OPGW) and copper cables, among others.</v>
    <v>34591</v>
    <v>Borsa Italiana</v>
    <v>XMIL</v>
    <v>XMIL</v>
    <v>Via Chiese 6, MILANO, MILANO, 20126 IT</v>
    <v>101.95</v>
    <v>Machinery, Equipment &amp; Components</v>
    <v>Stock</v>
    <v>46318.666666666664</v>
    <v>289</v>
    <v>97.44</v>
    <v>30602010000</v>
    <v>Prysmian S.p.A.</v>
    <v>Prysmian S.p.A.</v>
    <v>101.95</v>
    <v>20.272099999999998</v>
    <v>100.1</v>
    <v>99.08</v>
    <v>308861600</v>
    <v>PRY</v>
    <v>Prysmian S.p.A. (XMIL:PRY)</v>
    <v>1141228</v>
    <v>1453320</v>
  </rv>
  <rv s="2">
    <v>290</v>
  </rv>
  <rv s="0">
    <v>https://www.bing.com/financeapi/forcetrigger?t=aea5k2&amp;q=XPAR%3aSU&amp;form=skydnc</v>
    <v>Learn more on Bing</v>
  </rv>
  <rv s="15">
    <v>27</v>
    <v>Schneider Electric SE (XPAR:SU)</v>
    <v>2</v>
    <v>37</v>
    <v>Finance</v>
    <v>24</v>
    <v>en-GB</v>
    <v>aea5k2</v>
    <v>268435456</v>
    <v>1</v>
    <v>Powered by Refinitiv</v>
    <v>312.3</v>
    <v>220.4</v>
    <v>1.4393</v>
    <v>-4.3499999999999996</v>
    <v>-1.8452E-2</v>
    <v>EUR</v>
    <v>Schneider Electric SE is a France‑based company. The Company is specialized in the digital transformation of energy management and automation across homes, buildings, data centres, infrastructure, and industrial environments. It delivers solutions spanning medium‑ and low‑voltage power management, secure energy systems, and advanced automation technologies. Its integrated efficiency offerings combine energy management, automation, and software, supported by an open ecosystem that enables collaboration with partners, integrators, and developers to deliver real‑time operational control and improved performance. It operates in more than 115 countries including France, Western Europe, the United States, North America, China, the Asia‑Pacific region, and other global markets.</v>
    <v>162970</v>
    <v>Euronext Paris</v>
    <v>XPAR</v>
    <v>XPAR</v>
    <v>35 rue Joseph Monier, RUEIL-MALMAISON, ILE-DE-FRANCE, 92500 FR</v>
    <v>238.4</v>
    <v>Machinery, Equipment &amp; Components</v>
    <v>Stock</v>
    <v>46318.681226851855</v>
    <v>292</v>
    <v>226.85</v>
    <v>139674300000</v>
    <v>Schneider Electric SE</v>
    <v>Schneider Electric SE</v>
    <v>238</v>
    <v>27.502400000000002</v>
    <v>235.75</v>
    <v>231.4</v>
    <v>603605300</v>
    <v>SU</v>
    <v>Schneider Electric SE (XPAR:SU)</v>
    <v>1572744</v>
    <v>1490400</v>
    <v>1988</v>
  </rv>
  <rv s="2">
    <v>293</v>
  </rv>
  <rv s="0">
    <v>https://www.bing.com/financeapi/forcetrigger?t=ae8cjc&amp;q=XPAR%3aDG&amp;form=skydnc</v>
    <v>Learn more on Bing</v>
  </rv>
  <rv s="15">
    <v>27</v>
    <v>Vinci SA (XPAR:DG)</v>
    <v>2</v>
    <v>37</v>
    <v>Finance</v>
    <v>24</v>
    <v>en-GB</v>
    <v>ae8cjc</v>
    <v>268435456</v>
    <v>1</v>
    <v>Powered by Refinitiv</v>
    <v>143.15</v>
    <v>104.25</v>
    <v>0.99080000000000001</v>
    <v>0.5</v>
    <v>4.7190000000000001E-3</v>
    <v>EUR</v>
    <v>Vinci SA is a France-based company active in the concessions and construction industry worldwide. It manages four segments: Design and construction of infrastructure, Design, execution, and maintenance of energy and telecom infrastructures, Sub-contracted infrastructure management and Other. The Design and construction of infrastructure (VINCI Construction): primarily in the fields of building, civil engineering, and hydraulics. In addition, the group is developing a business in the construction, renovation and maintenance of transport infrastructure (roads, freeways and railroads; Eurovia), in the production of aggregates and in urban development; Design, execution, and maintenance of energy and telecom infrastructures (VINCI Energies and Cobra IS); Sub-contracted infrastructure management (VINCI Concessions): primarily managing roads and highways (mainly through Autoroutes du Sud de la France and Cofiroute), parking areas, airport activities; Other: primarily property development.</v>
    <v>292101</v>
    <v>Euronext Paris</v>
    <v>XPAR</v>
    <v>XPAR</v>
    <v>1973 boulevard de la Defense, NANTERRE, ILE-DE-FRANCE, 92000 FR</v>
    <v>106.45</v>
    <v>Construction &amp; Engineering</v>
    <v>Stock</v>
    <v>46318.666666666664</v>
    <v>295</v>
    <v>104.7</v>
    <v>61934400000</v>
    <v>Vinci SA</v>
    <v>Vinci SA</v>
    <v>105.65</v>
    <v>11.6654</v>
    <v>105.95</v>
    <v>106.45</v>
    <v>581816800</v>
    <v>DG</v>
    <v>Vinci SA (XPAR:DG)</v>
    <v>1058335</v>
    <v>843160</v>
    <v>1955</v>
  </rv>
  <rv s="2">
    <v>296</v>
  </rv>
  <rv s="0">
    <v>https://www.bing.com/financeapi/forcetrigger?t=alnz5r&amp;q=XAMS%3aASML&amp;form=skydnc</v>
    <v>Learn more on Bing</v>
  </rv>
  <rv s="15">
    <v>27</v>
    <v>ASML Holding N.V. (XAMS:ASML)</v>
    <v>2</v>
    <v>37</v>
    <v>Finance</v>
    <v>24</v>
    <v>en-GB</v>
    <v>alnz5r</v>
    <v>268435456</v>
    <v>1</v>
    <v>Powered by Refinitiv</v>
    <v>1741</v>
    <v>822.2</v>
    <v>2.1911999999999998</v>
    <v>-12.4</v>
    <v>-8.7349999999999997E-3</v>
    <v>EUR</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44500</v>
    <v>Euronext Amsterdam</v>
    <v>XAMS</v>
    <v>XAMS</v>
    <v>De Run 6501, VELDHOVEN, NOORD-BRABANT, 5504DR NL</v>
    <v>1429.4</v>
    <v>Semiconductors &amp; Semiconductor Equipment</v>
    <v>Stock</v>
    <v>46318.666666666664</v>
    <v>298</v>
    <v>1384.4</v>
    <v>546201500000</v>
    <v>ASML Holding N.V.</v>
    <v>ASML Holding N.V.</v>
    <v>1420.4</v>
    <v>52.125100000000003</v>
    <v>1419.6</v>
    <v>1407.2</v>
    <v>388147700</v>
    <v>ASML</v>
    <v>ASML Holding N.V. (XAMS:ASML)</v>
    <v>608876</v>
    <v>598070</v>
    <v>1994</v>
  </rv>
  <rv s="2">
    <v>299</v>
  </rv>
  <rv s="0">
    <v>https://www.bing.com/financeapi/forcetrigger?t=ae8177&amp;q=XPAR%3aCAP&amp;form=skydnc</v>
    <v>Learn more on Bing</v>
  </rv>
  <rv s="15">
    <v>27</v>
    <v>Capgemini SE (XPAR:CAP)</v>
    <v>2</v>
    <v>37</v>
    <v>Finance</v>
    <v>24</v>
    <v>en-GB</v>
    <v>ae8177</v>
    <v>268435456</v>
    <v>1</v>
    <v>Powered by Refinitiv</v>
    <v>153.05000000000001</v>
    <v>85.62</v>
    <v>0.76480000000000004</v>
    <v>-2.85</v>
    <v>-2.2475999999999999E-2</v>
    <v>EUR</v>
    <v>Capgemini SE is a France-based company specialized in consulting, technology services and digital transformation. It operates through four segments: Application services, Technology and Engineering services, Consulting services and Other Managed services. Application services designs and develops technological solutions and help customers optimize their applications, among others. Technology and Engineering services assists and supports internal information technology (IT) and engineering teams within client companies. Consulting focuses on strategy, technology, data science, and creative design to support customers in creating new models and new products and services within the digital economy. Other Managed services integrates, manages, and/or develops clients’ IT infrastructure systems, among others.</v>
    <v>417610</v>
    <v>Euronext Paris</v>
    <v>XPAR</v>
    <v>XPAR</v>
    <v>Place de l'etoile, 11 rue de Tilsitt, PARIS, ILE-DE-FRANCE, 75017 FR</v>
    <v>126.4</v>
    <v>Software &amp; IT Services</v>
    <v>Stock</v>
    <v>46318.666666666664</v>
    <v>301</v>
    <v>122.05</v>
    <v>21062660000</v>
    <v>Capgemini SE</v>
    <v>Capgemini SE</v>
    <v>126.25</v>
    <v>15.547599999999999</v>
    <v>126.8</v>
    <v>123.95</v>
    <v>169928700</v>
    <v>CAP</v>
    <v>Capgemini SE (XPAR:CAP)</v>
    <v>886892</v>
    <v>710370</v>
    <v>1984</v>
  </rv>
  <rv s="2">
    <v>302</v>
  </rv>
  <rv s="0">
    <v>https://www.bing.com/financeapi/forcetrigger?t=afsc4c&amp;q=XETR%3aIFX&amp;form=skydnc</v>
    <v>Learn more on Bing</v>
  </rv>
  <rv s="15">
    <v>27</v>
    <v>Infineon Technologies AG (XETR:IFX)</v>
    <v>2</v>
    <v>37</v>
    <v>Finance</v>
    <v>24</v>
    <v>en-GB</v>
    <v>afsc4c</v>
    <v>268435456</v>
    <v>1</v>
    <v>Powered by Refinitiv</v>
    <v>88.83</v>
    <v>31.27</v>
    <v>2.0009999999999999</v>
    <v>-1.2150000000000001</v>
    <v>-2.4355999999999999E-2</v>
    <v>EUR</v>
    <v>Infineon Technologies AG is a Germany based Company. The Company is a developer and manufacturer of semiconductors and related system solutions. The Company operates through four divisions: Automotive, Green Industrial Power, Power &amp; Sensor Systems and Connected Secure Systems. Automotive division designs, develops, manufactures and markets semiconductors to support automotive applications like electromobility, automated driving, connectivity, and advanced security. Industrial Power Control division provides products, solutions and services for energy generation, transmission, storage, and use. Power &amp; Sensor Systems provides semiconductors and power and connectivity devices like chargers, servers, mainboards, power tools, and lighting systems. Connected Secure Systems provides Internet of Things (IoT) technologies like computing, wireless connectivity, and technologies that provide secure connections.</v>
    <v>56992</v>
    <v>Xetra</v>
    <v>XETR</v>
    <v>XETR</v>
    <v>Am Campeon 1-12, MUNICH, BAYERN, 85579 DE</v>
    <v>51.14</v>
    <v>Semiconductors &amp; Semiconductor Equipment</v>
    <v>Stock</v>
    <v>46318.836805555555</v>
    <v>304</v>
    <v>48.094999999999999</v>
    <v>63627610000</v>
    <v>Infineon Technologies AG</v>
    <v>Infineon Technologies AG</v>
    <v>50.63</v>
    <v>54.3765</v>
    <v>49.884999999999998</v>
    <v>48.67</v>
    <v>1305921000</v>
    <v>IFX</v>
    <v>Infineon Technologies AG (XETR:IFX)</v>
    <v>4834619</v>
    <v>4115910</v>
    <v>1999</v>
  </rv>
  <rv s="2">
    <v>305</v>
  </rv>
  <rv s="0">
    <v>https://www.bing.com/financeapi/forcetrigger?t=aftlr7&amp;q=XETR%3aSAP&amp;form=skydnc</v>
    <v>Learn more on Bing</v>
  </rv>
  <rv s="15">
    <v>27</v>
    <v>SAP SE (XETR:SAP)</v>
    <v>2</v>
    <v>37</v>
    <v>Finance</v>
    <v>24</v>
    <v>en-GB</v>
    <v>aftlr7</v>
    <v>268435456</v>
    <v>1</v>
    <v>Powered by Refinitiv</v>
    <v>244.3</v>
    <v>127.5</v>
    <v>1.1391</v>
    <v>-0.95</v>
    <v>-4.411E-3</v>
    <v>EUR</v>
    <v>SAP SE (SAP) is a Germany-based application software company. The Company operates through two segments Applications, Technology &amp; Support (ATS) segment and its Core Services segment. The ATS segment covers the Company’s integrated product portfolio and includes cloud subscription offerings, support services, and training solutions. It also encompasses activities related to operating cloud technologies and delivering customer support associated with its software products. The Core Services segment complements the Company’s product portfolio by delivering consulting and premium support services to assist customers in adopting its innovations. Revenue in this segment is primarily derived from professional services and enhanced support offerings, while costs arise from the execution of these service activities.</v>
    <v>112019</v>
    <v>Xetra</v>
    <v>XETR</v>
    <v>XETR</v>
    <v>Dietmar-Hopp-Allee 16, WALLDORF, BADEN-WUERTTEMBERG, 69190 DE</v>
    <v>215.85</v>
    <v>Software &amp; IT Services</v>
    <v>Stock</v>
    <v>46318.836805555555</v>
    <v>307</v>
    <v>210.05</v>
    <v>263674900000</v>
    <v>SAP SE</v>
    <v>SAP SE</v>
    <v>213.55</v>
    <v>30.986899999999999</v>
    <v>215.35</v>
    <v>214.4</v>
    <v>1228504000</v>
    <v>SAP</v>
    <v>SAP SE (XETR:SAP)</v>
    <v>2056249</v>
    <v>2307530</v>
    <v>2014</v>
  </rv>
  <rv s="2">
    <v>308</v>
  </rv>
  <rv s="0">
    <v>https://www.bing.com/financeapi/forcetrigger?t=ajgku2&amp;q=XMIL%3aSTM&amp;form=skydnc</v>
    <v>Learn more on Bing</v>
  </rv>
  <rv s="15">
    <v>27</v>
    <v>STMicroelectronics N.V. (XMIL:STMMI)</v>
    <v>2</v>
    <v>37</v>
    <v>Finance</v>
    <v>36</v>
    <v>en-GB</v>
    <v>ajgku2</v>
    <v>268435456</v>
    <v>1</v>
    <v>Powered by Refinitiv</v>
    <v>70.86</v>
    <v>18.21</v>
    <v>1.4255</v>
    <v>-0.48499999999999999</v>
    <v>-1.2145E-2</v>
    <v>EUR</v>
    <v>STMicroelectronics NV is a Switzerland-based company primarily engaged in the semiconductor industry. The Company designs, develops, manufactures, and markets semiconductor products for the automotive, industrial, consumer electronics, communications, computer, and peripheral markets. STMicroelectronics NV's segments include AM&amp;S (Analog Products, Micro-Electro-Mechanical Systems (MEMS) and Sensors Group), P&amp;D (Power and Discrete Products), EMP (Embedded Processing), and RFOC (Radio Frequency (RF) and Optical Communications). The AM&amp;S segment comprises analog products, MEMS sensors and actuators, as well as optical sensing solutions. The P&amp;D segment comprises discrete and power transistor products. The EMP segment comprises general-purpose and automotive microcontrollers, connected security products, and custom processing products. The RFOC segment comprises space, ranging, and connectivity products; digital audio and signalling solutions; and optical and RF communication technologies.</v>
    <v>47737</v>
    <v>Borsa Italiana</v>
    <v>XMIL</v>
    <v>XMIL</v>
    <v>39 Chemin du Champ des Filles, PLAN-LES-OUATES, GENEVE, 1228 CH</v>
    <v>40.28</v>
    <v>Semiconductors &amp; Semiconductor Equipment</v>
    <v>Stock</v>
    <v>46318.666666666664</v>
    <v>310</v>
    <v>38.6</v>
    <v>36002460000</v>
    <v>STMicroelectronics N.V.</v>
    <v>STMicroelectronics N.V.</v>
    <v>40</v>
    <v>490.67160000000001</v>
    <v>39.935000000000002</v>
    <v>39.450000000000003</v>
    <v>911281900</v>
    <v>STMMI</v>
    <v>STMicroelectronics N.V. (XMIL:STMMI)</v>
    <v>3491488</v>
    <v>2235830</v>
    <v>1987</v>
  </rv>
  <rv s="2">
    <v>311</v>
  </rv>
  <rv s="0">
    <v>https://www.bing.com/financeapi/forcetrigger?t=ae7bjc&amp;q=XPAR%3aAI&amp;form=skydnc</v>
    <v>Learn more on Bing</v>
  </rv>
  <rv s="15">
    <v>27</v>
    <v>L'Air Liquide Societe Anonyme pour l'Etude et l'Exploitation des Procedes Georges Claude SA (XPAR:AI)</v>
    <v>2</v>
    <v>37</v>
    <v>Finance</v>
    <v>24</v>
    <v>en-GB</v>
    <v>ae7bjc</v>
    <v>268435456</v>
    <v>1</v>
    <v>Powered by Refinitiv</v>
    <v>182.26</v>
    <v>140.78</v>
    <v>0.83289999999999997</v>
    <v>1.1000000000000001</v>
    <v>6.3370000000000006E-3</v>
    <v>EUR</v>
    <v>L'Air Liquide Societe Anonyme pour l'Etude et l'Exploitation des Procedes Georges Claude SA, formerly Air Liquide SA, is a France-based gas company, which provides gases-related technologies and services. It operates through two segments: Production of industrial and medical gases that include oxygen, nitrogen, hydrogen, synthesis gas. In addition, the group provides equipment and services for fluid system control, chemical gas and liquid management, home care and hospital hygiene services and operating room equipment. Turnover by market is broken down between industries, health, and electronics; And Other that include engineering and construction activities of gas production plants and manufacturing of advanced technology products. The Company assist across the world many industries, such as aeronautics, automotive, beverage, chemicals, construction, electronics manufacturing, food, and glass, among others.</v>
    <v>65000</v>
    <v>Euronext Paris</v>
    <v>XPAR</v>
    <v>XPAR</v>
    <v>75 Quai D Orsay, PARIS, ILE-DE-FRANCE, 75007 FR</v>
    <v>174.68</v>
    <v>Chemicals</v>
    <v>Stock</v>
    <v>46318.666666666664</v>
    <v>313</v>
    <v>172.4</v>
    <v>111474600000</v>
    <v>L'Air Liquide Societe Anonyme pour l'Etude et l'Exploitation des Procedes Georges Claude SA</v>
    <v>L'Air Liquide Societe Anonyme pour l'Etude et l'Exploitation des Procedes Georges Claude SA</v>
    <v>174</v>
    <v>31.1751</v>
    <v>173.58</v>
    <v>174.68</v>
    <v>638164600</v>
    <v>AI</v>
    <v>L'Air Liquide Societe Anonyme pour l'Etude et l'Exploitation des Procedes Georges Claude SA (XPAR:AI)</v>
    <v>748764</v>
    <v>749270</v>
    <v>1955</v>
  </rv>
  <rv s="2">
    <v>314</v>
  </rv>
  <rv s="0">
    <v>https://www.bing.com/financeapi/forcetrigger?t=afqnf2&amp;q=XETR%3aBAS&amp;form=skydnc</v>
    <v>Learn more on Bing</v>
  </rv>
  <rv s="15">
    <v>27</v>
    <v>BASF SE (XETR:BAS)</v>
    <v>2</v>
    <v>37</v>
    <v>Finance</v>
    <v>24</v>
    <v>en-GB</v>
    <v>afqnf2</v>
    <v>268435456</v>
    <v>1</v>
    <v>Powered by Refinitiv</v>
    <v>55.05</v>
    <v>41.48</v>
    <v>0.90380000000000005</v>
    <v>0.08</v>
    <v>1.5279999999999998E-3</v>
    <v>EUR</v>
    <v>BASF SE is a Germany-based chemical company. The Company operates through six segments, which include Chemicals, Materials, Industrial Solutions, Surface Technologies, Nutrition &amp; Care and Agricultural Solutions. The Chemicals segment consists of the Petrochemicals and Intermediates divisions. The Materials segment consists of Performance Materials and Monomers divisions. The Industrial Solutions segment consists of Dispersions, Resins, Additives and Performance Chemicals divisions. The Surface Technologies segment consists of Catalysts and Coatings solution divisions. The Nutrition &amp; Care segment consists of Care Chemicals and Nutrition and Health divisions. The Agricultural Solutions segment consists of Agricultural Solutions division, which focuses on provision of crop protection products and Seed Treatment solutions and plant growth regulators.</v>
    <v>94910</v>
    <v>Xetra</v>
    <v>XETR</v>
    <v>XETR</v>
    <v>Carl-Bosch-Str. 38, LUDWIGSHAFEN AM RHEIN, RHEINLAND-PFALZ, 67056 DE</v>
    <v>52.86</v>
    <v>Chemicals</v>
    <v>Stock</v>
    <v>46318.836805555555</v>
    <v>316</v>
    <v>51.87</v>
    <v>46863180000</v>
    <v>BASF SE</v>
    <v>BASF SE</v>
    <v>52.5</v>
    <v>21.9636</v>
    <v>52.37</v>
    <v>52.45</v>
    <v>892522200</v>
    <v>BAS</v>
    <v>BASF SE (XETR:BAS)</v>
    <v>1586791</v>
    <v>1579620</v>
    <v>2008</v>
  </rv>
  <rv s="2">
    <v>317</v>
  </rv>
  <rv s="0">
    <v>https://www.bing.com/financeapi/forcetrigger?t=ajeyzr&amp;q=XMIL%3aENEL&amp;form=skydnc</v>
    <v>Learn more on Bing</v>
  </rv>
  <rv s="15">
    <v>27</v>
    <v>Enel SpA (XMIL:ENEL)</v>
    <v>2</v>
    <v>37</v>
    <v>Finance</v>
    <v>36</v>
    <v>en-GB</v>
    <v>ajeyzr</v>
    <v>268435456</v>
    <v>1</v>
    <v>Powered by Refinitiv</v>
    <v>10.31</v>
    <v>8.41</v>
    <v>0.69699999999999995</v>
    <v>2.1000000000000001E-2</v>
    <v>2.2829999999999999E-3</v>
    <v>EUR</v>
    <v>Enel SpA is an Italy-based multinational company primarily engaged in power distribution segment and an integrated operator in the global power, gas and renewables markets. The Company is active in Europe and is present in more than 30 countries, producing energy with over 68 gigawatt (GW) of installed capacity. Enel distributes electricity through a network of over 2.2 million kilometers, supplying over 70 million business and household end users globally. Enel's renewables arm Enel Green Power supplies energy of wind, solar, geothermal and hydropower plants installed in Europe, the Americas, Africa, Asia and Oceania. Enel X is Enel's global business line focusing on energy-related products and services including distribution systems and batteries, smart lighting and energy and electric mobility.</v>
    <v>61900</v>
    <v>Borsa Italiana</v>
    <v>XMIL</v>
    <v>XMIL</v>
    <v>Viale Regina Margherita, 137, ROMA, ROMA, 00198 IT</v>
    <v>9.2330000000000005</v>
    <v>Electrical Utilities &amp; IPPs</v>
    <v>Stock</v>
    <v>46318.666666666664</v>
    <v>319</v>
    <v>9.1199999999999992</v>
    <v>91604330000</v>
    <v>Enel SpA</v>
    <v>Enel SpA</v>
    <v>9.2279999999999998</v>
    <v>20.2638</v>
    <v>9.1969999999999992</v>
    <v>9.218</v>
    <v>9937549000</v>
    <v>ENEL</v>
    <v>Enel SpA (XMIL:ENEL)</v>
    <v>13490532</v>
    <v>16260150</v>
    <v>1989</v>
  </rv>
  <rv s="2">
    <v>320</v>
  </rv>
  <rv s="0">
    <v>https://www.bing.com/financeapi/forcetrigger?t=ae8j2w&amp;q=XPAR%3aENGI&amp;form=skydnc</v>
    <v>Learn more on Bing</v>
  </rv>
  <rv s="15">
    <v>27</v>
    <v>Engie SA (XPAR:ENGI)</v>
    <v>2</v>
    <v>37</v>
    <v>Finance</v>
    <v>24</v>
    <v>en-GB</v>
    <v>ae8j2w</v>
    <v>268435456</v>
    <v>1</v>
    <v>Powered by Refinitiv</v>
    <v>29.55</v>
    <v>19.2</v>
    <v>0.78510000000000002</v>
    <v>-0.3</v>
    <v>-1.2980999999999999E-2</v>
    <v>EUR</v>
    <v>Engie SA is a France-based global energy and services group. It operates through the following business segments: Infrastructures, Renewables, Energy Solutions, FlexGen and Retail, Nuclear and other. The Company develops integrated solutions to support companies and local authorities in the zero- carbon transition. It operates in the gas and electricity value chain (hydrogen, natural gas and biogas) upstream of supply to customers. Renewables covers both generation and marketing of electricity from all renewable energy sources. The Company provides generation and marketing of electricity from other energy sources, such as gas and coal. It also comprehend Supply that combines the activities of purchases-wholesale sales and activities business to customers client solutions and Nuclear, dedicated to nuclear activities.</v>
    <v>91189</v>
    <v>Euronext Paris</v>
    <v>XPAR</v>
    <v>XPAR</v>
    <v>67 Rue Jules FERRY,, LA GARENNE-COLOMBES, 92250 FR</v>
    <v>23.23</v>
    <v>Multiline Utilities</v>
    <v>Stock</v>
    <v>46318.666666666664</v>
    <v>322</v>
    <v>22.45</v>
    <v>57992780000</v>
    <v>Engie SA</v>
    <v>Engie SA</v>
    <v>23.23</v>
    <v>13.913600000000001</v>
    <v>23.11</v>
    <v>22.81</v>
    <v>2542428000</v>
    <v>ENGI</v>
    <v>Engie SA (XPAR:ENGI)</v>
    <v>5073185</v>
    <v>4524500</v>
    <v>1986</v>
  </rv>
  <rv s="2">
    <v>323</v>
  </rv>
  <rv s="0">
    <v>https://www.bing.com/financeapi/forcetrigger?t=aeacc7&amp;q=XPAR%3aVIE&amp;form=skydnc</v>
    <v>Learn more on Bing</v>
  </rv>
  <rv s="15">
    <v>27</v>
    <v>Veolia Environnement SA (XPAR:VIE)</v>
    <v>2</v>
    <v>37</v>
    <v>Finance</v>
    <v>24</v>
    <v>en-GB</v>
    <v>aeacc7</v>
    <v>268435456</v>
    <v>1</v>
    <v>Powered by Refinitiv</v>
    <v>37.659999999999997</v>
    <v>27.85</v>
    <v>1.1099000000000001</v>
    <v>0.27</v>
    <v>8.4849999999999995E-3</v>
    <v>EUR</v>
    <v>Veolia Environnement SA is a France-based company that provides environmental services. The Company activity is distributed as provision of water-related services, provision of waste management services, and provision of energy services. It offers management of water resources, distribution and conveyance of drinking water, collection, treatment and recovery of wastewater, engineering and design services and construction of water treatment facilities, customer relationship management, etc. It provides collection, treatment and recycling of liquid, solid, ordinary and hazardous waste, treatment and recovery of waste by composting, energy recovery from waste, etc. The Company offers urban cleanliness services (maintenance and cleaning of public spaces, provision of mechanized street cleaning and facade treatment services), upkeep and maintenance of industrial sites, and dismantling of industrial and end-of-life equipment.</v>
    <v>213176</v>
    <v>Euronext Paris</v>
    <v>XPAR</v>
    <v>XPAR</v>
    <v>21 Rue La Boetie, PARIS, ILE-DE-FRANCE, 75008 FR</v>
    <v>32.090000000000003</v>
    <v>Multiline Utilities</v>
    <v>Stock</v>
    <v>46318.666666666664</v>
    <v>325</v>
    <v>31.64</v>
    <v>23826720000</v>
    <v>Veolia Environnement SA</v>
    <v>Veolia Environnement SA</v>
    <v>32</v>
    <v>18.7</v>
    <v>31.82</v>
    <v>32.090000000000003</v>
    <v>742496600</v>
    <v>VIE</v>
    <v>Veolia Environnement SA (XPAR:VIE)</v>
    <v>1274345</v>
    <v>1901530</v>
    <v>1995</v>
  </rv>
  <rv s="2">
    <v>326</v>
  </rv>
  <rv s="0">
    <v>https://www.bing.com/financeapi/forcetrigger?t=c438im&amp;q=XNAS%3aIREN&amp;form=skydnc</v>
    <v>Learn more on Bing</v>
  </rv>
  <rv s="1">
    <v>0</v>
    <v>IREN LIMITED (XNAS:IREN)</v>
    <v>2</v>
    <v>3</v>
    <v>Finance</v>
    <v>4</v>
    <v>en-GB</v>
    <v>c438im</v>
    <v>268435456</v>
    <v>1</v>
    <v>Powered by Refinitiv</v>
    <v>76.87</v>
    <v>24.855</v>
    <v>4.3162000000000003</v>
    <v>-0.60499999999999998</v>
    <v>-2.3716000000000001E-2</v>
    <v>-1.3899999999999999E-2</v>
    <v>-5.5809999999999996E-4</v>
    <v>USD</v>
    <v>IREN Limited is an Australia-based company, which owns and operates data centers powered by 100% renewable energy. The Company is vertically integrated artificial intelligence (AI) Cloud provider, delivering large-scale data centers and graphics processing unit (GPU) clusters for AI training and inference. Its platform is underpinned by its portfolio of grid-connected land and power in regions across North America, Europe and Asia-Pacific (APAC). Its data centers are optimized for power-dense computing applications and support a combination of GPUs for High-Performance Computing (HPC) and AI services and ASICs for Bitcoin mining. Its data center mining facilities are in Sweetwater, Canal Flats, Mackenzie, Prince George, and Childress. Al Cloud Services provides cloud compute to Al customers, approximately 1,896 NVIDIA H100 and H200 GPUs. Its Canal Flats facility is located on a 10-acre freehold site, directly connected to the BC Hydro power grid through a 30 megawatt (MW).</v>
    <v>685</v>
    <v>Nasdaq Stock Market</v>
    <v>XNAS</v>
    <v>XNAS</v>
    <v>Level 5, 55 Market Street, SYDNEY, NEW SOUTH WALES, 2000 AU</v>
    <v>26.47</v>
    <v>Financial Technology (Fintech) &amp; Infrastructure</v>
    <v>Stock</v>
    <v>46318.999992164063</v>
    <v>328</v>
    <v>24.88</v>
    <v>IREN LIMITED</v>
    <v>IREN LIMITED</v>
    <v>25.35</v>
    <v>0</v>
    <v>25.51</v>
    <v>24.905000000000001</v>
    <v>24.891100000000002</v>
    <v>404613500</v>
    <v>IREN</v>
    <v>IREN LIMITED (XNAS:IREN)</v>
    <v>39056462</v>
    <v>48113819</v>
    <v>2018</v>
  </rv>
  <rv s="2">
    <v>329</v>
  </rv>
  <rv s="20">
    <v>41</v>
    <v>VANECK URAN AND NUCLEAR TECHNLGS ETF (XMIL:NUCL)</v>
    <v>42</v>
    <v>43</v>
    <v>Finance</v>
    <v>44</v>
    <v>en-GB</v>
    <v>c9fhsm</v>
    <v>268435456</v>
    <v>1</v>
    <v>Powered by Refinitiv</v>
    <v>-0.22500000000000001</v>
    <v>-5.829E-3</v>
    <v>EUR</v>
    <v>Borsa Italiana</v>
    <v>XMIL</v>
    <v>5.5000000000000005E-3</v>
    <v>38.74</v>
    <v>ETF</v>
    <v>46318.666666666664</v>
    <v>37.770000000000003</v>
    <v>2094942086.6500001</v>
    <v>VANECK URAN AND NUCLEAR TECHNLGS ETF</v>
    <v>38.590000000000003</v>
    <v>38.6</v>
    <v>38.375</v>
    <v>NUCL</v>
    <v>VANECK URAN AND NUCLEAR TECHNLGS ETF (XMIL:NUCL)</v>
    <v>28301</v>
  </rv>
  <rv s="2">
    <v>331</v>
  </rv>
  <rv s="0">
    <v>https://www.bing.com/financeapi/forcetrigger?t=c1fuar&amp;q=XMIL%3aHDRO&amp;form=skydnc</v>
    <v>Learn more on Bing</v>
  </rv>
  <rv s="21">
    <v>45</v>
    <v>VANECK HYDRO ETF (XMIL:HDRO)</v>
    <v>46</v>
    <v>47</v>
    <v>Finance</v>
    <v>44</v>
    <v>en-GB</v>
    <v>c1fuar</v>
    <v>268435456</v>
    <v>1</v>
    <v>Powered by Refinitiv</v>
    <v>10.85</v>
    <v>5.58</v>
    <v>-5.7000000000000002E-2</v>
    <v>-8.480999999999999E-3</v>
    <v>EUR</v>
    <v>Borsa Italiana</v>
    <v>XMIL</v>
    <v>5.5000000000000005E-3</v>
    <v>6.8</v>
    <v>ETF</v>
    <v>46318.666666666664</v>
    <v>333</v>
    <v>6.6260000000000003</v>
    <v>108478738.56999999</v>
    <v>VANECK HYDRO ETF</v>
    <v>6.8</v>
    <v>6.7210000000000001</v>
    <v>6.6639999999999997</v>
    <v>HDRO</v>
    <v>VANECK HYDRO ETF (XMIL:HDRO)</v>
    <v>9161</v>
  </rv>
  <rv s="2">
    <v>334</v>
  </rv>
  <rv s="22">
    <v>48</v>
    <v>GLB AERODEF $ AC (XMIL:DFND)</v>
    <v>42</v>
    <v>47</v>
    <v>Finance</v>
    <v>44</v>
    <v>en-GB</v>
    <v>ce9ocw</v>
    <v>268435456</v>
    <v>1</v>
    <v>Powered by Refinitiv</v>
    <v>9.2200000000000006</v>
    <v>7.23</v>
    <v>-0.126</v>
    <v>-1.6197E-2</v>
    <v>EUR</v>
    <v>Borsa Italiana</v>
    <v>XMIL</v>
    <v>3.4999999999999996E-3</v>
    <v>7.7779999999999996</v>
    <v>ETF</v>
    <v>46318.666666666664</v>
    <v>7.5510000000000002</v>
    <v>1753177065.49</v>
    <v>GLB AERODEF $ AC</v>
    <v>7.7779999999999996</v>
    <v>7.7789999999999999</v>
    <v>7.6529999999999996</v>
    <v>DFND</v>
    <v>GLB AERODEF $ AC (XMIL:DFND)</v>
    <v>54903</v>
  </rv>
  <rv s="2">
    <v>336</v>
  </rv>
  <rv s="0">
    <v>https://www.bing.com/financeapi/forcetrigger?t=ajfktc&amp;q=XMIL%3aINRG&amp;form=skydnc</v>
    <v>Learn more on Bing</v>
  </rv>
  <rv s="21">
    <v>45</v>
    <v>iShGlb Cln Eng Trns UETFUSD D (XMIL:INRG)</v>
    <v>46</v>
    <v>47</v>
    <v>Finance</v>
    <v>44</v>
    <v>en-GB</v>
    <v>ajfktc</v>
    <v>268435456</v>
    <v>1</v>
    <v>Powered by Refinitiv</v>
    <v>11.71</v>
    <v>7.78</v>
    <v>-8.4000000000000005E-2</v>
    <v>-1.0149999999999999E-2</v>
    <v>EUR</v>
    <v>Borsa Italiana</v>
    <v>XMIL</v>
    <v>6.5000000000000006E-3</v>
    <v>8.2970000000000006</v>
    <v>ETF</v>
    <v>46318.666666666664</v>
    <v>338</v>
    <v>8.1460000000000008</v>
    <v>2958630263.6399999</v>
    <v>iShGlb Cln Eng Trns UETFUSD D</v>
    <v>8.2850000000000001</v>
    <v>8.2759999999999998</v>
    <v>8.1920000000000002</v>
    <v>INRG</v>
    <v>iShGlb Cln Eng Trns UETFUSD D (XMIL:INRG)</v>
    <v>38946</v>
  </rv>
  <rv s="2">
    <v>339</v>
  </rv>
  <rv s="0">
    <v>https://www.bing.com/financeapi/forcetrigger?t=btgxvh&amp;q=XMIL%3aVWCE&amp;form=skydnc</v>
    <v>Learn more on Bing</v>
  </rv>
  <rv s="23">
    <v>49</v>
    <v>VANG.FTSE ALL WORLD UCITS ETF (XMIL:VWCE)</v>
    <v>46</v>
    <v>50</v>
    <v>Finance</v>
    <v>51</v>
    <v>en-GB</v>
    <v>btgxvh</v>
    <v>268435456</v>
    <v>1</v>
    <v>Powered by Refinitiv</v>
    <v>173.98</v>
    <v>139.19</v>
    <v>0.09</v>
    <v>5.3180000000000002E-4</v>
    <v>EUR</v>
    <v>Borsa Italiana</v>
    <v>XMIL</v>
    <v>1.4000000000000002E-3</v>
    <v>169.57</v>
    <v>ETF</v>
    <v>46318.666666666664</v>
    <v>341</v>
    <v>168.25</v>
    <v>60193582648.599998</v>
    <v>VANG.FTSE ALL WORLD UCITS ETF</v>
    <v>169.21</v>
    <v>169.25</v>
    <v>169.34</v>
    <v>168.6</v>
    <v>VWCE</v>
    <v>VANG.FTSE ALL WORLD UCITS ETF (XMIL:VWCE)</v>
    <v>91572</v>
  </rv>
  <rv s="2">
    <v>342</v>
  </rv>
  <rv s="0">
    <v>https://www.bing.com/financeapi/forcetrigger?t=ajgm8m&amp;q=XMIL%3aSWDA&amp;form=skydnc</v>
    <v>Learn more on Bing</v>
  </rv>
  <rv s="21">
    <v>45</v>
    <v>iShs CoreMSCI Wld ETF USD A (XMIL:SWDA)</v>
    <v>46</v>
    <v>47</v>
    <v>Finance</v>
    <v>44</v>
    <v>en-GB</v>
    <v>ajgm8m</v>
    <v>268435456</v>
    <v>1</v>
    <v>Powered by Refinitiv</v>
    <v>132.4</v>
    <v>106.96</v>
    <v>-0.04</v>
    <v>-3.079E-4</v>
    <v>EUR</v>
    <v>Borsa Italiana</v>
    <v>XMIL</v>
    <v>2E-3</v>
    <v>130.19</v>
    <v>ETF</v>
    <v>46318.666666666664</v>
    <v>344</v>
    <v>129.02000000000001</v>
    <v>147192361726.67001</v>
    <v>iShs CoreMSCI Wld ETF USD A</v>
    <v>129.84</v>
    <v>129.93</v>
    <v>129.88999999999999</v>
    <v>SWDA</v>
    <v>iShs CoreMSCI Wld ETF USD A (XMIL:SWDA)</v>
    <v>63547</v>
  </rv>
  <rv s="2">
    <v>345</v>
  </rv>
  <rv s="20">
    <v>41</v>
    <v>VANECK DEFENSE UCITS USD ETF (XMIL:DFNS)</v>
    <v>42</v>
    <v>43</v>
    <v>Finance</v>
    <v>44</v>
    <v>en-GB</v>
    <v>c9sxc7</v>
    <v>268435456</v>
    <v>1</v>
    <v>Powered by Refinitiv</v>
    <v>-0.13</v>
    <v>-2.5569999999999998E-3</v>
    <v>EUR</v>
    <v>Borsa Italiana</v>
    <v>XMIL</v>
    <v>5.5000000000000005E-3</v>
    <v>50.83</v>
    <v>ETF</v>
    <v>46318.666666666664</v>
    <v>49.98</v>
    <v>6854806450.6300001</v>
    <v>VANECK DEFENSE UCITS USD ETF</v>
    <v>50.64</v>
    <v>50.85</v>
    <v>50.72</v>
    <v>DFNS</v>
    <v>VANECK DEFENSE UCITS USD ETF (XMIL:DFNS)</v>
    <v>13758</v>
  </rv>
  <rv s="2">
    <v>347</v>
  </rv>
  <rv s="0">
    <v>https://www.bing.com/financeapi/forcetrigger?t=bwywmw&amp;q=XMIL%3aSMH&amp;form=skydnc</v>
    <v>Learn more on Bing</v>
  </rv>
  <rv s="21">
    <v>45</v>
    <v>VANECK VECTORS UCITS ETFS PL ETF (XMIL:SMH)</v>
    <v>46</v>
    <v>47</v>
    <v>Finance</v>
    <v>44</v>
    <v>en-GB</v>
    <v>bwywmw</v>
    <v>268435456</v>
    <v>1</v>
    <v>Powered by Refinitiv</v>
    <v>110.9</v>
    <v>46.59</v>
    <v>0.67</v>
    <v>7.7380000000000001E-3</v>
    <v>EUR</v>
    <v>Borsa Italiana</v>
    <v>XMIL</v>
    <v>3.4999999999999996E-3</v>
    <v>87.63</v>
    <v>ETF</v>
    <v>46318.666666666664</v>
    <v>349</v>
    <v>85.73</v>
    <v>9589744251.5499992</v>
    <v>VANECK VECTORS UCITS ETFS PL ETF</v>
    <v>86.91</v>
    <v>86.59</v>
    <v>87.26</v>
    <v>SMH</v>
    <v>VANECK VECTORS UCITS ETFS PL ETF (XMIL:SMH)</v>
    <v>35937</v>
  </rv>
  <rv s="2">
    <v>350</v>
  </rv>
  <rv s="0">
    <v>https://www.bing.com/financeapi/forcetrigger?t=ajfijc&amp;q=XMIL%3aIHYG&amp;form=skydnc</v>
    <v>Learn more on Bing</v>
  </rv>
  <rv s="24">
    <v>52</v>
    <v>iShs € HY Corp Bd ETF EUR D (XMIL:IHYG)</v>
    <v>46</v>
    <v>53</v>
    <v>Finance</v>
    <v>44</v>
    <v>en-GB</v>
    <v>ajfijc</v>
    <v>268435456</v>
    <v>1</v>
    <v>Powered by Refinitiv</v>
    <v>93.85</v>
    <v>87.12</v>
    <v>0.88890000000000002</v>
    <v>-0.54</v>
    <v>-6.1539999999999997E-3</v>
    <v>EUR</v>
    <v>Borsa Italiana</v>
    <v>XMIL</v>
    <v>5.0000000000000001E-3</v>
    <v>87.56</v>
    <v>ETF</v>
    <v>46318.666666666664</v>
    <v>352</v>
    <v>87.12</v>
    <v>4845468908.4200001</v>
    <v>iShs € HY Corp Bd ETF EUR D</v>
    <v>87.56</v>
    <v>87.75</v>
    <v>87.21</v>
    <v>IHYG</v>
    <v>iShs € HY Corp Bd ETF EUR D (XMIL:IHYG)</v>
    <v>20743</v>
  </rv>
  <rv s="2">
    <v>353</v>
  </rv>
  <rv s="0">
    <v>https://www.bing.com/financeapi/forcetrigger?t=ajffzr&amp;q=XMIL%3aIBGX&amp;form=skydnc</v>
    <v>Learn more on Bing</v>
  </rv>
  <rv s="24">
    <v>52</v>
    <v>iShs € Gvt Bd 3-5yr ETF EUR D (XMIL:IBGX)</v>
    <v>46</v>
    <v>53</v>
    <v>Finance</v>
    <v>44</v>
    <v>en-GB</v>
    <v>ajffzr</v>
    <v>268435456</v>
    <v>1</v>
    <v>Powered by Refinitiv</v>
    <v>163.78</v>
    <v>155.87</v>
    <v>1.0145999999999999</v>
    <v>0.13</v>
    <v>8.3129999999999999E-4</v>
    <v>EUR</v>
    <v>Borsa Italiana</v>
    <v>XMIL</v>
    <v>1.5E-3</v>
    <v>156.61000000000001</v>
    <v>ETF</v>
    <v>46318.666666666664</v>
    <v>355</v>
    <v>156.35</v>
    <v>2023380506.26</v>
    <v>iShs € Gvt Bd 3-5yr ETF EUR D</v>
    <v>156.35</v>
    <v>156.38</v>
    <v>156.51</v>
    <v>IBGX</v>
    <v>iShs € Gvt Bd 3-5yr ETF EUR D (XMIL:IBGX)</v>
    <v>2569</v>
  </rv>
  <rv s="2">
    <v>356</v>
  </rv>
  <rv s="0">
    <v>https://www.bing.com/financeapi/forcetrigger?t=ajfixm&amp;q=XMIL%3aIITB&amp;form=skydnc</v>
    <v>Learn more on Bing</v>
  </rv>
  <rv s="24">
    <v>52</v>
    <v>ISHRS ITALY GOVT BOND EUR ETF (XMIL:IITB)</v>
    <v>46</v>
    <v>53</v>
    <v>Finance</v>
    <v>44</v>
    <v>en-GB</v>
    <v>ajfixm</v>
    <v>268435456</v>
    <v>1</v>
    <v>Powered by Refinitiv</v>
    <v>154.82</v>
    <v>143.25</v>
    <v>1.0105</v>
    <v>0.22</v>
    <v>1.5210000000000002E-3</v>
    <v>EUR</v>
    <v>Borsa Italiana</v>
    <v>XMIL</v>
    <v>2E-3</v>
    <v>144.93</v>
    <v>ETF</v>
    <v>46318.666666666664</v>
    <v>358</v>
    <v>144.68</v>
    <v>498742653.88999999</v>
    <v>ISHRS ITALY GOVT BOND EUR ETF</v>
    <v>144.75</v>
    <v>144.66</v>
    <v>144.88</v>
    <v>IITB</v>
    <v>ISHRS ITALY GOVT BOND EUR ETF (XMIL:IITB)</v>
    <v>2165</v>
  </rv>
  <rv s="2">
    <v>359</v>
  </rv>
  <rv s="0">
    <v>https://www.bing.com/financeapi/forcetrigger?t=ajea4c&amp;q=XMIL%3aBTP13&amp;form=skydnc</v>
    <v>Learn more on Bing</v>
  </rv>
  <rv s="24">
    <v>52</v>
    <v>AMD 1-3Y BTP ETF (XMIL:BTP13)</v>
    <v>46</v>
    <v>53</v>
    <v>Finance</v>
    <v>44</v>
    <v>en-GB</v>
    <v>ajea4c</v>
    <v>268435456</v>
    <v>1</v>
    <v>Powered by Refinitiv</v>
    <v>107.62</v>
    <v>102.06</v>
    <v>1.0412999999999999</v>
    <v>0.14000000000000001</v>
    <v>1.3420000000000001E-3</v>
    <v>EUR</v>
    <v>Borsa Italiana</v>
    <v>XMIL</v>
    <v>1.7000000000000001E-3</v>
    <v>104.43</v>
    <v>ETF</v>
    <v>46318.666666666664</v>
    <v>361</v>
    <v>104.33</v>
    <v>174866980.39899999</v>
    <v>AMD 1-3Y BTP ETF</v>
    <v>104.33</v>
    <v>104.29</v>
    <v>104.43</v>
    <v>BTP13</v>
    <v>AMD 1-3Y BTP ETF (XMIL:BTP13)</v>
    <v>1575</v>
  </rv>
  <rv s="2">
    <v>362</v>
  </rv>
  <rv s="0">
    <v>https://www.bing.com/financeapi/forcetrigger?t=ajgzm7&amp;q=XMIL%3aXCHA&amp;form=skydnc</v>
    <v>Learn more on Bing</v>
  </rv>
  <rv s="21">
    <v>45</v>
    <v>X-TRACKERS CSI300 INDEX ETF (XMIL:XCHA)</v>
    <v>46</v>
    <v>47</v>
    <v>Finance</v>
    <v>44</v>
    <v>en-GB</v>
    <v>ajgzm7</v>
    <v>268435456</v>
    <v>1</v>
    <v>Powered by Refinitiv</v>
    <v>19.86</v>
    <v>15.86</v>
    <v>0.192</v>
    <v>1.1399999999999999E-2</v>
    <v>EUR</v>
    <v>Borsa Italiana</v>
    <v>XMIL</v>
    <v>5.0000000000000001E-3</v>
    <v>17.077999999999999</v>
    <v>ETF</v>
    <v>46318.666666666664</v>
    <v>364</v>
    <v>16.963999999999999</v>
    <v>1972389600</v>
    <v>X-TRACKERS CSI300 INDEX ETF</v>
    <v>17.056000000000001</v>
    <v>16.841999999999999</v>
    <v>17.033999999999999</v>
    <v>XCHA</v>
    <v>X-TRACKERS CSI300 INDEX ETF (XMIL:XCHA)</v>
    <v>43633</v>
  </rv>
  <rv s="2">
    <v>365</v>
  </rv>
  <rv s="0">
    <v>https://www.bing.com/financeapi/forcetrigger?t=alo4sm&amp;q=XAMS%3aCSX5&amp;form=skydnc</v>
    <v>Learn more on Bing</v>
  </rv>
  <rv s="24">
    <v>52</v>
    <v>iShs Core EURO STOXX 50 ETF A (XAMS:CSX5)</v>
    <v>46</v>
    <v>53</v>
    <v>Finance</v>
    <v>24</v>
    <v>en-GB</v>
    <v>alo4sm</v>
    <v>268435456</v>
    <v>1</v>
    <v>Powered by Refinitiv</v>
    <v>256.5</v>
    <v>205.5</v>
    <v>1.0833999999999999</v>
    <v>-0.95</v>
    <v>-3.9969999999999997E-3</v>
    <v>EUR</v>
    <v>Euronext Amsterdam</v>
    <v>XAMS</v>
    <v>1E-3</v>
    <v>237.6</v>
    <v>ETF</v>
    <v>46318.666666666664</v>
    <v>367</v>
    <v>234.9</v>
    <v>7679811040.0200005</v>
    <v>iShs Core EURO STOXX 50 ETF A</v>
    <v>237.6</v>
    <v>237.65</v>
    <v>236.7</v>
    <v>CSX5</v>
    <v>iShs Core EURO STOXX 50 ETF A (XAMS:CSX5)</v>
    <v>5595</v>
  </rv>
  <rv s="2">
    <v>368</v>
  </rv>
  <rv s="0">
    <v>https://www.bing.com/financeapi/forcetrigger?t=ajhb8m&amp;q=XMIL%3aXXSC&amp;form=skydnc</v>
    <v>Learn more on Bing</v>
  </rv>
  <rv s="21">
    <v>45</v>
    <v>X MSCI EUROPE SM CAP TRN INDEX ETF (XMIL:XXSC)</v>
    <v>46</v>
    <v>47</v>
    <v>Finance</v>
    <v>44</v>
    <v>en-GB</v>
    <v>ajhb8m</v>
    <v>268435456</v>
    <v>1</v>
    <v>Powered by Refinitiv</v>
    <v>76.489999999999995</v>
    <v>60.77</v>
    <v>-0.09</v>
    <v>-1.2199999999999999E-3</v>
    <v>EUR</v>
    <v>Borsa Italiana</v>
    <v>XMIL</v>
    <v>3.0000000000000001E-3</v>
    <v>73.89</v>
    <v>ETF</v>
    <v>46318.666666666664</v>
    <v>370</v>
    <v>73.19</v>
    <v>3669944800</v>
    <v>X MSCI EUROPE SM CAP TRN INDEX ETF</v>
    <v>73.790000000000006</v>
    <v>73.78</v>
    <v>73.69</v>
    <v>XXSC</v>
    <v>X MSCI EUROPE SM CAP TRN INDEX ETF (XMIL:XXSC)</v>
    <v>4302</v>
  </rv>
  <rv s="2">
    <v>371</v>
  </rv>
  <rv s="0">
    <v>https://www.bing.com/financeapi/forcetrigger?t=ajfkkr&amp;q=XMIL%3aINFR&amp;form=skydnc</v>
    <v>Learn more on Bing</v>
  </rv>
  <rv s="21">
    <v>45</v>
    <v>iShs Gbl Infrastruct ETF USD D (XMIL:INFR)</v>
    <v>46</v>
    <v>47</v>
    <v>Finance</v>
    <v>44</v>
    <v>en-GB</v>
    <v>ajfkkr</v>
    <v>268435456</v>
    <v>1</v>
    <v>Powered by Refinitiv</v>
    <v>35.65</v>
    <v>29.59</v>
    <v>0.35</v>
    <v>1.0219000000000001E-2</v>
    <v>EUR</v>
    <v>Borsa Italiana</v>
    <v>XMIL</v>
    <v>6.5000000000000006E-3</v>
    <v>34.715000000000003</v>
    <v>ETF</v>
    <v>46318.666666666664</v>
    <v>373</v>
    <v>34.484999999999999</v>
    <v>2433789857.5900002</v>
    <v>iShs Gbl Infrastruct ETF USD D</v>
    <v>34.61</v>
    <v>34.25</v>
    <v>34.6</v>
    <v>INFR</v>
    <v>iShs Gbl Infrastruct ETF USD D (XMIL:INFR)</v>
    <v>11834</v>
  </rv>
  <rv s="2">
    <v>374</v>
  </rv>
  <rv s="0">
    <v>https://www.bing.com/financeapi/forcetrigger?t=bomelh&amp;q=XMIL%3aTNO&amp;form=skydnc</v>
    <v>Learn more on Bing</v>
  </rv>
  <rv s="24">
    <v>52</v>
    <v>MULTI UNITS LUX (XMIL:TNO)</v>
    <v>46</v>
    <v>53</v>
    <v>Finance</v>
    <v>44</v>
    <v>en-GB</v>
    <v>bomelh</v>
    <v>268435456</v>
    <v>1</v>
    <v>Powered by Refinitiv</v>
    <v>125.4</v>
    <v>89.55</v>
    <v>0.91349999999999998</v>
    <v>-1.1200000000000001</v>
    <v>-9.4660000000000005E-3</v>
    <v>EUR</v>
    <v>Borsa Italiana</v>
    <v>XMIL</v>
    <v>3.0000000000000001E-3</v>
    <v>117.72</v>
    <v>ETF</v>
    <v>46318.666666666664</v>
    <v>376</v>
    <v>116.76</v>
    <v>209006282.72</v>
    <v>MULTI UNITS LUX</v>
    <v>117.72</v>
    <v>118.32</v>
    <v>117.2</v>
    <v>TNO</v>
    <v>MULTI UNITS LUX (XMIL:TNO)</v>
    <v>1260</v>
  </rv>
  <rv s="2">
    <v>377</v>
  </rv>
  <rv s="0">
    <v>https://www.bing.com/financeapi/forcetrigger?t=c2yxim&amp;q=XAMS%3aSEMI&amp;form=skydnc</v>
    <v>Learn more on Bing</v>
  </rv>
  <rv s="24">
    <v>52</v>
    <v>iShs MSCI Gbl Smcndt ETF USD A (XAMS:SEMI)</v>
    <v>46</v>
    <v>54</v>
    <v>Finance</v>
    <v>24</v>
    <v>en-GB</v>
    <v>c2yxim</v>
    <v>268435456</v>
    <v>1</v>
    <v>Powered by Refinitiv</v>
    <v>24.59</v>
    <v>9.6</v>
    <v>1.5130999999999999</v>
    <v>0.14599999999999999</v>
    <v>8.1499999999999993E-3</v>
    <v>USD</v>
    <v>Euronext Amsterdam</v>
    <v>XAMS</v>
    <v>3.4999999999999996E-3</v>
    <v>18.128</v>
    <v>ETF</v>
    <v>46318.666666666664</v>
    <v>379</v>
    <v>17.744</v>
    <v>6627575929.1899996</v>
    <v>iShs MSCI Gbl Smcndt ETF USD A</v>
    <v>18.013999999999999</v>
    <v>17.914000000000001</v>
    <v>18.059999999999999</v>
    <v>SEMI</v>
    <v>iShs MSCI Gbl Smcndt ETF USD A (XAMS:SEMI)</v>
    <v>172234</v>
  </rv>
  <rv s="2">
    <v>380</v>
  </rv>
  <rv s="0">
    <v>https://www.bing.com/financeapi/forcetrigger?t=ajfim7&amp;q=XMIL%3aIHYU&amp;form=skydnc</v>
    <v>Learn more on Bing</v>
  </rv>
  <rv s="21">
    <v>45</v>
    <v>iShs $ HY Crp Bd ETF USD D (XMIL:IHYU)</v>
    <v>46</v>
    <v>47</v>
    <v>Finance</v>
    <v>44</v>
    <v>en-GB</v>
    <v>ajfim7</v>
    <v>268435456</v>
    <v>1</v>
    <v>Powered by Refinitiv</v>
    <v>85.03</v>
    <v>79.7</v>
    <v>0.03</v>
    <v>3.68E-4</v>
    <v>EUR</v>
    <v>Borsa Italiana</v>
    <v>XMIL</v>
    <v>5.0000000000000001E-3</v>
    <v>81.599999999999994</v>
    <v>ETF</v>
    <v>46318.666666666664</v>
    <v>382</v>
    <v>81.52</v>
    <v>2130790517.79</v>
    <v>iShs $ HY Crp Bd ETF USD D</v>
    <v>81.599999999999994</v>
    <v>81.52</v>
    <v>81.55</v>
    <v>IHYU</v>
    <v>iShs $ HY Crp Bd ETF USD D (XMIL:IHYU)</v>
    <v>282</v>
  </rv>
  <rv s="2">
    <v>383</v>
  </rv>
  <rv s="0">
    <v>https://www.bing.com/financeapi/forcetrigger?t=ajfgnm&amp;q=XMIL%3aIEAC&amp;form=skydnc</v>
    <v>Learn more on Bing</v>
  </rv>
  <rv s="24">
    <v>52</v>
    <v>iShs Core € Crp Bd ETF EUR D (XMIL:IEAC)</v>
    <v>46</v>
    <v>53</v>
    <v>Finance</v>
    <v>44</v>
    <v>en-GB</v>
    <v>ajfgnm</v>
    <v>268435456</v>
    <v>1</v>
    <v>Powered by Refinitiv</v>
    <v>121.87</v>
    <v>115.1</v>
    <v>0.99619999999999997</v>
    <v>-0.43</v>
    <v>-3.6959999999999996E-3</v>
    <v>EUR</v>
    <v>Borsa Italiana</v>
    <v>XMIL</v>
    <v>8.9999999999999998E-4</v>
    <v>116.48</v>
    <v>ETF</v>
    <v>46318.666666666664</v>
    <v>385</v>
    <v>115.92</v>
    <v>8593788827.6800003</v>
    <v>iShs Core € Crp Bd ETF EUR D</v>
    <v>116.48</v>
    <v>116.35</v>
    <v>115.92</v>
    <v>IEAC</v>
    <v>iShs Core € Crp Bd ETF EUR D (XMIL:IEAC)</v>
    <v>5935</v>
  </rv>
  <rv s="2">
    <v>386</v>
  </rv>
  <rv s="0">
    <v>https://www.bing.com/financeapi/forcetrigger?t=ajgz27&amp;q=XMIL%3aXBLC&amp;form=skydnc</v>
    <v>Learn more on Bing</v>
  </rv>
  <rv s="24">
    <v>52</v>
    <v>X CORP BND ETF (XMIL:XBLC)</v>
    <v>46</v>
    <v>53</v>
    <v>Finance</v>
    <v>44</v>
    <v>en-GB</v>
    <v>ajgz27</v>
    <v>268435456</v>
    <v>1</v>
    <v>Powered by Refinitiv</v>
    <v>164.86</v>
    <v>159.5</v>
    <v>0.98780000000000001</v>
    <v>-0.11</v>
    <v>-6.8369999999999998E-4</v>
    <v>EUR</v>
    <v>Borsa Italiana</v>
    <v>XMIL</v>
    <v>8.9999999999999998E-4</v>
    <v>161.36000000000001</v>
    <v>ETF</v>
    <v>46318.666666666664</v>
    <v>388</v>
    <v>160.54</v>
    <v>4533690700</v>
    <v>X CORP BND ETF</v>
    <v>161.11000000000001</v>
    <v>160.88</v>
    <v>160.77000000000001</v>
    <v>XBLC</v>
    <v>X CORP BND ETF (XMIL:XBLC)</v>
    <v>3246</v>
  </rv>
  <rv s="2">
    <v>389</v>
  </rv>
  <rv s="0">
    <v>https://www.bing.com/financeapi/forcetrigger?t=ajewk2&amp;q=XMIL%3aEMBE&amp;form=skydnc</v>
    <v>Learn more on Bing</v>
  </rv>
  <rv s="24">
    <v>52</v>
    <v>iShs JPM $ EM Bd EUR H ETF D (XMIL:EMBE)</v>
    <v>46</v>
    <v>53</v>
    <v>Finance</v>
    <v>44</v>
    <v>en-GB</v>
    <v>ajewk2</v>
    <v>268435456</v>
    <v>1</v>
    <v>Powered by Refinitiv</v>
    <v>70.36</v>
    <v>63.44</v>
    <v>0.49580000000000002</v>
    <v>0.06</v>
    <v>9.3020000000000006E-4</v>
    <v>EUR</v>
    <v>Borsa Italiana</v>
    <v>XMIL</v>
    <v>5.0000000000000001E-3</v>
    <v>64.8</v>
    <v>ETF</v>
    <v>46318.666666666664</v>
    <v>391</v>
    <v>64.5</v>
    <v>2051544974.71</v>
    <v>iShs JPM $ EM Bd EUR H ETF D</v>
    <v>64.8</v>
    <v>64.5</v>
    <v>64.56</v>
    <v>EMBE</v>
    <v>iShs JPM $ EM Bd EUR H ETF D (XMIL:EMBE)</v>
    <v>8302</v>
  </rv>
  <rv s="2">
    <v>392</v>
  </rv>
  <rv s="0">
    <v>https://www.bing.com/financeapi/forcetrigger?t=btgxpr&amp;q=XMIL%3aVUAA&amp;form=skydnc</v>
    <v>Learn more on Bing</v>
  </rv>
  <rv s="23">
    <v>49</v>
    <v>VANGUARD S&amp;P 500 UCITS ETF (XMIL:VUAA)</v>
    <v>46</v>
    <v>50</v>
    <v>Finance</v>
    <v>51</v>
    <v>en-GB</v>
    <v>btgxpr</v>
    <v>268435456</v>
    <v>1</v>
    <v>Powered by Refinitiv</v>
    <v>135.46</v>
    <v>106.78</v>
    <v>-0.04</v>
    <v>-3.0220000000000003E-4</v>
    <v>EUR</v>
    <v>Borsa Italiana</v>
    <v>XMIL</v>
    <v>7.002E-4</v>
    <v>132.72999999999999</v>
    <v>ETF</v>
    <v>46318.666666666664</v>
    <v>394</v>
    <v>131.5</v>
    <v>36337087263.57</v>
    <v>VANGUARD S&amp;P 500 UCITS ETF</v>
    <v>132.29</v>
    <v>132.38</v>
    <v>132.34</v>
    <v>132.21</v>
    <v>VUAA</v>
    <v>VANGUARD S&amp;P 500 UCITS ETF (XMIL:VUAA)</v>
    <v>36596</v>
  </rv>
  <rv s="2">
    <v>395</v>
  </rv>
  <rv s="0">
    <v>https://www.bing.com/financeapi/forcetrigger?t=c252mw&amp;q=XMIL%3aXAIX&amp;form=skydnc</v>
    <v>Learn more on Bing</v>
  </rv>
  <rv s="21">
    <v>45</v>
    <v>XtrackersAI andBD UCITS 1C ETF (XMIL:XAIX)</v>
    <v>46</v>
    <v>47</v>
    <v>Finance</v>
    <v>44</v>
    <v>en-GB</v>
    <v>c252mw</v>
    <v>268435456</v>
    <v>1</v>
    <v>Powered by Refinitiv</v>
    <v>227.41</v>
    <v>141.46</v>
    <v>1.47</v>
    <v>6.9679999999999994E-3</v>
    <v>EUR</v>
    <v>Borsa Italiana</v>
    <v>XMIL</v>
    <v>3.4999999999999996E-3</v>
    <v>212.43</v>
    <v>ETF</v>
    <v>46318.666666666664</v>
    <v>397</v>
    <v>209.2</v>
    <v>9425848100</v>
    <v>XtrackersAI andBD UCITS 1C ETF</v>
    <v>210.53</v>
    <v>210.96</v>
    <v>212.43</v>
    <v>XAIX</v>
    <v>XtrackersAI andBD UCITS 1C ETF (XMIL:XAIX)</v>
    <v>5011</v>
  </rv>
  <rv s="2">
    <v>398</v>
  </rv>
  <rv s="0">
    <v>https://www.bing.com/financeapi/forcetrigger?t=bqeh9c&amp;q=XMIL%3aLOCK&amp;form=skydnc</v>
    <v>Learn more on Bing</v>
  </rv>
  <rv s="21">
    <v>45</v>
    <v>iShs Digtl Sec UCITS ETF USD A (XMIL:LOCK)</v>
    <v>46</v>
    <v>47</v>
    <v>Finance</v>
    <v>44</v>
    <v>en-GB</v>
    <v>bqeh9c</v>
    <v>268435456</v>
    <v>1</v>
    <v>Powered by Refinitiv</v>
    <v>12.51</v>
    <v>7.93</v>
    <v>0.21</v>
    <v>1.7561E-2</v>
    <v>EUR</v>
    <v>Borsa Italiana</v>
    <v>XMIL</v>
    <v>4.0000000000000001E-3</v>
    <v>12.167999999999999</v>
    <v>ETF</v>
    <v>46318.666666666664</v>
    <v>400</v>
    <v>11.901999999999999</v>
    <v>2202937868.77</v>
    <v>iShs Digtl Sec UCITS ETF USD A</v>
    <v>11.938000000000001</v>
    <v>11.958</v>
    <v>12.167999999999999</v>
    <v>LOCK</v>
    <v>iShs Digtl Sec UCITS ETF USD A (XMIL:LOCK)</v>
    <v>16320</v>
  </rv>
  <rv s="2">
    <v>401</v>
  </rv>
  <rv s="0">
    <v>https://www.bing.com/financeapi/forcetrigger?t=ajeur7&amp;q=XMIL%3aEIMI&amp;form=skydnc</v>
    <v>Learn more on Bing</v>
  </rv>
  <rv s="21">
    <v>45</v>
    <v>iShs CrMSCI EMIMIUCITS ETFUSDA (XMIL:EIMI)</v>
    <v>46</v>
    <v>47</v>
    <v>Finance</v>
    <v>44</v>
    <v>en-GB</v>
    <v>ajeur7</v>
    <v>268435456</v>
    <v>1</v>
    <v>Powered by Refinitiv</v>
    <v>51</v>
    <v>36.869999999999997</v>
    <v>0.16</v>
    <v>3.5270000000000002E-3</v>
    <v>EUR</v>
    <v>Borsa Italiana</v>
    <v>XMIL</v>
    <v>1.8E-3</v>
    <v>45.52</v>
    <v>ETF</v>
    <v>46318.666666666664</v>
    <v>403</v>
    <v>45.17</v>
    <v>44993523950.129997</v>
    <v>iShs CrMSCI EMIMIUCITS ETFUSDA</v>
    <v>45.34</v>
    <v>45.36</v>
    <v>45.52</v>
    <v>EIMI</v>
    <v>iShs CrMSCI EMIMIUCITS ETFUSDA (XMIL:EIMI)</v>
    <v>76777</v>
  </rv>
  <rv s="2">
    <v>404</v>
  </rv>
  <rv s="22">
    <v>48</v>
    <v>VEGI  JEDI EUR (XMIL:JEDI)</v>
    <v>42</v>
    <v>47</v>
    <v>Finance</v>
    <v>44</v>
    <v>en-GB</v>
    <v>c7amec</v>
    <v>268435456</v>
    <v>1</v>
    <v>Powered by Refinitiv</v>
    <v>121.26</v>
    <v>44.35</v>
    <v>-0.08</v>
    <v>-1.32E-3</v>
    <v>EUR</v>
    <v>Borsa Italiana</v>
    <v>XMIL</v>
    <v>5.5000000000000005E-3</v>
    <v>60.61</v>
    <v>ETF</v>
    <v>46318.666666666664</v>
    <v>59.1</v>
    <v>1726605310.0799999</v>
    <v>VEGI  JEDI EUR</v>
    <v>60.31</v>
    <v>60.61</v>
    <v>60.53</v>
    <v>JEDI</v>
    <v>VEGI  JEDI EUR (XMIL:JEDI)</v>
    <v>25450</v>
  </rv>
  <rv s="2">
    <v>406</v>
  </rv>
  <rv s="0">
    <v>https://www.bing.com/financeapi/forcetrigger?t=c64tvh&amp;q=XLON%3aURNM&amp;form=skydnc</v>
    <v>Learn more on Bing</v>
  </rv>
  <rv s="24">
    <v>52</v>
    <v>SPROTT URANIUM MINERS UCITS ETF (XLON:URNM)</v>
    <v>46</v>
    <v>54</v>
    <v>Finance</v>
    <v>55</v>
    <v>en-GB</v>
    <v>c64tvh</v>
    <v>268435456</v>
    <v>1</v>
    <v>Powered by Refinitiv</v>
    <v>20.3</v>
    <v>10.305999999999999</v>
    <v>0.64039999999999997</v>
    <v>-6.8000000000000005E-2</v>
    <v>-6.4449999999999993E-3</v>
    <v>USD</v>
    <v>London Stock Exchange</v>
    <v>XLON</v>
    <v>8.5000000000000006E-3</v>
    <v>10.62</v>
    <v>ETF</v>
    <v>46318.649628703126</v>
    <v>408</v>
    <v>10.356</v>
    <v>364832370.50999999</v>
    <v>SPROTT URANIUM MINERS UCITS ETF</v>
    <v>10.62</v>
    <v>10.55</v>
    <v>10.481999999999999</v>
    <v>URNM</v>
    <v>SPROTT URANIUM MINERS UCITS ETF (XLON:URNM)</v>
    <v>20519</v>
  </rv>
  <rv s="2">
    <v>409</v>
  </rv>
  <rv s="0">
    <v>https://www.bing.com/financeapi/forcetrigger?t=ajg877&amp;q=XMIL%3aRBOT&amp;form=skydnc</v>
    <v>Learn more on Bing</v>
  </rv>
  <rv s="21">
    <v>45</v>
    <v>iShs Atmtn&amp;Rbtcs ETF USD A (XMIL:RBOT)</v>
    <v>46</v>
    <v>47</v>
    <v>Finance</v>
    <v>44</v>
    <v>en-GB</v>
    <v>ajg877</v>
    <v>268435456</v>
    <v>1</v>
    <v>Powered by Refinitiv</v>
    <v>20.54</v>
    <v>12.83</v>
    <v>0.14799999999999999</v>
    <v>7.8820000000000001E-3</v>
    <v>EUR</v>
    <v>Borsa Italiana</v>
    <v>XMIL</v>
    <v>4.0000000000000001E-3</v>
    <v>18.925999999999998</v>
    <v>ETF</v>
    <v>46318.666666666664</v>
    <v>411</v>
    <v>18.7</v>
    <v>5451291215.3500004</v>
    <v>iShs Atmtn&amp;Rbtcs ETF USD A</v>
    <v>18.87</v>
    <v>18.777999999999999</v>
    <v>18.925999999999998</v>
    <v>RBOT</v>
    <v>iShs Atmtn&amp;Rbtcs ETF USD A (XMIL:RBOT)</v>
    <v>29224</v>
  </rv>
  <rv s="2">
    <v>412</v>
  </rv>
  <rv s="0">
    <v>https://www.bing.com/financeapi/forcetrigger?t=ajge8m&amp;q=XMIL%3aSGLD&amp;form=skydnc</v>
    <v>Learn more on Bing</v>
  </rv>
  <rv s="25">
    <v>56</v>
    <v>INVESCO PHYSICAL GOLD ETC (XMIL:SGLD)</v>
    <v>46</v>
    <v>57</v>
    <v>Finance</v>
    <v>44</v>
    <v>en-GB</v>
    <v>ajge8m</v>
    <v>268435456</v>
    <v>1</v>
    <v>Powered by Refinitiv</v>
    <v>446.52</v>
    <v>321.24</v>
    <v>-4.75</v>
    <v>-1.3646E-2</v>
    <v>EUR</v>
    <v>Borsa Italiana</v>
    <v>XMIL</v>
    <v>346.83</v>
    <v>ETF</v>
    <v>46318.666666666664</v>
    <v>414</v>
    <v>341.71</v>
    <v>INVESCO PHYSICAL GOLD ETC</v>
    <v>344.4</v>
    <v>348.1</v>
    <v>343.35</v>
    <v>SGLD</v>
    <v>INVESCO PHYSICAL GOLD ETC (XMIL:SGLD)</v>
    <v>21289</v>
  </rv>
  <rv s="2">
    <v>415</v>
  </rv>
  <rv s="3">
    <v>12</v>
    <v>Expense ratio</v>
    <v>0</v>
  </rv>
  <rv s="22">
    <v>48</v>
    <v>VANECK QUANT COMP ETF (XMIL:QNTM)</v>
    <v>42</v>
    <v>47</v>
    <v>Finance</v>
    <v>44</v>
    <v>en-GB</v>
    <v>ch7hmw</v>
    <v>268435456</v>
    <v>1</v>
    <v>Powered by Refinitiv</v>
    <v>29.97</v>
    <v>18.87</v>
    <v>-0.35499999999999998</v>
    <v>-1.5256E-2</v>
    <v>EUR</v>
    <v>Borsa Italiana</v>
    <v>XMIL</v>
    <v>5.5000000000000005E-3</v>
    <v>23.164999999999999</v>
    <v>ETF</v>
    <v>46318.666666666664</v>
    <v>22.715</v>
    <v>898362556.25999999</v>
    <v>VANECK QUANT COMP ETF</v>
    <v>23.065000000000001</v>
    <v>23.27</v>
    <v>22.914999999999999</v>
    <v>QNTM</v>
    <v>VANECK QUANT COMP ETF (XMIL:QNTM)</v>
    <v>9163</v>
  </rv>
  <rv s="2">
    <v>418</v>
  </rv>
  <rv s="22">
    <v>48</v>
    <v>ISHETFSTXQNTXAMC ETF (XLON:QANT)</v>
    <v>42</v>
    <v>58</v>
    <v>Finance</v>
    <v>55</v>
    <v>en-GB</v>
    <v>cjc2r7</v>
    <v>268435456</v>
    <v>1</v>
    <v>Powered by Refinitiv</v>
    <v>5.468</v>
    <v>3.234</v>
    <v>-1.95E-2</v>
    <v>-4.6930000000000001E-3</v>
    <v>GBP</v>
    <v>London Stock Exchange</v>
    <v>XLON</v>
    <v>5.0000000000000001E-3</v>
    <v>4.1635</v>
    <v>ETF</v>
    <v>46318.645506133595</v>
    <v>4.1094999999999997</v>
    <v>76321326.180000007</v>
    <v>ISHETFSTXQNTXAMC ETF</v>
    <v>4.1635</v>
    <v>4.1555</v>
    <v>4.1360000000000001</v>
    <v>QANT</v>
    <v>ISHETFSTXQNTXAMC ETF (XLON:QANT)</v>
    <v>21127</v>
  </rv>
  <rv s="2">
    <v>420</v>
  </rv>
  <rv s="22">
    <v>48</v>
    <v>GLOBAL X AI UCITS ETF (XMIL:AIQE)</v>
    <v>42</v>
    <v>47</v>
    <v>Finance</v>
    <v>44</v>
    <v>en-GB</v>
    <v>cel8fr</v>
    <v>268435456</v>
    <v>1</v>
    <v>Powered by Refinitiv</v>
    <v>27.26</v>
    <v>17</v>
    <v>-0.13</v>
    <v>-5.1729999999999996E-3</v>
    <v>EUR</v>
    <v>Borsa Italiana</v>
    <v>XMIL</v>
    <v>4.0000000000000001E-3</v>
    <v>25</v>
    <v>ETF</v>
    <v>46318.666666666664</v>
    <v>25</v>
    <v>96643589.090000004</v>
    <v>GLOBAL X AI UCITS ETF</v>
    <v>25</v>
    <v>25.13</v>
    <v>25</v>
    <v>AIQE</v>
    <v>GLOBAL X AI UCITS ETF (XMIL:AIQE)</v>
    <v>50</v>
  </rv>
  <rv s="2">
    <v>422</v>
  </rv>
  <rv s="22">
    <v>48</v>
    <v>iShares AI Adopters &amp; Applications UCITS ETF (XMIL:AIAA)</v>
    <v>42</v>
    <v>47</v>
    <v>Finance</v>
    <v>44</v>
    <v>en-GB</v>
    <v>cfeu5r</v>
    <v>268435456</v>
    <v>1</v>
    <v>Powered by Refinitiv</v>
    <v>5.66</v>
    <v>4.43</v>
    <v>-1.4999999999999999E-2</v>
    <v>-2.6519999999999998E-3</v>
    <v>EUR</v>
    <v>Borsa Italiana</v>
    <v>XMIL</v>
    <v>3.4999999999999996E-3</v>
    <v>5.641</v>
    <v>ETF</v>
    <v>46318.666666666664</v>
    <v>5.6050000000000004</v>
    <v>243389081.11000001</v>
    <v>iShares AI Adopters &amp; Applications UCITS ETF</v>
    <v>5.6360000000000001</v>
    <v>5.6559999999999997</v>
    <v>5.641</v>
    <v>AIAA</v>
    <v>iShares AI Adopters &amp; Applications UCITS ETF (XMIL:AIAA)</v>
    <v>8388</v>
  </rv>
  <rv s="2">
    <v>424</v>
  </rv>
  <rv s="0">
    <v>https://www.bing.com/financeapi/forcetrigger?t=bp5nxm&amp;q=XMIL%3aKOR&amp;form=skydnc</v>
    <v>Learn more on Bing</v>
  </rv>
  <rv s="24">
    <v>52</v>
    <v>AMND MSCI KOREA ETF (XMIL:KOR)</v>
    <v>46</v>
    <v>53</v>
    <v>Finance</v>
    <v>44</v>
    <v>en-GB</v>
    <v>bp5nxm</v>
    <v>268435456</v>
    <v>1</v>
    <v>Powered by Refinitiv</v>
    <v>214.79</v>
    <v>80.680000000000007</v>
    <v>1.0823</v>
    <v>1.57</v>
    <v>1.0364999999999999E-2</v>
    <v>EUR</v>
    <v>Borsa Italiana</v>
    <v>XMIL</v>
    <v>4.5000000000000005E-3</v>
    <v>153.05000000000001</v>
    <v>ETF</v>
    <v>46318.666666666664</v>
    <v>426</v>
    <v>150.87</v>
    <v>1064693964.05</v>
    <v>AMND MSCI KOREA ETF</v>
    <v>152.77000000000001</v>
    <v>151.47</v>
    <v>153.04</v>
    <v>KOR</v>
    <v>AMND MSCI KOREA ETF (XMIL:KOR)</v>
    <v>3604</v>
  </rv>
  <rv s="2">
    <v>427</v>
  </rv>
  <rv s="0">
    <v>https://www.bing.com/financeapi/forcetrigger?t=afsek2&amp;q=XETR%3aIQQK&amp;form=skydnc</v>
    <v>Learn more on Bing</v>
  </rv>
  <rv s="21">
    <v>45</v>
    <v>iShares MSCI Korea ETF USD D (XETR:IQQK)</v>
    <v>46</v>
    <v>47</v>
    <v>Finance</v>
    <v>24</v>
    <v>en-GB</v>
    <v>afsek2</v>
    <v>268435456</v>
    <v>1</v>
    <v>Powered by Refinitiv</v>
    <v>137.97999999999999</v>
    <v>52.41</v>
    <v>1.19</v>
    <v>1.225E-2</v>
    <v>EUR</v>
    <v>Xetra</v>
    <v>XETR</v>
    <v>6.5000000000000006E-3</v>
    <v>98.42</v>
    <v>ETF</v>
    <v>46318.837326388886</v>
    <v>429</v>
    <v>96.98</v>
    <v>1161644654.7</v>
    <v>iShares MSCI Korea ETF USD D</v>
    <v>98.32</v>
    <v>97.14</v>
    <v>98.33</v>
    <v>IQQK</v>
    <v>iShares MSCI Korea ETF USD D (XETR:IQQK)</v>
    <v>19974</v>
  </rv>
  <rv s="2">
    <v>430</v>
  </rv>
  <rv s="0">
    <v>https://www.bing.com/financeapi/forcetrigger?t=burw52&amp;q=XLON%3aHSJD&amp;form=skydnc</v>
    <v>Learn more on Bing</v>
  </rv>
  <rv s="24">
    <v>52</v>
    <v>HSBC JP SCRND EQ UCITS ETF USD (XLON:HSJD)</v>
    <v>46</v>
    <v>54</v>
    <v>Finance</v>
    <v>55</v>
    <v>en-GB</v>
    <v>burw52</v>
    <v>268435456</v>
    <v>1</v>
    <v>Powered by Refinitiv</v>
    <v>27.465</v>
    <v>21.39</v>
    <v>0.9909</v>
    <v>-0.215</v>
    <v>-8.2629999999999995E-3</v>
    <v>USD</v>
    <v>London Stock Exchange</v>
    <v>XLON</v>
    <v>1.8E-3</v>
    <v>25.82</v>
    <v>ETF</v>
    <v>46318.649455092185</v>
    <v>432</v>
    <v>25.71</v>
    <v>331372453.39999998</v>
    <v>HSBC JP SCRND EQ UCITS ETF USD</v>
    <v>25.82</v>
    <v>26.02</v>
    <v>25.805</v>
    <v>HSJD</v>
    <v>HSBC JP SCRND EQ UCITS ETF USD (XLON:HSJD)</v>
    <v>31796</v>
  </rv>
  <rv s="2">
    <v>433</v>
  </rv>
  <rv s="0">
    <v>https://www.bing.com/financeapi/forcetrigger?t=bp5myc&amp;q=XMIL%3aCINA&amp;form=skydnc</v>
    <v>Learn more on Bing</v>
  </rv>
  <rv s="24">
    <v>52</v>
    <v>Amundi MSCI ChnESGSelExt UETFA (XMIL:CINA)</v>
    <v>46</v>
    <v>53</v>
    <v>Finance</v>
    <v>44</v>
    <v>en-GB</v>
    <v>bp5myc</v>
    <v>268435456</v>
    <v>1</v>
    <v>Powered by Refinitiv</v>
    <v>118.67</v>
    <v>92.39</v>
    <v>1.0451999999999999</v>
    <v>0.04</v>
    <v>4.1829999999999998E-4</v>
    <v>EUR</v>
    <v>Borsa Italiana</v>
    <v>XMIL</v>
    <v>6.5000000000000006E-3</v>
    <v>95.74</v>
    <v>ETF</v>
    <v>46318.666666666664</v>
    <v>435</v>
    <v>95.18</v>
    <v>400291766.26999998</v>
    <v>Amundi MSCI ChnESGSelExt UETFA</v>
    <v>95.66</v>
    <v>95.62</v>
    <v>95.66</v>
    <v>CINA</v>
    <v>Amundi MSCI ChnESGSelExt UETFA (XMIL:CINA)</v>
    <v>1057</v>
  </rv>
  <rv s="2">
    <v>436</v>
  </rv>
  <rv s="0">
    <v>https://www.bing.com/financeapi/forcetrigger?t=ajexgh&amp;q=XMIL%3aEMI&amp;form=skydnc</v>
    <v>Learn more on Bing</v>
  </rv>
  <rv s="24">
    <v>52</v>
    <v>AMND EUR GOV INF ETF (XMIL:EMI)</v>
    <v>46</v>
    <v>53</v>
    <v>Finance</v>
    <v>44</v>
    <v>en-GB</v>
    <v>ajexgh</v>
    <v>268435456</v>
    <v>1</v>
    <v>Powered by Refinitiv</v>
    <v>173.3</v>
    <v>164.04</v>
    <v>0.999</v>
    <v>0.49</v>
    <v>2.9649999999999998E-3</v>
    <v>EUR</v>
    <v>Borsa Italiana</v>
    <v>XMIL</v>
    <v>8.9999999999999998E-4</v>
    <v>165.91</v>
    <v>ETF</v>
    <v>46318.666666666664</v>
    <v>438</v>
    <v>165.25</v>
    <v>1321692736.0350001</v>
    <v>AMND EUR GOV INF ETF</v>
    <v>165.35</v>
    <v>165.27</v>
    <v>165.76</v>
    <v>EMI</v>
    <v>AMND EUR GOV INF ETF (XMIL:EMI)</v>
    <v>1582</v>
  </rv>
  <rv s="2">
    <v>439</v>
  </rv>
  <rv s="0">
    <v>https://www.bing.com/financeapi/forcetrigger?t=azqspr&amp;q=XMIL%3aXCS6&amp;form=skydnc</v>
    <v>Learn more on Bing</v>
  </rv>
  <rv s="21">
    <v>45</v>
    <v>X MSCI CHINA 1C (XMIL:XCS6)</v>
    <v>46</v>
    <v>47</v>
    <v>Finance</v>
    <v>44</v>
    <v>en-GB</v>
    <v>azqspr</v>
    <v>268435456</v>
    <v>1</v>
    <v>Powered by Refinitiv</v>
    <v>18.66</v>
    <v>14.4</v>
    <v>5.8000000000000003E-2</v>
    <v>3.967E-3</v>
    <v>EUR</v>
    <v>Borsa Italiana</v>
    <v>XMIL</v>
    <v>6.5000000000000006E-3</v>
    <v>14.68</v>
    <v>ETF</v>
    <v>46318.666666666664</v>
    <v>441</v>
    <v>14.587999999999999</v>
    <v>1075561400</v>
    <v>X MSCI CHINA 1C</v>
    <v>14.656000000000001</v>
    <v>14.622</v>
    <v>14.68</v>
    <v>XCS6</v>
    <v>X MSCI CHINA 1C (XMIL:XCS6)</v>
    <v>12468</v>
  </rv>
  <rv s="2">
    <v>442</v>
  </rv>
  <rv s="0">
    <v>https://www.bing.com/financeapi/forcetrigger?t=ajfkc7&amp;q=XMIL%3aINDI&amp;form=skydnc</v>
    <v>Learn more on Bing</v>
  </rv>
  <rv s="24">
    <v>52</v>
    <v>Amun MSCIIndSwp UCITS ETF EURA (XMIL:INDI)</v>
    <v>46</v>
    <v>53</v>
    <v>Finance</v>
    <v>44</v>
    <v>en-GB</v>
    <v>ajfkc7</v>
    <v>268435456</v>
    <v>1</v>
    <v>Powered by Refinitiv</v>
    <v>28.98</v>
    <v>22.99</v>
    <v>1.0306999999999999</v>
    <v>-0.39</v>
    <v>-1.585E-2</v>
    <v>EUR</v>
    <v>Borsa Italiana</v>
    <v>XMIL</v>
    <v>8.5000000000000006E-3</v>
    <v>24.315000000000001</v>
    <v>ETF</v>
    <v>46318.666666666664</v>
    <v>444</v>
    <v>24.05</v>
    <v>726841161.30299997</v>
    <v>Amun MSCIIndSwp UCITS ETF EURA</v>
    <v>24.15</v>
    <v>24.605</v>
    <v>24.215</v>
    <v>INDI</v>
    <v>Amun MSCIIndSwp UCITS ETF EURA (XMIL:INDI)</v>
    <v>38371</v>
  </rv>
  <rv s="2">
    <v>445</v>
  </rv>
  <rv s="0">
    <v>https://www.bing.com/financeapi/forcetrigger?t=ajh38m&amp;q=XMIL%3aXDWS&amp;form=skydnc</v>
    <v>Learn more on Bing</v>
  </rv>
  <rv s="21">
    <v>45</v>
    <v>X WORLD STAPLE UCITS ETF (XMIL:XDWS)</v>
    <v>46</v>
    <v>47</v>
    <v>Finance</v>
    <v>44</v>
    <v>en-GB</v>
    <v>ajh38m</v>
    <v>268435456</v>
    <v>1</v>
    <v>Powered by Refinitiv</v>
    <v>52.56</v>
    <v>43.15</v>
    <v>-0.35</v>
    <v>-6.6869999999999994E-3</v>
    <v>EUR</v>
    <v>Borsa Italiana</v>
    <v>XMIL</v>
    <v>2.5000000000000001E-3</v>
    <v>52.56</v>
    <v>ETF</v>
    <v>46318.666666666664</v>
    <v>447</v>
    <v>51.99</v>
    <v>911497300</v>
    <v>X WORLD STAPLE UCITS ETF</v>
    <v>52.46</v>
    <v>52.34</v>
    <v>51.99</v>
    <v>XDWS</v>
    <v>X WORLD STAPLE UCITS ETF (XMIL:XDWS)</v>
    <v>7638</v>
  </rv>
  <rv s="2">
    <v>448</v>
  </rv>
  <rv s="0">
    <v>https://www.bing.com/financeapi/forcetrigger?t=ae7z7w&amp;q=XPAR%3aC5E&amp;form=skydnc</v>
    <v>Learn more on Bing</v>
  </rv>
  <rv s="24">
    <v>52</v>
    <v>Amundi Stoxx Eu 50 UCITS ETF A (XPAR:C5E)</v>
    <v>46</v>
    <v>53</v>
    <v>Finance</v>
    <v>24</v>
    <v>en-GB</v>
    <v>ae7z7w</v>
    <v>268435456</v>
    <v>1</v>
    <v>Powered by Refinitiv</v>
    <v>156.32</v>
    <v>128.69999999999999</v>
    <v>1.0011000000000001</v>
    <v>-1.3</v>
    <v>-8.6239999999999997E-3</v>
    <v>EUR</v>
    <v>Euronext Paris</v>
    <v>XPAR</v>
    <v>1.5E-3</v>
    <v>150.52000000000001</v>
    <v>ETF</v>
    <v>46318.666666666664</v>
    <v>450</v>
    <v>149.22</v>
    <v>500668998</v>
    <v>Amundi Stoxx Eu 50 UCITS ETF A</v>
    <v>150.52000000000001</v>
    <v>150.74</v>
    <v>149.44</v>
    <v>C5E</v>
    <v>Amundi Stoxx Eu 50 UCITS ETF A (XPAR:C5E)</v>
    <v>2149</v>
  </rv>
  <rv s="2">
    <v>451</v>
  </rv>
  <rv s="0">
    <v>https://www.bing.com/financeapi/forcetrigger?t=bp85ec&amp;q=XETR%3aSPPW&amp;form=skydnc</v>
    <v>Learn more on Bing</v>
  </rv>
  <rv s="21">
    <v>45</v>
    <v>SPDR MSCI WORLD UCITS USD ETF (XETR:SPPW)</v>
    <v>46</v>
    <v>47</v>
    <v>Finance</v>
    <v>24</v>
    <v>en-GB</v>
    <v>bp85ec</v>
    <v>268435456</v>
    <v>1</v>
    <v>Powered by Refinitiv</v>
    <v>48.429000000000002</v>
    <v>39.094000000000001</v>
    <v>-3.5999999999999997E-2</v>
    <v>-7.5739999999999998E-4</v>
    <v>EUR</v>
    <v>Xetra</v>
    <v>XETR</v>
    <v>1.1999999999999999E-3</v>
    <v>47.603000000000002</v>
    <v>ETF</v>
    <v>46318.837326388886</v>
    <v>453</v>
    <v>47.2</v>
    <v>20709469300.900002</v>
    <v>SPDR MSCI WORLD UCITS USD ETF</v>
    <v>47.509</v>
    <v>47.527999999999999</v>
    <v>47.491999999999997</v>
    <v>SPPW</v>
    <v>SPDR MSCI WORLD UCITS USD ETF (XETR:SPPW)</v>
    <v>64657</v>
  </rv>
  <rv s="2">
    <v>454</v>
  </rv>
  <rv s="0">
    <v>https://www.bing.com/financeapi/forcetrigger?t=ajh78m&amp;q=XMIL%3aXMK9&amp;form=skydnc</v>
    <v>Learn more on Bing</v>
  </rv>
  <rv s="24">
    <v>52</v>
    <v>X-TR MSCI JAPAN UCITS (DR) ETF (XMIL:XMK9)</v>
    <v>46</v>
    <v>53</v>
    <v>Finance</v>
    <v>44</v>
    <v>en-GB</v>
    <v>ajh78m</v>
    <v>268435456</v>
    <v>1</v>
    <v>Powered by Refinitiv</v>
    <v>63.51</v>
    <v>47.46</v>
    <v>0.89600000000000002</v>
    <v>-0.18</v>
    <v>-3.0230000000000001E-3</v>
    <v>EUR</v>
    <v>Borsa Italiana</v>
    <v>XMIL</v>
    <v>4.0000000000000001E-3</v>
    <v>59.36</v>
    <v>ETF</v>
    <v>46318.666666666664</v>
    <v>456</v>
    <v>58.76</v>
    <v>951083000</v>
    <v>X-TR MSCI JAPAN UCITS (DR) ETF</v>
    <v>59.2</v>
    <v>59.54</v>
    <v>59.36</v>
    <v>XMK9</v>
    <v>X-TR MSCI JAPAN UCITS (DR) ETF (XMIL:XMK9)</v>
    <v>375</v>
  </rv>
  <rv s="2">
    <v>457</v>
  </rv>
  <rv s="0">
    <v>https://www.bing.com/financeapi/forcetrigger?t=ajfwkr&amp;q=XMIL%3aMEUD&amp;form=skydnc</v>
    <v>Learn more on Bing</v>
  </rv>
  <rv s="24">
    <v>52</v>
    <v>AmuCoStoxEu600 UCITS ETF A (XMIL:MEUD)</v>
    <v>46</v>
    <v>53</v>
    <v>Finance</v>
    <v>44</v>
    <v>en-GB</v>
    <v>ajfwkr</v>
    <v>268435456</v>
    <v>1</v>
    <v>Powered by Refinitiv</v>
    <v>326.7</v>
    <v>267.95</v>
    <v>0.95650000000000002</v>
    <v>-1.3</v>
    <v>-4.13E-3</v>
    <v>EUR</v>
    <v>Borsa Italiana</v>
    <v>XMIL</v>
    <v>7.000000000000001E-4</v>
    <v>314.64999999999998</v>
    <v>ETF</v>
    <v>46318.666666666664</v>
    <v>459</v>
    <v>311.95</v>
    <v>20860223446.18</v>
    <v>AmuCoStoxEu600 UCITS ETF A</v>
    <v>314.64999999999998</v>
    <v>314.8</v>
    <v>313.5</v>
    <v>MEUD</v>
    <v>AmuCoStoxEu600 UCITS ETF A (XMIL:MEUD)</v>
    <v>9280</v>
  </rv>
  <rv s="2">
    <v>460</v>
  </rv>
  <rv s="0">
    <v>https://www.bing.com/financeapi/forcetrigger?t=ajfz77&amp;q=XMIL%3aMVOL&amp;form=skydnc</v>
    <v>Learn more on Bing</v>
  </rv>
  <rv s="21">
    <v>45</v>
    <v>iShs Edg MSCIWldMnVlETFUSDA (XMIL:MVOL)</v>
    <v>46</v>
    <v>47</v>
    <v>Finance</v>
    <v>44</v>
    <v>en-GB</v>
    <v>ajfz77</v>
    <v>268435456</v>
    <v>1</v>
    <v>Powered by Refinitiv</v>
    <v>71.38</v>
    <v>61.52</v>
    <v>0.01</v>
    <v>1.4019999999999999E-4</v>
    <v>EUR</v>
    <v>Borsa Italiana</v>
    <v>XMIL</v>
    <v>3.0000000000000001E-3</v>
    <v>71.38</v>
    <v>ETF</v>
    <v>46318.666666666664</v>
    <v>462</v>
    <v>71.11</v>
    <v>2584984727.0100002</v>
    <v>iShs Edg MSCIWldMnVlETFUSDA</v>
    <v>71.349999999999994</v>
    <v>71.31</v>
    <v>71.319999999999993</v>
    <v>MVOL</v>
    <v>iShs Edg MSCIWldMnVlETFUSDA (XMIL:MVOL)</v>
    <v>18840</v>
  </rv>
  <rv s="2">
    <v>463</v>
  </rv>
  <rv s="0">
    <v>https://www.bing.com/financeapi/forcetrigger?t=afthu2&amp;q=XETR%3aQDVW&amp;form=skydnc</v>
    <v>Learn more on Bing</v>
  </rv>
  <rv s="21">
    <v>45</v>
    <v>ISHRS WORLD QUALITY USD ADV DIST (XETR:QDVW)</v>
    <v>46</v>
    <v>47</v>
    <v>Finance</v>
    <v>24</v>
    <v>en-GB</v>
    <v>afthu2</v>
    <v>268435456</v>
    <v>1</v>
    <v>Powered by Refinitiv</v>
    <v>8.7210000000000001</v>
    <v>6.7590000000000003</v>
    <v>-6.0000000000000001E-3</v>
    <v>-6.893E-4</v>
    <v>EUR</v>
    <v>Xetra</v>
    <v>XETR</v>
    <v>3.8E-3</v>
    <v>8.7100000000000009</v>
    <v>ETF</v>
    <v>46318.837326388886</v>
    <v>465</v>
    <v>8.64</v>
    <v>1734250298.51</v>
    <v>ISHRS WORLD QUALITY USD ADV DIST</v>
    <v>8.702</v>
    <v>8.7040000000000006</v>
    <v>8.6980000000000004</v>
    <v>QDVW</v>
    <v>ISHRS WORLD QUALITY USD ADV DIST (XETR:QDVW)</v>
    <v>159754</v>
  </rv>
  <rv s="2">
    <v>466</v>
  </rv>
  <rv s="0">
    <v>https://www.bing.com/financeapi/forcetrigger?t=ajfo6h&amp;q=XMIL%3aIWMO&amp;form=skydnc</v>
    <v>Learn more on Bing</v>
  </rv>
  <rv s="21">
    <v>45</v>
    <v>iShsEdgMSCIWdMntmFtrETFUSDA (XMIL:IWMO)</v>
    <v>46</v>
    <v>47</v>
    <v>Finance</v>
    <v>44</v>
    <v>en-GB</v>
    <v>ajfo6h</v>
    <v>268435456</v>
    <v>1</v>
    <v>Powered by Refinitiv</v>
    <v>109.51</v>
    <v>78.569999999999993</v>
    <v>0.64</v>
    <v>6.5649999999999997E-3</v>
    <v>EUR</v>
    <v>Borsa Italiana</v>
    <v>XMIL</v>
    <v>2.5000000000000001E-3</v>
    <v>98.27</v>
    <v>ETF</v>
    <v>46318.666666666664</v>
    <v>468</v>
    <v>96.97</v>
    <v>6381493358.8599997</v>
    <v>iShsEdgMSCIWdMntmFtrETFUSDA</v>
    <v>97.79</v>
    <v>97.49</v>
    <v>98.13</v>
    <v>IWMO</v>
    <v>iShsEdgMSCIWdMntmFtrETFUSDA (XMIL:IWMO)</v>
    <v>29246</v>
  </rv>
  <rv s="2">
    <v>469</v>
  </rv>
  <rv s="0">
    <v>https://www.bing.com/financeapi/forcetrigger?t=ajfo9c&amp;q=XMIL%3aIWQU&amp;form=skydnc</v>
    <v>Learn more on Bing</v>
  </rv>
  <rv s="21">
    <v>45</v>
    <v>iShsEdgMSCIWldQlFtrETFUSDA (XMIL:IWQU)</v>
    <v>46</v>
    <v>47</v>
    <v>Finance</v>
    <v>44</v>
    <v>en-GB</v>
    <v>ajfo9c</v>
    <v>268435456</v>
    <v>1</v>
    <v>Powered by Refinitiv</v>
    <v>81.63</v>
    <v>65.430000000000007</v>
    <v>-0.2</v>
    <v>-2.4870000000000001E-3</v>
    <v>EUR</v>
    <v>Borsa Italiana</v>
    <v>XMIL</v>
    <v>2.5000000000000001E-3</v>
    <v>80.459999999999994</v>
    <v>ETF</v>
    <v>46318.666666666664</v>
    <v>471</v>
    <v>79.819999999999993</v>
    <v>6354452580.1499996</v>
    <v>iShsEdgMSCIWldQlFtrETFUSDA</v>
    <v>80.319999999999993</v>
    <v>80.41</v>
    <v>80.209999999999994</v>
    <v>IWQU</v>
    <v>iShsEdgMSCIWldQlFtrETFUSDA (XMIL:IWQU)</v>
    <v>6849</v>
  </rv>
  <rv s="2">
    <v>472</v>
  </rv>
  <rv s="0">
    <v>https://www.bing.com/financeapi/forcetrigger?t=ajfohw&amp;q=XMIL%3aIWVL&amp;form=skydnc</v>
    <v>Learn more on Bing</v>
  </rv>
  <rv s="21">
    <v>45</v>
    <v>iShsEdgMSCIWldValFtrETFUSDA (XMIL:IWVL)</v>
    <v>46</v>
    <v>47</v>
    <v>Finance</v>
    <v>44</v>
    <v>en-GB</v>
    <v>ajfohw</v>
    <v>268435456</v>
    <v>1</v>
    <v>Powered by Refinitiv</v>
    <v>72.7</v>
    <v>47.35</v>
    <v>0.21</v>
    <v>3.006E-3</v>
    <v>EUR</v>
    <v>Borsa Italiana</v>
    <v>XMIL</v>
    <v>2.5000000000000001E-3</v>
    <v>70.12</v>
    <v>ETF</v>
    <v>46318.666666666664</v>
    <v>474</v>
    <v>69.5</v>
    <v>7342805253.75</v>
    <v>iShsEdgMSCIWldValFtrETFUSDA</v>
    <v>69.959999999999994</v>
    <v>69.87</v>
    <v>70.08</v>
    <v>IWVL</v>
    <v>iShsEdgMSCIWldValFtrETFUSDA (XMIL:IWVL)</v>
    <v>19104</v>
  </rv>
  <rv s="2">
    <v>475</v>
  </rv>
  <rv s="0">
    <v>https://www.bing.com/financeapi/forcetrigger?t=buefp2&amp;q=XETR%3aMVEW&amp;form=skydnc</v>
    <v>Learn more on Bing</v>
  </rv>
  <rv s="21">
    <v>45</v>
    <v>ISH MSCI WRLD MI ETF (XETR:MVEW)</v>
    <v>46</v>
    <v>47</v>
    <v>Finance</v>
    <v>24</v>
    <v>en-GB</v>
    <v>buefp2</v>
    <v>268435456</v>
    <v>1</v>
    <v>Powered by Refinitiv</v>
    <v>7.9960000000000004</v>
    <v>6.7649999999999997</v>
    <v>1.4999999999999999E-2</v>
    <v>1.8809999999999999E-3</v>
    <v>EUR</v>
    <v>Xetra</v>
    <v>XETR</v>
    <v>3.0000000000000001E-3</v>
    <v>7.9960000000000004</v>
    <v>ETF</v>
    <v>46318.837326388886</v>
    <v>477</v>
    <v>7.9569999999999999</v>
    <v>307787462.32999998</v>
    <v>ISH MSCI WRLD MI ETF</v>
    <v>7.9829999999999997</v>
    <v>7.9729999999999999</v>
    <v>7.9880000000000004</v>
    <v>MVEW</v>
    <v>ISH MSCI WRLD MI ETF (XETR:MVEW)</v>
    <v>22729</v>
  </rv>
  <rv s="2">
    <v>478</v>
  </rv>
  <rv s="0">
    <v>https://www.bing.com/financeapi/forcetrigger?t=ajfnzr&amp;q=XMIL%3aIWDE&amp;form=skydnc</v>
    <v>Learn more on Bing</v>
  </rv>
  <rv s="24">
    <v>52</v>
    <v>iShs MSCI Wld EUR H UCITS ETFA (XMIL:IWDE)</v>
    <v>46</v>
    <v>53</v>
    <v>Finance</v>
    <v>44</v>
    <v>en-GB</v>
    <v>ajfnzr</v>
    <v>268435456</v>
    <v>1</v>
    <v>Powered by Refinitiv</v>
    <v>122.1</v>
    <v>101.13</v>
    <v>0.85970000000000002</v>
    <v>-0.06</v>
    <v>-5.0599999999999994E-4</v>
    <v>EUR</v>
    <v>Borsa Italiana</v>
    <v>XMIL</v>
    <v>5.5000000000000005E-3</v>
    <v>118.68</v>
    <v>ETF</v>
    <v>46318.666666666664</v>
    <v>480</v>
    <v>117.76</v>
    <v>5355896044.4700003</v>
    <v>iShs MSCI Wld EUR H UCITS ETFA</v>
    <v>118.56</v>
    <v>118.58</v>
    <v>118.52</v>
    <v>IWDE</v>
    <v>iShs MSCI Wld EUR H UCITS ETFA (XMIL:IWDE)</v>
    <v>19078</v>
  </rv>
  <rv s="2">
    <v>481</v>
  </rv>
  <rv s="0">
    <v>https://www.bing.com/financeapi/forcetrigger?t=bri83m&amp;q=XMIL%3aEMXC&amp;form=skydnc</v>
    <v>Learn more on Bing</v>
  </rv>
  <rv s="21">
    <v>45</v>
    <v>AMUNDI MSCI EMERGING EX CHINA SWAP (XMIL:EMXC)</v>
    <v>46</v>
    <v>47</v>
    <v>Finance</v>
    <v>44</v>
    <v>en-GB</v>
    <v>bri83m</v>
    <v>268435456</v>
    <v>1</v>
    <v>Powered by Refinitiv</v>
    <v>45.13</v>
    <v>28.05</v>
    <v>0.19</v>
    <v>4.8640000000000003E-3</v>
    <v>EUR</v>
    <v>Borsa Italiana</v>
    <v>XMIL</v>
    <v>1.5E-3</v>
    <v>39.255000000000003</v>
    <v>ETF</v>
    <v>46318.666666666664</v>
    <v>483</v>
    <v>38.950000000000003</v>
    <v>5344816116.5100002</v>
    <v>AMUNDI MSCI EMERGING EX CHINA SWAP</v>
    <v>39.04</v>
    <v>39.064999999999998</v>
    <v>39.255000000000003</v>
    <v>EMXC</v>
    <v>AMUNDI MSCI EMERGING EX CHINA SWAP (XMIL:EMXC)</v>
    <v>6999</v>
  </rv>
  <rv s="2">
    <v>484</v>
  </rv>
  <rv s="0">
    <v>https://www.bing.com/financeapi/forcetrigger?t=c61xw7&amp;q=XMIL%3aGRID&amp;form=skydnc</v>
    <v>Learn more on Bing</v>
  </rv>
  <rv s="21">
    <v>45</v>
    <v>FIRST TRUST NASDAQ CLEAN EDG INF ETF (XMIL:GRID)</v>
    <v>46</v>
    <v>47</v>
    <v>Finance</v>
    <v>44</v>
    <v>en-GB</v>
    <v>c61xw7</v>
    <v>268435456</v>
    <v>1</v>
    <v>Powered by Refinitiv</v>
    <v>59.91</v>
    <v>43.5</v>
    <v>7.0000000000000007E-2</v>
    <v>1.377E-3</v>
    <v>EUR</v>
    <v>Borsa Italiana</v>
    <v>XMIL</v>
    <v>6.3E-3</v>
    <v>50.99</v>
    <v>ETF</v>
    <v>46318.666666666664</v>
    <v>486</v>
    <v>49.98</v>
    <v>2870469805.0900002</v>
    <v>FIRST TRUST NASDAQ CLEAN EDG INF ETF</v>
    <v>50.95</v>
    <v>50.82</v>
    <v>50.89</v>
    <v>GRID</v>
    <v>FIRST TRUST NASDAQ CLEAN EDG INF ETF (XMIL:GRID)</v>
    <v>64226</v>
  </rv>
  <rv s="2">
    <v>487</v>
  </rv>
  <rv s="0">
    <v>https://www.bing.com/financeapi/forcetrigger?t=ajh2tc&amp;q=XMIL%3aXDWD&amp;form=skydnc</v>
    <v>Learn more on Bing</v>
  </rv>
  <rv s="21">
    <v>45</v>
    <v>X MSCI Wld UCITS ETF 1C (XMIL:XDWD)</v>
    <v>46</v>
    <v>47</v>
    <v>Finance</v>
    <v>44</v>
    <v>en-GB</v>
    <v>ajh2tc</v>
    <v>268435456</v>
    <v>1</v>
    <v>Powered by Refinitiv</v>
    <v>144.88</v>
    <v>117</v>
    <v>-4.2000000000000003E-2</v>
    <v>-2.9540000000000002E-4</v>
    <v>EUR</v>
    <v>Borsa Italiana</v>
    <v>XMIL</v>
    <v>1.1999999999999999E-3</v>
    <v>142.36799999999999</v>
    <v>ETF</v>
    <v>46318.666666666664</v>
    <v>489</v>
    <v>141.30000000000001</v>
    <v>24295470600</v>
    <v>X MSCI Wld UCITS ETF 1C</v>
    <v>142.108</v>
    <v>142.17599999999999</v>
    <v>142.13399999999999</v>
    <v>XDWD</v>
    <v>X MSCI Wld UCITS ETF 1C (XMIL:XDWD)</v>
    <v>18015</v>
  </rv>
  <rv s="2">
    <v>490</v>
  </rv>
  <rv s="0">
    <v>https://www.bing.com/financeapi/forcetrigger?t=bnfnp2&amp;q=XMIL%3aXZW0&amp;form=skydnc</v>
    <v>Learn more on Bing</v>
  </rv>
  <rv s="21">
    <v>45</v>
    <v>XTRACKERS MSCI WORLD ESG UCITS ETF (XMIL:XZW0)</v>
    <v>46</v>
    <v>47</v>
    <v>Finance</v>
    <v>44</v>
    <v>en-GB</v>
    <v>bnfnp2</v>
    <v>268435456</v>
    <v>1</v>
    <v>Powered by Refinitiv</v>
    <v>51.61</v>
    <v>40.57</v>
    <v>-0.16</v>
    <v>-3.1530000000000004E-3</v>
    <v>EUR</v>
    <v>Borsa Italiana</v>
    <v>XMIL</v>
    <v>2E-3</v>
    <v>50.62</v>
    <v>ETF</v>
    <v>46318.666666666664</v>
    <v>492</v>
    <v>50.32</v>
    <v>5836042500</v>
    <v>XTRACKERS MSCI WORLD ESG UCITS ETF</v>
    <v>50.62</v>
    <v>50.74</v>
    <v>50.58</v>
    <v>XZW0</v>
    <v>XTRACKERS MSCI WORLD ESG UCITS ETF (XMIL:XZW0)</v>
    <v>8748</v>
  </rv>
  <rv s="2">
    <v>493</v>
  </rv>
  <rv s="22">
    <v>48</v>
    <v>Xtrackers MSCI World ex USA UCITS ETF (XMIL:EXUS)</v>
    <v>42</v>
    <v>47</v>
    <v>Finance</v>
    <v>44</v>
    <v>en-GB</v>
    <v>cd67hw</v>
    <v>268435456</v>
    <v>1</v>
    <v>Powered by Refinitiv</v>
    <v>41.11</v>
    <v>33.24</v>
    <v>-0.09</v>
    <v>-2.2420000000000001E-3</v>
    <v>EUR</v>
    <v>Borsa Italiana</v>
    <v>XMIL</v>
    <v>1.5E-3</v>
    <v>40.125</v>
    <v>ETF</v>
    <v>46318.666666666664</v>
    <v>39.835000000000001</v>
    <v>7888803185.4300003</v>
    <v>Xtrackers MSCI World ex USA UCITS ETF</v>
    <v>40.11</v>
    <v>40.15</v>
    <v>40.06</v>
    <v>EXUS</v>
    <v>Xtrackers MSCI World ex USA UCITS ETF (XMIL:EXUS)</v>
    <v>22823</v>
  </rv>
  <rv s="2">
    <v>495</v>
  </rv>
  <rv s="0">
    <v>https://www.bing.com/financeapi/forcetrigger?t=ajh3bh&amp;q=XMIL%3aXDWT&amp;form=skydnc</v>
    <v>Learn more on Bing</v>
  </rv>
  <rv s="21">
    <v>45</v>
    <v>X WLD TECHNO UCITS ETF (XMIL:XDWT)</v>
    <v>46</v>
    <v>47</v>
    <v>Finance</v>
    <v>44</v>
    <v>en-GB</v>
    <v>ajh3bh</v>
    <v>268435456</v>
    <v>1</v>
    <v>Powered by Refinitiv</v>
    <v>139.85</v>
    <v>89.81</v>
    <v>0.85</v>
    <v>6.6639999999999998E-3</v>
    <v>EUR</v>
    <v>Borsa Italiana</v>
    <v>XMIL</v>
    <v>2.5000000000000001E-3</v>
    <v>128.41</v>
    <v>ETF</v>
    <v>46318.666666666664</v>
    <v>497</v>
    <v>126.9</v>
    <v>6780795500</v>
    <v>X WLD TECHNO UCITS ETF</v>
    <v>127.45</v>
    <v>127.56</v>
    <v>128.41</v>
    <v>XDWT</v>
    <v>X WLD TECHNO UCITS ETF (XMIL:XDWT)</v>
    <v>13345</v>
  </rv>
  <rv s="2">
    <v>498</v>
  </rv>
  <rv s="0">
    <v>https://www.bing.com/financeapi/forcetrigger?t=ajh1lh&amp;q=XMIL%3aXDEB&amp;form=skydnc</v>
    <v>Learn more on Bing</v>
  </rv>
  <rv s="21">
    <v>45</v>
    <v>X MSCI WLD MIN 1C ETF (XMIL:XDEB)</v>
    <v>46</v>
    <v>47</v>
    <v>Finance</v>
    <v>44</v>
    <v>en-GB</v>
    <v>ajh1lh</v>
    <v>268435456</v>
    <v>1</v>
    <v>Powered by Refinitiv</v>
    <v>47.86</v>
    <v>41.22</v>
    <v>0.02</v>
    <v>4.1849999999999998E-4</v>
    <v>EUR</v>
    <v>Borsa Italiana</v>
    <v>XMIL</v>
    <v>2.5000000000000001E-3</v>
    <v>47.86</v>
    <v>ETF</v>
    <v>46318.666666666664</v>
    <v>500</v>
    <v>47.67</v>
    <v>1349055800</v>
    <v>X MSCI WLD MIN 1C ETF</v>
    <v>47.81</v>
    <v>47.784999999999997</v>
    <v>47.805</v>
    <v>XDEB</v>
    <v>X MSCI WLD MIN 1C ETF (XMIL:XDEB)</v>
    <v>1991</v>
  </rv>
  <rv s="2">
    <v>501</v>
  </rv>
  <rv s="0">
    <v>https://www.bing.com/financeapi/forcetrigger?t=ajh9lh&amp;q=XMIL%3aXSGI&amp;form=skydnc</v>
    <v>Learn more on Bing</v>
  </rv>
  <rv s="21">
    <v>45</v>
    <v>X S&amp;P GLOBAL INFRA SWAP (XMIL:XSGI)</v>
    <v>46</v>
    <v>47</v>
    <v>Finance</v>
    <v>44</v>
    <v>en-GB</v>
    <v>ajh9lh</v>
    <v>268435456</v>
    <v>1</v>
    <v>Powered by Refinitiv</v>
    <v>72.66</v>
    <v>62.39</v>
    <v>0.64</v>
    <v>9.1779999999999987E-3</v>
    <v>EUR</v>
    <v>Borsa Italiana</v>
    <v>XMIL</v>
    <v>6.0000000000000001E-3</v>
    <v>70.37</v>
    <v>ETF</v>
    <v>46318.666666666664</v>
    <v>503</v>
    <v>69.97</v>
    <v>657535900</v>
    <v>X S&amp;P GLOBAL INFRA SWAP</v>
    <v>70.19</v>
    <v>69.73</v>
    <v>70.37</v>
    <v>XSGI</v>
    <v>X S&amp;P GLOBAL INFRA SWAP (XMIL:XSGI)</v>
    <v>672</v>
  </rv>
  <rv s="2">
    <v>504</v>
  </rv>
  <rv s="0">
    <v>https://www.bing.com/financeapi/forcetrigger?t=ajexdm&amp;q=XMIL%3aEMHD&amp;form=skydnc</v>
    <v>Learn more on Bing</v>
  </rv>
  <rv s="21">
    <v>45</v>
    <v>INVESCO FTSE EM HDLV UCITS ETF (XMIL:EMHD)</v>
    <v>46</v>
    <v>47</v>
    <v>Finance</v>
    <v>44</v>
    <v>en-GB</v>
    <v>ajexdm</v>
    <v>268435456</v>
    <v>1</v>
    <v>Powered by Refinitiv</v>
    <v>27.3</v>
    <v>22.45</v>
    <v>-5.0000000000000001E-3</v>
    <v>-1.8809999999999999E-4</v>
    <v>EUR</v>
    <v>Borsa Italiana</v>
    <v>XMIL</v>
    <v>4.8999999999999998E-3</v>
    <v>26.69</v>
    <v>ETF</v>
    <v>46318.666666666664</v>
    <v>506</v>
    <v>26.52</v>
    <v>291784380.25999999</v>
    <v>INVESCO FTSE EM HDLV UCITS ETF</v>
    <v>26.69</v>
    <v>26.574999999999999</v>
    <v>26.57</v>
    <v>EMHD</v>
    <v>INVESCO FTSE EM HDLV UCITS ETF (XMIL:EMHD)</v>
    <v>10795</v>
  </rv>
  <rv s="2">
    <v>507</v>
  </rv>
  <rv s="0">
    <v>https://www.bing.com/financeapi/forcetrigger?t=ajfbfr&amp;q=XMIL%3aGLDV&amp;form=skydnc</v>
    <v>Learn more on Bing</v>
  </rv>
  <rv s="21">
    <v>45</v>
    <v>STATE S&amp;P GBL DV (XMIL:GLDV)</v>
    <v>46</v>
    <v>47</v>
    <v>Finance</v>
    <v>44</v>
    <v>en-GB</v>
    <v>ajfbfr</v>
    <v>268435456</v>
    <v>1</v>
    <v>Powered by Refinitiv</v>
    <v>36.28</v>
    <v>30.38</v>
    <v>0.14499999999999999</v>
    <v>4.1380000000000002E-3</v>
    <v>EUR</v>
    <v>Borsa Italiana</v>
    <v>XMIL</v>
    <v>4.5000000000000005E-3</v>
    <v>35.19</v>
    <v>ETF</v>
    <v>46318.666666666664</v>
    <v>509</v>
    <v>35.01</v>
    <v>1688831323.46</v>
    <v>STATE S&amp;P GBL DV</v>
    <v>35.14</v>
    <v>35.04</v>
    <v>35.185000000000002</v>
    <v>GLDV</v>
    <v>STATE S&amp;P GBL DV (XMIL:GLDV)</v>
    <v>10077</v>
  </rv>
  <rv s="2">
    <v>510</v>
  </rv>
  <rv s="0">
    <v>https://www.bing.com/financeapi/forcetrigger?t=brge9c&amp;q=XMIL%3aESPO&amp;form=skydnc</v>
    <v>Learn more on Bing</v>
  </rv>
  <rv s="21">
    <v>45</v>
    <v>VANECK VDEO GMING AND ESPRT UCTS ETF (XMIL:ESPO)</v>
    <v>46</v>
    <v>47</v>
    <v>Finance</v>
    <v>44</v>
    <v>en-GB</v>
    <v>brge9c</v>
    <v>268435456</v>
    <v>1</v>
    <v>Powered by Refinitiv</v>
    <v>65.77</v>
    <v>49.26</v>
    <v>-0.3</v>
    <v>-5.0990000000000002E-3</v>
    <v>EUR</v>
    <v>Borsa Italiana</v>
    <v>XMIL</v>
    <v>5.5000000000000005E-3</v>
    <v>58.53</v>
    <v>ETF</v>
    <v>46318.666666666664</v>
    <v>512</v>
    <v>58.06</v>
    <v>612445226.14999998</v>
    <v>VANECK VDEO GMING AND ESPRT UCTS ETF</v>
    <v>58.2</v>
    <v>58.83</v>
    <v>58.53</v>
    <v>ESPO</v>
    <v>VANECK VDEO GMING AND ESPRT UCTS ETF (XMIL:ESPO)</v>
    <v>5268</v>
  </rv>
  <rv s="2">
    <v>513</v>
  </rv>
  <rv s="20">
    <v>41</v>
    <v>VEOilServicesUCITSETFUSDA (XMIL:OIH)</v>
    <v>42</v>
    <v>43</v>
    <v>Finance</v>
    <v>44</v>
    <v>en-GB</v>
    <v>c9sxf2</v>
    <v>268435456</v>
    <v>1</v>
    <v>Powered by Refinitiv</v>
    <v>2.0550000000000002</v>
    <v>7.6565000000000008E-2</v>
    <v>EUR</v>
    <v>Borsa Italiana</v>
    <v>XMIL</v>
    <v>3.4999999999999996E-3</v>
    <v>28.895</v>
    <v>ETF</v>
    <v>46318.666666666664</v>
    <v>27.475000000000001</v>
    <v>286903618.64999998</v>
    <v>VEOilServicesUCITSETFUSDA</v>
    <v>27.504999999999999</v>
    <v>26.84</v>
    <v>28.895</v>
    <v>OIH</v>
    <v>VEOilServicesUCITSETFUSDA (XMIL:OIH)</v>
    <v>4017</v>
  </rv>
  <rv s="2">
    <v>515</v>
  </rv>
  <rv s="0">
    <v>https://www.bing.com/financeapi/forcetrigger?t=buqwim&amp;q=XETR%3aVGWE&amp;form=skydnc</v>
    <v>Learn more on Bing</v>
  </rv>
  <rv s="21">
    <v>45</v>
    <v>VANGUARD FTSE ALLWRLD HIDIVYLD ETF (XETR:VGWE)</v>
    <v>46</v>
    <v>47</v>
    <v>Finance</v>
    <v>24</v>
    <v>en-GB</v>
    <v>buqwim</v>
    <v>268435456</v>
    <v>1</v>
    <v>Powered by Refinitiv</v>
    <v>95.34</v>
    <v>75.5</v>
    <v>0.18</v>
    <v>1.895E-3</v>
    <v>EUR</v>
    <v>Xetra</v>
    <v>XETR</v>
    <v>2.8999999999999998E-3</v>
    <v>95.22</v>
    <v>ETF</v>
    <v>46318.837326388886</v>
    <v>517</v>
    <v>94.61</v>
    <v>3429208263.2199998</v>
    <v>VANGUARD FTSE ALLWRLD HIDIVYLD ETF</v>
    <v>95.18</v>
    <v>94.97</v>
    <v>95.15</v>
    <v>VGWE</v>
    <v>VANGUARD FTSE ALLWRLD HIDIVYLD ETF (XETR:VGWE)</v>
    <v>39557</v>
  </rv>
  <rv s="2">
    <v>518</v>
  </rv>
  <rv s="22">
    <v>48</v>
    <v>BNPP EASY II NASDAQ 100 USD ETF (XMIL:ANAU)</v>
    <v>42</v>
    <v>47</v>
    <v>Finance</v>
    <v>44</v>
    <v>en-GB</v>
    <v>c8srvh</v>
    <v>268435456</v>
    <v>1</v>
    <v>Powered by Refinitiv</v>
    <v>24.29</v>
    <v>17.510000000000002</v>
    <v>0</v>
    <v>0</v>
    <v>EUR</v>
    <v>Borsa Italiana</v>
    <v>XMIL</v>
    <v>1.4000000000000002E-3</v>
    <v>22.68</v>
    <v>ETF</v>
    <v>46318.666666666664</v>
    <v>22.465</v>
    <v>2912378465</v>
    <v>BNPP EASY II NASDAQ 100 USD ETF</v>
    <v>22.55</v>
    <v>22.66</v>
    <v>22.66</v>
    <v>ANAU</v>
    <v>BNPP EASY II NASDAQ 100 USD ETF (XMIL:ANAU)</v>
    <v>42824</v>
  </rv>
  <rv s="2">
    <v>520</v>
  </rv>
  <rv s="0">
    <v>https://www.bing.com/financeapi/forcetrigger?t=ajfnoc&amp;q=XMIL%3aIUSE&amp;form=skydnc</v>
    <v>Learn more on Bing</v>
  </rv>
  <rv s="24">
    <v>52</v>
    <v>iShs S&amp;P 500 EUR H UCITS ETF A (XMIL:IUSE)</v>
    <v>46</v>
    <v>53</v>
    <v>Finance</v>
    <v>44</v>
    <v>en-GB</v>
    <v>ajfnoc</v>
    <v>268435456</v>
    <v>1</v>
    <v>Powered by Refinitiv</v>
    <v>160.87</v>
    <v>131.5</v>
    <v>0.81030000000000002</v>
    <v>-0.12</v>
    <v>-7.6389999999999997E-4</v>
    <v>EUR</v>
    <v>Borsa Italiana</v>
    <v>XMIL</v>
    <v>2E-3</v>
    <v>157.31</v>
    <v>ETF</v>
    <v>46318.666666666664</v>
    <v>522</v>
    <v>156.06</v>
    <v>8937029629.5599995</v>
    <v>iShs S&amp;P 500 EUR H UCITS ETF A</v>
    <v>157.08000000000001</v>
    <v>157.08000000000001</v>
    <v>156.96</v>
    <v>IUSE</v>
    <v>iShs S&amp;P 500 EUR H UCITS ETF A (XMIL:IUSE)</v>
    <v>9014</v>
  </rv>
  <rv s="2">
    <v>523</v>
  </rv>
  <rv s="0">
    <v>https://www.bing.com/financeapi/forcetrigger?t=aoala2&amp;q=XLON%3aIUIT&amp;form=skydnc</v>
    <v>Learn more on Bing</v>
  </rv>
  <rv s="24">
    <v>52</v>
    <v>iShsS&amp;P500InfTchnlgSctrETFUSDA (XLON:IUIT)</v>
    <v>46</v>
    <v>54</v>
    <v>Finance</v>
    <v>55</v>
    <v>en-GB</v>
    <v>aoala2</v>
    <v>268435456</v>
    <v>1</v>
    <v>Powered by Refinitiv</v>
    <v>55.783999999999999</v>
    <v>36.57</v>
    <v>1.0032000000000001</v>
    <v>0.37</v>
    <v>7.2859999999999999E-3</v>
    <v>USD</v>
    <v>London Stock Exchange</v>
    <v>XLON</v>
    <v>1.5E-3</v>
    <v>51.15</v>
    <v>ETF</v>
    <v>46318.572418981479</v>
    <v>525</v>
    <v>50.49</v>
    <v>20611657580.580002</v>
    <v>iShsS&amp;P500InfTchnlgSctrETFUSDA</v>
    <v>50.82</v>
    <v>50.78</v>
    <v>51.15</v>
    <v>IUIT</v>
    <v>iShsS&amp;P500InfTchnlgSctrETFUSDA (XLON:IUIT)</v>
    <v>216373</v>
  </rv>
  <rv s="2">
    <v>526</v>
  </rv>
  <rv s="0">
    <v>https://www.bing.com/financeapi/forcetrigger?t=ajgjdm&amp;q=XMIL%3aSR2000&amp;form=skydnc</v>
    <v>Learn more on Bing</v>
  </rv>
  <rv s="21">
    <v>45</v>
    <v>SRC RUS 2000 ETF (XMIL:SR2000)</v>
    <v>46</v>
    <v>47</v>
    <v>Finance</v>
    <v>44</v>
    <v>en-GB</v>
    <v>ajgjdm</v>
    <v>268435456</v>
    <v>1</v>
    <v>Powered by Refinitiv</v>
    <v>136.75</v>
    <v>101.5</v>
    <v>-0.76</v>
    <v>-5.9800000000000001E-3</v>
    <v>EUR</v>
    <v>Borsa Italiana</v>
    <v>XMIL</v>
    <v>2.5000000000000001E-3</v>
    <v>127.44</v>
    <v>ETF</v>
    <v>46318.666666666664</v>
    <v>528</v>
    <v>126.34</v>
    <v>336218095</v>
    <v>SRC RUS 2000 ETF</v>
    <v>127.44</v>
    <v>127.1</v>
    <v>126.34</v>
    <v>SR2000</v>
    <v>SRC RUS 2000 ETF (XMIL:SR2000)</v>
    <v>51</v>
  </rv>
  <rv s="2">
    <v>529</v>
  </rv>
  <rv s="0">
    <v>https://www.bing.com/financeapi/forcetrigger?t=bqaxnm&amp;q=XETR%3aP500&amp;form=skydnc</v>
    <v>Learn more on Bing</v>
  </rv>
  <rv s="21">
    <v>45</v>
    <v>INVS&amp;P500UCITSETFAcc (XETR:P500)</v>
    <v>46</v>
    <v>47</v>
    <v>Finance</v>
    <v>24</v>
    <v>en-GB</v>
    <v>bqaxnm</v>
    <v>268435456</v>
    <v>1</v>
    <v>Powered by Refinitiv</v>
    <v>14.07</v>
    <v>11.089</v>
    <v>-0.01</v>
    <v>-7.2720000000000011E-4</v>
    <v>EUR</v>
    <v>Xetra</v>
    <v>XETR</v>
    <v>5.0000000000000001E-4</v>
    <v>13.788</v>
    <v>ETF</v>
    <v>46318.837326388886</v>
    <v>531</v>
    <v>13.66</v>
    <v>58957643529</v>
    <v>INVS&amp;P500UCITSETFAcc</v>
    <v>13.7475</v>
    <v>13.750999999999999</v>
    <v>13.741</v>
    <v>P500</v>
    <v>INVS&amp;P500UCITSETFAcc (XETR:P500)</v>
    <v>203919</v>
  </rv>
  <rv s="2">
    <v>532</v>
  </rv>
  <rv s="0">
    <v>https://www.bing.com/financeapi/forcetrigger?t=bsxrh7&amp;q=XMIL%3a500X&amp;form=skydnc</v>
    <v>Learn more on Bing</v>
  </rv>
  <rv s="21">
    <v>45</v>
    <v>STATE 500 LEADER (XMIL:500X)</v>
    <v>46</v>
    <v>47</v>
    <v>Finance</v>
    <v>44</v>
    <v>en-GB</v>
    <v>bsxrh7</v>
    <v>268435456</v>
    <v>1</v>
    <v>Powered by Refinitiv</v>
    <v>51.31</v>
    <v>40.31</v>
    <v>-0.26</v>
    <v>-5.1719999999999995E-3</v>
    <v>EUR</v>
    <v>Borsa Italiana</v>
    <v>XMIL</v>
    <v>2.9999999999999997E-4</v>
    <v>50.38</v>
    <v>ETF</v>
    <v>46318.666666666664</v>
    <v>534</v>
    <v>50.01</v>
    <v>4879622228.4700003</v>
    <v>STATE 500 LEADER</v>
    <v>50.31</v>
    <v>50.27</v>
    <v>50.01</v>
    <v>500X</v>
    <v>STATE 500 LEADER (XMIL:500X)</v>
    <v>11733</v>
  </rv>
  <rv s="2">
    <v>535</v>
  </rv>
  <rv s="0">
    <v>https://www.bing.com/financeapi/forcetrigger?t=boml52&amp;q=XMIL%3aVUSA&amp;form=skydnc</v>
    <v>Learn more on Bing</v>
  </rv>
  <rv s="21">
    <v>45</v>
    <v>S&amp;P 500 UCITS ETF USD D (XMIL:VUSA)</v>
    <v>46</v>
    <v>47</v>
    <v>Finance</v>
    <v>44</v>
    <v>en-GB</v>
    <v>boml52</v>
    <v>268435456</v>
    <v>1</v>
    <v>Powered by Refinitiv</v>
    <v>132.6</v>
    <v>105.03</v>
    <v>0.01</v>
    <v>7.7149999999999991E-5</v>
    <v>EUR</v>
    <v>Borsa Italiana</v>
    <v>XMIL</v>
    <v>7.002E-4</v>
    <v>129.84</v>
    <v>ETF</v>
    <v>46318.666666666664</v>
    <v>537</v>
    <v>128.80000000000001</v>
    <v>52635653459.75</v>
    <v>S&amp;P 500 UCITS ETF USD D</v>
    <v>129.52000000000001</v>
    <v>129.61000000000001</v>
    <v>129.62</v>
    <v>VUSA</v>
    <v>S&amp;P 500 UCITS ETF USD D (XMIL:VUSA)</v>
    <v>3156</v>
  </rv>
  <rv s="2">
    <v>538</v>
  </rv>
  <rv s="20">
    <v>41</v>
    <v>Invesco FTSE-All World UCITS ETF (XMIL:FWRA)</v>
    <v>42</v>
    <v>43</v>
    <v>Finance</v>
    <v>44</v>
    <v>en-GB</v>
    <v>ca78h7</v>
    <v>268435456</v>
    <v>1</v>
    <v>Powered by Refinitiv</v>
    <v>1E-3</v>
    <v>1.198E-4</v>
    <v>EUR</v>
    <v>Borsa Italiana</v>
    <v>XMIL</v>
    <v>1.5E-3</v>
    <v>8.3629999999999995</v>
    <v>ETF</v>
    <v>46318.666666666664</v>
    <v>8.2959999999999994</v>
    <v>4668146299.8900003</v>
    <v>Invesco FTSE-All World UCITS ETF</v>
    <v>8.3450000000000006</v>
    <v>8.3460000000000001</v>
    <v>8.3469999999999995</v>
    <v>FWRA</v>
    <v>Invesco FTSE-All World UCITS ETF (XMIL:FWRA)</v>
    <v>68236</v>
  </rv>
  <rv s="2">
    <v>540</v>
  </rv>
  <rv s="0">
    <v>https://www.bing.com/financeapi/forcetrigger?t=ajh9cw&amp;q=XMIL%3aXSDX&amp;form=skydnc</v>
    <v>Learn more on Bing</v>
  </rv>
  <rv s="24">
    <v>52</v>
    <v>X SHORTDAX ETF (XMIL:XSDX)</v>
    <v>46</v>
    <v>53</v>
    <v>Finance</v>
    <v>44</v>
    <v>en-GB</v>
    <v>ajh9cw</v>
    <v>268435456</v>
    <v>1</v>
    <v>Powered by Refinitiv</v>
    <v>10.56</v>
    <v>8.76</v>
    <v>0.65690000000000004</v>
    <v>9.4E-2</v>
    <v>1.0179000000000001E-2</v>
    <v>EUR</v>
    <v>Borsa Italiana</v>
    <v>XMIL</v>
    <v>4.0000000000000001E-3</v>
    <v>9.3290000000000006</v>
    <v>ETF</v>
    <v>46318.666666666664</v>
    <v>542</v>
    <v>9.2710000000000008</v>
    <v>162904100</v>
    <v>X SHORTDAX ETF</v>
    <v>9.2959999999999994</v>
    <v>9.2349999999999994</v>
    <v>9.3290000000000006</v>
    <v>XSDX</v>
    <v>X SHORTDAX ETF (XMIL:XSDX)</v>
    <v>40762</v>
  </rv>
  <rv s="2">
    <v>543</v>
  </rv>
  <rv s="0">
    <v>https://www.bing.com/financeapi/forcetrigger?t=ajha3m&amp;q=XMIL%3aXSPS&amp;form=skydnc</v>
    <v>Learn more on Bing</v>
  </rv>
  <rv s="21">
    <v>45</v>
    <v>X S&amp;P500 SH ETF (XMIL:XSPS)</v>
    <v>46</v>
    <v>47</v>
    <v>Finance</v>
    <v>44</v>
    <v>en-GB</v>
    <v>ajha3m</v>
    <v>268435456</v>
    <v>1</v>
    <v>Powered by Refinitiv</v>
    <v>5.72</v>
    <v>4.7</v>
    <v>8.9999999999999993E-3</v>
    <v>1.794E-3</v>
    <v>EUR</v>
    <v>Borsa Italiana</v>
    <v>XMIL</v>
    <v>5.0000000000000001E-3</v>
    <v>5.0419999999999998</v>
    <v>ETF</v>
    <v>46318.666666666664</v>
    <v>545</v>
    <v>5.0119999999999996</v>
    <v>180892800</v>
    <v>X S&amp;P500 SH ETF</v>
    <v>5.0140000000000002</v>
    <v>5.0170000000000003</v>
    <v>5.0259999999999998</v>
    <v>XSPS</v>
    <v>X S&amp;P500 SH ETF (XMIL:XSPS)</v>
    <v>170497</v>
  </rv>
  <rv s="2">
    <v>546</v>
  </rv>
  <rv s="0">
    <v>https://www.bing.com/financeapi/forcetrigger?t=ajffoc&amp;q=XMIL%3aIBCX&amp;form=skydnc</v>
    <v>Learn more on Bing</v>
  </rv>
  <rv s="24">
    <v>52</v>
    <v>iShs € Crp Bd Lg Cap ETF EUR D (XMIL:IBCX)</v>
    <v>46</v>
    <v>53</v>
    <v>Finance</v>
    <v>44</v>
    <v>en-GB</v>
    <v>ajffoc</v>
    <v>268435456</v>
    <v>1</v>
    <v>Powered by Refinitiv</v>
    <v>126.92</v>
    <v>119.8</v>
    <v>1.0384</v>
    <v>-0.28000000000000003</v>
    <v>-2.3150000000000002E-3</v>
    <v>EUR</v>
    <v>Borsa Italiana</v>
    <v>XMIL</v>
    <v>8.9999999999999998E-4</v>
    <v>120.91</v>
    <v>ETF</v>
    <v>46318.666666666664</v>
    <v>548</v>
    <v>120.65</v>
    <v>1687810274.74</v>
    <v>iShs € Crp Bd Lg Cap ETF EUR D</v>
    <v>120.76</v>
    <v>120.94</v>
    <v>120.66</v>
    <v>IBCX</v>
    <v>iShs € Crp Bd Lg Cap ETF EUR D (XMIL:IBCX)</v>
    <v>461</v>
  </rv>
  <rv s="2">
    <v>549</v>
  </rv>
  <rv s="0">
    <v>https://www.bing.com/financeapi/forcetrigger?t=ajgd3m&amp;q=XMIL%3aSE15&amp;form=skydnc</v>
    <v>Learn more on Bing</v>
  </rv>
  <rv s="24">
    <v>52</v>
    <v>iShs € Crp Bd 1-5yr ETF EUR D (XMIL:SE15)</v>
    <v>46</v>
    <v>53</v>
    <v>Finance</v>
    <v>44</v>
    <v>en-GB</v>
    <v>ajgd3m</v>
    <v>268435456</v>
    <v>1</v>
    <v>Powered by Refinitiv</v>
    <v>108.98</v>
    <v>104.34</v>
    <v>0.62319999999999998</v>
    <v>-0.08</v>
    <v>-7.6130000000000002E-4</v>
    <v>EUR</v>
    <v>Borsa Italiana</v>
    <v>XMIL</v>
    <v>2E-3</v>
    <v>105.17</v>
    <v>ETF</v>
    <v>46318.666666666664</v>
    <v>551</v>
    <v>104.85</v>
    <v>2987233339.1999998</v>
    <v>iShs € Crp Bd 1-5yr ETF EUR D</v>
    <v>105.07</v>
    <v>105.08</v>
    <v>105</v>
    <v>SE15</v>
    <v>iShs € Crp Bd 1-5yr ETF EUR D (XMIL:SE15)</v>
    <v>1634</v>
  </rv>
  <rv s="2">
    <v>552</v>
  </rv>
  <rv s="0">
    <v>https://www.bing.com/financeapi/forcetrigger?t=ajffu2&amp;q=XMIL%3aIBGM&amp;form=skydnc</v>
    <v>Learn more on Bing</v>
  </rv>
  <rv s="24">
    <v>52</v>
    <v>iShs € Gvt Bd 7-10yr ETF EUR D (XMIL:IBGM)</v>
    <v>46</v>
    <v>53</v>
    <v>Finance</v>
    <v>44</v>
    <v>en-GB</v>
    <v>ajffu2</v>
    <v>268435456</v>
    <v>1</v>
    <v>Powered by Refinitiv</v>
    <v>191.22</v>
    <v>175.25</v>
    <v>1.0188999999999999</v>
    <v>0.16</v>
    <v>9.0450000000000003E-4</v>
    <v>EUR</v>
    <v>Borsa Italiana</v>
    <v>XMIL</v>
    <v>1.5E-3</v>
    <v>177.13</v>
    <v>ETF</v>
    <v>46318.666666666664</v>
    <v>554</v>
    <v>176.82</v>
    <v>901013830.16999996</v>
    <v>iShs € Gvt Bd 7-10yr ETF EUR D</v>
    <v>177.13</v>
    <v>176.89</v>
    <v>177.05</v>
    <v>IBGM</v>
    <v>iShs € Gvt Bd 7-10yr ETF EUR D (XMIL:IBGM)</v>
    <v>3341</v>
  </rv>
  <rv s="2">
    <v>555</v>
  </rv>
  <rv s="0">
    <v>https://www.bing.com/financeapi/forcetrigger?t=ajf1pr&amp;q=XMIL%3aERNE&amp;form=skydnc</v>
    <v>Learn more on Bing</v>
  </rv>
  <rv s="26">
    <v>59</v>
    <v>iShs € Ultrashort Bd ETF EUR D (XMIL:ERNE)</v>
    <v>46</v>
    <v>60</v>
    <v>Finance</v>
    <v>51</v>
    <v>en-GB</v>
    <v>ajf1pr</v>
    <v>268435456</v>
    <v>1</v>
    <v>Powered by Refinitiv</v>
    <v>102.11</v>
    <v>99.91</v>
    <v>8.2600000000000007E-2</v>
    <v>0.09</v>
    <v>8.9170000000000004E-4</v>
    <v>EUR</v>
    <v>Borsa Italiana</v>
    <v>XMIL</v>
    <v>8.9999999999999998E-4</v>
    <v>101.05</v>
    <v>ETF</v>
    <v>46318.666666666664</v>
    <v>557</v>
    <v>100.95</v>
    <v>3431634043.0599999</v>
    <v>iShs € Ultrashort Bd ETF EUR D</v>
    <v>100.95</v>
    <v>100.93</v>
    <v>101.02</v>
    <v>101.02</v>
    <v>ERNE</v>
    <v>iShs € Ultrashort Bd ETF EUR D (XMIL:ERNE)</v>
    <v>5679</v>
  </rv>
  <rv s="2">
    <v>558</v>
  </rv>
  <rv s="0">
    <v>https://www.bing.com/financeapi/forcetrigger?t=ajevtc&amp;q=XMIL%3aEM1015&amp;form=skydnc</v>
    <v>Learn more on Bing</v>
  </rv>
  <rv s="24">
    <v>52</v>
    <v>AMND E GBO 10-15 ETF (XMIL:EM1015)</v>
    <v>46</v>
    <v>53</v>
    <v>Finance</v>
    <v>44</v>
    <v>en-GB</v>
    <v>ajevtc</v>
    <v>268435456</v>
    <v>1</v>
    <v>Powered by Refinitiv</v>
    <v>206.86</v>
    <v>187.73</v>
    <v>1.3129999999999999</v>
    <v>0.27</v>
    <v>1.4189999999999999E-3</v>
    <v>EUR</v>
    <v>Borsa Italiana</v>
    <v>XMIL</v>
    <v>1.5E-3</v>
    <v>190.82</v>
    <v>ETF</v>
    <v>46318.666666666664</v>
    <v>560</v>
    <v>190.23</v>
    <v>1013472958.228</v>
    <v>AMND E GBO 10-15 ETF</v>
    <v>190.48</v>
    <v>190.31</v>
    <v>190.58</v>
    <v>EM1015</v>
    <v>AMND E GBO 10-15 ETF (XMIL:EM1015)</v>
    <v>3470</v>
  </rv>
  <rv s="2">
    <v>561</v>
  </rv>
  <rv s="0">
    <v>https://www.bing.com/financeapi/forcetrigger?t=ajevw7&amp;q=XMIL%3aEM13&amp;form=skydnc</v>
    <v>Learn more on Bing</v>
  </rv>
  <rv s="24">
    <v>52</v>
    <v>Amundi Eur Gv Bd 1-3YUCITSETFA (XMIL:EM13)</v>
    <v>46</v>
    <v>53</v>
    <v>Finance</v>
    <v>44</v>
    <v>en-GB</v>
    <v>ajevw7</v>
    <v>268435456</v>
    <v>1</v>
    <v>Powered by Refinitiv</v>
    <v>128.49</v>
    <v>125.45</v>
    <v>1.0028999999999999</v>
    <v>0.08</v>
    <v>6.2729999999999991E-4</v>
    <v>EUR</v>
    <v>Borsa Italiana</v>
    <v>XMIL</v>
    <v>1.5E-3</v>
    <v>127.65</v>
    <v>ETF</v>
    <v>46318.666666666664</v>
    <v>563</v>
    <v>127.52</v>
    <v>2235961581.6539998</v>
    <v>Amundi Eur Gv Bd 1-3YUCITSETFA</v>
    <v>127.55</v>
    <v>127.53</v>
    <v>127.61</v>
    <v>EM13</v>
    <v>Amundi Eur Gv Bd 1-3YUCITSETFA (XMIL:EM13)</v>
    <v>19604</v>
  </rv>
  <rv s="2">
    <v>564</v>
  </rv>
  <rv s="0">
    <v>https://www.bing.com/financeapi/forcetrigger?t=ajfkhw&amp;q=XMIL%3aINFL&amp;form=skydnc</v>
    <v>Learn more on Bing</v>
  </rv>
  <rv s="24">
    <v>52</v>
    <v>AmdiEurInflExpec2-10YUCITSETFA (XMIL:INFL)</v>
    <v>46</v>
    <v>53</v>
    <v>Finance</v>
    <v>44</v>
    <v>en-GB</v>
    <v>ajfkhw</v>
    <v>268435456</v>
    <v>1</v>
    <v>Powered by Refinitiv</v>
    <v>122.99</v>
    <v>116.15</v>
    <v>-0.25219999999999998</v>
    <v>0.24</v>
    <v>1.9629999999999999E-3</v>
    <v>EUR</v>
    <v>Borsa Italiana</v>
    <v>XMIL</v>
    <v>2.5000000000000001E-3</v>
    <v>122.63</v>
    <v>ETF</v>
    <v>46318.666666666664</v>
    <v>566</v>
    <v>122.13</v>
    <v>256062023.13999999</v>
    <v>AmdiEurInflExpec2-10YUCITSETFA</v>
    <v>122.42</v>
    <v>122.28</v>
    <v>122.52</v>
    <v>INFL</v>
    <v>AmdiEurInflExpec2-10YUCITSETFA (XMIL:INFL)</v>
    <v>2830</v>
  </rv>
  <rv s="2">
    <v>567</v>
  </rv>
  <rv s="0">
    <v>https://www.bing.com/financeapi/forcetrigger?t=ajh3mw&amp;q=XMIL%3aXEON&amp;form=skydnc</v>
    <v>Learn more on Bing</v>
  </rv>
  <rv s="26">
    <v>59</v>
    <v>X EONIA MM OVNI ETF (XMIL:XEON)</v>
    <v>46</v>
    <v>60</v>
    <v>Finance</v>
    <v>51</v>
    <v>en-GB</v>
    <v>ajh3mw</v>
    <v>268435456</v>
    <v>1</v>
    <v>Powered by Refinitiv</v>
    <v>150.62</v>
    <v>147.44999999999999</v>
    <v>0.83330000000000004</v>
    <v>1.6199999999999999E-2</v>
    <v>1.076E-4</v>
    <v>EUR</v>
    <v>Borsa Italiana</v>
    <v>XMIL</v>
    <v>1E-3</v>
    <v>150.6</v>
    <v>ETF</v>
    <v>46318.666666666664</v>
    <v>569</v>
    <v>150.5641</v>
    <v>22981466000</v>
    <v>X EONIA MM OVNI ETF</v>
    <v>150.56950000000001</v>
    <v>150.5772</v>
    <v>150.5934</v>
    <v>150.59</v>
    <v>XEON</v>
    <v>X EONIA MM OVNI ETF (XMIL:XEON)</v>
    <v>209867</v>
  </rv>
  <rv s="2">
    <v>570</v>
  </rv>
  <rv s="0">
    <v>https://www.bing.com/financeapi/forcetrigger?t=ajh4p2&amp;q=XMIL%3aXGLE&amp;form=skydnc</v>
    <v>Learn more on Bing</v>
  </rv>
  <rv s="24">
    <v>52</v>
    <v>XTR.II-EUROZ.G.B.(DR) 1C ETF (XMIL:XGLE)</v>
    <v>46</v>
    <v>53</v>
    <v>Finance</v>
    <v>44</v>
    <v>en-GB</v>
    <v>ajh4p2</v>
    <v>268435456</v>
    <v>1</v>
    <v>Powered by Refinitiv</v>
    <v>227.09</v>
    <v>213.98</v>
    <v>1.0077</v>
    <v>0.28000000000000003</v>
    <v>1.2970000000000002E-3</v>
    <v>EUR</v>
    <v>Borsa Italiana</v>
    <v>XMIL</v>
    <v>7.000000000000001E-4</v>
    <v>216.41</v>
    <v>ETF</v>
    <v>46318.666666666664</v>
    <v>572</v>
    <v>216.09</v>
    <v>2393977800</v>
    <v>XTR.II-EUROZ.G.B.(DR) 1C ETF</v>
    <v>216.09</v>
    <v>215.95</v>
    <v>216.23</v>
    <v>XGLE</v>
    <v>XTR.II-EUROZ.G.B.(DR) 1C ETF (XMIL:XGLE)</v>
    <v>1107</v>
  </rv>
  <rv s="2">
    <v>573</v>
  </rv>
  <rv s="0">
    <v>https://www.bing.com/financeapi/forcetrigger?t=bhu9a2&amp;q=XMIL%3aFLES&amp;form=skydnc</v>
    <v>Learn more on Bing</v>
  </rv>
  <rv s="24">
    <v>52</v>
    <v>FRANKLIN TEMPLETON FR EURO SHORT ETF (XMIL:FLES)</v>
    <v>46</v>
    <v>53</v>
    <v>Finance</v>
    <v>44</v>
    <v>en-GB</v>
    <v>bhu9a2</v>
    <v>268435456</v>
    <v>1</v>
    <v>Powered by Refinitiv</v>
    <v>26.17</v>
    <v>25.47</v>
    <v>0.25950000000000001</v>
    <v>-6.2E-2</v>
    <v>-2.4139999999999999E-3</v>
    <v>EUR</v>
    <v>Borsa Italiana</v>
    <v>XMIL</v>
    <v>1.5E-3</v>
    <v>25.686</v>
    <v>ETF</v>
    <v>46318.666666666664</v>
    <v>575</v>
    <v>25.593</v>
    <v>258747546.88</v>
    <v>FRANKLIN TEMPLETON FR EURO SHORT ETF</v>
    <v>25.655999999999999</v>
    <v>25.684000000000001</v>
    <v>25.622</v>
    <v>FLES</v>
    <v>FRANKLIN TEMPLETON FR EURO SHORT ETF (XMIL:FLES)</v>
    <v>8223</v>
  </rv>
  <rv s="2">
    <v>576</v>
  </rv>
  <rv s="0">
    <v>https://www.bing.com/financeapi/forcetrigger?t=bo9wm7&amp;q=XMIL%3aJREB&amp;form=skydnc</v>
    <v>Learn more on Bing</v>
  </rv>
  <rv s="24">
    <v>52</v>
    <v>JPM EUR IG CORP ETF (XMIL:JREB)</v>
    <v>46</v>
    <v>53</v>
    <v>Finance</v>
    <v>44</v>
    <v>en-GB</v>
    <v>bo9wm7</v>
    <v>268435456</v>
    <v>1</v>
    <v>Powered by Refinitiv</v>
    <v>109.83</v>
    <v>106.39</v>
    <v>0.62619999999999998</v>
    <v>-0.34</v>
    <v>-3.1630000000000004E-3</v>
    <v>EUR</v>
    <v>Borsa Italiana</v>
    <v>XMIL</v>
    <v>4.0000000000000002E-4</v>
    <v>107.51</v>
    <v>ETF</v>
    <v>46318.666666666664</v>
    <v>578</v>
    <v>107.06</v>
    <v>744238433.32000005</v>
    <v>JPM EUR IG CORP ETF</v>
    <v>107.21</v>
    <v>107.5</v>
    <v>107.16</v>
    <v>JREB</v>
    <v>JPM EUR IG CORP ETF (XMIL:JREB)</v>
    <v>4547</v>
  </rv>
  <rv s="2">
    <v>579</v>
  </rv>
  <rv s="0">
    <v>https://www.bing.com/financeapi/forcetrigger?t=btgxh7&amp;q=XMIL%3aVGEA&amp;form=skydnc</v>
    <v>Learn more on Bing</v>
  </rv>
  <rv s="24">
    <v>52</v>
    <v>VANGUARD EUR EUROZONE GOVT BD ETF (XMIL:VGEA)</v>
    <v>46</v>
    <v>53</v>
    <v>Finance</v>
    <v>44</v>
    <v>en-GB</v>
    <v>btgxh7</v>
    <v>268435456</v>
    <v>1</v>
    <v>Powered by Refinitiv</v>
    <v>24.49</v>
    <v>23.05</v>
    <v>1.0014000000000001</v>
    <v>0.01</v>
    <v>4.2959999999999998E-4</v>
    <v>EUR</v>
    <v>Borsa Italiana</v>
    <v>XMIL</v>
    <v>7.0010000000000005E-4</v>
    <v>23.324999999999999</v>
    <v>ETF</v>
    <v>46318.666666666664</v>
    <v>581</v>
    <v>23.274999999999999</v>
    <v>4082353266</v>
    <v>VANGUARD EUR EUROZONE GOVT BD ETF</v>
    <v>23.295000000000002</v>
    <v>23.28</v>
    <v>23.29</v>
    <v>VGEA</v>
    <v>VANGUARD EUR EUROZONE GOVT BD ETF (XMIL:VGEA)</v>
    <v>71092</v>
  </rv>
  <rv s="2">
    <v>582</v>
  </rv>
  <rv s="0">
    <v>https://www.bing.com/financeapi/forcetrigger?t=bqegww&amp;q=XMIL%3aAGGH&amp;form=skydnc</v>
    <v>Learn more on Bing</v>
  </rv>
  <rv s="24">
    <v>52</v>
    <v>iShs Cr Gbl Aggrgte BdETFEURHA (XMIL:AGGH)</v>
    <v>46</v>
    <v>53</v>
    <v>Finance</v>
    <v>44</v>
    <v>en-GB</v>
    <v>bqegww</v>
    <v>268435456</v>
    <v>1</v>
    <v>Powered by Refinitiv</v>
    <v>5.0199999999999996</v>
    <v>4.78</v>
    <v>0.56140000000000001</v>
    <v>-1E-3</v>
    <v>-2.0580000000000002E-4</v>
    <v>EUR</v>
    <v>Borsa Italiana</v>
    <v>XMIL</v>
    <v>1E-3</v>
    <v>4.8624999999999998</v>
    <v>ETF</v>
    <v>46318.666666666664</v>
    <v>584</v>
    <v>4.8505000000000003</v>
    <v>2513375004.3299999</v>
    <v>iShs Cr Gbl Aggrgte BdETFEURHA</v>
    <v>4.8505000000000003</v>
    <v>4.859</v>
    <v>4.8579999999999997</v>
    <v>AGGH</v>
    <v>iShs Cr Gbl Aggrgte BdETFEURHA (XMIL:AGGH)</v>
    <v>130585</v>
  </rv>
  <rv s="2">
    <v>585</v>
  </rv>
  <rv s="0">
    <v>https://www.bing.com/financeapi/forcetrigger?t=ajgdf2&amp;q=XMIL%3aSEML&amp;form=skydnc</v>
    <v>Learn more on Bing</v>
  </rv>
  <rv s="21">
    <v>45</v>
    <v>iShs JPM EM LclGvtBdETFUSDD (XMIL:SEML)</v>
    <v>46</v>
    <v>47</v>
    <v>Finance</v>
    <v>44</v>
    <v>en-GB</v>
    <v>ajgdf2</v>
    <v>268435456</v>
    <v>1</v>
    <v>Powered by Refinitiv</v>
    <v>41.15</v>
    <v>38.729999999999997</v>
    <v>0</v>
    <v>0</v>
    <v>EUR</v>
    <v>Borsa Italiana</v>
    <v>XMIL</v>
    <v>5.1000000000000004E-3</v>
    <v>39.909999999999997</v>
    <v>ETF</v>
    <v>46318.666666666664</v>
    <v>587</v>
    <v>39.770000000000003</v>
    <v>4781954799.7299995</v>
    <v>iShs JPM EM LclGvtBdETFUSDD</v>
    <v>39.86</v>
    <v>39.909999999999997</v>
    <v>39.909999999999997</v>
    <v>SEML</v>
    <v>iShs JPM EM LclGvtBdETFUSDD (XMIL:SEML)</v>
    <v>7256</v>
  </rv>
  <rv s="2">
    <v>588</v>
  </rv>
  <rv s="0">
    <v>https://www.bing.com/financeapi/forcetrigger?t=btgww7&amp;q=XMIL%3aVAGF&amp;form=skydnc</v>
    <v>Learn more on Bing</v>
  </rv>
  <rv s="24">
    <v>52</v>
    <v>VANGUARD FD PLC GL AGG BD UCITS ETF (XMIL:VAGF)</v>
    <v>46</v>
    <v>53</v>
    <v>Finance</v>
    <v>44</v>
    <v>en-GB</v>
    <v>btgww7</v>
    <v>268435456</v>
    <v>1</v>
    <v>Powered by Refinitiv</v>
    <v>24.38</v>
    <v>22.83</v>
    <v>0.62380000000000002</v>
    <v>4.4999999999999998E-2</v>
    <v>1.9350000000000001E-3</v>
    <v>EUR</v>
    <v>Borsa Italiana</v>
    <v>XMIL</v>
    <v>9.0130000000000006E-4</v>
    <v>23.35</v>
    <v>ETF</v>
    <v>46318.666666666664</v>
    <v>590</v>
    <v>23.254999999999999</v>
    <v>2295639040</v>
    <v>VANGUARD FD PLC GL AGG BD UCITS ETF</v>
    <v>23.35</v>
    <v>23.25</v>
    <v>23.295000000000002</v>
    <v>VAGF</v>
    <v>VANGUARD FD PLC GL AGG BD UCITS ETF (XMIL:VAGF)</v>
    <v>21897</v>
  </rv>
  <rv s="2">
    <v>591</v>
  </rv>
  <rv s="0">
    <v>https://www.bing.com/financeapi/forcetrigger?t=ajexxm&amp;q=XMIL%3aEMLI&amp;form=skydnc</v>
    <v>Learn more on Bing</v>
  </rv>
  <rv s="21">
    <v>45</v>
    <v>PIMCO EM ADV LOCAL BOND UCITS USD IN (XMIL:EMLI)</v>
    <v>46</v>
    <v>47</v>
    <v>Finance</v>
    <v>44</v>
    <v>en-GB</v>
    <v>ajexxm</v>
    <v>268435456</v>
    <v>1</v>
    <v>Powered by Refinitiv</v>
    <v>59.15</v>
    <v>56.14</v>
    <v>-0.06</v>
    <v>-1.0280000000000001E-3</v>
    <v>EUR</v>
    <v>Borsa Italiana</v>
    <v>XMIL</v>
    <v>3.9000000000000003E-3</v>
    <v>58.38</v>
    <v>ETF</v>
    <v>46318.666666666664</v>
    <v>593</v>
    <v>58.1</v>
    <v>80064831.480000004</v>
    <v>PIMCO EM ADV LOCAL BOND UCITS USD IN</v>
    <v>58.38</v>
    <v>58.34</v>
    <v>58.28</v>
    <v>EMLI</v>
    <v>PIMCO EM ADV LOCAL BOND UCITS USD IN (XMIL:EMLI)</v>
    <v>5479</v>
  </rv>
  <rv s="2">
    <v>594</v>
  </rv>
  <rv s="0">
    <v>https://www.bing.com/financeapi/forcetrigger?t=ajfaur&amp;q=XMIL%3aGGOV&amp;form=skydnc</v>
    <v>Learn more on Bing</v>
  </rv>
  <rv s="24">
    <v>52</v>
    <v>AmunCorGlGovBd UCITS ETF A (XMIL:GGOV)</v>
    <v>46</v>
    <v>53</v>
    <v>Finance</v>
    <v>44</v>
    <v>en-GB</v>
    <v>ajfaur</v>
    <v>268435456</v>
    <v>1</v>
    <v>Powered by Refinitiv</v>
    <v>45.91</v>
    <v>44.31</v>
    <v>1.0549999999999999</v>
    <v>0.01</v>
    <v>2.1909999999999999E-4</v>
    <v>EUR</v>
    <v>Borsa Italiana</v>
    <v>XMIL</v>
    <v>2E-3</v>
    <v>45.744999999999997</v>
    <v>ETF</v>
    <v>46318.666666666664</v>
    <v>596</v>
    <v>45.655000000000001</v>
    <v>337879516.86000001</v>
    <v>AmunCorGlGovBd UCITS ETF A</v>
    <v>45.725000000000001</v>
    <v>45.65</v>
    <v>45.66</v>
    <v>GGOV</v>
    <v>AmunCorGlGovBd UCITS ETF A (XMIL:GGOV)</v>
    <v>1668</v>
  </rv>
  <rv s="2">
    <v>597</v>
  </rv>
  <rv s="0">
    <v>https://www.bing.com/financeapi/forcetrigger?t=ajfra2&amp;q=XMIL%3aLDCE&amp;form=skydnc</v>
    <v>Learn more on Bing</v>
  </rv>
  <rv s="24">
    <v>52</v>
    <v>PIMCO ADV EURO DUR ETF (XMIL:LDCE)</v>
    <v>46</v>
    <v>53</v>
    <v>Finance</v>
    <v>44</v>
    <v>en-GB</v>
    <v>ajfra2</v>
    <v>268435456</v>
    <v>1</v>
    <v>Powered by Refinitiv</v>
    <v>103.8</v>
    <v>97.76</v>
    <v>0.46079999999999999</v>
    <v>-7.0000000000000007E-2</v>
    <v>-7.0730000000000001E-4</v>
    <v>EUR</v>
    <v>Borsa Italiana</v>
    <v>XMIL</v>
    <v>2.5000000000000001E-3</v>
    <v>99.02</v>
    <v>ETF</v>
    <v>46318.666666666664</v>
    <v>599</v>
    <v>98.77</v>
    <v>174087007.78</v>
    <v>PIMCO ADV EURO DUR ETF</v>
    <v>98.77</v>
    <v>98.97</v>
    <v>98.9</v>
    <v>LDCE</v>
    <v>PIMCO ADV EURO DUR ETF (XMIL:LDCE)</v>
    <v>2574</v>
  </rv>
  <rv s="2">
    <v>600</v>
  </rv>
  <rv s="0">
    <v>https://www.bing.com/financeapi/forcetrigger?t=ajfg9c&amp;q=XMIL%3aIBTM&amp;form=skydnc</v>
    <v>Learn more on Bing</v>
  </rv>
  <rv s="21">
    <v>45</v>
    <v>iShs$TreasBd 7-10yETFUSD D (XMIL:IBTM)</v>
    <v>46</v>
    <v>47</v>
    <v>Finance</v>
    <v>44</v>
    <v>en-GB</v>
    <v>ajfg9c</v>
    <v>268435456</v>
    <v>1</v>
    <v>Powered by Refinitiv</v>
    <v>155.29</v>
    <v>143.61000000000001</v>
    <v>0.14000000000000001</v>
    <v>9.390999999999999E-4</v>
    <v>EUR</v>
    <v>Borsa Italiana</v>
    <v>XMIL</v>
    <v>7.000000000000001E-4</v>
    <v>149.6</v>
    <v>ETF</v>
    <v>46318.666666666664</v>
    <v>602</v>
    <v>149.22</v>
    <v>3655630637.1500001</v>
    <v>iShs$TreasBd 7-10yETFUSD D</v>
    <v>149.4</v>
    <v>149.08000000000001</v>
    <v>149.22</v>
    <v>IBTM</v>
    <v>iShs$TreasBd 7-10yETFUSD D (XMIL:IBTM)</v>
    <v>965</v>
  </rv>
  <rv s="2">
    <v>603</v>
  </rv>
  <rv s="0">
    <v>https://www.bing.com/financeapi/forcetrigger?t=ajfgc7&amp;q=XMIL%3aIBTS&amp;form=skydnc</v>
    <v>Learn more on Bing</v>
  </rv>
  <rv s="24">
    <v>52</v>
    <v>iShs $ Treas Bd 1-3y USD D (XMIL:IBTS)</v>
    <v>46</v>
    <v>53</v>
    <v>Finance</v>
    <v>44</v>
    <v>en-GB</v>
    <v>ajfgc7</v>
    <v>268435456</v>
    <v>1</v>
    <v>Powered by Refinitiv</v>
    <v>113.34</v>
    <v>107.71</v>
    <v>1.0175000000000001</v>
    <v>7.0000000000000007E-2</v>
    <v>6.2330000000000003E-4</v>
    <v>EUR</v>
    <v>Borsa Italiana</v>
    <v>XMIL</v>
    <v>7.000000000000001E-4</v>
    <v>112.49</v>
    <v>ETF</v>
    <v>46318.666666666664</v>
    <v>605</v>
    <v>112.32</v>
    <v>2460049129.77</v>
    <v>iShs $ Treas Bd 1-3y USD D</v>
    <v>112.44</v>
    <v>112.3</v>
    <v>112.37</v>
    <v>IBTS</v>
    <v>iShs $ Treas Bd 1-3y USD D (XMIL:IBTS)</v>
    <v>794</v>
  </rv>
  <rv s="2">
    <v>606</v>
  </rv>
  <rv s="22">
    <v>48</v>
    <v>OSSIAM SERENITY ETF (XETR:SNTE)</v>
    <v>42</v>
    <v>47</v>
    <v>Finance</v>
    <v>24</v>
    <v>en-GB</v>
    <v>cfnvpr</v>
    <v>268435456</v>
    <v>1</v>
    <v>Powered by Refinitiv</v>
    <v>104.91200000000001</v>
    <v>100.85899999999999</v>
    <v>0.01</v>
    <v>9.5340000000000005E-5</v>
    <v>EUR</v>
    <v>Xetra</v>
    <v>XETR</v>
    <v>1.5E-3</v>
    <v>104.91200000000001</v>
    <v>ETF</v>
    <v>46318.837326388886</v>
    <v>104.892</v>
    <v>281623381.00999999</v>
    <v>OSSIAM SERENITY ETF</v>
    <v>104.91200000000001</v>
    <v>104.89</v>
    <v>104.9</v>
    <v>SNTE</v>
    <v>OSSIAM SERENITY ETF (XETR:SNTE)</v>
    <v>570</v>
  </rv>
  <rv s="2">
    <v>608</v>
  </rv>
  <rv s="0">
    <v>https://www.bing.com/financeapi/forcetrigger?t=ajfa52&amp;q=XMIL%3aGBSE&amp;form=skydnc</v>
    <v>Learn more on Bing</v>
  </rv>
  <rv s="25">
    <v>56</v>
    <v>ETFS D H PH GOEU ETC (XMIL:GBSE)</v>
    <v>46</v>
    <v>57</v>
    <v>Finance</v>
    <v>44</v>
    <v>en-GB</v>
    <v>ajfa52</v>
    <v>268435456</v>
    <v>1</v>
    <v>Powered by Refinitiv</v>
    <v>29.45</v>
    <v>20.704999999999998</v>
    <v>-0.28000000000000003</v>
    <v>-1.3283E-2</v>
    <v>EUR</v>
    <v>Borsa Italiana</v>
    <v>XMIL</v>
    <v>20.984999999999999</v>
    <v>ETF</v>
    <v>46318.666666666664</v>
    <v>610</v>
    <v>20.704999999999998</v>
    <v>ETFS D H PH GOEU ETC</v>
    <v>20.88</v>
    <v>21.08</v>
    <v>20.8</v>
    <v>GBSE</v>
    <v>ETFS D H PH GOEU ETC (XMIL:GBSE)</v>
    <v>120462</v>
  </rv>
  <rv s="2">
    <v>611</v>
  </rv>
  <rv s="0">
    <v>https://www.bing.com/financeapi/forcetrigger?t=ajge5r&amp;q=XMIL%3aSGBS&amp;form=skydnc</v>
    <v>Learn more on Bing</v>
  </rv>
  <rv s="21">
    <v>45</v>
    <v>WISDOMTREE PHYSICAL SWISS GOLD ETC (XMIL:SGBS)</v>
    <v>46</v>
    <v>47</v>
    <v>Finance</v>
    <v>44</v>
    <v>en-GB</v>
    <v>ajge5r</v>
    <v>268435456</v>
    <v>1</v>
    <v>Powered by Refinitiv</v>
    <v>443.6</v>
    <v>318.85000000000002</v>
    <v>-4.01</v>
    <v>-1.1600999999999998E-2</v>
    <v>EUR</v>
    <v>Borsa Italiana</v>
    <v>XMIL</v>
    <v>1.5E-3</v>
    <v>344.13</v>
    <v>ETF</v>
    <v>46318.666666666664</v>
    <v>613</v>
    <v>340.12</v>
    <v>5293763534.2299995</v>
    <v>WISDOMTREE PHYSICAL SWISS GOLD ETC</v>
    <v>342.2</v>
    <v>345.67</v>
    <v>341.66</v>
    <v>SGBS</v>
    <v>WISDOMTREE PHYSICAL SWISS GOLD ETC (XMIL:SGBS)</v>
    <v>580</v>
  </rv>
  <rv s="2">
    <v>614</v>
  </rv>
  <rv s="0">
    <v>https://www.bing.com/financeapi/forcetrigger?t=ajgy2w&amp;q=XMIL%3aXAD1&amp;form=skydnc</v>
    <v>Learn more on Bing</v>
  </rv>
  <rv s="25">
    <v>56</v>
    <v>XTR PHYSICAL GOLD EURO HDGD ETC (XMIL:XAD1)</v>
    <v>46</v>
    <v>57</v>
    <v>Finance</v>
    <v>44</v>
    <v>en-GB</v>
    <v>ajgy2w</v>
    <v>268435456</v>
    <v>1</v>
    <v>Powered by Refinitiv</v>
    <v>317.89999999999998</v>
    <v>222.54</v>
    <v>-3.16</v>
    <v>-1.3951E-2</v>
    <v>EUR</v>
    <v>Borsa Italiana</v>
    <v>XMIL</v>
    <v>225.49</v>
    <v>ETF</v>
    <v>46318.666666666664</v>
    <v>616</v>
    <v>222.54</v>
    <v>XTR PHYSICAL GOLD EURO HDGD ETC</v>
    <v>224.39</v>
    <v>226.5</v>
    <v>223.34</v>
    <v>XAD1</v>
    <v>XTR PHYSICAL GOLD EURO HDGD ETC (XMIL:XAD1)</v>
    <v>6091</v>
  </rv>
  <rv s="2">
    <v>617</v>
  </rv>
  <rv s="0">
    <v>https://www.bing.com/financeapi/forcetrigger?t=ajg4oc&amp;q=XMIL%3aPHPM&amp;form=skydnc</v>
    <v>Learn more on Bing</v>
  </rv>
  <rv s="21">
    <v>45</v>
    <v>WT Physical Precious Metals (XMIL:PHPM)</v>
    <v>46</v>
    <v>47</v>
    <v>Finance</v>
    <v>44</v>
    <v>en-GB</v>
    <v>ajg4oc</v>
    <v>268435456</v>
    <v>1</v>
    <v>Powered by Refinitiv</v>
    <v>337.51</v>
    <v>199.61</v>
    <v>-2.83</v>
    <v>-1.2985999999999999E-2</v>
    <v>EUR</v>
    <v>Borsa Italiana</v>
    <v>XMIL</v>
    <v>4.4000000000000003E-3</v>
    <v>216.11</v>
    <v>ETF</v>
    <v>46318.666666666664</v>
    <v>619</v>
    <v>213.28</v>
    <v>381685481.38</v>
    <v>WT Physical Precious Metals</v>
    <v>215.12</v>
    <v>217.93</v>
    <v>215.1</v>
    <v>PHPM</v>
    <v>WT Physical Precious Metals (XMIL:PHPM)</v>
    <v>753</v>
  </rv>
  <rv s="2">
    <v>620</v>
  </rv>
  <rv s="0">
    <v>https://www.bing.com/financeapi/forcetrigger?t=ajg477&amp;q=XMIL%3aPHAG&amp;form=skydnc</v>
    <v>Learn more on Bing</v>
  </rv>
  <rv s="21">
    <v>45</v>
    <v>WT Physical Silver (XMIL:PHAG)</v>
    <v>46</v>
    <v>47</v>
    <v>Finance</v>
    <v>44</v>
    <v>en-GB</v>
    <v>ajg477</v>
    <v>268435456</v>
    <v>1</v>
    <v>Powered by Refinitiv</v>
    <v>92.68</v>
    <v>35.700000000000003</v>
    <v>-0.83</v>
    <v>-1.8530999999999999E-2</v>
    <v>EUR</v>
    <v>Borsa Italiana</v>
    <v>XMIL</v>
    <v>4.8999999999999998E-3</v>
    <v>43.97</v>
    <v>ETF</v>
    <v>46318.666666666664</v>
    <v>622</v>
    <v>43.024999999999999</v>
    <v>2772630363.23</v>
    <v>WT Physical Silver</v>
    <v>43.71</v>
    <v>44.79</v>
    <v>43.96</v>
    <v>PHAG</v>
    <v>WT Physical Silver (XMIL:PHAG)</v>
    <v>40456</v>
  </rv>
  <rv s="2">
    <v>623</v>
  </rv>
  <rv s="0">
    <v>https://www.bing.com/financeapi/forcetrigger?t=ajgy5r&amp;q=XMIL%3aXAD2&amp;form=skydnc</v>
    <v>Learn more on Bing</v>
  </rv>
  <rv s="25">
    <v>56</v>
    <v>X PHYSICAL SILVER EURO HEDGED ETC (XMIL:XAD2)</v>
    <v>46</v>
    <v>57</v>
    <v>Finance</v>
    <v>44</v>
    <v>en-GB</v>
    <v>ajgy5r</v>
    <v>268435456</v>
    <v>1</v>
    <v>Powered by Refinitiv</v>
    <v>637.98</v>
    <v>241.27</v>
    <v>-5.53</v>
    <v>-1.9713000000000001E-2</v>
    <v>EUR</v>
    <v>Borsa Italiana</v>
    <v>XMIL</v>
    <v>275.35000000000002</v>
    <v>ETF</v>
    <v>46318.666666666664</v>
    <v>625</v>
    <v>270</v>
    <v>X PHYSICAL SILVER EURO HEDGED ETC</v>
    <v>273.79000000000002</v>
    <v>280.52999999999997</v>
    <v>275</v>
    <v>XAD2</v>
    <v>X PHYSICAL SILVER EURO HEDGED ETC (XMIL:XAD2)</v>
    <v>860</v>
  </rv>
  <rv s="2">
    <v>626</v>
  </rv>
  <rv s="0">
    <v>https://www.bing.com/financeapi/forcetrigger?t=aje21h&amp;q=XMIL%3aAIGA&amp;form=skydnc</v>
    <v>Learn more on Bing</v>
  </rv>
  <rv s="21">
    <v>45</v>
    <v>WT Agriculture (XMIL:AIGA)</v>
    <v>46</v>
    <v>47</v>
    <v>Finance</v>
    <v>44</v>
    <v>en-GB</v>
    <v>aje21h</v>
    <v>268435456</v>
    <v>1</v>
    <v>Powered by Refinitiv</v>
    <v>6.34</v>
    <v>4.88</v>
    <v>-2.1999999999999999E-2</v>
    <v>-3.6680000000000003E-3</v>
    <v>EUR</v>
    <v>Borsa Italiana</v>
    <v>XMIL</v>
    <v>9.8999999999999991E-3</v>
    <v>6.008</v>
    <v>ETF</v>
    <v>46318.666666666664</v>
    <v>628</v>
    <v>5.9649999999999999</v>
    <v>867707315.11000001</v>
    <v>WT Agriculture</v>
    <v>5.9720000000000004</v>
    <v>5.9980000000000002</v>
    <v>5.976</v>
    <v>AIGA</v>
    <v>WT Agriculture (XMIL:AIGA)</v>
    <v>70178</v>
  </rv>
  <rv s="2">
    <v>629</v>
  </rv>
  <rv s="0">
    <v>https://www.bing.com/financeapi/forcetrigger?t=ajeiww&amp;q=XMIL%3aCOPA&amp;form=skydnc</v>
    <v>Learn more on Bing</v>
  </rv>
  <rv s="23">
    <v>49</v>
    <v>WT Copper (XMIL:COPA)</v>
    <v>46</v>
    <v>50</v>
    <v>Finance</v>
    <v>51</v>
    <v>en-GB</v>
    <v>ajeiww</v>
    <v>268435456</v>
    <v>1</v>
    <v>Powered by Refinitiv</v>
    <v>51.71</v>
    <v>37.35</v>
    <v>0.88</v>
    <v>1.8035000000000002E-2</v>
    <v>EUR</v>
    <v>Borsa Italiana</v>
    <v>XMIL</v>
    <v>9.8999999999999991E-3</v>
    <v>49.674999999999997</v>
    <v>ETF</v>
    <v>46318.666666666664</v>
    <v>631</v>
    <v>48.994999999999997</v>
    <v>1981140132.96</v>
    <v>WT Copper</v>
    <v>48.994999999999997</v>
    <v>48.795000000000002</v>
    <v>49.674999999999997</v>
    <v>49.35</v>
    <v>COPA</v>
    <v>WT Copper (XMIL:COPA)</v>
    <v>47776</v>
  </rv>
  <rv s="2">
    <v>632</v>
  </rv>
  <rv s="0">
    <v>https://www.bing.com/financeapi/forcetrigger?t=aje2cw&amp;q=XMIL%3aAIGI&amp;form=skydnc</v>
    <v>Learn more on Bing</v>
  </rv>
  <rv s="21">
    <v>45</v>
    <v>WT Industrial Metals (XMIL:AIGI)</v>
    <v>46</v>
    <v>47</v>
    <v>Finance</v>
    <v>44</v>
    <v>en-GB</v>
    <v>aje2cw</v>
    <v>268435456</v>
    <v>1</v>
    <v>Powered by Refinitiv</v>
    <v>18.07</v>
    <v>13.88</v>
    <v>0.20200000000000001</v>
    <v>1.1918999999999999E-2</v>
    <v>EUR</v>
    <v>Borsa Italiana</v>
    <v>XMIL</v>
    <v>9.8999999999999991E-3</v>
    <v>17.149999999999999</v>
    <v>ETF</v>
    <v>46318.666666666664</v>
    <v>634</v>
    <v>16.978000000000002</v>
    <v>1462676962.1500001</v>
    <v>WT Industrial Metals</v>
    <v>16.984000000000002</v>
    <v>16.948</v>
    <v>17.149999999999999</v>
    <v>AIGI</v>
    <v>WT Industrial Metals (XMIL:AIGI)</v>
    <v>9554</v>
  </rv>
  <rv s="2">
    <v>635</v>
  </rv>
  <rv s="0">
    <v>https://www.bing.com/financeapi/forcetrigger?t=ajg16h&amp;q=XMIL%3aNGAS&amp;form=skydnc</v>
    <v>Learn more on Bing</v>
  </rv>
  <rv s="21">
    <v>45</v>
    <v>WT Natural Gas (XMIL:NGAS)</v>
    <v>46</v>
    <v>47</v>
    <v>Finance</v>
    <v>44</v>
    <v>en-GB</v>
    <v>ajg16h</v>
    <v>268435456</v>
    <v>1</v>
    <v>Powered by Refinitiv</v>
    <v>7.22</v>
    <v>3.82</v>
    <v>-0.1105</v>
    <v>-2.7559999999999998E-2</v>
    <v>EUR</v>
    <v>Borsa Italiana</v>
    <v>XMIL</v>
    <v>9.8999999999999991E-3</v>
    <v>3.968</v>
    <v>ETF</v>
    <v>46318.666666666664</v>
    <v>637</v>
    <v>3.8759999999999999</v>
    <v>148321868.78</v>
    <v>WT Natural Gas</v>
    <v>3.9359999999999999</v>
    <v>4.0095000000000001</v>
    <v>3.899</v>
    <v>NGAS</v>
    <v>WT Natural Gas (XMIL:NGAS)</v>
    <v>329402</v>
  </rv>
  <rv s="2">
    <v>638</v>
  </rv>
  <rv s="0">
    <v>https://www.bing.com/financeapi/forcetrigger?t=aje9jc&amp;q=XMIL%3aBRNT&amp;form=skydnc</v>
    <v>Learn more on Bing</v>
  </rv>
  <rv s="25">
    <v>56</v>
    <v>WISDOMTREE BRENT CRUDE ETC (XMIL:BRNT)</v>
    <v>46</v>
    <v>57</v>
    <v>Finance</v>
    <v>44</v>
    <v>en-GB</v>
    <v>aje9jc</v>
    <v>268435456</v>
    <v>1</v>
    <v>Powered by Refinitiv</v>
    <v>102.31</v>
    <v>38.11</v>
    <v>4.12</v>
    <v>4.2057999999999998E-2</v>
    <v>EUR</v>
    <v>Borsa Italiana</v>
    <v>XMIL</v>
    <v>102.31</v>
    <v>ETF</v>
    <v>46318.666666666664</v>
    <v>640</v>
    <v>99.69</v>
    <v>WISDOMTREE BRENT CRUDE ETC</v>
    <v>100.36</v>
    <v>97.96</v>
    <v>102.08</v>
    <v>BRNT</v>
    <v>WISDOMTREE BRENT CRUDE ETC (XMIL:BRNT)</v>
    <v>52376</v>
  </rv>
  <rv s="2">
    <v>641</v>
  </rv>
  <rv s="0">
    <v>https://www.bing.com/financeapi/forcetrigger?t=ajekec&amp;q=XMIL%3aCRUD&amp;form=skydnc</v>
    <v>Learn more on Bing</v>
  </rv>
  <rv s="25">
    <v>56</v>
    <v>WISDOMTREE WTI CRUDE OIL ETC (XMIL:CRUD)</v>
    <v>46</v>
    <v>57</v>
    <v>Finance</v>
    <v>44</v>
    <v>en-GB</v>
    <v>ajekec</v>
    <v>268435456</v>
    <v>1</v>
    <v>Powered by Refinitiv</v>
    <v>17.329999999999998</v>
    <v>7.22</v>
    <v>0.60799999999999998</v>
    <v>3.6402999999999998E-2</v>
    <v>EUR</v>
    <v>Borsa Italiana</v>
    <v>XMIL</v>
    <v>17.326000000000001</v>
    <v>ETF</v>
    <v>46318.666666666664</v>
    <v>643</v>
    <v>16.978000000000002</v>
    <v>WISDOMTREE WTI CRUDE OIL ETC</v>
    <v>17.059999999999999</v>
    <v>16.702000000000002</v>
    <v>17.309999999999999</v>
    <v>CRUD</v>
    <v>WISDOMTREE WTI CRUDE OIL ETC (XMIL:CRUD)</v>
    <v>851750</v>
  </rv>
  <rv s="2">
    <v>644</v>
  </rv>
  <rv s="0">
    <v>https://www.bing.com/financeapi/forcetrigger?t=afttr7&amp;q=XETR%3aSPYG&amp;form=skydnc</v>
    <v>Learn more on Bing</v>
  </rv>
  <rv s="21">
    <v>45</v>
    <v>SPDR S&amp;P UK DIVIDEND ARISTOCRATS ETF (XETR:SPYG)</v>
    <v>46</v>
    <v>47</v>
    <v>Finance</v>
    <v>24</v>
    <v>en-GB</v>
    <v>afttr7</v>
    <v>268435456</v>
    <v>1</v>
    <v>Powered by Refinitiv</v>
    <v>16.346</v>
    <v>13.05</v>
    <v>-2.8000000000000001E-2</v>
    <v>-1.7519999999999999E-3</v>
    <v>EUR</v>
    <v>Xetra</v>
    <v>XETR</v>
    <v>3.0000000000000001E-3</v>
    <v>15.974</v>
    <v>ETF</v>
    <v>46318.837326388886</v>
    <v>646</v>
    <v>15.872</v>
    <v>143171036.00999999</v>
    <v>SPDR S&amp;P UK DIVIDEND ARISTOCRATS ETF</v>
    <v>15.958</v>
    <v>15.986000000000001</v>
    <v>15.958</v>
    <v>SPYG</v>
    <v>SPDR S&amp;P UK DIVIDEND ARISTOCRATS ETF (XETR:SPYG)</v>
    <v>10200</v>
  </rv>
  <rv s="2">
    <v>647</v>
  </rv>
  <rv s="22">
    <v>48</v>
    <v>iShares iBonds Dec 30 EUR Corp UCITS ETF (XMIL:30IG)</v>
    <v>42</v>
    <v>47</v>
    <v>Finance</v>
    <v>44</v>
    <v>en-GB</v>
    <v>ce9oa2</v>
    <v>268435456</v>
    <v>1</v>
    <v>Powered by Refinitiv</v>
    <v>5.23</v>
    <v>4.96</v>
    <v>-1.0500000000000001E-2</v>
    <v>-2.0969999999999999E-3</v>
    <v>EUR</v>
    <v>Borsa Italiana</v>
    <v>XMIL</v>
    <v>1.1999999999999999E-3</v>
    <v>5.008</v>
    <v>ETF</v>
    <v>46318.666666666664</v>
    <v>4.9935</v>
    <v>687367558.58000004</v>
    <v>iShares iBonds Dec 30 EUR Corp UCITS ETF</v>
    <v>5.008</v>
    <v>5.0060000000000002</v>
    <v>4.9954999999999998</v>
    <v>30IG</v>
    <v>iShares iBonds Dec 30 EUR Corp UCITS ETF (XMIL:30IG)</v>
    <v>21005</v>
  </rv>
  <rv s="2">
    <v>649</v>
  </rv>
  <rv s="27">
    <v>61</v>
    <v>VANGUARD TARGET MTRTY 2030 CRP B ETF (XNAS:VBCD)</v>
    <v>42</v>
    <v>62</v>
    <v>Finance</v>
    <v>63</v>
    <v>en-GB</v>
    <v>ck41u2</v>
    <v>268435456</v>
    <v>1</v>
    <v>Powered by Refinitiv</v>
    <v>76.084999999999994</v>
    <v>72.94</v>
    <v>-7.5800000000000006E-2</v>
    <v>-1.0249999999999999E-3</v>
    <v>-4.5999999999999999E-3</v>
    <v>-6.2290000000000002E-5</v>
    <v>USD</v>
    <v>Nasdaq Stock Market</v>
    <v>XNAS</v>
    <v>8.0000000000000004E-4</v>
    <v>73.900000000000006</v>
    <v>ETF</v>
    <v>46318.843750161715</v>
    <v>73.814999999999998</v>
    <v>60081332</v>
    <v>VANGUARD TARGET MTRTY 2030 CRP B ETF</v>
    <v>73.86</v>
    <v>73.920400000000001</v>
    <v>73.8446</v>
    <v>73.84</v>
    <v>VBCD</v>
    <v>VANGUARD TARGET MTRTY 2030 CRP B ETF (XNAS:VBCD)</v>
    <v>15028</v>
    <v>29188</v>
  </rv>
  <rv s="2">
    <v>651</v>
  </rv>
  <rv s="0">
    <v>https://www.bing.com/financeapi/forcetrigger?t=ao86jc&amp;q=XLON%3aEMLB&amp;form=skydnc</v>
    <v>Learn more on Bing</v>
  </rv>
  <rv s="24">
    <v>52</v>
    <v>PIMCO EM ADV LOCAL BD SRCE UCITS ETF (XLON:EMLB)</v>
    <v>46</v>
    <v>54</v>
    <v>Finance</v>
    <v>55</v>
    <v>en-GB</v>
    <v>ao86jc</v>
    <v>268435456</v>
    <v>1</v>
    <v>Powered by Refinitiv</v>
    <v>133.44</v>
    <v>122</v>
    <v>0.82620000000000005</v>
    <v>-0.38500000000000001</v>
    <v>-2.9449999999999997E-3</v>
    <v>USD</v>
    <v>London Stock Exchange</v>
    <v>XLON</v>
    <v>3.9000000000000003E-3</v>
    <v>130.5</v>
    <v>ETF</v>
    <v>46318.679201388892</v>
    <v>653</v>
    <v>129.84</v>
    <v>234689948.68000001</v>
    <v>PIMCO EM ADV LOCAL BD SRCE UCITS ETF</v>
    <v>130.22</v>
    <v>130.75</v>
    <v>130.36500000000001</v>
    <v>EMLB</v>
    <v>PIMCO EM ADV LOCAL BD SRCE UCITS ETF (XLON:EMLB)</v>
    <v>760</v>
  </rv>
  <rv s="2">
    <v>654</v>
  </rv>
  <rv s="0">
    <v>https://www.bing.com/financeapi/forcetrigger?t=alobw7&amp;q=XAMS%3aIFRB&amp;form=skydnc</v>
    <v>Learn more on Bing</v>
  </rv>
  <rv s="24">
    <v>52</v>
    <v>iShs Fr Gvt Bd UCITS ETF EUR D (XAMS:IFRB)</v>
    <v>46</v>
    <v>53</v>
    <v>Finance</v>
    <v>24</v>
    <v>en-GB</v>
    <v>alobw7</v>
    <v>268435456</v>
    <v>1</v>
    <v>Powered by Refinitiv</v>
    <v>127.94</v>
    <v>115.35</v>
    <v>1.0654999999999999</v>
    <v>0.28000000000000003</v>
    <v>2.4199999999999998E-3</v>
    <v>EUR</v>
    <v>Euronext Amsterdam</v>
    <v>XAMS</v>
    <v>2E-3</v>
    <v>116.09</v>
    <v>ETF</v>
    <v>46318.666666666664</v>
    <v>656</v>
    <v>115.73</v>
    <v>55702227.719999999</v>
    <v>iShs Fr Gvt Bd UCITS ETF EUR D</v>
    <v>115.84</v>
    <v>115.71</v>
    <v>115.99</v>
    <v>IFRB</v>
    <v>iShs Fr Gvt Bd UCITS ETF EUR D (XAMS:IFRB)</v>
    <v>825</v>
  </rv>
  <rv s="2">
    <v>657</v>
  </rv>
  <rv s="28">
    <v>64</v>
    <v>ajfkc7</v>
    <v>Daily</v>
    <v>45222</v>
    <v>46318</v>
    <v>0</v>
    <v>1</v>
    <v>639283104000000000,639285315795160366,0</v>
    <v>0</v>
    <v>ajfkc7</v>
    <v>XMIL:INDI</v>
    <v>1</v>
  </rv>
  <rv s="28">
    <v>64</v>
    <v>ajfkc7</v>
    <v>Daily</v>
    <v>46022</v>
    <v>46318</v>
    <v>0</v>
    <v>1</v>
    <v>639283104000000000,639285315795160366,0</v>
    <v>2</v>
    <v>ajfkc7</v>
    <v>XMIL:INDI</v>
    <v>3</v>
  </rv>
  <rv s="28">
    <v>64</v>
    <v>ajfkc7</v>
    <v>Daily</v>
    <v>45953</v>
    <v>46318</v>
    <v>0</v>
    <v>1</v>
    <v>639283104000000000,639285315795160366,0</v>
    <v>4</v>
    <v>ajfkc7</v>
    <v>XMIL:INDI</v>
    <v>5</v>
  </rv>
  <rv s="28">
    <v>65</v>
    <v>a21k2w</v>
    <v>Daily</v>
    <v>46022</v>
    <v>46318</v>
    <v>0</v>
    <v>1</v>
    <v>639283104000000000,639285315770795292,0</v>
    <v>6</v>
    <v>a21k2w</v>
    <v>XNAS:QCOM</v>
    <v>7</v>
  </rv>
  <rv s="28">
    <v>65</v>
    <v>a21k2w</v>
    <v>Daily</v>
    <v>45222</v>
    <v>46318</v>
    <v>0</v>
    <v>1</v>
    <v>639283104000000000,639285315794807905,0</v>
    <v>8</v>
    <v>a21k2w</v>
    <v>XNAS:QCOM</v>
    <v>9</v>
  </rv>
  <rv s="28">
    <v>65</v>
    <v>a21k2w</v>
    <v>Daily</v>
    <v>45953</v>
    <v>46318</v>
    <v>0</v>
    <v>1</v>
    <v>639283104000000000,639285315794807905,0</v>
    <v>10</v>
    <v>a21k2w</v>
    <v>XNAS:QCOM</v>
    <v>11</v>
  </rv>
  <rv s="28">
    <v>64</v>
    <v>c9sxc7</v>
    <v>Daily</v>
    <v>45953</v>
    <v>46318</v>
    <v>0</v>
    <v>1</v>
    <v>639283104000000000,639285351111237774,0</v>
    <v>4</v>
    <v>c9sxc7</v>
    <v>XMIL:DFNS</v>
    <v>12</v>
  </rv>
  <rv s="28">
    <v>64</v>
    <v>c9sxc7</v>
    <v>Daily</v>
    <v>45222</v>
    <v>46318</v>
    <v>0</v>
    <v>1</v>
    <v>639283104000000000,639285351114677810,0</v>
    <v>0</v>
    <v>c9sxc7</v>
    <v>XMIL:DFNS</v>
    <v>13</v>
  </rv>
  <rv s="28">
    <v>64</v>
    <v>c9sxc7</v>
    <v>Daily</v>
    <v>46022</v>
    <v>46318</v>
    <v>0</v>
    <v>1</v>
    <v>639283104000000000,639285351111237774,0</v>
    <v>2</v>
    <v>c9sxc7</v>
    <v>XMIL:DFNS</v>
    <v>14</v>
  </rv>
  <rv s="28">
    <v>64</v>
    <v>c1fuar</v>
    <v>Daily</v>
    <v>45222</v>
    <v>46318</v>
    <v>0</v>
    <v>1</v>
    <v>639283104000000000,639285315776022691,0</v>
    <v>0</v>
    <v>c1fuar</v>
    <v>XMIL:HDRO</v>
    <v>15</v>
  </rv>
  <rv s="28">
    <v>64</v>
    <v>c1fuar</v>
    <v>Daily</v>
    <v>45953</v>
    <v>46318</v>
    <v>0</v>
    <v>1</v>
    <v>639283104000000000,639285315776022691,0</v>
    <v>4</v>
    <v>c1fuar</v>
    <v>XMIL:HDRO</v>
    <v>16</v>
  </rv>
  <rv s="28">
    <v>64</v>
    <v>c1fuar</v>
    <v>Daily</v>
    <v>46022</v>
    <v>46318</v>
    <v>0</v>
    <v>1</v>
    <v>639283104000000000,639285315776022691,0</v>
    <v>2</v>
    <v>c1fuar</v>
    <v>XMIL:HDRO</v>
    <v>17</v>
  </rv>
  <rv s="28">
    <v>64</v>
    <v>bo9wm7</v>
    <v>Daily</v>
    <v>46022</v>
    <v>46318</v>
    <v>0</v>
    <v>1</v>
    <v>639283104000000000,639285315787027306,0</v>
    <v>2</v>
    <v>bo9wm7</v>
    <v>XMIL:JREB</v>
    <v>18</v>
  </rv>
  <rv s="28">
    <v>64</v>
    <v>bo9wm7</v>
    <v>Daily</v>
    <v>45222</v>
    <v>46318</v>
    <v>0</v>
    <v>1</v>
    <v>639283104000000000,639285315787027306,0</v>
    <v>0</v>
    <v>bo9wm7</v>
    <v>XMIL:JREB</v>
    <v>19</v>
  </rv>
  <rv s="28">
    <v>64</v>
    <v>bo9wm7</v>
    <v>Daily</v>
    <v>45953</v>
    <v>46318</v>
    <v>0</v>
    <v>1</v>
    <v>639283104000000000,639285315787027306,0</v>
    <v>4</v>
    <v>bo9wm7</v>
    <v>XMIL:JREB</v>
    <v>20</v>
  </rv>
  <rv s="28">
    <v>65</v>
    <v>ayd1dm</v>
    <v>Daily</v>
    <v>46022</v>
    <v>46318</v>
    <v>0</v>
    <v>1</v>
    <v>639283104000000000,639285315771522393,0</v>
    <v>6</v>
    <v>ayd1dm</v>
    <v>XNAS:HIVE</v>
    <v>21</v>
  </rv>
  <rv s="28">
    <v>65</v>
    <v>ayd1dm</v>
    <v>Daily</v>
    <v>45222</v>
    <v>46318</v>
    <v>0</v>
    <v>1</v>
    <v>639283104000000000,639285315769972432,0</v>
    <v>8</v>
    <v>ayd1dm</v>
    <v>XNAS:HIVE</v>
    <v>22</v>
  </rv>
  <rv s="28">
    <v>65</v>
    <v>ayd1dm</v>
    <v>Daily</v>
    <v>45953</v>
    <v>46318</v>
    <v>0</v>
    <v>1</v>
    <v>639283104000000000,639285315769972432,0</v>
    <v>10</v>
    <v>ayd1dm</v>
    <v>XNAS:HIVE</v>
    <v>23</v>
  </rv>
  <rv s="28">
    <v>64</v>
    <v>alo4sm</v>
    <v>Daily</v>
    <v>46022</v>
    <v>46318</v>
    <v>0</v>
    <v>1</v>
    <v>639283104000000000,639285315795157901,0</v>
    <v>24</v>
    <v>alo4sm</v>
    <v>XAMS:CSX5</v>
    <v>25</v>
  </rv>
  <rv s="28">
    <v>64</v>
    <v>alo4sm</v>
    <v>Daily</v>
    <v>45953</v>
    <v>46318</v>
    <v>0</v>
    <v>1</v>
    <v>639283104000000000,639285315795157901,0</v>
    <v>26</v>
    <v>alo4sm</v>
    <v>XAMS:CSX5</v>
    <v>27</v>
  </rv>
  <rv s="28">
    <v>64</v>
    <v>alo4sm</v>
    <v>Daily</v>
    <v>45222</v>
    <v>46318</v>
    <v>0</v>
    <v>1</v>
    <v>639283104000000000,639285315795157901,0</v>
    <v>28</v>
    <v>alo4sm</v>
    <v>XAMS:CSX5</v>
    <v>29</v>
  </rv>
  <rv s="28">
    <v>64</v>
    <v>ce9ocw</v>
    <v>Daily</v>
    <v>45222</v>
    <v>46318</v>
    <v>0</v>
    <v>1</v>
    <v>639283104000000000,639285351111044089,0</v>
    <v>30</v>
    <v>ce9ocw</v>
    <v>XMIL:DFND</v>
    <v>31</v>
  </rv>
  <rv s="28">
    <v>64</v>
    <v>ce9ocw</v>
    <v>Daily</v>
    <v>46022</v>
    <v>46318</v>
    <v>0</v>
    <v>1</v>
    <v>639283104000000000,639285351111044089,0</v>
    <v>2</v>
    <v>ce9ocw</v>
    <v>XMIL:DFND</v>
    <v>32</v>
  </rv>
  <rv s="28">
    <v>64</v>
    <v>ce9ocw</v>
    <v>Daily</v>
    <v>45953</v>
    <v>46318</v>
    <v>0</v>
    <v>1</v>
    <v>639283104000000000,639285351111044089,0</v>
    <v>4</v>
    <v>ce9ocw</v>
    <v>XMIL:DFND</v>
    <v>33</v>
  </rv>
  <rv s="28">
    <v>64</v>
    <v>ajfz77</v>
    <v>Daily</v>
    <v>46022</v>
    <v>46318</v>
    <v>0</v>
    <v>1</v>
    <v>639283104000000000,639285315785902189,0</v>
    <v>2</v>
    <v>ajfz77</v>
    <v>XMIL:MVOL</v>
    <v>34</v>
  </rv>
  <rv s="28">
    <v>64</v>
    <v>ajfz77</v>
    <v>Daily</v>
    <v>45222</v>
    <v>46318</v>
    <v>0</v>
    <v>1</v>
    <v>639283104000000000,639285316896213260,0</v>
    <v>0</v>
    <v>ajfz77</v>
    <v>XMIL:MVOL</v>
    <v>35</v>
  </rv>
  <rv s="28">
    <v>64</v>
    <v>ajfz77</v>
    <v>Daily</v>
    <v>45953</v>
    <v>46318</v>
    <v>0</v>
    <v>1</v>
    <v>639283104000000000,639285315785902189,0</v>
    <v>4</v>
    <v>ajfz77</v>
    <v>XMIL:MVOL</v>
    <v>36</v>
  </rv>
  <rv s="28">
    <v>64</v>
    <v>ae9ya2</v>
    <v>Daily</v>
    <v>46022</v>
    <v>46318</v>
    <v>0</v>
    <v>1</v>
    <v>639283104000000000,639285315770958735,0</v>
    <v>24</v>
    <v>ae9ya2</v>
    <v>XPAR:SAN</v>
    <v>37</v>
  </rv>
  <rv s="28">
    <v>64</v>
    <v>ae9ya2</v>
    <v>Daily</v>
    <v>45222</v>
    <v>46318</v>
    <v>0</v>
    <v>1</v>
    <v>639283104000000000,639285315771138767,0</v>
    <v>28</v>
    <v>ae9ya2</v>
    <v>XPAR:SAN</v>
    <v>38</v>
  </rv>
  <rv s="28">
    <v>64</v>
    <v>ae9ya2</v>
    <v>Daily</v>
    <v>45953</v>
    <v>46318</v>
    <v>0</v>
    <v>1</v>
    <v>639283104000000000,639285315771138767,0</v>
    <v>26</v>
    <v>ae9ya2</v>
    <v>XPAR:SAN</v>
    <v>39</v>
  </rv>
  <rv s="28">
    <v>64</v>
    <v>ajgdf2</v>
    <v>Daily</v>
    <v>46022</v>
    <v>46318</v>
    <v>0</v>
    <v>1</v>
    <v>639283104000000000,639285315813247711,0</v>
    <v>2</v>
    <v>ajgdf2</v>
    <v>XMIL:SEML</v>
    <v>40</v>
  </rv>
  <rv s="28">
    <v>64</v>
    <v>ajgdf2</v>
    <v>Daily</v>
    <v>45222</v>
    <v>46318</v>
    <v>0</v>
    <v>1</v>
    <v>639283104000000000,639285315813247711,0</v>
    <v>0</v>
    <v>ajgdf2</v>
    <v>XMIL:SEML</v>
    <v>41</v>
  </rv>
  <rv s="28">
    <v>64</v>
    <v>ajgdf2</v>
    <v>Daily</v>
    <v>45953</v>
    <v>46318</v>
    <v>0</v>
    <v>1</v>
    <v>639283104000000000,639285315813247711,0</v>
    <v>4</v>
    <v>ajgdf2</v>
    <v>XMIL:SEML</v>
    <v>42</v>
  </rv>
  <rv s="28">
    <v>65</v>
    <v>c438im</v>
    <v>Daily</v>
    <v>46022</v>
    <v>46318</v>
    <v>0</v>
    <v>1</v>
    <v>639283104000000000,639285315770897060,0</v>
    <v>6</v>
    <v>c438im</v>
    <v>XNAS:IREN</v>
    <v>43</v>
  </rv>
  <rv s="28">
    <v>65</v>
    <v>c438im</v>
    <v>Daily</v>
    <v>45222</v>
    <v>46318</v>
    <v>0</v>
    <v>1</v>
    <v>639283104000000000,639285315771067082,0</v>
    <v>8</v>
    <v>c438im</v>
    <v>XNAS:IREN</v>
    <v>44</v>
  </rv>
  <rv s="28">
    <v>65</v>
    <v>c438im</v>
    <v>Daily</v>
    <v>45953</v>
    <v>46318</v>
    <v>0</v>
    <v>1</v>
    <v>639283104000000000,639285315771067082,0</v>
    <v>10</v>
    <v>c438im</v>
    <v>XNAS:IREN</v>
    <v>45</v>
  </rv>
  <rv s="28">
    <v>65</v>
    <v>cfwqww</v>
    <v>Daily</v>
    <v>46022</v>
    <v>46318</v>
    <v>0</v>
    <v>1</v>
    <v>639283104000000000,639285351112108273,0</v>
    <v>6</v>
    <v>cfwqww</v>
    <v>XNAS:SNDK</v>
    <v>46</v>
  </rv>
  <rv s="28">
    <v>65</v>
    <v>cfwqww</v>
    <v>Daily</v>
    <v>45222</v>
    <v>46318</v>
    <v>0</v>
    <v>1</v>
    <v>639283104000000000,639285351110344234,0</v>
    <v>47</v>
    <v>cfwqww</v>
    <v>XNAS:SNDK</v>
    <v>48</v>
  </rv>
  <rv s="28">
    <v>65</v>
    <v>cfwqww</v>
    <v>Daily</v>
    <v>45953</v>
    <v>46318</v>
    <v>0</v>
    <v>1</v>
    <v>639283104000000000,639285351110344234,0</v>
    <v>10</v>
    <v>cfwqww</v>
    <v>XNAS:SNDK</v>
    <v>49</v>
  </rv>
  <rv s="28">
    <v>65</v>
    <v>cd5wxm</v>
    <v>Daily</v>
    <v>46022</v>
    <v>46318</v>
    <v>0</v>
    <v>1</v>
    <v>639283104000000000,639285351110449908,0</v>
    <v>6</v>
    <v>cd5wxm</v>
    <v>XNAS:NNE</v>
    <v>50</v>
  </rv>
  <rv s="28">
    <v>65</v>
    <v>cd5wxm</v>
    <v>Daily</v>
    <v>45222</v>
    <v>46318</v>
    <v>0</v>
    <v>1</v>
    <v>639283104000000000,639285351110649913,0</v>
    <v>51</v>
    <v>cd5wxm</v>
    <v>XNAS:NNE</v>
    <v>52</v>
  </rv>
  <rv s="28">
    <v>65</v>
    <v>cd5wxm</v>
    <v>Daily</v>
    <v>45953</v>
    <v>46318</v>
    <v>0</v>
    <v>1</v>
    <v>639283104000000000,639285351110649913,0</v>
    <v>10</v>
    <v>cd5wxm</v>
    <v>XNAS:NNE</v>
    <v>53</v>
  </rv>
  <rv s="28">
    <v>65</v>
    <v>a1u3rw</v>
    <v>Daily</v>
    <v>46022</v>
    <v>46318</v>
    <v>0</v>
    <v>1</v>
    <v>639283104000000000,639285315770372097,0</v>
    <v>6</v>
    <v>a1u3rw</v>
    <v>XNAS:GOOGL</v>
    <v>54</v>
  </rv>
  <rv s="28">
    <v>65</v>
    <v>a1u3rw</v>
    <v>Daily</v>
    <v>45953</v>
    <v>46318</v>
    <v>0</v>
    <v>1</v>
    <v>639283104000000000,639285315770542098,0</v>
    <v>10</v>
    <v>a1u3rw</v>
    <v>XNAS:GOOGL</v>
    <v>55</v>
  </rv>
  <rv s="28">
    <v>65</v>
    <v>a1u3rw</v>
    <v>Daily</v>
    <v>45222</v>
    <v>46318</v>
    <v>0</v>
    <v>1</v>
    <v>639283104000000000,639285315775037614,0</v>
    <v>8</v>
    <v>a1u3rw</v>
    <v>XNAS:GOOGL</v>
    <v>56</v>
  </rv>
  <rv s="28">
    <v>64</v>
    <v>ajg4oc</v>
    <v>Daily</v>
    <v>45953</v>
    <v>46318</v>
    <v>0</v>
    <v>1</v>
    <v>639283104000000000,639285315776330093,0</v>
    <v>4</v>
    <v>ajg4oc</v>
    <v>XMIL:PHPM</v>
    <v>57</v>
  </rv>
  <rv s="28">
    <v>64</v>
    <v>ajg4oc</v>
    <v>Daily</v>
    <v>46022</v>
    <v>46318</v>
    <v>0</v>
    <v>1</v>
    <v>639283104000000000,639285315776330093,0</v>
    <v>2</v>
    <v>ajg4oc</v>
    <v>XMIL:PHPM</v>
    <v>58</v>
  </rv>
  <rv s="28">
    <v>64</v>
    <v>ajg4oc</v>
    <v>Daily</v>
    <v>45222</v>
    <v>46318</v>
    <v>0</v>
    <v>1</v>
    <v>639283104000000000,639285315793903848,0</v>
    <v>0</v>
    <v>ajg4oc</v>
    <v>XMIL:PHPM</v>
    <v>59</v>
  </rv>
  <rv s="28">
    <v>64</v>
    <v>ajg6ec</v>
    <v>Daily</v>
    <v>46022</v>
    <v>46318</v>
    <v>0</v>
    <v>1</v>
    <v>639283104000000000,639285315794102939,0</v>
    <v>2</v>
    <v>ajg6ec</v>
    <v>XMIL:PRY</v>
    <v>60</v>
  </rv>
  <rv s="28">
    <v>64</v>
    <v>ajg6ec</v>
    <v>Daily</v>
    <v>45953</v>
    <v>46318</v>
    <v>0</v>
    <v>1</v>
    <v>639283104000000000,639285315813237382,0</v>
    <v>4</v>
    <v>ajg6ec</v>
    <v>XMIL:PRY</v>
    <v>61</v>
  </rv>
  <rv s="28">
    <v>64</v>
    <v>ajg6ec</v>
    <v>Daily</v>
    <v>45222</v>
    <v>46318</v>
    <v>0</v>
    <v>1</v>
    <v>639283104000000000,639285315794277207,0</v>
    <v>0</v>
    <v>ajg6ec</v>
    <v>XMIL:PRY</v>
    <v>62</v>
  </rv>
  <rv s="28">
    <v>65</v>
    <v>a226p2</v>
    <v>Daily</v>
    <v>46022</v>
    <v>46318</v>
    <v>0</v>
    <v>1</v>
    <v>639283104000000000,639285315769992106,0</v>
    <v>6</v>
    <v>a226p2</v>
    <v>XNAS:ROKU</v>
    <v>63</v>
  </rv>
  <rv s="28">
    <v>65</v>
    <v>a226p2</v>
    <v>Daily</v>
    <v>45222</v>
    <v>46318</v>
    <v>0</v>
    <v>1</v>
    <v>639283104000000000,639285315770162155,0</v>
    <v>8</v>
    <v>a226p2</v>
    <v>XNAS:ROKU</v>
    <v>64</v>
  </rv>
  <rv s="28">
    <v>65</v>
    <v>a226p2</v>
    <v>Daily</v>
    <v>45953</v>
    <v>46318</v>
    <v>0</v>
    <v>1</v>
    <v>639283104000000000,639285315770162155,0</v>
    <v>10</v>
    <v>a226p2</v>
    <v>XNAS:ROKU</v>
    <v>65</v>
  </rv>
  <rv s="28">
    <v>65</v>
    <v>ccmvww</v>
    <v>Daily</v>
    <v>46022</v>
    <v>46318</v>
    <v>0</v>
    <v>1</v>
    <v>639283104000000000,639285351110687759,0</v>
    <v>6</v>
    <v>ccmvww</v>
    <v>XNYS:GEV</v>
    <v>66</v>
  </rv>
  <rv s="28">
    <v>65</v>
    <v>ccmvww</v>
    <v>Daily</v>
    <v>45953</v>
    <v>46318</v>
    <v>0</v>
    <v>1</v>
    <v>639283104000000000,639285351114997811,0</v>
    <v>10</v>
    <v>ccmvww</v>
    <v>XNYS:GEV</v>
    <v>67</v>
  </rv>
  <rv s="28">
    <v>65</v>
    <v>ccmvww</v>
    <v>Daily</v>
    <v>45222</v>
    <v>46318</v>
    <v>0</v>
    <v>1</v>
    <v>639283104000000000,639285351129637934,0</v>
    <v>68</v>
    <v>ccmvww</v>
    <v>XNYS:GEV</v>
    <v>69</v>
  </rv>
  <rv s="28">
    <v>65</v>
    <v>bptw77</v>
    <v>Daily</v>
    <v>46022</v>
    <v>46318</v>
    <v>0</v>
    <v>1</v>
    <v>639283104000000000,639285315771192645,0</v>
    <v>6</v>
    <v>bptw77</v>
    <v>XNYS:UBER</v>
    <v>70</v>
  </rv>
  <rv s="28">
    <v>65</v>
    <v>bptw77</v>
    <v>Daily</v>
    <v>45953</v>
    <v>46318</v>
    <v>0</v>
    <v>1</v>
    <v>639283104000000000,639285315771368758,0</v>
    <v>10</v>
    <v>bptw77</v>
    <v>XNYS:UBER</v>
    <v>71</v>
  </rv>
  <rv s="28">
    <v>65</v>
    <v>bptw77</v>
    <v>Daily</v>
    <v>45222</v>
    <v>46318</v>
    <v>0</v>
    <v>1</v>
    <v>639283104000000000,639285315786759115,0</v>
    <v>8</v>
    <v>bptw77</v>
    <v>XNYS:UBER</v>
    <v>72</v>
  </rv>
  <rv s="28">
    <v>64</v>
    <v>ajg477</v>
    <v>Daily</v>
    <v>45953</v>
    <v>46318</v>
    <v>0</v>
    <v>1</v>
    <v>639283104000000000,639285315793903969,0</v>
    <v>4</v>
    <v>ajg477</v>
    <v>XMIL:PHAG</v>
    <v>73</v>
  </rv>
  <rv s="28">
    <v>64</v>
    <v>ajg477</v>
    <v>Daily</v>
    <v>45222</v>
    <v>46318</v>
    <v>0</v>
    <v>1</v>
    <v>639283104000000000,639285315794973986,0</v>
    <v>0</v>
    <v>ajg477</v>
    <v>XMIL:PHAG</v>
    <v>74</v>
  </rv>
  <rv s="28">
    <v>64</v>
    <v>ajg477</v>
    <v>Daily</v>
    <v>46022</v>
    <v>46318</v>
    <v>0</v>
    <v>1</v>
    <v>639283104000000000,639285315793903969,0</v>
    <v>2</v>
    <v>ajg477</v>
    <v>XMIL:PHAG</v>
    <v>75</v>
  </rv>
  <rv s="28">
    <v>64</v>
    <v>aea5k2</v>
    <v>Daily</v>
    <v>46022</v>
    <v>46318</v>
    <v>0</v>
    <v>1</v>
    <v>639283104000000000,639285315770236508,0</v>
    <v>24</v>
    <v>aea5k2</v>
    <v>XPAR:SU</v>
    <v>76</v>
  </rv>
  <rv s="28">
    <v>64</v>
    <v>aea5k2</v>
    <v>Daily</v>
    <v>45222</v>
    <v>46318</v>
    <v>0</v>
    <v>1</v>
    <v>639283104000000000,639285315775787170,0</v>
    <v>28</v>
    <v>aea5k2</v>
    <v>XPAR:SU</v>
    <v>77</v>
  </rv>
  <rv s="28">
    <v>64</v>
    <v>aea5k2</v>
    <v>Daily</v>
    <v>45953</v>
    <v>46318</v>
    <v>0</v>
    <v>1</v>
    <v>639283104000000000,639285315775787170,0</v>
    <v>26</v>
    <v>aea5k2</v>
    <v>XPAR:SU</v>
    <v>78</v>
  </rv>
  <rv s="28">
    <v>64</v>
    <v>alobw7</v>
    <v>Daily</v>
    <v>46022</v>
    <v>46318</v>
    <v>0</v>
    <v>1</v>
    <v>639283104000000000,639285315770267089,0</v>
    <v>24</v>
    <v>alobw7</v>
    <v>XAMS:IFRB</v>
    <v>79</v>
  </rv>
  <rv s="28">
    <v>64</v>
    <v>alobw7</v>
    <v>Daily</v>
    <v>45953</v>
    <v>46318</v>
    <v>0</v>
    <v>1</v>
    <v>639283104000000000,639285315770857091,0</v>
    <v>26</v>
    <v>alobw7</v>
    <v>XAMS:IFRB</v>
    <v>80</v>
  </rv>
  <rv s="28">
    <v>64</v>
    <v>alobw7</v>
    <v>Daily</v>
    <v>45222</v>
    <v>46318</v>
    <v>0</v>
    <v>1</v>
    <v>639283104000000000,639285315770857091,0</v>
    <v>28</v>
    <v>alobw7</v>
    <v>XAMS:IFRB</v>
    <v>81</v>
  </rv>
  <rv s="28">
    <v>65</v>
    <v>a1yoa2</v>
    <v>Daily</v>
    <v>46022</v>
    <v>46318</v>
    <v>0</v>
    <v>1</v>
    <v>639283104000000000,639285315774871509,0</v>
    <v>6</v>
    <v>a1yoa2</v>
    <v>XNYS:NOW</v>
    <v>82</v>
  </rv>
  <rv s="28">
    <v>65</v>
    <v>a1yoa2</v>
    <v>Daily</v>
    <v>45953</v>
    <v>46318</v>
    <v>0</v>
    <v>1</v>
    <v>639283104000000000,639285315794352400,0</v>
    <v>10</v>
    <v>a1yoa2</v>
    <v>XNYS:NOW</v>
    <v>83</v>
  </rv>
  <rv s="28">
    <v>65</v>
    <v>a1yoa2</v>
    <v>Daily</v>
    <v>45222</v>
    <v>46318</v>
    <v>0</v>
    <v>1</v>
    <v>639283104000000000,639285315794352400,0</v>
    <v>8</v>
    <v>a1yoa2</v>
    <v>XNYS:NOW</v>
    <v>84</v>
  </rv>
  <rv s="28">
    <v>64</v>
    <v>btgxpr</v>
    <v>Daily</v>
    <v>46022</v>
    <v>46318</v>
    <v>0</v>
    <v>1</v>
    <v>639283104000000000,639285315770307095,0</v>
    <v>2</v>
    <v>btgxpr</v>
    <v>XMIL:VUAA</v>
    <v>85</v>
  </rv>
  <rv s="28">
    <v>64</v>
    <v>btgxpr</v>
    <v>Daily</v>
    <v>45222</v>
    <v>46318</v>
    <v>0</v>
    <v>1</v>
    <v>639283104000000000,639285315781347233,0</v>
    <v>0</v>
    <v>btgxpr</v>
    <v>XMIL:VUAA</v>
    <v>86</v>
  </rv>
  <rv s="28">
    <v>64</v>
    <v>btgxpr</v>
    <v>Daily</v>
    <v>45953</v>
    <v>46318</v>
    <v>0</v>
    <v>1</v>
    <v>639283104000000000,639285315781347233,0</v>
    <v>4</v>
    <v>btgxpr</v>
    <v>XMIL:VUAA</v>
    <v>87</v>
  </rv>
  <rv s="28">
    <v>65</v>
    <v>c64tvh</v>
    <v>Daily</v>
    <v>45953</v>
    <v>46318</v>
    <v>0</v>
    <v>1</v>
    <v>639283104000000000,639285315804782748,0</v>
    <v>88</v>
    <v>c64tvh</v>
    <v>XLON:URNM</v>
    <v>89</v>
  </rv>
  <rv s="28">
    <v>65</v>
    <v>c64tvh</v>
    <v>Daily</v>
    <v>45222</v>
    <v>46318</v>
    <v>0</v>
    <v>1</v>
    <v>639283104000000000,639285315812002427,0</v>
    <v>90</v>
    <v>c64tvh</v>
    <v>XLON:URNM</v>
    <v>91</v>
  </rv>
  <rv s="28">
    <v>65</v>
    <v>c64tvh</v>
    <v>Daily</v>
    <v>46022</v>
    <v>46318</v>
    <v>0</v>
    <v>1</v>
    <v>639283104000000000,639285315804782748,0</v>
    <v>92</v>
    <v>c64tvh</v>
    <v>XLON:URNM</v>
    <v>93</v>
  </rv>
  <rv s="28">
    <v>64</v>
    <v>ajffzr</v>
    <v>Daily</v>
    <v>45953</v>
    <v>46318</v>
    <v>0</v>
    <v>1</v>
    <v>639283104000000000,639285316895394822,0</v>
    <v>4</v>
    <v>ajffzr</v>
    <v>XMIL:IBGX</v>
    <v>94</v>
  </rv>
  <rv s="28">
    <v>64</v>
    <v>ajffzr</v>
    <v>Daily</v>
    <v>46022</v>
    <v>46318</v>
    <v>0</v>
    <v>1</v>
    <v>639283104000000000,639285316895394822,0</v>
    <v>2</v>
    <v>ajffzr</v>
    <v>XMIL:IBGX</v>
    <v>95</v>
  </rv>
  <rv s="28">
    <v>64</v>
    <v>ajffzr</v>
    <v>Daily</v>
    <v>45222</v>
    <v>46318</v>
    <v>0</v>
    <v>1</v>
    <v>639283104000000000,639285316895394822,0</v>
    <v>0</v>
    <v>ajffzr</v>
    <v>XMIL:IBGX</v>
    <v>96</v>
  </rv>
  <rv s="28">
    <v>65</v>
    <v>a1mou2</v>
    <v>Daily</v>
    <v>46022</v>
    <v>46318</v>
    <v>0</v>
    <v>1</v>
    <v>639283104000000000,639285315775234015,0</v>
    <v>6</v>
    <v>a1mou2</v>
    <v>XNAS:AAPL</v>
    <v>97</v>
  </rv>
  <rv s="28">
    <v>65</v>
    <v>a1mou2</v>
    <v>Daily</v>
    <v>45953</v>
    <v>46318</v>
    <v>0</v>
    <v>1</v>
    <v>639283104000000000,639285315775394027,0</v>
    <v>10</v>
    <v>a1mou2</v>
    <v>XNAS:AAPL</v>
    <v>98</v>
  </rv>
  <rv s="28">
    <v>65</v>
    <v>a1mou2</v>
    <v>Daily</v>
    <v>45222</v>
    <v>46318</v>
    <v>0</v>
    <v>1</v>
    <v>639283104000000000,639285315803274315,0</v>
    <v>8</v>
    <v>a1mou2</v>
    <v>XNAS:AAPL</v>
    <v>99</v>
  </rv>
  <rv s="28">
    <v>65</v>
    <v>a26dyc</v>
    <v>Daily</v>
    <v>46022</v>
    <v>46318</v>
    <v>0</v>
    <v>1</v>
    <v>639283104000000000,639285315769875292,0</v>
    <v>6</v>
    <v>a26dyc</v>
    <v>XNAS:NBIS</v>
    <v>100</v>
  </rv>
  <rv s="28">
    <v>65</v>
    <v>a26dyc</v>
    <v>Daily</v>
    <v>45222</v>
    <v>46318</v>
    <v>0</v>
    <v>1</v>
    <v>639283104000000000,639285315774884017,0</v>
    <v>8</v>
    <v>a26dyc</v>
    <v>XNAS:NBIS</v>
    <v>101</v>
  </rv>
  <rv s="28">
    <v>65</v>
    <v>a26dyc</v>
    <v>Daily</v>
    <v>45953</v>
    <v>46318</v>
    <v>0</v>
    <v>1</v>
    <v>639283104000000000,639285315774884017,0</v>
    <v>10</v>
    <v>a26dyc</v>
    <v>XNAS:NBIS</v>
    <v>102</v>
  </rv>
  <rv s="28">
    <v>64</v>
    <v>btgww7</v>
    <v>Daily</v>
    <v>45222</v>
    <v>46318</v>
    <v>0</v>
    <v>1</v>
    <v>639283104000000000,639285315776152432,0</v>
    <v>0</v>
    <v>btgww7</v>
    <v>XMIL:VAGF</v>
    <v>103</v>
  </rv>
  <rv s="28">
    <v>64</v>
    <v>btgww7</v>
    <v>Daily</v>
    <v>46022</v>
    <v>46318</v>
    <v>0</v>
    <v>1</v>
    <v>639283104000000000,639285315776152432,0</v>
    <v>2</v>
    <v>btgww7</v>
    <v>XMIL:VAGF</v>
    <v>104</v>
  </rv>
  <rv s="28">
    <v>64</v>
    <v>btgww7</v>
    <v>Daily</v>
    <v>45953</v>
    <v>46318</v>
    <v>0</v>
    <v>1</v>
    <v>639283104000000000,639285315776152432,0</v>
    <v>4</v>
    <v>btgww7</v>
    <v>XMIL:VAGF</v>
    <v>105</v>
  </rv>
  <rv s="28">
    <v>64</v>
    <v>ajeyzr</v>
    <v>Daily</v>
    <v>46022</v>
    <v>46318</v>
    <v>0</v>
    <v>1</v>
    <v>639283104000000000,639285316895270996,0</v>
    <v>2</v>
    <v>ajeyzr</v>
    <v>XMIL:ENEL</v>
    <v>106</v>
  </rv>
  <rv s="28">
    <v>64</v>
    <v>ajeyzr</v>
    <v>Daily</v>
    <v>45953</v>
    <v>46318</v>
    <v>0</v>
    <v>1</v>
    <v>639283104000000000,639285316896788390,0</v>
    <v>4</v>
    <v>ajeyzr</v>
    <v>XMIL:ENEL</v>
    <v>107</v>
  </rv>
  <rv s="28">
    <v>64</v>
    <v>ajeyzr</v>
    <v>Daily</v>
    <v>45222</v>
    <v>46318</v>
    <v>0</v>
    <v>1</v>
    <v>639283104000000000,639285316895452509,0</v>
    <v>0</v>
    <v>ajeyzr</v>
    <v>XMIL:ENEL</v>
    <v>108</v>
  </rv>
  <rv s="28">
    <v>64</v>
    <v>afqnf2</v>
    <v>Daily</v>
    <v>46022</v>
    <v>46318</v>
    <v>0</v>
    <v>1</v>
    <v>639283104000000000,639285315775731527,0</v>
    <v>2</v>
    <v>afqnf2</v>
    <v>XETR:BAS</v>
    <v>109</v>
  </rv>
  <rv s="28">
    <v>64</v>
    <v>afqnf2</v>
    <v>Daily</v>
    <v>45222</v>
    <v>46318</v>
    <v>0</v>
    <v>1</v>
    <v>639283104000000000,639285315775891546,0</v>
    <v>110</v>
    <v>afqnf2</v>
    <v>XETR:BAS</v>
    <v>111</v>
  </rv>
  <rv s="28">
    <v>64</v>
    <v>afqnf2</v>
    <v>Daily</v>
    <v>45953</v>
    <v>46318</v>
    <v>0</v>
    <v>1</v>
    <v>639283104000000000,639285315775891546,0</v>
    <v>4</v>
    <v>afqnf2</v>
    <v>XETR:BAS</v>
    <v>112</v>
  </rv>
  <rv s="28">
    <v>66</v>
    <v>b1ldf2</v>
    <v>Daily</v>
    <v>46022</v>
    <v>46318</v>
    <v>0</v>
    <v>1</v>
    <v>639283104000000000,639285315771187590,0</v>
    <v>113</v>
    <v>b1ldf2</v>
    <v>XSWX:ABBN</v>
    <v>114</v>
  </rv>
  <rv s="28">
    <v>66</v>
    <v>b1ldf2</v>
    <v>Daily</v>
    <v>45222</v>
    <v>46318</v>
    <v>0</v>
    <v>1</v>
    <v>639283104000000000,639285315771357607,0</v>
    <v>115</v>
    <v>b1ldf2</v>
    <v>XSWX:ABBN</v>
    <v>116</v>
  </rv>
  <rv s="28">
    <v>66</v>
    <v>b1ldf2</v>
    <v>Daily</v>
    <v>45953</v>
    <v>46318</v>
    <v>0</v>
    <v>1</v>
    <v>639283104000000000,639285315771357607,0</v>
    <v>117</v>
    <v>b1ldf2</v>
    <v>XSWX:ABBN</v>
    <v>118</v>
  </rv>
  <rv s="28">
    <v>64</v>
    <v>ajfim7</v>
    <v>Daily</v>
    <v>46022</v>
    <v>46318</v>
    <v>0</v>
    <v>1</v>
    <v>639283104000000000,639285315770433385,0</v>
    <v>2</v>
    <v>ajfim7</v>
    <v>XMIL:IHYU</v>
    <v>119</v>
  </rv>
  <rv s="28">
    <v>64</v>
    <v>ajfim7</v>
    <v>Daily</v>
    <v>45222</v>
    <v>46318</v>
    <v>0</v>
    <v>1</v>
    <v>639283104000000000,639285315794562397,0</v>
    <v>0</v>
    <v>ajfim7</v>
    <v>XMIL:IHYU</v>
    <v>120</v>
  </rv>
  <rv s="28">
    <v>64</v>
    <v>ajfim7</v>
    <v>Daily</v>
    <v>45953</v>
    <v>46318</v>
    <v>0</v>
    <v>1</v>
    <v>639283104000000000,639285315794562397,0</v>
    <v>4</v>
    <v>ajfim7</v>
    <v>XMIL:IHYU</v>
    <v>121</v>
  </rv>
  <rv s="28">
    <v>65</v>
    <v>a21icw</v>
    <v>Daily</v>
    <v>46022</v>
    <v>46318</v>
    <v>0</v>
    <v>1</v>
    <v>639283104000000000,639285315770337499,0</v>
    <v>6</v>
    <v>a21icw</v>
    <v>XNAS:PYPL</v>
    <v>122</v>
  </rv>
  <rv s="28">
    <v>65</v>
    <v>a21icw</v>
    <v>Daily</v>
    <v>45222</v>
    <v>46318</v>
    <v>0</v>
    <v>1</v>
    <v>639283104000000000,639285315770507531,0</v>
    <v>8</v>
    <v>a21icw</v>
    <v>XNAS:PYPL</v>
    <v>123</v>
  </rv>
  <rv s="28">
    <v>65</v>
    <v>a21icw</v>
    <v>Daily</v>
    <v>45953</v>
    <v>46318</v>
    <v>0</v>
    <v>1</v>
    <v>639283104000000000,639285315770507531,0</v>
    <v>10</v>
    <v>a21icw</v>
    <v>XNAS:PYPL</v>
    <v>124</v>
  </rv>
  <rv s="28">
    <v>65</v>
    <v>a24kar</v>
    <v>Daily</v>
    <v>46022</v>
    <v>46318</v>
    <v>0</v>
    <v>1</v>
    <v>639283104000000000,639285315771202032,0</v>
    <v>6</v>
    <v>a24kar</v>
    <v>XNAS:TSLA</v>
    <v>125</v>
  </rv>
  <rv s="28">
    <v>65</v>
    <v>a24kar</v>
    <v>Daily</v>
    <v>45222</v>
    <v>46318</v>
    <v>0</v>
    <v>1</v>
    <v>639283104000000000,639285315771771986,0</v>
    <v>8</v>
    <v>a24kar</v>
    <v>XNAS:TSLA</v>
    <v>126</v>
  </rv>
  <rv s="28">
    <v>65</v>
    <v>a24kar</v>
    <v>Daily</v>
    <v>45953</v>
    <v>46318</v>
    <v>0</v>
    <v>1</v>
    <v>639283104000000000,639285315771771986,0</v>
    <v>10</v>
    <v>a24kar</v>
    <v>XNAS:TSLA</v>
    <v>127</v>
  </rv>
  <rv s="28">
    <v>67</v>
    <v>aqcdfr</v>
    <v>Daily</v>
    <v>46022</v>
    <v>46318</v>
    <v>0</v>
    <v>1</v>
    <v>639283104000000000,639285315770147053,0</v>
    <v>128</v>
    <v>aqcdfr</v>
    <v>XWAR:MDB</v>
    <v>129</v>
  </rv>
  <rv s="28">
    <v>67</v>
    <v>aqcdfr</v>
    <v>Daily</v>
    <v>45953</v>
    <v>46318</v>
    <v>0</v>
    <v>1</v>
    <v>639283104000000000,639285315793973055,0</v>
    <v>130</v>
    <v>aqcdfr</v>
    <v>XWAR:MDB</v>
    <v>131</v>
  </rv>
  <rv s="28">
    <v>67</v>
    <v>aqcdfr</v>
    <v>Daily</v>
    <v>45222</v>
    <v>46318</v>
    <v>0</v>
    <v>1</v>
    <v>639283104000000000,639285315803913244,0</v>
    <v>132</v>
    <v>aqcdfr</v>
    <v>XWAR:MDB</v>
    <v>133</v>
  </rv>
  <rv s="28">
    <v>64</v>
    <v>aea12w</v>
    <v>Daily</v>
    <v>46022</v>
    <v>46318</v>
    <v>0</v>
    <v>1</v>
    <v>639283104000000000,639285315769892632,0</v>
    <v>24</v>
    <v>aea12w</v>
    <v>XPAR:SGO</v>
    <v>134</v>
  </rv>
  <rv s="28">
    <v>64</v>
    <v>aea12w</v>
    <v>Daily</v>
    <v>45222</v>
    <v>46318</v>
    <v>0</v>
    <v>1</v>
    <v>639283104000000000,639285315786049099,0</v>
    <v>28</v>
    <v>aea12w</v>
    <v>XPAR:SGO</v>
    <v>135</v>
  </rv>
  <rv s="28">
    <v>64</v>
    <v>aea12w</v>
    <v>Daily</v>
    <v>45953</v>
    <v>46318</v>
    <v>0</v>
    <v>1</v>
    <v>639283104000000000,639285315786049099,0</v>
    <v>26</v>
    <v>aea12w</v>
    <v>XPAR:SGO</v>
    <v>136</v>
  </rv>
  <rv s="28">
    <v>65</v>
    <v>a1qe5r</v>
    <v>Daily</v>
    <v>46022</v>
    <v>46318</v>
    <v>0</v>
    <v>1</v>
    <v>639283104000000000,639285315770677052,0</v>
    <v>6</v>
    <v>a1qe5r</v>
    <v>XNAS:CSCO</v>
    <v>137</v>
  </rv>
  <rv s="28">
    <v>65</v>
    <v>a1qe5r</v>
    <v>Daily</v>
    <v>45222</v>
    <v>46318</v>
    <v>0</v>
    <v>1</v>
    <v>639283104000000000,639285315770847292,0</v>
    <v>8</v>
    <v>a1qe5r</v>
    <v>XNAS:CSCO</v>
    <v>138</v>
  </rv>
  <rv s="28">
    <v>65</v>
    <v>a1qe5r</v>
    <v>Daily</v>
    <v>45953</v>
    <v>46318</v>
    <v>0</v>
    <v>1</v>
    <v>639283104000000000,639285315770847292,0</v>
    <v>10</v>
    <v>a1qe5r</v>
    <v>XNAS:CSCO</v>
    <v>139</v>
  </rv>
  <rv s="28">
    <v>64</v>
    <v>ae96u2</v>
    <v>Daily</v>
    <v>46022</v>
    <v>46318</v>
    <v>0</v>
    <v>1</v>
    <v>639283104000000000,639285315775801536,0</v>
    <v>24</v>
    <v>ae96u2</v>
    <v>XPAR:MC</v>
    <v>140</v>
  </rv>
  <rv s="28">
    <v>64</v>
    <v>ae96u2</v>
    <v>Daily</v>
    <v>45222</v>
    <v>46318</v>
    <v>0</v>
    <v>1</v>
    <v>639283104000000000,639285315775987189,0</v>
    <v>28</v>
    <v>ae96u2</v>
    <v>XPAR:MC</v>
    <v>141</v>
  </rv>
  <rv s="28">
    <v>64</v>
    <v>ae96u2</v>
    <v>Daily</v>
    <v>45953</v>
    <v>46318</v>
    <v>0</v>
    <v>1</v>
    <v>639283104000000000,639285315775987189,0</v>
    <v>26</v>
    <v>ae96u2</v>
    <v>XPAR:MC</v>
    <v>142</v>
  </rv>
  <rv s="28">
    <v>65</v>
    <v>a1xadm</v>
    <v>Daily</v>
    <v>46022</v>
    <v>46318</v>
    <v>0</v>
    <v>1</v>
    <v>639283104000000000,639285315769983379,0</v>
    <v>6</v>
    <v>a1xadm</v>
    <v>XNAS:MARA</v>
    <v>143</v>
  </rv>
  <rv s="28">
    <v>65</v>
    <v>a1xadm</v>
    <v>Daily</v>
    <v>45222</v>
    <v>46318</v>
    <v>0</v>
    <v>1</v>
    <v>639283104000000000,639285315769832078,0</v>
    <v>8</v>
    <v>a1xadm</v>
    <v>XNAS:MARA</v>
    <v>144</v>
  </rv>
  <rv s="28">
    <v>65</v>
    <v>a1xadm</v>
    <v>Daily</v>
    <v>45953</v>
    <v>46318</v>
    <v>0</v>
    <v>1</v>
    <v>639283104000000000,639285315769832078,0</v>
    <v>10</v>
    <v>a1xadm</v>
    <v>XNAS:MARA</v>
    <v>145</v>
  </rv>
  <rv s="28">
    <v>65</v>
    <v>a1ynp2</v>
    <v>Daily</v>
    <v>46022</v>
    <v>46318</v>
    <v>0</v>
    <v>1</v>
    <v>639283104000000000,639285315770423480,0</v>
    <v>6</v>
    <v>a1ynp2</v>
    <v>XNYS:NOK</v>
    <v>146</v>
  </rv>
  <rv s="28">
    <v>65</v>
    <v>a1ynp2</v>
    <v>Daily</v>
    <v>45222</v>
    <v>46318</v>
    <v>0</v>
    <v>1</v>
    <v>639283104000000000,639285315775213541,0</v>
    <v>8</v>
    <v>a1ynp2</v>
    <v>XNYS:NOK</v>
    <v>147</v>
  </rv>
  <rv s="28">
    <v>65</v>
    <v>a1ynp2</v>
    <v>Daily</v>
    <v>45953</v>
    <v>46318</v>
    <v>0</v>
    <v>1</v>
    <v>639283104000000000,639285315775213541,0</v>
    <v>10</v>
    <v>a1ynp2</v>
    <v>XNYS:NOK</v>
    <v>148</v>
  </rv>
  <rv s="28">
    <v>65</v>
    <v>bh5hqh</v>
    <v>Daily</v>
    <v>46022</v>
    <v>46318</v>
    <v>0</v>
    <v>1</v>
    <v>639283104000000000,639285315770587050,0</v>
    <v>6</v>
    <v>bh5hqh</v>
    <v>XNAS:ESTA</v>
    <v>149</v>
  </rv>
  <rv s="28">
    <v>65</v>
    <v>bh5hqh</v>
    <v>Daily</v>
    <v>45222</v>
    <v>46318</v>
    <v>0</v>
    <v>1</v>
    <v>639283104000000000,639285315770757056,0</v>
    <v>8</v>
    <v>bh5hqh</v>
    <v>XNAS:ESTA</v>
    <v>150</v>
  </rv>
  <rv s="28">
    <v>65</v>
    <v>bh5hqh</v>
    <v>Daily</v>
    <v>45953</v>
    <v>46318</v>
    <v>0</v>
    <v>1</v>
    <v>639283104000000000,639285315770757056,0</v>
    <v>10</v>
    <v>bh5hqh</v>
    <v>XNAS:ESTA</v>
    <v>151</v>
  </rv>
  <rv s="28">
    <v>65</v>
    <v>a269ec</v>
    <v>Daily</v>
    <v>46022</v>
    <v>46318</v>
    <v>0</v>
    <v>1</v>
    <v>639283104000000000,639285315775623529,0</v>
    <v>6</v>
    <v>a269ec</v>
    <v>XNYS:XOM</v>
    <v>152</v>
  </rv>
  <rv s="28">
    <v>65</v>
    <v>a269ec</v>
    <v>Daily</v>
    <v>45222</v>
    <v>46318</v>
    <v>0</v>
    <v>1</v>
    <v>639283104000000000,639285315775802160,0</v>
    <v>8</v>
    <v>a269ec</v>
    <v>XNYS:XOM</v>
    <v>153</v>
  </rv>
  <rv s="28">
    <v>65</v>
    <v>a269ec</v>
    <v>Daily</v>
    <v>45953</v>
    <v>46318</v>
    <v>0</v>
    <v>1</v>
    <v>639283104000000000,639285315775802160,0</v>
    <v>10</v>
    <v>a269ec</v>
    <v>XNYS:XOM</v>
    <v>154</v>
  </rv>
  <rv s="28">
    <v>65</v>
    <v>a1tym7</v>
    <v>Daily</v>
    <v>46022</v>
    <v>46318</v>
    <v>0</v>
    <v>1</v>
    <v>639283104000000000,639285315770932383,0</v>
    <v>6</v>
    <v>a1tym7</v>
    <v>XNYS:GLW</v>
    <v>155</v>
  </rv>
  <rv s="28">
    <v>65</v>
    <v>a1tym7</v>
    <v>Daily</v>
    <v>45953</v>
    <v>46318</v>
    <v>0</v>
    <v>1</v>
    <v>639283104000000000,639285315812222885,0</v>
    <v>10</v>
    <v>a1tym7</v>
    <v>XNYS:GLW</v>
    <v>156</v>
  </rv>
  <rv s="28">
    <v>65</v>
    <v>a1tym7</v>
    <v>Daily</v>
    <v>45222</v>
    <v>46318</v>
    <v>0</v>
    <v>1</v>
    <v>639283104000000000,639285315802682349,0</v>
    <v>8</v>
    <v>a1tym7</v>
    <v>XNYS:GLW</v>
    <v>157</v>
  </rv>
  <rv s="28">
    <v>64</v>
    <v>ajh9lh</v>
    <v>Daily</v>
    <v>46022</v>
    <v>46318</v>
    <v>0</v>
    <v>1</v>
    <v>639283104000000000,639285315813650870,0</v>
    <v>2</v>
    <v>ajh9lh</v>
    <v>XMIL:XSGI</v>
    <v>158</v>
  </rv>
  <rv s="28">
    <v>64</v>
    <v>ajh9lh</v>
    <v>Daily</v>
    <v>45222</v>
    <v>46318</v>
    <v>0</v>
    <v>1</v>
    <v>639283104000000000,639285315813650870,0</v>
    <v>0</v>
    <v>ajh9lh</v>
    <v>XMIL:XSGI</v>
    <v>159</v>
  </rv>
  <rv s="28">
    <v>64</v>
    <v>ajh9lh</v>
    <v>Daily</v>
    <v>45953</v>
    <v>46318</v>
    <v>0</v>
    <v>1</v>
    <v>639283104000000000,639285315813650870,0</v>
    <v>4</v>
    <v>ajh9lh</v>
    <v>XMIL:XSGI</v>
    <v>160</v>
  </rv>
  <rv s="28">
    <v>64</v>
    <v>ajfkhw</v>
    <v>Daily</v>
    <v>45222</v>
    <v>46318</v>
    <v>0</v>
    <v>1</v>
    <v>639283104000000000,639285315774982678,0</v>
    <v>0</v>
    <v>ajfkhw</v>
    <v>XMIL:INFL</v>
    <v>161</v>
  </rv>
  <rv s="28">
    <v>64</v>
    <v>ajfkhw</v>
    <v>Daily</v>
    <v>46022</v>
    <v>46318</v>
    <v>0</v>
    <v>1</v>
    <v>639283104000000000,639285315774982678,0</v>
    <v>2</v>
    <v>ajfkhw</v>
    <v>XMIL:INFL</v>
    <v>162</v>
  </rv>
  <rv s="28">
    <v>64</v>
    <v>ajfkhw</v>
    <v>Daily</v>
    <v>45953</v>
    <v>46318</v>
    <v>0</v>
    <v>1</v>
    <v>639283104000000000,639285315774982678,0</v>
    <v>4</v>
    <v>ajfkhw</v>
    <v>XMIL:INFL</v>
    <v>163</v>
  </rv>
  <rv s="28">
    <v>65</v>
    <v>bxi7yc</v>
    <v>Daily</v>
    <v>46022</v>
    <v>46318</v>
    <v>0</v>
    <v>1</v>
    <v>639283104000000000,639285315786655835,0</v>
    <v>6</v>
    <v>bxi7yc</v>
    <v>XNAS:NVTS</v>
    <v>164</v>
  </rv>
  <rv s="28">
    <v>65</v>
    <v>bxi7yc</v>
    <v>Daily</v>
    <v>45953</v>
    <v>46318</v>
    <v>0</v>
    <v>1</v>
    <v>639283104000000000,639285315803647269,0</v>
    <v>10</v>
    <v>bxi7yc</v>
    <v>XNAS:NVTS</v>
    <v>165</v>
  </rv>
  <rv s="28">
    <v>65</v>
    <v>bxi7yc</v>
    <v>Daily</v>
    <v>45222</v>
    <v>46318</v>
    <v>0</v>
    <v>1</v>
    <v>639283104000000000,639285315803647269,0</v>
    <v>8</v>
    <v>bxi7yc</v>
    <v>XNAS:NVTS</v>
    <v>166</v>
  </rv>
  <rv s="28">
    <v>65</v>
    <v>a1xzim</v>
    <v>Daily</v>
    <v>46022</v>
    <v>46318</v>
    <v>0</v>
    <v>1</v>
    <v>639283104000000000,639285315770026518,0</v>
    <v>6</v>
    <v>a1xzim</v>
    <v>XNAS:MSFT</v>
    <v>167</v>
  </rv>
  <rv s="28">
    <v>65</v>
    <v>a1xzim</v>
    <v>Daily</v>
    <v>45953</v>
    <v>46318</v>
    <v>0</v>
    <v>1</v>
    <v>639283104000000000,639285315804167611,0</v>
    <v>10</v>
    <v>a1xzim</v>
    <v>XNAS:MSFT</v>
    <v>168</v>
  </rv>
  <rv s="28">
    <v>65</v>
    <v>a1xzim</v>
    <v>Daily</v>
    <v>45222</v>
    <v>46318</v>
    <v>0</v>
    <v>1</v>
    <v>639283104000000000,639285315804167611,0</v>
    <v>8</v>
    <v>a1xzim</v>
    <v>XNAS:MSFT</v>
    <v>169</v>
  </rv>
  <rv s="28">
    <v>65</v>
    <v>a2x7qh</v>
    <v>Daily</v>
    <v>46022</v>
    <v>46318</v>
    <v>0</v>
    <v>1</v>
    <v>639283104000000000,639285315771377053,0</v>
    <v>6</v>
    <v>a2x7qh</v>
    <v>OTCM:STMEF</v>
    <v>170</v>
  </rv>
  <rv s="28">
    <v>65</v>
    <v>a2x7qh</v>
    <v>Daily</v>
    <v>45222</v>
    <v>46318</v>
    <v>0</v>
    <v>1</v>
    <v>639283104000000000,639285315771547050,0</v>
    <v>8</v>
    <v>a2x7qh</v>
    <v>OTCM:STMEF</v>
    <v>171</v>
  </rv>
  <rv s="28">
    <v>65</v>
    <v>a2x7qh</v>
    <v>Daily</v>
    <v>45953</v>
    <v>46318</v>
    <v>0</v>
    <v>1</v>
    <v>639283104000000000,639285315771547050,0</v>
    <v>10</v>
    <v>a2x7qh</v>
    <v>OTCM:STMEF</v>
    <v>172</v>
  </rv>
  <rv s="28">
    <v>64</v>
    <v>ae9qim</v>
    <v>Daily</v>
    <v>46022</v>
    <v>46318</v>
    <v>0</v>
    <v>1</v>
    <v>639283104000000000,639285315775385428,0</v>
    <v>24</v>
    <v>ae9qim</v>
    <v>XPAR:OR</v>
    <v>173</v>
  </rv>
  <rv s="28">
    <v>64</v>
    <v>ae9qim</v>
    <v>Daily</v>
    <v>45953</v>
    <v>46318</v>
    <v>0</v>
    <v>1</v>
    <v>639283104000000000,639285315775555368,0</v>
    <v>26</v>
    <v>ae9qim</v>
    <v>XPAR:OR</v>
    <v>174</v>
  </rv>
  <rv s="28">
    <v>64</v>
    <v>ae9qim</v>
    <v>Daily</v>
    <v>45222</v>
    <v>46318</v>
    <v>0</v>
    <v>1</v>
    <v>639283104000000000,639285315804278071,0</v>
    <v>28</v>
    <v>ae9qim</v>
    <v>XPAR:OR</v>
    <v>175</v>
  </rv>
  <rv s="28">
    <v>65</v>
    <v>a1retc</v>
    <v>Daily</v>
    <v>46022</v>
    <v>46318</v>
    <v>0</v>
    <v>1</v>
    <v>639283104000000000,639285315770693391,0</v>
    <v>6</v>
    <v>a1retc</v>
    <v>XNYS:DELL</v>
    <v>176</v>
  </rv>
  <rv s="28">
    <v>65</v>
    <v>a1retc</v>
    <v>Daily</v>
    <v>45222</v>
    <v>46318</v>
    <v>0</v>
    <v>1</v>
    <v>639283104000000000,639285315771013398,0</v>
    <v>8</v>
    <v>a1retc</v>
    <v>XNYS:DELL</v>
    <v>177</v>
  </rv>
  <rv s="28">
    <v>65</v>
    <v>a1retc</v>
    <v>Daily</v>
    <v>45953</v>
    <v>46318</v>
    <v>0</v>
    <v>1</v>
    <v>639283104000000000,639285315771013398,0</v>
    <v>10</v>
    <v>a1retc</v>
    <v>XNYS:DELL</v>
    <v>178</v>
  </rv>
  <rv s="28">
    <v>64</v>
    <v>ajhb8m</v>
    <v>Daily</v>
    <v>46022</v>
    <v>46318</v>
    <v>0</v>
    <v>1</v>
    <v>639283104000000000,639285315770247044,0</v>
    <v>2</v>
    <v>ajhb8m</v>
    <v>XMIL:XXSC</v>
    <v>179</v>
  </rv>
  <rv s="28">
    <v>64</v>
    <v>ajhb8m</v>
    <v>Daily</v>
    <v>45222</v>
    <v>46318</v>
    <v>0</v>
    <v>1</v>
    <v>639283104000000000,639285315786147158,0</v>
    <v>0</v>
    <v>ajhb8m</v>
    <v>XMIL:XXSC</v>
    <v>180</v>
  </rv>
  <rv s="28">
    <v>64</v>
    <v>ajhb8m</v>
    <v>Daily</v>
    <v>45953</v>
    <v>46318</v>
    <v>0</v>
    <v>1</v>
    <v>639283104000000000,639285315786147158,0</v>
    <v>4</v>
    <v>ajhb8m</v>
    <v>XMIL:XXSC</v>
    <v>181</v>
  </rv>
  <rv s="28">
    <v>64</v>
    <v>c8srvh</v>
    <v>Daily</v>
    <v>45222</v>
    <v>46318</v>
    <v>0</v>
    <v>1</v>
    <v>639283104000000000,639285315794400368,0</v>
    <v>0</v>
    <v>c8srvh</v>
    <v>XMIL:ANAU</v>
    <v>182</v>
  </rv>
  <rv s="28">
    <v>64</v>
    <v>c8srvh</v>
    <v>Daily</v>
    <v>46022</v>
    <v>46318</v>
    <v>0</v>
    <v>1</v>
    <v>639283104000000000,639285315794400368,0</v>
    <v>2</v>
    <v>c8srvh</v>
    <v>XMIL:ANAU</v>
    <v>183</v>
  </rv>
  <rv s="28">
    <v>64</v>
    <v>c8srvh</v>
    <v>Daily</v>
    <v>45953</v>
    <v>46318</v>
    <v>0</v>
    <v>1</v>
    <v>639283104000000000,639285315794400368,0</v>
    <v>4</v>
    <v>c8srvh</v>
    <v>XMIL:ANAU</v>
    <v>184</v>
  </rv>
  <rv s="28">
    <v>65</v>
    <v>a1nwjc</v>
    <v>Daily</v>
    <v>46022</v>
    <v>46318</v>
    <v>0</v>
    <v>1</v>
    <v>639283104000000000,639285315771333496,0</v>
    <v>6</v>
    <v>a1nwjc</v>
    <v>XNAS:ATOM</v>
    <v>185</v>
  </rv>
  <rv s="28">
    <v>65</v>
    <v>a1nwjc</v>
    <v>Daily</v>
    <v>45953</v>
    <v>46318</v>
    <v>0</v>
    <v>1</v>
    <v>639283104000000000,639285315812014210,0</v>
    <v>10</v>
    <v>a1nwjc</v>
    <v>XNAS:ATOM</v>
    <v>186</v>
  </rv>
  <rv s="28">
    <v>65</v>
    <v>a1nwjc</v>
    <v>Daily</v>
    <v>45222</v>
    <v>46318</v>
    <v>0</v>
    <v>1</v>
    <v>639283104000000000,639285315803574021,0</v>
    <v>8</v>
    <v>a1nwjc</v>
    <v>XNAS:ATOM</v>
    <v>187</v>
  </rv>
  <rv s="28">
    <v>65</v>
    <v>ciw55r</v>
    <v>Daily</v>
    <v>46022</v>
    <v>46318</v>
    <v>0</v>
    <v>1</v>
    <v>639283104000000000,639285351114858388,0</v>
    <v>113</v>
    <v>ciw55r</v>
    <v>XSWX:PLTR</v>
    <v>188</v>
  </rv>
  <rv s="28">
    <v>65</v>
    <v>ciw55r</v>
    <v>Daily</v>
    <v>45222</v>
    <v>46318</v>
    <v>0</v>
    <v>1</v>
    <v>639283104000000000,639285351115038388,0</v>
    <v>189</v>
    <v>ciw55r</v>
    <v>XSWX:PLTR</v>
    <v>190</v>
  </rv>
  <rv s="28">
    <v>65</v>
    <v>ciw55r</v>
    <v>Daily</v>
    <v>45953</v>
    <v>46318</v>
    <v>0</v>
    <v>1</v>
    <v>639283104000000000,639285351115038388,0</v>
    <v>191</v>
    <v>ciw55r</v>
    <v>XSWX:PLTR</v>
    <v>190</v>
  </rv>
  <rv s="28">
    <v>65</v>
    <v>a25rnm</v>
    <v>Daily</v>
    <v>46022</v>
    <v>46318</v>
    <v>0</v>
    <v>1</v>
    <v>639283104000000000,639285315785595522,0</v>
    <v>6</v>
    <v>a25rnm</v>
    <v>XNAS:WDC</v>
    <v>192</v>
  </rv>
  <rv s="28">
    <v>65</v>
    <v>a25rnm</v>
    <v>Daily</v>
    <v>45953</v>
    <v>46318</v>
    <v>0</v>
    <v>1</v>
    <v>639283104000000000,639285315805304346,0</v>
    <v>10</v>
    <v>a25rnm</v>
    <v>XNAS:WDC</v>
    <v>193</v>
  </rv>
  <rv s="28">
    <v>65</v>
    <v>a25rnm</v>
    <v>Daily</v>
    <v>45222</v>
    <v>46318</v>
    <v>0</v>
    <v>1</v>
    <v>639283104000000000,639285315812375968,0</v>
    <v>8</v>
    <v>a25rnm</v>
    <v>XNAS:WDC</v>
    <v>194</v>
  </rv>
  <rv s="28">
    <v>64</v>
    <v>buqwim</v>
    <v>Daily</v>
    <v>45222</v>
    <v>46318</v>
    <v>0</v>
    <v>1</v>
    <v>639283104000000000,639285315776637117,0</v>
    <v>110</v>
    <v>buqwim</v>
    <v>XETR:VGWE</v>
    <v>195</v>
  </rv>
  <rv s="28">
    <v>64</v>
    <v>buqwim</v>
    <v>Daily</v>
    <v>45953</v>
    <v>46318</v>
    <v>0</v>
    <v>1</v>
    <v>639283104000000000,639285315776637117,0</v>
    <v>4</v>
    <v>buqwim</v>
    <v>XETR:VGWE</v>
    <v>196</v>
  </rv>
  <rv s="28">
    <v>64</v>
    <v>buqwim</v>
    <v>Daily</v>
    <v>46022</v>
    <v>46318</v>
    <v>0</v>
    <v>1</v>
    <v>639283104000000000,639285315776637117,0</v>
    <v>2</v>
    <v>buqwim</v>
    <v>XETR:VGWE</v>
    <v>197</v>
  </rv>
  <rv s="28">
    <v>64</v>
    <v>ajfg9c</v>
    <v>Daily</v>
    <v>46022</v>
    <v>46318</v>
    <v>0</v>
    <v>1</v>
    <v>639283104000000000,639285315771119313,0</v>
    <v>2</v>
    <v>ajfg9c</v>
    <v>XMIL:IBTM</v>
    <v>198</v>
  </rv>
  <rv s="28">
    <v>64</v>
    <v>ajfg9c</v>
    <v>Daily</v>
    <v>45222</v>
    <v>46318</v>
    <v>0</v>
    <v>1</v>
    <v>639283104000000000,639285315775959418,0</v>
    <v>0</v>
    <v>ajfg9c</v>
    <v>XMIL:IBTM</v>
    <v>199</v>
  </rv>
  <rv s="28">
    <v>64</v>
    <v>ajfg9c</v>
    <v>Daily</v>
    <v>45953</v>
    <v>46318</v>
    <v>0</v>
    <v>1</v>
    <v>639283104000000000,639285315775959418,0</v>
    <v>4</v>
    <v>ajfg9c</v>
    <v>XMIL:IBTM</v>
    <v>200</v>
  </rv>
  <rv s="28">
    <v>65</v>
    <v>c1uvkr</v>
    <v>Daily</v>
    <v>46022</v>
    <v>46318</v>
    <v>0</v>
    <v>1</v>
    <v>639283104000000000,639285315775107622,0</v>
    <v>6</v>
    <v>c1uvkr</v>
    <v>XNAS:RGTI</v>
    <v>201</v>
  </rv>
  <rv s="28">
    <v>65</v>
    <v>c1uvkr</v>
    <v>Daily</v>
    <v>45222</v>
    <v>46318</v>
    <v>0</v>
    <v>1</v>
    <v>639283104000000000,639285315812038513,0</v>
    <v>8</v>
    <v>c1uvkr</v>
    <v>XNAS:RGTI</v>
    <v>202</v>
  </rv>
  <rv s="28">
    <v>65</v>
    <v>c1uvkr</v>
    <v>Daily</v>
    <v>45953</v>
    <v>46318</v>
    <v>0</v>
    <v>1</v>
    <v>639283104000000000,639285315812038513,0</v>
    <v>10</v>
    <v>c1uvkr</v>
    <v>XNAS:RGTI</v>
    <v>203</v>
  </rv>
  <rv s="28">
    <v>64</v>
    <v>ajgrar</v>
    <v>Daily</v>
    <v>46022</v>
    <v>46318</v>
    <v>0</v>
    <v>1</v>
    <v>639283104000000000,639285315770671465,0</v>
    <v>2</v>
    <v>ajgrar</v>
    <v>XMIL:UCG</v>
    <v>204</v>
  </rv>
  <rv s="28">
    <v>64</v>
    <v>ajgrar</v>
    <v>Daily</v>
    <v>45222</v>
    <v>46318</v>
    <v>0</v>
    <v>1</v>
    <v>639283104000000000,639285315770857513,0</v>
    <v>0</v>
    <v>ajgrar</v>
    <v>XMIL:UCG</v>
    <v>205</v>
  </rv>
  <rv s="28">
    <v>64</v>
    <v>ajgrar</v>
    <v>Daily</v>
    <v>45953</v>
    <v>46318</v>
    <v>0</v>
    <v>1</v>
    <v>639283104000000000,639285315770857513,0</v>
    <v>4</v>
    <v>ajgrar</v>
    <v>XMIL:UCG</v>
    <v>206</v>
  </rv>
  <rv s="28">
    <v>64</v>
    <v>ajh78m</v>
    <v>Daily</v>
    <v>46022</v>
    <v>46318</v>
    <v>0</v>
    <v>1</v>
    <v>639283104000000000,639285315786352833,0</v>
    <v>2</v>
    <v>ajh78m</v>
    <v>XMIL:XMK9</v>
    <v>207</v>
  </rv>
  <rv s="28">
    <v>64</v>
    <v>ajh78m</v>
    <v>Daily</v>
    <v>45953</v>
    <v>46318</v>
    <v>0</v>
    <v>1</v>
    <v>639283104000000000,639285315812206174,0</v>
    <v>4</v>
    <v>ajh78m</v>
    <v>XMIL:XMK9</v>
    <v>208</v>
  </rv>
  <rv s="28">
    <v>64</v>
    <v>ajh78m</v>
    <v>Daily</v>
    <v>45222</v>
    <v>46318</v>
    <v>0</v>
    <v>1</v>
    <v>639283104000000000,639285315794625948,0</v>
    <v>0</v>
    <v>ajh78m</v>
    <v>XMIL:XMK9</v>
    <v>209</v>
  </rv>
  <rv s="28">
    <v>64</v>
    <v>afsek2</v>
    <v>Daily</v>
    <v>45222</v>
    <v>46318</v>
    <v>0</v>
    <v>1</v>
    <v>639283104000000000,639285315774932149,0</v>
    <v>110</v>
    <v>afsek2</v>
    <v>XETR:IQQK</v>
    <v>210</v>
  </rv>
  <rv s="28">
    <v>64</v>
    <v>afsek2</v>
    <v>Daily</v>
    <v>46022</v>
    <v>46318</v>
    <v>0</v>
    <v>1</v>
    <v>639283104000000000,639285315774932149,0</v>
    <v>2</v>
    <v>afsek2</v>
    <v>XETR:IQQK</v>
    <v>211</v>
  </rv>
  <rv s="28">
    <v>64</v>
    <v>afsek2</v>
    <v>Daily</v>
    <v>45953</v>
    <v>46318</v>
    <v>0</v>
    <v>1</v>
    <v>639283104000000000,639285315774932149,0</v>
    <v>4</v>
    <v>afsek2</v>
    <v>XETR:IQQK</v>
    <v>212</v>
  </rv>
  <rv s="28">
    <v>65</v>
    <v>a1zgm7</v>
    <v>Daily</v>
    <v>46022</v>
    <v>46318</v>
    <v>0</v>
    <v>1</v>
    <v>639283104000000000,639285315770973968,0</v>
    <v>6</v>
    <v>a1zgm7</v>
    <v>XNAS:PANW</v>
    <v>213</v>
  </rv>
  <rv s="28">
    <v>65</v>
    <v>a1zgm7</v>
    <v>Daily</v>
    <v>45953</v>
    <v>46318</v>
    <v>0</v>
    <v>1</v>
    <v>639283104000000000,639285315771145301,0</v>
    <v>10</v>
    <v>a1zgm7</v>
    <v>XNAS:PANW</v>
    <v>214</v>
  </rv>
  <rv s="28">
    <v>65</v>
    <v>a1zgm7</v>
    <v>Daily</v>
    <v>45222</v>
    <v>46318</v>
    <v>0</v>
    <v>1</v>
    <v>639283104000000000,639285315804088092,0</v>
    <v>8</v>
    <v>a1zgm7</v>
    <v>XNAS:PANW</v>
    <v>215</v>
  </rv>
  <rv s="28">
    <v>64</v>
    <v>ae8a3m</v>
    <v>Daily</v>
    <v>46022</v>
    <v>46318</v>
    <v>0</v>
    <v>1</v>
    <v>639283104000000000,639285315771547534,0</v>
    <v>24</v>
    <v>ae8a3m</v>
    <v>XPAR:CS</v>
    <v>216</v>
  </rv>
  <rv s="28">
    <v>64</v>
    <v>ae8a3m</v>
    <v>Daily</v>
    <v>45222</v>
    <v>46318</v>
    <v>0</v>
    <v>1</v>
    <v>639283104000000000,639285315769651455,0</v>
    <v>28</v>
    <v>ae8a3m</v>
    <v>XPAR:CS</v>
    <v>217</v>
  </rv>
  <rv s="28">
    <v>64</v>
    <v>ae8a3m</v>
    <v>Daily</v>
    <v>45953</v>
    <v>46318</v>
    <v>0</v>
    <v>1</v>
    <v>639283104000000000,639285315769651455,0</v>
    <v>26</v>
    <v>ae8a3m</v>
    <v>XPAR:CS</v>
    <v>218</v>
  </rv>
  <rv s="28">
    <v>65</v>
    <v>a1y1qh</v>
    <v>Daily</v>
    <v>46022</v>
    <v>46318</v>
    <v>0</v>
    <v>1</v>
    <v>639283104000000000,639285315770332021,0</v>
    <v>6</v>
    <v>a1y1qh</v>
    <v>XNAS:MSTR</v>
    <v>219</v>
  </rv>
  <rv s="28">
    <v>65</v>
    <v>a1y1qh</v>
    <v>Daily</v>
    <v>45222</v>
    <v>46318</v>
    <v>0</v>
    <v>1</v>
    <v>639283104000000000,639285315770502378,0</v>
    <v>8</v>
    <v>a1y1qh</v>
    <v>XNAS:MSTR</v>
    <v>220</v>
  </rv>
  <rv s="28">
    <v>65</v>
    <v>a1y1qh</v>
    <v>Daily</v>
    <v>45953</v>
    <v>46318</v>
    <v>0</v>
    <v>1</v>
    <v>639283104000000000,639285315770502378,0</v>
    <v>10</v>
    <v>a1y1qh</v>
    <v>XNAS:MSTR</v>
    <v>221</v>
  </rv>
  <rv s="28">
    <v>64</v>
    <v>ajenkr</v>
    <v>Daily</v>
    <v>46022</v>
    <v>46318</v>
    <v>0</v>
    <v>1</v>
    <v>639283104000000000,639285315771312029,0</v>
    <v>2</v>
    <v>ajenkr</v>
    <v>XMIL:DANR</v>
    <v>222</v>
  </rv>
  <rv s="28">
    <v>64</v>
    <v>ajenkr</v>
    <v>Daily</v>
    <v>45222</v>
    <v>46318</v>
    <v>0</v>
    <v>1</v>
    <v>639283104000000000,639285315769812367,0</v>
    <v>0</v>
    <v>ajenkr</v>
    <v>XMIL:DANR</v>
    <v>223</v>
  </rv>
  <rv s="28">
    <v>64</v>
    <v>ajenkr</v>
    <v>Daily</v>
    <v>45953</v>
    <v>46318</v>
    <v>0</v>
    <v>1</v>
    <v>639283104000000000,639285315769812367,0</v>
    <v>4</v>
    <v>ajenkr</v>
    <v>XMIL:DANR</v>
    <v>224</v>
  </rv>
  <rv s="28">
    <v>65</v>
    <v>b19hc7</v>
    <v>Daily</v>
    <v>46022</v>
    <v>46318</v>
    <v>0</v>
    <v>1</v>
    <v>639283104000000000,639285315770357055,0</v>
    <v>6</v>
    <v>b19hc7</v>
    <v>XNYS:VRT</v>
    <v>225</v>
  </rv>
  <rv s="28">
    <v>65</v>
    <v>b19hc7</v>
    <v>Daily</v>
    <v>45222</v>
    <v>46318</v>
    <v>0</v>
    <v>1</v>
    <v>639283104000000000,639285315770517046,0</v>
    <v>8</v>
    <v>b19hc7</v>
    <v>XNYS:VRT</v>
    <v>226</v>
  </rv>
  <rv s="28">
    <v>65</v>
    <v>b19hc7</v>
    <v>Daily</v>
    <v>45953</v>
    <v>46318</v>
    <v>0</v>
    <v>1</v>
    <v>639283104000000000,639285315770517046,0</v>
    <v>10</v>
    <v>b19hc7</v>
    <v>XNYS:VRT</v>
    <v>227</v>
  </rv>
  <rv s="28">
    <v>65</v>
    <v>bx11w7</v>
    <v>Daily</v>
    <v>46022</v>
    <v>46318</v>
    <v>0</v>
    <v>1</v>
    <v>639283104000000000,639285315770051993,0</v>
    <v>6</v>
    <v>bx11w7</v>
    <v>XNAS:CIFR</v>
    <v>228</v>
  </rv>
  <rv s="28">
    <v>65</v>
    <v>bx11w7</v>
    <v>Daily</v>
    <v>45222</v>
    <v>46318</v>
    <v>0</v>
    <v>1</v>
    <v>639283104000000000,639285315774930009,0</v>
    <v>8</v>
    <v>bx11w7</v>
    <v>XNAS:CIFR</v>
    <v>229</v>
  </rv>
  <rv s="28">
    <v>65</v>
    <v>bx11w7</v>
    <v>Daily</v>
    <v>45953</v>
    <v>46318</v>
    <v>0</v>
    <v>1</v>
    <v>639283104000000000,639285315774930009,0</v>
    <v>10</v>
    <v>bx11w7</v>
    <v>XNAS:CIFR</v>
    <v>230</v>
  </rv>
  <rv s="28">
    <v>64</v>
    <v>ajfwkr</v>
    <v>Daily</v>
    <v>45953</v>
    <v>46318</v>
    <v>0</v>
    <v>1</v>
    <v>639283104000000000,639285316900974341,0</v>
    <v>4</v>
    <v>ajfwkr</v>
    <v>XMIL:MEUD</v>
    <v>231</v>
  </rv>
  <rv s="28">
    <v>64</v>
    <v>ajfwkr</v>
    <v>Daily</v>
    <v>46022</v>
    <v>46318</v>
    <v>0</v>
    <v>1</v>
    <v>639283104000000000,639285316900974341,0</v>
    <v>2</v>
    <v>ajfwkr</v>
    <v>XMIL:MEUD</v>
    <v>232</v>
  </rv>
  <rv s="28">
    <v>64</v>
    <v>ajfwkr</v>
    <v>Daily</v>
    <v>45222</v>
    <v>46318</v>
    <v>0</v>
    <v>1</v>
    <v>639283104000000000,639285316896463261,0</v>
    <v>0</v>
    <v>ajfwkr</v>
    <v>XMIL:MEUD</v>
    <v>233</v>
  </rv>
  <rv s="28">
    <v>64</v>
    <v>ajexdm</v>
    <v>Daily</v>
    <v>46022</v>
    <v>46318</v>
    <v>0</v>
    <v>1</v>
    <v>639283104000000000,639285315774835944,0</v>
    <v>2</v>
    <v>ajexdm</v>
    <v>XMIL:EMHD</v>
    <v>234</v>
  </rv>
  <rv s="28">
    <v>64</v>
    <v>ajexdm</v>
    <v>Daily</v>
    <v>45953</v>
    <v>46318</v>
    <v>0</v>
    <v>1</v>
    <v>639283104000000000,639285315804433251,0</v>
    <v>4</v>
    <v>ajexdm</v>
    <v>XMIL:EMHD</v>
    <v>235</v>
  </rv>
  <rv s="28">
    <v>64</v>
    <v>ajexdm</v>
    <v>Daily</v>
    <v>45222</v>
    <v>46318</v>
    <v>0</v>
    <v>1</v>
    <v>639283104000000000,639285315787066092,0</v>
    <v>0</v>
    <v>ajexdm</v>
    <v>XMIL:EMHD</v>
    <v>236</v>
  </rv>
  <rv s="28">
    <v>64</v>
    <v>ajfixm</v>
    <v>Daily</v>
    <v>46022</v>
    <v>46318</v>
    <v>0</v>
    <v>1</v>
    <v>639283104000000000,639285315770073482,0</v>
    <v>2</v>
    <v>ajfixm</v>
    <v>XMIL:IITB</v>
    <v>237</v>
  </rv>
  <rv s="28">
    <v>64</v>
    <v>ajfixm</v>
    <v>Daily</v>
    <v>45953</v>
    <v>46318</v>
    <v>0</v>
    <v>1</v>
    <v>639283104000000000,639285315776087385,0</v>
    <v>4</v>
    <v>ajfixm</v>
    <v>XMIL:IITB</v>
    <v>238</v>
  </rv>
  <rv s="28">
    <v>64</v>
    <v>ajfixm</v>
    <v>Daily</v>
    <v>45222</v>
    <v>46318</v>
    <v>0</v>
    <v>1</v>
    <v>639283104000000000,639285316896287634,0</v>
    <v>0</v>
    <v>ajfixm</v>
    <v>XMIL:IITB</v>
    <v>239</v>
  </rv>
  <rv s="28">
    <v>65</v>
    <v>c1wr27</v>
    <v>Daily</v>
    <v>46022</v>
    <v>46318</v>
    <v>0</v>
    <v>1</v>
    <v>639283104000000000,639285315771233495,0</v>
    <v>6</v>
    <v>c1wr27</v>
    <v>XNYS:ZETA</v>
    <v>240</v>
  </rv>
  <rv s="28">
    <v>65</v>
    <v>c1wr27</v>
    <v>Daily</v>
    <v>45222</v>
    <v>46318</v>
    <v>0</v>
    <v>1</v>
    <v>639283104000000000,639285315794880366,0</v>
    <v>8</v>
    <v>c1wr27</v>
    <v>XNYS:ZETA</v>
    <v>241</v>
  </rv>
  <rv s="28">
    <v>65</v>
    <v>c1wr27</v>
    <v>Daily</v>
    <v>45953</v>
    <v>46318</v>
    <v>0</v>
    <v>1</v>
    <v>639283104000000000,639285315794880366,0</v>
    <v>10</v>
    <v>c1wr27</v>
    <v>XNYS:ZETA</v>
    <v>242</v>
  </rv>
  <rv s="28">
    <v>65</v>
    <v>bxb5m7</v>
    <v>Daily</v>
    <v>46022</v>
    <v>46318</v>
    <v>0</v>
    <v>1</v>
    <v>639283104000000000,639285315770483393,0</v>
    <v>6</v>
    <v>bxb5m7</v>
    <v>XNYS:IONQ</v>
    <v>243</v>
  </rv>
  <rv s="28">
    <v>65</v>
    <v>bxb5m7</v>
    <v>Daily</v>
    <v>45953</v>
    <v>46318</v>
    <v>0</v>
    <v>1</v>
    <v>639283104000000000,639285315776513556,0</v>
    <v>10</v>
    <v>bxb5m7</v>
    <v>XNYS:IONQ</v>
    <v>244</v>
  </rv>
  <rv s="28">
    <v>65</v>
    <v>bxb5m7</v>
    <v>Daily</v>
    <v>45222</v>
    <v>46318</v>
    <v>0</v>
    <v>1</v>
    <v>639283104000000000,639285315781880418,0</v>
    <v>8</v>
    <v>bxb5m7</v>
    <v>XNYS:IONQ</v>
    <v>245</v>
  </rv>
  <rv s="28">
    <v>64</v>
    <v>ajgm8m</v>
    <v>Daily</v>
    <v>45953</v>
    <v>46318</v>
    <v>0</v>
    <v>1</v>
    <v>639283104000000000,639285315769933441,0</v>
    <v>4</v>
    <v>ajgm8m</v>
    <v>XMIL:SWDA</v>
    <v>246</v>
  </rv>
  <rv s="28">
    <v>64</v>
    <v>ajgm8m</v>
    <v>Daily</v>
    <v>46022</v>
    <v>46318</v>
    <v>0</v>
    <v>1</v>
    <v>639283104000000000,639285315769933441,0</v>
    <v>2</v>
    <v>ajgm8m</v>
    <v>XMIL:SWDA</v>
    <v>247</v>
  </rv>
  <rv s="28">
    <v>64</v>
    <v>ajgm8m</v>
    <v>Daily</v>
    <v>45222</v>
    <v>46318</v>
    <v>0</v>
    <v>1</v>
    <v>639283104000000000,639285315776703564,0</v>
    <v>0</v>
    <v>ajgm8m</v>
    <v>XMIL:SWDA</v>
    <v>248</v>
  </rv>
  <rv s="28">
    <v>64</v>
    <v>bomelh</v>
    <v>Daily</v>
    <v>46022</v>
    <v>46318</v>
    <v>0</v>
    <v>1</v>
    <v>639283104000000000,639285315812597089,0</v>
    <v>2</v>
    <v>bomelh</v>
    <v>XMIL:TNO</v>
    <v>249</v>
  </rv>
  <rv s="28">
    <v>64</v>
    <v>bomelh</v>
    <v>Daily</v>
    <v>45953</v>
    <v>46318</v>
    <v>0</v>
    <v>1</v>
    <v>639283104000000000,639285315812597089,0</v>
    <v>4</v>
    <v>bomelh</v>
    <v>XMIL:TNO</v>
    <v>250</v>
  </rv>
  <rv s="28">
    <v>64</v>
    <v>bomelh</v>
    <v>Daily</v>
    <v>45222</v>
    <v>46318</v>
    <v>0</v>
    <v>1</v>
    <v>639283104000000000,639285315812597089,0</v>
    <v>0</v>
    <v>bomelh</v>
    <v>XMIL:TNO</v>
    <v>251</v>
  </rv>
  <rv s="28">
    <v>64</v>
    <v>ajevw7</v>
    <v>Daily</v>
    <v>45953</v>
    <v>46318</v>
    <v>0</v>
    <v>1</v>
    <v>639283104000000000,639285315794325946,0</v>
    <v>4</v>
    <v>ajevw7</v>
    <v>XMIL:EM13</v>
    <v>252</v>
  </rv>
  <rv s="28">
    <v>64</v>
    <v>ajevw7</v>
    <v>Daily</v>
    <v>46022</v>
    <v>46318</v>
    <v>0</v>
    <v>1</v>
    <v>639283104000000000,639285315794325946,0</v>
    <v>2</v>
    <v>ajevw7</v>
    <v>XMIL:EM13</v>
    <v>253</v>
  </rv>
  <rv s="28">
    <v>64</v>
    <v>ajevw7</v>
    <v>Daily</v>
    <v>45222</v>
    <v>46318</v>
    <v>0</v>
    <v>1</v>
    <v>639283104000000000,639285315794325946,0</v>
    <v>0</v>
    <v>ajevw7</v>
    <v>XMIL:EM13</v>
    <v>254</v>
  </rv>
  <rv s="28">
    <v>64</v>
    <v>ajgjdm</v>
    <v>Daily</v>
    <v>45953</v>
    <v>46318</v>
    <v>0</v>
    <v>1</v>
    <v>639283104000000000,639285315775644037,0</v>
    <v>4</v>
    <v>ajgjdm</v>
    <v>XMIL:SR2000</v>
    <v>255</v>
  </rv>
  <rv s="28">
    <v>64</v>
    <v>ajgjdm</v>
    <v>Daily</v>
    <v>45222</v>
    <v>46318</v>
    <v>0</v>
    <v>1</v>
    <v>639283104000000000,639285316897664249,0</v>
    <v>0</v>
    <v>ajgjdm</v>
    <v>XMIL:SR2000</v>
    <v>256</v>
  </rv>
  <rv s="28">
    <v>64</v>
    <v>ajgjdm</v>
    <v>Daily</v>
    <v>46022</v>
    <v>46318</v>
    <v>0</v>
    <v>1</v>
    <v>639283104000000000,639285315775644037,0</v>
    <v>2</v>
    <v>ajgjdm</v>
    <v>XMIL:SR2000</v>
    <v>257</v>
  </rv>
  <rv s="28">
    <v>65</v>
    <v>a1zbec</v>
    <v>Daily</v>
    <v>46022</v>
    <v>46318</v>
    <v>0</v>
    <v>1</v>
    <v>639283104000000000,639285315770064909,0</v>
    <v>6</v>
    <v>a1zbec</v>
    <v>XNYS:ORCL</v>
    <v>258</v>
  </rv>
  <rv s="28">
    <v>65</v>
    <v>a1zbec</v>
    <v>Daily</v>
    <v>45953</v>
    <v>46318</v>
    <v>0</v>
    <v>1</v>
    <v>639283104000000000,639285315804272523,0</v>
    <v>10</v>
    <v>a1zbec</v>
    <v>XNYS:ORCL</v>
    <v>259</v>
  </rv>
  <rv s="28">
    <v>65</v>
    <v>a1zbec</v>
    <v>Daily</v>
    <v>45222</v>
    <v>46318</v>
    <v>0</v>
    <v>1</v>
    <v>639283104000000000,639285315804412539,0</v>
    <v>8</v>
    <v>a1zbec</v>
    <v>XNYS:ORCL</v>
    <v>260</v>
  </rv>
  <rv s="28">
    <v>65</v>
    <v>c62ogh</v>
    <v>Daily</v>
    <v>46022</v>
    <v>46318</v>
    <v>0</v>
    <v>1</v>
    <v>639283104000000000,639285315770182594,0</v>
    <v>6</v>
    <v>c62ogh</v>
    <v>XNAS:SOUN</v>
    <v>261</v>
  </rv>
  <rv s="28">
    <v>65</v>
    <v>c62ogh</v>
    <v>Daily</v>
    <v>45953</v>
    <v>46318</v>
    <v>0</v>
    <v>1</v>
    <v>639283104000000000,639285315786452899,0</v>
    <v>10</v>
    <v>c62ogh</v>
    <v>XNAS:SOUN</v>
    <v>262</v>
  </rv>
  <rv s="28">
    <v>65</v>
    <v>c62ogh</v>
    <v>Daily</v>
    <v>45222</v>
    <v>46318</v>
    <v>0</v>
    <v>1</v>
    <v>639283104000000000,639285315804737285,0</v>
    <v>8</v>
    <v>c62ogh</v>
    <v>XNAS:SOUN</v>
    <v>263</v>
  </rv>
  <rv s="28">
    <v>64</v>
    <v>ajgzm7</v>
    <v>Daily</v>
    <v>46022</v>
    <v>46318</v>
    <v>0</v>
    <v>1</v>
    <v>639283104000000000,639285315770117101,0</v>
    <v>2</v>
    <v>ajgzm7</v>
    <v>XMIL:XCHA</v>
    <v>264</v>
  </rv>
  <rv s="28">
    <v>64</v>
    <v>ajgzm7</v>
    <v>Daily</v>
    <v>45953</v>
    <v>46318</v>
    <v>0</v>
    <v>1</v>
    <v>639283104000000000,639285315775916592,0</v>
    <v>4</v>
    <v>ajgzm7</v>
    <v>XMIL:XCHA</v>
    <v>265</v>
  </rv>
  <rv s="28">
    <v>64</v>
    <v>ajgzm7</v>
    <v>Daily</v>
    <v>45222</v>
    <v>46318</v>
    <v>0</v>
    <v>1</v>
    <v>639283104000000000,639285315794296813,0</v>
    <v>0</v>
    <v>ajgzm7</v>
    <v>XMIL:XCHA</v>
    <v>266</v>
  </rv>
  <rv s="28">
    <v>64</v>
    <v>c252mw</v>
    <v>Daily</v>
    <v>46022</v>
    <v>46318</v>
    <v>0</v>
    <v>1</v>
    <v>639283104000000000,639285316896064844,0</v>
    <v>2</v>
    <v>c252mw</v>
    <v>XMIL:XAIX</v>
    <v>267</v>
  </rv>
  <rv s="28">
    <v>64</v>
    <v>c252mw</v>
    <v>Daily</v>
    <v>45953</v>
    <v>46318</v>
    <v>0</v>
    <v>1</v>
    <v>639283104000000000,639285316896064844,0</v>
    <v>4</v>
    <v>c252mw</v>
    <v>XMIL:XAIX</v>
    <v>268</v>
  </rv>
  <rv s="28">
    <v>64</v>
    <v>c252mw</v>
    <v>Daily</v>
    <v>45222</v>
    <v>46318</v>
    <v>0</v>
    <v>1</v>
    <v>639283104000000000,639285316896064844,0</v>
    <v>0</v>
    <v>c252mw</v>
    <v>XMIL:XAIX</v>
    <v>269</v>
  </rv>
  <rv s="28">
    <v>64</v>
    <v>cfnvpr</v>
    <v>Daily</v>
    <v>46022</v>
    <v>46318</v>
    <v>0</v>
    <v>1</v>
    <v>639283104000000000,639285351124257932,0</v>
    <v>2</v>
    <v>cfnvpr</v>
    <v>XETR:SNTE</v>
    <v>270</v>
  </rv>
  <rv s="28">
    <v>64</v>
    <v>cfnvpr</v>
    <v>Daily</v>
    <v>45222</v>
    <v>46318</v>
    <v>0</v>
    <v>1</v>
    <v>639283104000000000,639285351138998056,0</v>
    <v>271</v>
    <v>cfnvpr</v>
    <v>XETR:SNTE</v>
    <v>272</v>
  </rv>
  <rv s="28">
    <v>64</v>
    <v>cfnvpr</v>
    <v>Daily</v>
    <v>45953</v>
    <v>46318</v>
    <v>0</v>
    <v>1</v>
    <v>639283104000000000,639285351138238043,0</v>
    <v>4</v>
    <v>cfnvpr</v>
    <v>XETR:SNTE</v>
    <v>273</v>
  </rv>
  <rv s="28">
    <v>65</v>
    <v>a1pcnm</v>
    <v>Daily</v>
    <v>46022</v>
    <v>46318</v>
    <v>0</v>
    <v>1</v>
    <v>639283104000000000,639285315770870270,0</v>
    <v>6</v>
    <v>a1pcnm</v>
    <v>XNYS:CCJ</v>
    <v>274</v>
  </rv>
  <rv s="28">
    <v>65</v>
    <v>a1pcnm</v>
    <v>Daily</v>
    <v>45222</v>
    <v>46318</v>
    <v>0</v>
    <v>1</v>
    <v>639283104000000000,639285315771052375,0</v>
    <v>8</v>
    <v>a1pcnm</v>
    <v>XNYS:CCJ</v>
    <v>275</v>
  </rv>
  <rv s="28">
    <v>65</v>
    <v>a1pcnm</v>
    <v>Daily</v>
    <v>45953</v>
    <v>46318</v>
    <v>0</v>
    <v>1</v>
    <v>639283104000000000,639285315771052375,0</v>
    <v>10</v>
    <v>a1pcnm</v>
    <v>XNYS:CCJ</v>
    <v>276</v>
  </rv>
  <rv s="28">
    <v>64</v>
    <v>ajgy2w</v>
    <v>Daily</v>
    <v>46022</v>
    <v>46318</v>
    <v>0</v>
    <v>1</v>
    <v>639283104000000000,639285315805002380,0</v>
    <v>2</v>
    <v>ajgy2w</v>
    <v>XMIL:XAD1</v>
    <v>277</v>
  </rv>
  <rv s="28">
    <v>64</v>
    <v>ajgy2w</v>
    <v>Daily</v>
    <v>45222</v>
    <v>46318</v>
    <v>0</v>
    <v>1</v>
    <v>639283104000000000,639285315805002380,0</v>
    <v>0</v>
    <v>ajgy2w</v>
    <v>XMIL:XAD1</v>
    <v>278</v>
  </rv>
  <rv s="28">
    <v>64</v>
    <v>ajgy2w</v>
    <v>Daily</v>
    <v>45953</v>
    <v>46318</v>
    <v>0</v>
    <v>1</v>
    <v>639283104000000000,639285315805002380,0</v>
    <v>4</v>
    <v>ajgy2w</v>
    <v>XMIL:XAD1</v>
    <v>279</v>
  </rv>
  <rv s="28">
    <v>65</v>
    <v>a1wxjc</v>
    <v>Daily</v>
    <v>46022</v>
    <v>46318</v>
    <v>0</v>
    <v>1</v>
    <v>639283104000000000,639285315771292648,0</v>
    <v>6</v>
    <v>a1wxjc</v>
    <v>XNAS:LITE</v>
    <v>280</v>
  </rv>
  <rv s="28">
    <v>65</v>
    <v>a1wxjc</v>
    <v>Daily</v>
    <v>45222</v>
    <v>46318</v>
    <v>0</v>
    <v>1</v>
    <v>639283104000000000,639285315771462652,0</v>
    <v>8</v>
    <v>a1wxjc</v>
    <v>XNAS:LITE</v>
    <v>281</v>
  </rv>
  <rv s="28">
    <v>65</v>
    <v>a1wxjc</v>
    <v>Daily</v>
    <v>45953</v>
    <v>46318</v>
    <v>0</v>
    <v>1</v>
    <v>639283104000000000,639285315771462652,0</v>
    <v>10</v>
    <v>a1wxjc</v>
    <v>XNAS:LITE</v>
    <v>282</v>
  </rv>
  <rv s="28">
    <v>65</v>
    <v>a1p252</v>
    <v>Daily</v>
    <v>46022</v>
    <v>46318</v>
    <v>0</v>
    <v>1</v>
    <v>639283104000000000,639285315770522375,0</v>
    <v>6</v>
    <v>a1p252</v>
    <v>XNYS:BWXT</v>
    <v>283</v>
  </rv>
  <rv s="28">
    <v>65</v>
    <v>a1p252</v>
    <v>Daily</v>
    <v>45222</v>
    <v>46318</v>
    <v>0</v>
    <v>1</v>
    <v>639283104000000000,639285315770682384,0</v>
    <v>8</v>
    <v>a1p252</v>
    <v>XNYS:BWXT</v>
    <v>284</v>
  </rv>
  <rv s="28">
    <v>65</v>
    <v>a1p252</v>
    <v>Daily</v>
    <v>45953</v>
    <v>46318</v>
    <v>0</v>
    <v>1</v>
    <v>639283104000000000,639285315770682384,0</v>
    <v>10</v>
    <v>a1p252</v>
    <v>XNYS:BWXT</v>
    <v>285</v>
  </rv>
  <rv s="28">
    <v>64</v>
    <v>ajh38m</v>
    <v>Daily</v>
    <v>45953</v>
    <v>46318</v>
    <v>0</v>
    <v>1</v>
    <v>639283104000000000,639285315795492290,0</v>
    <v>4</v>
    <v>ajh38m</v>
    <v>XMIL:XDWS</v>
    <v>286</v>
  </rv>
  <rv s="28">
    <v>64</v>
    <v>ajh38m</v>
    <v>Daily</v>
    <v>45222</v>
    <v>46318</v>
    <v>0</v>
    <v>1</v>
    <v>639283104000000000,639285315812902476,0</v>
    <v>0</v>
    <v>ajh38m</v>
    <v>XMIL:XDWS</v>
    <v>287</v>
  </rv>
  <rv s="28">
    <v>64</v>
    <v>ajh38m</v>
    <v>Daily</v>
    <v>46022</v>
    <v>46318</v>
    <v>0</v>
    <v>1</v>
    <v>639283104000000000,639285315795492290,0</v>
    <v>2</v>
    <v>ajh38m</v>
    <v>XMIL:XDWS</v>
    <v>288</v>
  </rv>
  <rv s="28">
    <v>64</v>
    <v>ajfktc</v>
    <v>Daily</v>
    <v>46022</v>
    <v>46318</v>
    <v>0</v>
    <v>1</v>
    <v>639283104000000000,639285316900458482,0</v>
    <v>2</v>
    <v>ajfktc</v>
    <v>XMIL:INRG</v>
    <v>289</v>
  </rv>
  <rv s="28">
    <v>64</v>
    <v>ajfktc</v>
    <v>Daily</v>
    <v>45222</v>
    <v>46318</v>
    <v>0</v>
    <v>1</v>
    <v>639283104000000000,639285315785982832,0</v>
    <v>0</v>
    <v>ajfktc</v>
    <v>XMIL:INRG</v>
    <v>290</v>
  </rv>
  <rv s="28">
    <v>64</v>
    <v>ajfktc</v>
    <v>Daily</v>
    <v>45953</v>
    <v>46318</v>
    <v>0</v>
    <v>1</v>
    <v>639283104000000000,639285316900458482,0</v>
    <v>4</v>
    <v>ajfktc</v>
    <v>XMIL:INRG</v>
    <v>291</v>
  </rv>
  <rv s="28">
    <v>64</v>
    <v>ajh1lh</v>
    <v>Daily</v>
    <v>45953</v>
    <v>46318</v>
    <v>0</v>
    <v>1</v>
    <v>639283104000000000,639285315803915866,0</v>
    <v>4</v>
    <v>ajh1lh</v>
    <v>XMIL:XDEB</v>
    <v>292</v>
  </rv>
  <rv s="28">
    <v>64</v>
    <v>ajh1lh</v>
    <v>Daily</v>
    <v>46022</v>
    <v>46318</v>
    <v>0</v>
    <v>1</v>
    <v>639283104000000000,639285315803915866,0</v>
    <v>2</v>
    <v>ajh1lh</v>
    <v>XMIL:XDEB</v>
    <v>293</v>
  </rv>
  <rv s="28">
    <v>64</v>
    <v>ajh1lh</v>
    <v>Daily</v>
    <v>45222</v>
    <v>46318</v>
    <v>0</v>
    <v>1</v>
    <v>639283104000000000,639285315813018188,0</v>
    <v>0</v>
    <v>ajh1lh</v>
    <v>XMIL:XDEB</v>
    <v>294</v>
  </rv>
  <rv s="28">
    <v>65</v>
    <v>a1ut3m</v>
    <v>Daily</v>
    <v>46022</v>
    <v>46318</v>
    <v>0</v>
    <v>1</v>
    <v>639283104000000000,639285315775268840,0</v>
    <v>6</v>
    <v>a1ut3m</v>
    <v>XNAS:HON</v>
    <v>295</v>
  </rv>
  <rv s="28">
    <v>65</v>
    <v>a1ut3m</v>
    <v>Daily</v>
    <v>45222</v>
    <v>46318</v>
    <v>0</v>
    <v>1</v>
    <v>639283104000000000,639285315775452678,0</v>
    <v>8</v>
    <v>a1ut3m</v>
    <v>XNAS:HON</v>
    <v>296</v>
  </rv>
  <rv s="28">
    <v>65</v>
    <v>a1ut3m</v>
    <v>Daily</v>
    <v>45953</v>
    <v>46318</v>
    <v>0</v>
    <v>1</v>
    <v>639283104000000000,639285315775452678,0</v>
    <v>10</v>
    <v>a1ut3m</v>
    <v>XNAS:HON</v>
    <v>297</v>
  </rv>
  <rv s="28">
    <v>64</v>
    <v>ajfo6h</v>
    <v>Daily</v>
    <v>45953</v>
    <v>46318</v>
    <v>0</v>
    <v>1</v>
    <v>639283104000000000,639285315812112637,0</v>
    <v>4</v>
    <v>ajfo6h</v>
    <v>XMIL:IWMO</v>
    <v>298</v>
  </rv>
  <rv s="28">
    <v>64</v>
    <v>ajfo6h</v>
    <v>Daily</v>
    <v>45222</v>
    <v>46318</v>
    <v>0</v>
    <v>1</v>
    <v>639283104000000000,639285315812112637,0</v>
    <v>0</v>
    <v>ajfo6h</v>
    <v>XMIL:IWMO</v>
    <v>299</v>
  </rv>
  <rv s="28">
    <v>64</v>
    <v>ajfo6h</v>
    <v>Daily</v>
    <v>46022</v>
    <v>46318</v>
    <v>0</v>
    <v>1</v>
    <v>639283104000000000,639285315812112637,0</v>
    <v>2</v>
    <v>ajfo6h</v>
    <v>XMIL:IWMO</v>
    <v>300</v>
  </rv>
  <rv s="28">
    <v>65</v>
    <v>c2m6c7</v>
    <v>Daily</v>
    <v>46022</v>
    <v>46318</v>
    <v>0</v>
    <v>1</v>
    <v>639283104000000000,639285315770607077,0</v>
    <v>6</v>
    <v>c2m6c7</v>
    <v>XNYS:OKLO</v>
    <v>301</v>
  </rv>
  <rv s="28">
    <v>65</v>
    <v>c2m6c7</v>
    <v>Daily</v>
    <v>45222</v>
    <v>46318</v>
    <v>0</v>
    <v>1</v>
    <v>639283104000000000,639285315770787081,0</v>
    <v>8</v>
    <v>c2m6c7</v>
    <v>XNYS:OKLO</v>
    <v>302</v>
  </rv>
  <rv s="28">
    <v>65</v>
    <v>c2m6c7</v>
    <v>Daily</v>
    <v>45953</v>
    <v>46318</v>
    <v>0</v>
    <v>1</v>
    <v>639283104000000000,639285315770787081,0</v>
    <v>10</v>
    <v>c2m6c7</v>
    <v>XNYS:OKLO</v>
    <v>303</v>
  </rv>
  <rv s="28">
    <v>64</v>
    <v>afsc4c</v>
    <v>Daily</v>
    <v>46022</v>
    <v>46318</v>
    <v>0</v>
    <v>1</v>
    <v>639283104000000000,639285315770419923,0</v>
    <v>2</v>
    <v>afsc4c</v>
    <v>XETR:IFX</v>
    <v>304</v>
  </rv>
  <rv s="28">
    <v>64</v>
    <v>afsc4c</v>
    <v>Daily</v>
    <v>45222</v>
    <v>46318</v>
    <v>0</v>
    <v>1</v>
    <v>639283104000000000,639285316896571411,0</v>
    <v>110</v>
    <v>afsc4c</v>
    <v>XETR:IFX</v>
    <v>305</v>
  </rv>
  <rv s="28">
    <v>64</v>
    <v>afsc4c</v>
    <v>Daily</v>
    <v>45953</v>
    <v>46318</v>
    <v>0</v>
    <v>1</v>
    <v>639283104000000000,639285316896571411,0</v>
    <v>4</v>
    <v>afsc4c</v>
    <v>XETR:IFX</v>
    <v>306</v>
  </rv>
  <rv s="28">
    <v>64</v>
    <v>bqaxnm</v>
    <v>Daily</v>
    <v>45222</v>
    <v>46318</v>
    <v>0</v>
    <v>1</v>
    <v>639283104000000000,639285315803676073,0</v>
    <v>110</v>
    <v>bqaxnm</v>
    <v>XETR:P500</v>
    <v>307</v>
  </rv>
  <rv s="28">
    <v>64</v>
    <v>bqaxnm</v>
    <v>Daily</v>
    <v>45953</v>
    <v>46318</v>
    <v>0</v>
    <v>1</v>
    <v>639283104000000000,639285315803676073,0</v>
    <v>4</v>
    <v>bqaxnm</v>
    <v>XETR:P500</v>
    <v>308</v>
  </rv>
  <rv s="28">
    <v>64</v>
    <v>bqaxnm</v>
    <v>Daily</v>
    <v>46022</v>
    <v>46318</v>
    <v>0</v>
    <v>1</v>
    <v>639283104000000000,639285315786679100,0</v>
    <v>2</v>
    <v>bqaxnm</v>
    <v>XETR:P500</v>
    <v>309</v>
  </rv>
  <rv s="28">
    <v>65</v>
    <v>a1nhlh</v>
    <v>Daily</v>
    <v>46022</v>
    <v>46318</v>
    <v>0</v>
    <v>1</v>
    <v>639283104000000000,639285315787212851,0</v>
    <v>6</v>
    <v>a1nhlh</v>
    <v>XNAS:AMZN</v>
    <v>310</v>
  </rv>
  <rv s="28">
    <v>65</v>
    <v>a1nhlh</v>
    <v>Daily</v>
    <v>45953</v>
    <v>46318</v>
    <v>0</v>
    <v>1</v>
    <v>639283104000000000,639285315812897386,0</v>
    <v>10</v>
    <v>a1nhlh</v>
    <v>XNAS:AMZN</v>
    <v>311</v>
  </rv>
  <rv s="28">
    <v>65</v>
    <v>a1nhlh</v>
    <v>Daily</v>
    <v>45222</v>
    <v>46318</v>
    <v>0</v>
    <v>1</v>
    <v>639283104000000000,639285315812897386,0</v>
    <v>8</v>
    <v>a1nhlh</v>
    <v>XNAS:AMZN</v>
    <v>312</v>
  </rv>
  <rv s="28">
    <v>65</v>
    <v>a1vmf2</v>
    <v>Daily</v>
    <v>46022</v>
    <v>46318</v>
    <v>0</v>
    <v>1</v>
    <v>639283104000000000,639285315769667481,0</v>
    <v>6</v>
    <v>a1vmf2</v>
    <v>XNAS:INTC</v>
    <v>313</v>
  </rv>
  <rv s="28">
    <v>65</v>
    <v>a1vmf2</v>
    <v>Daily</v>
    <v>45222</v>
    <v>46318</v>
    <v>0</v>
    <v>1</v>
    <v>639283104000000000,639285315770251463,0</v>
    <v>8</v>
    <v>a1vmf2</v>
    <v>XNAS:INTC</v>
    <v>314</v>
  </rv>
  <rv s="28">
    <v>65</v>
    <v>a1vmf2</v>
    <v>Daily</v>
    <v>45953</v>
    <v>46318</v>
    <v>0</v>
    <v>1</v>
    <v>639283104000000000,639285315770251463,0</v>
    <v>10</v>
    <v>a1vmf2</v>
    <v>XNAS:INTC</v>
    <v>315</v>
  </rv>
  <rv s="28">
    <v>64</v>
    <v>ajfgc7</v>
    <v>Daily</v>
    <v>45222</v>
    <v>46318</v>
    <v>0</v>
    <v>1</v>
    <v>639283104000000000,639285315771515905,0</v>
    <v>0</v>
    <v>ajfgc7</v>
    <v>XMIL:IBTS</v>
    <v>316</v>
  </rv>
  <rv s="28">
    <v>64</v>
    <v>ajfgc7</v>
    <v>Daily</v>
    <v>45953</v>
    <v>46318</v>
    <v>0</v>
    <v>1</v>
    <v>639283104000000000,639285315771515905,0</v>
    <v>4</v>
    <v>ajfgc7</v>
    <v>XMIL:IBTS</v>
    <v>317</v>
  </rv>
  <rv s="28">
    <v>64</v>
    <v>ajfgc7</v>
    <v>Daily</v>
    <v>46022</v>
    <v>46318</v>
    <v>0</v>
    <v>1</v>
    <v>639283104000000000,639285315771515905,0</v>
    <v>2</v>
    <v>ajfgc7</v>
    <v>XMIL:IBTS</v>
    <v>318</v>
  </rv>
  <rv s="28">
    <v>64</v>
    <v>ajeur7</v>
    <v>Daily</v>
    <v>46022</v>
    <v>46318</v>
    <v>0</v>
    <v>1</v>
    <v>639283104000000000,639285315812895726,0</v>
    <v>2</v>
    <v>ajeur7</v>
    <v>XMIL:EIMI</v>
    <v>319</v>
  </rv>
  <rv s="28">
    <v>64</v>
    <v>ajeur7</v>
    <v>Daily</v>
    <v>45222</v>
    <v>46318</v>
    <v>0</v>
    <v>1</v>
    <v>639283104000000000,639285315812895726,0</v>
    <v>0</v>
    <v>ajeur7</v>
    <v>XMIL:EIMI</v>
    <v>320</v>
  </rv>
  <rv s="28">
    <v>64</v>
    <v>ajeur7</v>
    <v>Daily</v>
    <v>45953</v>
    <v>46318</v>
    <v>0</v>
    <v>1</v>
    <v>639283104000000000,639285315812895726,0</v>
    <v>4</v>
    <v>ajeur7</v>
    <v>XMIL:EIMI</v>
    <v>321</v>
  </rv>
  <rv s="28">
    <v>65</v>
    <v>bx1rdm</v>
    <v>Daily</v>
    <v>46022</v>
    <v>46318</v>
    <v>0</v>
    <v>1</v>
    <v>639283104000000000,639285315776090316,0</v>
    <v>6</v>
    <v>bx1rdm</v>
    <v>XNYS:SMR</v>
    <v>322</v>
  </rv>
  <rv s="28">
    <v>65</v>
    <v>bx1rdm</v>
    <v>Daily</v>
    <v>45953</v>
    <v>46318</v>
    <v>0</v>
    <v>1</v>
    <v>639283104000000000,639285315776262443,0</v>
    <v>10</v>
    <v>bx1rdm</v>
    <v>XNYS:SMR</v>
    <v>323</v>
  </rv>
  <rv s="28">
    <v>65</v>
    <v>bx1rdm</v>
    <v>Daily</v>
    <v>45222</v>
    <v>46318</v>
    <v>0</v>
    <v>1</v>
    <v>639283104000000000,639285315803402737,0</v>
    <v>8</v>
    <v>bx1rdm</v>
    <v>XNYS:SMR</v>
    <v>324</v>
  </rv>
  <rv s="28">
    <v>65</v>
    <v>a1slm7</v>
    <v>Daily</v>
    <v>46022</v>
    <v>46318</v>
    <v>0</v>
    <v>1</v>
    <v>639283104000000000,639285315770205288,0</v>
    <v>6</v>
    <v>a1slm7</v>
    <v>XNAS:META</v>
    <v>325</v>
  </rv>
  <rv s="28">
    <v>65</v>
    <v>a1slm7</v>
    <v>Daily</v>
    <v>45222</v>
    <v>46318</v>
    <v>0</v>
    <v>1</v>
    <v>639283104000000000,639285315771013965,0</v>
    <v>8</v>
    <v>a1slm7</v>
    <v>XNAS:META</v>
    <v>326</v>
  </rv>
  <rv s="28">
    <v>65</v>
    <v>a1slm7</v>
    <v>Daily</v>
    <v>45953</v>
    <v>46318</v>
    <v>0</v>
    <v>1</v>
    <v>639283104000000000,639285315771013965,0</v>
    <v>10</v>
    <v>a1slm7</v>
    <v>XNAS:META</v>
    <v>327</v>
  </rv>
  <rv s="28">
    <v>64</v>
    <v>ae8qf2</v>
    <v>Daily</v>
    <v>46022</v>
    <v>46318</v>
    <v>0</v>
    <v>1</v>
    <v>639283104000000000,639285315785527575,0</v>
    <v>24</v>
    <v>ae8qf2</v>
    <v>XPAR:TTE</v>
    <v>328</v>
  </rv>
  <rv s="28">
    <v>64</v>
    <v>ae8qf2</v>
    <v>Daily</v>
    <v>45953</v>
    <v>46318</v>
    <v>0</v>
    <v>1</v>
    <v>639283104000000000,639285315803197912,0</v>
    <v>26</v>
    <v>ae8qf2</v>
    <v>XPAR:TTE</v>
    <v>329</v>
  </rv>
  <rv s="28">
    <v>64</v>
    <v>ae8qf2</v>
    <v>Daily</v>
    <v>45222</v>
    <v>46318</v>
    <v>0</v>
    <v>1</v>
    <v>639283104000000000,639285315803197912,0</v>
    <v>28</v>
    <v>ae8qf2</v>
    <v>XPAR:TTE</v>
    <v>330</v>
  </rv>
  <rv s="28">
    <v>64</v>
    <v>aje5ur</v>
    <v>Daily</v>
    <v>46022</v>
    <v>46318</v>
    <v>0</v>
    <v>1</v>
    <v>639283104000000000,639285315775905655,0</v>
    <v>2</v>
    <v>aje5ur</v>
    <v>XMIL:BAMI</v>
    <v>331</v>
  </rv>
  <rv s="28">
    <v>64</v>
    <v>aje5ur</v>
    <v>Daily</v>
    <v>45953</v>
    <v>46318</v>
    <v>0</v>
    <v>1</v>
    <v>639283104000000000,639285316897140692,0</v>
    <v>4</v>
    <v>aje5ur</v>
    <v>XMIL:BAMI</v>
    <v>332</v>
  </rv>
  <rv s="28">
    <v>64</v>
    <v>aje5ur</v>
    <v>Daily</v>
    <v>45222</v>
    <v>46318</v>
    <v>0</v>
    <v>1</v>
    <v>639283104000000000,639285316897140692,0</v>
    <v>0</v>
    <v>aje5ur</v>
    <v>XMIL:BAMI</v>
    <v>333</v>
  </rv>
  <rv s="28">
    <v>64</v>
    <v>ajfbfr</v>
    <v>Daily</v>
    <v>46022</v>
    <v>46318</v>
    <v>0</v>
    <v>1</v>
    <v>639283104000000000,639285315794796818,0</v>
    <v>2</v>
    <v>ajfbfr</v>
    <v>XMIL:GLDV</v>
    <v>334</v>
  </rv>
  <rv s="28">
    <v>64</v>
    <v>ajfbfr</v>
    <v>Daily</v>
    <v>45222</v>
    <v>46318</v>
    <v>0</v>
    <v>1</v>
    <v>639283104000000000,639285315794796818,0</v>
    <v>0</v>
    <v>ajfbfr</v>
    <v>XMIL:GLDV</v>
    <v>335</v>
  </rv>
  <rv s="28">
    <v>64</v>
    <v>ajfbfr</v>
    <v>Daily</v>
    <v>45953</v>
    <v>46318</v>
    <v>0</v>
    <v>1</v>
    <v>639283104000000000,639285315794796818,0</v>
    <v>4</v>
    <v>ajfbfr</v>
    <v>XMIL:GLDV</v>
    <v>336</v>
  </rv>
  <rv s="28">
    <v>65</v>
    <v>burw52</v>
    <v>Daily</v>
    <v>45222</v>
    <v>46318</v>
    <v>0</v>
    <v>1</v>
    <v>639283104000000000,639285315794829268,0</v>
    <v>90</v>
    <v>burw52</v>
    <v>XLON:HSJD</v>
    <v>337</v>
  </rv>
  <rv s="28">
    <v>65</v>
    <v>burw52</v>
    <v>Daily</v>
    <v>45953</v>
    <v>46318</v>
    <v>0</v>
    <v>1</v>
    <v>639283104000000000,639285315794829268,0</v>
    <v>88</v>
    <v>burw52</v>
    <v>XLON:HSJD</v>
    <v>338</v>
  </rv>
  <rv s="28">
    <v>65</v>
    <v>burw52</v>
    <v>Daily</v>
    <v>46022</v>
    <v>46318</v>
    <v>0</v>
    <v>1</v>
    <v>639283104000000000,639285315794829268,0</v>
    <v>92</v>
    <v>burw52</v>
    <v>XLON:HSJD</v>
    <v>339</v>
  </rv>
  <rv s="28">
    <v>64</v>
    <v>ajfkkr</v>
    <v>Daily</v>
    <v>46022</v>
    <v>46318</v>
    <v>0</v>
    <v>1</v>
    <v>639283104000000000,639285315785437780,0</v>
    <v>2</v>
    <v>ajfkkr</v>
    <v>XMIL:INFR</v>
    <v>340</v>
  </rv>
  <rv s="28">
    <v>64</v>
    <v>ajfkkr</v>
    <v>Daily</v>
    <v>45222</v>
    <v>46318</v>
    <v>0</v>
    <v>1</v>
    <v>639283104000000000,639285315786867801,0</v>
    <v>0</v>
    <v>ajfkkr</v>
    <v>XMIL:INFR</v>
    <v>341</v>
  </rv>
  <rv s="28">
    <v>64</v>
    <v>ajfkkr</v>
    <v>Daily</v>
    <v>45953</v>
    <v>46318</v>
    <v>0</v>
    <v>1</v>
    <v>639283104000000000,639285315786867801,0</v>
    <v>4</v>
    <v>ajfkkr</v>
    <v>XMIL:INFR</v>
    <v>342</v>
  </rv>
  <rv s="28">
    <v>65</v>
    <v>a1uu5r</v>
    <v>Daily</v>
    <v>46022</v>
    <v>46318</v>
    <v>0</v>
    <v>1</v>
    <v>639283104000000000,639285315774526830,0</v>
    <v>6</v>
    <v>a1uu5r</v>
    <v>XNYS:HPQ</v>
    <v>343</v>
  </rv>
  <rv s="28">
    <v>65</v>
    <v>a1uu5r</v>
    <v>Daily</v>
    <v>45222</v>
    <v>46318</v>
    <v>0</v>
    <v>1</v>
    <v>639283104000000000,639285315774696834,0</v>
    <v>8</v>
    <v>a1uu5r</v>
    <v>XNYS:HPQ</v>
    <v>344</v>
  </rv>
  <rv s="28">
    <v>65</v>
    <v>a1uu5r</v>
    <v>Daily</v>
    <v>45953</v>
    <v>46318</v>
    <v>0</v>
    <v>1</v>
    <v>639283104000000000,639285315774696834,0</v>
    <v>10</v>
    <v>a1uu5r</v>
    <v>XNYS:HPQ</v>
    <v>345</v>
  </rv>
  <rv s="28">
    <v>64</v>
    <v>ae8j2w</v>
    <v>Daily</v>
    <v>46022</v>
    <v>46318</v>
    <v>0</v>
    <v>1</v>
    <v>639283104000000000,639285315812984189,0</v>
    <v>24</v>
    <v>ae8j2w</v>
    <v>XPAR:ENGI</v>
    <v>346</v>
  </rv>
  <rv s="28">
    <v>64</v>
    <v>ae8j2w</v>
    <v>Daily</v>
    <v>45953</v>
    <v>46318</v>
    <v>0</v>
    <v>1</v>
    <v>639283104000000000,639285315813154267,0</v>
    <v>26</v>
    <v>ae8j2w</v>
    <v>XPAR:ENGI</v>
    <v>347</v>
  </rv>
  <rv s="28">
    <v>64</v>
    <v>ae8j2w</v>
    <v>Daily</v>
    <v>45222</v>
    <v>46318</v>
    <v>0</v>
    <v>1</v>
    <v>639283104000000000,639285315811634154,0</v>
    <v>28</v>
    <v>ae8j2w</v>
    <v>XPAR:ENGI</v>
    <v>348</v>
  </rv>
  <rv s="28">
    <v>64</v>
    <v>ajekec</v>
    <v>Daily</v>
    <v>45222</v>
    <v>46318</v>
    <v>0</v>
    <v>1</v>
    <v>639283104000000000,639285315775862686,0</v>
    <v>0</v>
    <v>ajekec</v>
    <v>XMIL:CRUD</v>
    <v>349</v>
  </rv>
  <rv s="28">
    <v>64</v>
    <v>ajekec</v>
    <v>Daily</v>
    <v>46022</v>
    <v>46318</v>
    <v>0</v>
    <v>1</v>
    <v>639283104000000000,639285315775862686,0</v>
    <v>2</v>
    <v>ajekec</v>
    <v>XMIL:CRUD</v>
    <v>350</v>
  </rv>
  <rv s="28">
    <v>64</v>
    <v>ajekec</v>
    <v>Daily</v>
    <v>45953</v>
    <v>46318</v>
    <v>0</v>
    <v>1</v>
    <v>639283104000000000,639285315775862686,0</v>
    <v>4</v>
    <v>ajekec</v>
    <v>XMIL:CRUD</v>
    <v>351</v>
  </rv>
  <rv s="28">
    <v>65</v>
    <v>a1qlz2</v>
    <v>Daily</v>
    <v>46022</v>
    <v>46318</v>
    <v>0</v>
    <v>1</v>
    <v>639283104000000000,639285315776997688,0</v>
    <v>6</v>
    <v>a1qlz2</v>
    <v>XNYS:CVX</v>
    <v>352</v>
  </rv>
  <rv s="28">
    <v>65</v>
    <v>a1qlz2</v>
    <v>Daily</v>
    <v>45222</v>
    <v>46318</v>
    <v>0</v>
    <v>1</v>
    <v>639283104000000000,639285315774994022,0</v>
    <v>8</v>
    <v>a1qlz2</v>
    <v>XNYS:CVX</v>
    <v>353</v>
  </rv>
  <rv s="28">
    <v>65</v>
    <v>a1qlz2</v>
    <v>Daily</v>
    <v>45953</v>
    <v>46318</v>
    <v>0</v>
    <v>1</v>
    <v>639283104000000000,639285315774994022,0</v>
    <v>10</v>
    <v>a1qlz2</v>
    <v>XNYS:CVX</v>
    <v>354</v>
  </rv>
  <rv s="28">
    <v>64</v>
    <v>ae8177</v>
    <v>Daily</v>
    <v>46022</v>
    <v>46318</v>
    <v>0</v>
    <v>1</v>
    <v>639283104000000000,639285315786557309,0</v>
    <v>24</v>
    <v>ae8177</v>
    <v>XPAR:CAP</v>
    <v>355</v>
  </rv>
  <rv s="28">
    <v>64</v>
    <v>ae8177</v>
    <v>Daily</v>
    <v>45953</v>
    <v>46318</v>
    <v>0</v>
    <v>1</v>
    <v>639283104000000000,639285316895524286,0</v>
    <v>26</v>
    <v>ae8177</v>
    <v>XPAR:CAP</v>
    <v>356</v>
  </rv>
  <rv s="28">
    <v>64</v>
    <v>ae8177</v>
    <v>Daily</v>
    <v>45222</v>
    <v>46318</v>
    <v>0</v>
    <v>1</v>
    <v>639283104000000000,639285316895524286,0</v>
    <v>28</v>
    <v>ae8177</v>
    <v>XPAR:CAP</v>
    <v>357</v>
  </rv>
  <rv s="28">
    <v>64</v>
    <v>aeacc7</v>
    <v>Daily</v>
    <v>46022</v>
    <v>46318</v>
    <v>0</v>
    <v>1</v>
    <v>639283104000000000,639285315776072449,0</v>
    <v>24</v>
    <v>aeacc7</v>
    <v>XPAR:VIE</v>
    <v>358</v>
  </rv>
  <rv s="28">
    <v>64</v>
    <v>aeacc7</v>
    <v>Daily</v>
    <v>45222</v>
    <v>46318</v>
    <v>0</v>
    <v>1</v>
    <v>639283104000000000,639285315776202098,0</v>
    <v>28</v>
    <v>aeacc7</v>
    <v>XPAR:VIE</v>
    <v>359</v>
  </rv>
  <rv s="28">
    <v>64</v>
    <v>aeacc7</v>
    <v>Daily</v>
    <v>45953</v>
    <v>46318</v>
    <v>0</v>
    <v>1</v>
    <v>639283104000000000,639285315776202098,0</v>
    <v>26</v>
    <v>aeacc7</v>
    <v>XPAR:VIE</v>
    <v>360</v>
  </rv>
  <rv s="28">
    <v>64</v>
    <v>c9fhsm</v>
    <v>Daily</v>
    <v>45953</v>
    <v>46318</v>
    <v>0</v>
    <v>1</v>
    <v>639283104000000000,639285351128154584,0</v>
    <v>4</v>
    <v>c9fhsm</v>
    <v>XMIL:NUCL</v>
    <v>361</v>
  </rv>
  <rv s="28">
    <v>64</v>
    <v>c9fhsm</v>
    <v>Daily</v>
    <v>46022</v>
    <v>46318</v>
    <v>0</v>
    <v>1</v>
    <v>639283104000000000,639285351128154584,0</v>
    <v>2</v>
    <v>c9fhsm</v>
    <v>XMIL:NUCL</v>
    <v>362</v>
  </rv>
  <rv s="28">
    <v>64</v>
    <v>c9fhsm</v>
    <v>Daily</v>
    <v>45222</v>
    <v>46318</v>
    <v>0</v>
    <v>1</v>
    <v>639283104000000000,639285351128214579,0</v>
    <v>0</v>
    <v>c9fhsm</v>
    <v>XMIL:NUCL</v>
    <v>363</v>
  </rv>
  <rv s="28">
    <v>64</v>
    <v>bnfnp2</v>
    <v>Daily</v>
    <v>45222</v>
    <v>46318</v>
    <v>0</v>
    <v>1</v>
    <v>639283104000000000,639285315804567290,0</v>
    <v>0</v>
    <v>bnfnp2</v>
    <v>XMIL:XZW0</v>
    <v>364</v>
  </rv>
  <rv s="28">
    <v>64</v>
    <v>bnfnp2</v>
    <v>Daily</v>
    <v>46022</v>
    <v>46318</v>
    <v>0</v>
    <v>1</v>
    <v>639283104000000000,639285315804567290,0</v>
    <v>2</v>
    <v>bnfnp2</v>
    <v>XMIL:XZW0</v>
    <v>365</v>
  </rv>
  <rv s="28">
    <v>64</v>
    <v>bnfnp2</v>
    <v>Daily</v>
    <v>45953</v>
    <v>46318</v>
    <v>0</v>
    <v>1</v>
    <v>639283104000000000,639285315804567290,0</v>
    <v>4</v>
    <v>bnfnp2</v>
    <v>XMIL:XZW0</v>
    <v>366</v>
  </rv>
  <rv s="28">
    <v>64</v>
    <v>amfsr7</v>
    <v>Daily</v>
    <v>46022</v>
    <v>46318</v>
    <v>0</v>
    <v>1</v>
    <v>639283104000000000,639285315803040484,0</v>
    <v>24</v>
    <v>amfsr7</v>
    <v>BMEX:CABK</v>
    <v>367</v>
  </rv>
  <rv s="28">
    <v>64</v>
    <v>amfsr7</v>
    <v>Daily</v>
    <v>45953</v>
    <v>46318</v>
    <v>0</v>
    <v>1</v>
    <v>639283104000000000,639285315811824137,0</v>
    <v>26</v>
    <v>amfsr7</v>
    <v>BMEX:CABK</v>
    <v>368</v>
  </rv>
  <rv s="28">
    <v>64</v>
    <v>amfsr7</v>
    <v>Daily</v>
    <v>45222</v>
    <v>46318</v>
    <v>0</v>
    <v>1</v>
    <v>639283104000000000,639285315811824137,0</v>
    <v>369</v>
    <v>amfsr7</v>
    <v>BMEX:CABK</v>
    <v>370</v>
  </rv>
  <rv s="28">
    <v>64</v>
    <v>ajfra2</v>
    <v>Daily</v>
    <v>45222</v>
    <v>46318</v>
    <v>0</v>
    <v>1</v>
    <v>639283104000000000,639285316901513338,0</v>
    <v>0</v>
    <v>ajfra2</v>
    <v>XMIL:LDCE</v>
    <v>371</v>
  </rv>
  <rv s="28">
    <v>64</v>
    <v>ajfra2</v>
    <v>Daily</v>
    <v>45953</v>
    <v>46318</v>
    <v>0</v>
    <v>1</v>
    <v>639283104000000000,639285316901513338,0</v>
    <v>4</v>
    <v>ajfra2</v>
    <v>XMIL:LDCE</v>
    <v>372</v>
  </rv>
  <rv s="28">
    <v>64</v>
    <v>ajfra2</v>
    <v>Daily</v>
    <v>46022</v>
    <v>46318</v>
    <v>0</v>
    <v>1</v>
    <v>639283104000000000,639285315786222187,0</v>
    <v>2</v>
    <v>ajfra2</v>
    <v>XMIL:LDCE</v>
    <v>373</v>
  </rv>
  <rv s="28">
    <v>64</v>
    <v>ajgd3m</v>
    <v>Daily</v>
    <v>45953</v>
    <v>46318</v>
    <v>0</v>
    <v>1</v>
    <v>639283104000000000,639285316895566572,0</v>
    <v>4</v>
    <v>ajgd3m</v>
    <v>XMIL:SE15</v>
    <v>374</v>
  </rv>
  <rv s="28">
    <v>64</v>
    <v>ajgd3m</v>
    <v>Daily</v>
    <v>45222</v>
    <v>46318</v>
    <v>0</v>
    <v>1</v>
    <v>639283104000000000,639285316895566572,0</v>
    <v>0</v>
    <v>ajgd3m</v>
    <v>XMIL:SE15</v>
    <v>375</v>
  </rv>
  <rv s="28">
    <v>64</v>
    <v>ajgd3m</v>
    <v>Daily</v>
    <v>46022</v>
    <v>46318</v>
    <v>0</v>
    <v>1</v>
    <v>639283104000000000,639285316895566572,0</v>
    <v>2</v>
    <v>ajgd3m</v>
    <v>XMIL:SE15</v>
    <v>376</v>
  </rv>
  <rv s="28">
    <v>65</v>
    <v>c2yxim</v>
    <v>Daily</v>
    <v>45222</v>
    <v>46318</v>
    <v>0</v>
    <v>1</v>
    <v>639283104000000000,639285315794707896,0</v>
    <v>28</v>
    <v>c2yxim</v>
    <v>XAMS:SEMI</v>
    <v>377</v>
  </rv>
  <rv s="28">
    <v>65</v>
    <v>c2yxim</v>
    <v>Daily</v>
    <v>46022</v>
    <v>46318</v>
    <v>0</v>
    <v>1</v>
    <v>639283104000000000,639285315794707896,0</v>
    <v>24</v>
    <v>c2yxim</v>
    <v>XAMS:SEMI</v>
    <v>378</v>
  </rv>
  <rv s="28">
    <v>65</v>
    <v>c2yxim</v>
    <v>Daily</v>
    <v>45953</v>
    <v>46318</v>
    <v>0</v>
    <v>1</v>
    <v>639283104000000000,639285315794707896,0</v>
    <v>26</v>
    <v>c2yxim</v>
    <v>XAMS:SEMI</v>
    <v>379</v>
  </rv>
  <rv s="28">
    <v>64</v>
    <v>btgxvh</v>
    <v>Daily</v>
    <v>45222</v>
    <v>46318</v>
    <v>0</v>
    <v>1</v>
    <v>639283104000000000,639285315803377262,0</v>
    <v>0</v>
    <v>btgxvh</v>
    <v>XMIL:VWCE</v>
    <v>380</v>
  </rv>
  <rv s="28">
    <v>64</v>
    <v>btgxvh</v>
    <v>Daily</v>
    <v>45953</v>
    <v>46318</v>
    <v>0</v>
    <v>1</v>
    <v>639283104000000000,639285315803377262,0</v>
    <v>4</v>
    <v>btgxvh</v>
    <v>XMIL:VWCE</v>
    <v>381</v>
  </rv>
  <rv s="28">
    <v>64</v>
    <v>btgxvh</v>
    <v>Daily</v>
    <v>46022</v>
    <v>46318</v>
    <v>0</v>
    <v>1</v>
    <v>639283104000000000,639285315786182889,0</v>
    <v>2</v>
    <v>btgxvh</v>
    <v>XMIL:VWCE</v>
    <v>382</v>
  </rv>
  <rv s="28">
    <v>64</v>
    <v>aftlr7</v>
    <v>Daily</v>
    <v>46022</v>
    <v>46318</v>
    <v>0</v>
    <v>1</v>
    <v>639283104000000000,639285315794947433,0</v>
    <v>2</v>
    <v>aftlr7</v>
    <v>XETR:SAP</v>
    <v>383</v>
  </rv>
  <rv s="28">
    <v>64</v>
    <v>aftlr7</v>
    <v>Daily</v>
    <v>45222</v>
    <v>46318</v>
    <v>0</v>
    <v>1</v>
    <v>639283104000000000,639285316897314286,0</v>
    <v>110</v>
    <v>aftlr7</v>
    <v>XETR:SAP</v>
    <v>384</v>
  </rv>
  <rv s="28">
    <v>64</v>
    <v>aftlr7</v>
    <v>Daily</v>
    <v>45953</v>
    <v>46318</v>
    <v>0</v>
    <v>1</v>
    <v>639283104000000000,639285316897314286,0</v>
    <v>4</v>
    <v>aftlr7</v>
    <v>XETR:SAP</v>
    <v>385</v>
  </rv>
  <rv s="28">
    <v>64</v>
    <v>afttr7</v>
    <v>Daily</v>
    <v>45953</v>
    <v>46318</v>
    <v>0</v>
    <v>1</v>
    <v>639283104000000000,639285316900254299,0</v>
    <v>4</v>
    <v>afttr7</v>
    <v>XETR:SPYG</v>
    <v>386</v>
  </rv>
  <rv s="28">
    <v>64</v>
    <v>afttr7</v>
    <v>Daily</v>
    <v>45222</v>
    <v>46318</v>
    <v>0</v>
    <v>1</v>
    <v>639283104000000000,639285316900254299,0</v>
    <v>110</v>
    <v>afttr7</v>
    <v>XETR:SPYG</v>
    <v>387</v>
  </rv>
  <rv s="28">
    <v>64</v>
    <v>afttr7</v>
    <v>Daily</v>
    <v>46022</v>
    <v>46318</v>
    <v>0</v>
    <v>1</v>
    <v>639283104000000000,639285316900254299,0</v>
    <v>2</v>
    <v>afttr7</v>
    <v>XETR:SPYG</v>
    <v>388</v>
  </rv>
  <rv s="28">
    <v>64</v>
    <v>afr9yc</v>
    <v>Daily</v>
    <v>46022</v>
    <v>46318</v>
    <v>0</v>
    <v>1</v>
    <v>639283104000000000,639285315776160032,0</v>
    <v>2</v>
    <v>afr9yc</v>
    <v>XETR:DTE</v>
    <v>389</v>
  </rv>
  <rv s="28">
    <v>64</v>
    <v>afr9yc</v>
    <v>Daily</v>
    <v>45953</v>
    <v>46318</v>
    <v>0</v>
    <v>1</v>
    <v>639283104000000000,639285315776342059,0</v>
    <v>4</v>
    <v>afr9yc</v>
    <v>XETR:DTE</v>
    <v>390</v>
  </rv>
  <rv s="28">
    <v>64</v>
    <v>afr9yc</v>
    <v>Daily</v>
    <v>45222</v>
    <v>46318</v>
    <v>0</v>
    <v>1</v>
    <v>639283104000000000,639285316895033235,0</v>
    <v>110</v>
    <v>afr9yc</v>
    <v>XETR:DTE</v>
    <v>391</v>
  </rv>
  <rv s="28">
    <v>64</v>
    <v>ajh2tc</v>
    <v>Daily</v>
    <v>45953</v>
    <v>46318</v>
    <v>0</v>
    <v>1</v>
    <v>639283104000000000,639285316896214389,0</v>
    <v>4</v>
    <v>ajh2tc</v>
    <v>XMIL:XDWD</v>
    <v>392</v>
  </rv>
  <rv s="28">
    <v>64</v>
    <v>ajh2tc</v>
    <v>Daily</v>
    <v>46022</v>
    <v>46318</v>
    <v>0</v>
    <v>1</v>
    <v>639283104000000000,639285316896214389,0</v>
    <v>2</v>
    <v>ajh2tc</v>
    <v>XMIL:XDWD</v>
    <v>393</v>
  </rv>
  <rv s="28">
    <v>64</v>
    <v>ajh2tc</v>
    <v>Daily</v>
    <v>45222</v>
    <v>46318</v>
    <v>0</v>
    <v>1</v>
    <v>639283104000000000,639285316896214389,0</v>
    <v>0</v>
    <v>ajh2tc</v>
    <v>XMIL:XDWD</v>
    <v>394</v>
  </rv>
  <rv s="28">
    <v>65</v>
    <v>brh6oc</v>
    <v>Daily</v>
    <v>46022</v>
    <v>46318</v>
    <v>0</v>
    <v>1</v>
    <v>639283104000000000,639285315776136853,0</v>
    <v>6</v>
    <v>brh6oc</v>
    <v>XNYS:NET</v>
    <v>395</v>
  </rv>
  <rv s="28">
    <v>65</v>
    <v>brh6oc</v>
    <v>Daily</v>
    <v>45222</v>
    <v>46318</v>
    <v>0</v>
    <v>1</v>
    <v>639283104000000000,639285315776316006,0</v>
    <v>8</v>
    <v>brh6oc</v>
    <v>XNYS:NET</v>
    <v>396</v>
  </rv>
  <rv s="28">
    <v>65</v>
    <v>brh6oc</v>
    <v>Daily</v>
    <v>45953</v>
    <v>46318</v>
    <v>0</v>
    <v>1</v>
    <v>639283104000000000,639285315776316006,0</v>
    <v>10</v>
    <v>brh6oc</v>
    <v>XNYS:NET</v>
    <v>397</v>
  </rv>
  <rv s="28">
    <v>65</v>
    <v>a1yv52</v>
    <v>Daily</v>
    <v>46022</v>
    <v>46318</v>
    <v>0</v>
    <v>1</v>
    <v>639283104000000000,639285315769847482,0</v>
    <v>6</v>
    <v>a1yv52</v>
    <v>XNAS:NVDA</v>
    <v>398</v>
  </rv>
  <rv s="28">
    <v>65</v>
    <v>a1yv52</v>
    <v>Daily</v>
    <v>45953</v>
    <v>46318</v>
    <v>0</v>
    <v>1</v>
    <v>639283104000000000,639285315785787899,0</v>
    <v>10</v>
    <v>a1yv52</v>
    <v>XNAS:NVDA</v>
    <v>399</v>
  </rv>
  <rv s="28">
    <v>65</v>
    <v>a1yv52</v>
    <v>Daily</v>
    <v>45222</v>
    <v>46318</v>
    <v>0</v>
    <v>1</v>
    <v>639283104000000000,639285315804258310,0</v>
    <v>8</v>
    <v>a1yv52</v>
    <v>XNAS:NVDA</v>
    <v>400</v>
  </rv>
  <rv s="28">
    <v>65</v>
    <v>a1ntlh</v>
    <v>Daily</v>
    <v>46022</v>
    <v>46318</v>
    <v>0</v>
    <v>1</v>
    <v>639283104000000000,639285315794427418,0</v>
    <v>6</v>
    <v>a1ntlh</v>
    <v>XNAS:ASML</v>
    <v>401</v>
  </rv>
  <rv s="28">
    <v>65</v>
    <v>a1ntlh</v>
    <v>Daily</v>
    <v>45953</v>
    <v>46318</v>
    <v>0</v>
    <v>1</v>
    <v>639283104000000000,639285315794598069,0</v>
    <v>10</v>
    <v>a1ntlh</v>
    <v>XNAS:ASML</v>
    <v>402</v>
  </rv>
  <rv s="28">
    <v>65</v>
    <v>a1ntlh</v>
    <v>Daily</v>
    <v>45222</v>
    <v>46318</v>
    <v>0</v>
    <v>1</v>
    <v>639283104000000000,639285316895754256,0</v>
    <v>8</v>
    <v>a1ntlh</v>
    <v>XNAS:ASML</v>
    <v>403</v>
  </rv>
  <rv s="28">
    <v>64</v>
    <v>bri83m</v>
    <v>Daily</v>
    <v>45953</v>
    <v>46318</v>
    <v>0</v>
    <v>1</v>
    <v>639283104000000000,639285315785782896,0</v>
    <v>4</v>
    <v>bri83m</v>
    <v>XMIL:EMXC</v>
    <v>404</v>
  </rv>
  <rv s="28">
    <v>64</v>
    <v>bri83m</v>
    <v>Daily</v>
    <v>46022</v>
    <v>46318</v>
    <v>0</v>
    <v>1</v>
    <v>639283104000000000,639285315785782896,0</v>
    <v>2</v>
    <v>bri83m</v>
    <v>XMIL:EMXC</v>
    <v>405</v>
  </rv>
  <rv s="28">
    <v>64</v>
    <v>bri83m</v>
    <v>Daily</v>
    <v>45222</v>
    <v>46318</v>
    <v>0</v>
    <v>1</v>
    <v>639283104000000000,639285315785782896,0</v>
    <v>0</v>
    <v>bri83m</v>
    <v>XMIL:EMXC</v>
    <v>406</v>
  </rv>
  <rv s="28">
    <v>64</v>
    <v>c61xw7</v>
    <v>Daily</v>
    <v>45953</v>
    <v>46318</v>
    <v>0</v>
    <v>1</v>
    <v>639283104000000000,639285315775057080,0</v>
    <v>4</v>
    <v>c61xw7</v>
    <v>XMIL:GRID</v>
    <v>407</v>
  </rv>
  <rv s="28">
    <v>64</v>
    <v>c61xw7</v>
    <v>Daily</v>
    <v>46022</v>
    <v>46318</v>
    <v>0</v>
    <v>1</v>
    <v>639283104000000000,639285315775057080,0</v>
    <v>2</v>
    <v>c61xw7</v>
    <v>XMIL:GRID</v>
    <v>408</v>
  </rv>
  <rv s="28">
    <v>64</v>
    <v>c61xw7</v>
    <v>Daily</v>
    <v>45222</v>
    <v>46318</v>
    <v>0</v>
    <v>1</v>
    <v>639283104000000000,639285316895644951,0</v>
    <v>0</v>
    <v>c61xw7</v>
    <v>XMIL:GRID</v>
    <v>409</v>
  </rv>
  <rv s="28">
    <v>65</v>
    <v>cd9jsm</v>
    <v>Daily</v>
    <v>46022</v>
    <v>46318</v>
    <v>0</v>
    <v>1</v>
    <v>639283104000000000,639285351123516754,0</v>
    <v>6</v>
    <v>cd9jsm</v>
    <v>XNAS:TEM</v>
    <v>410</v>
  </rv>
  <rv s="28">
    <v>65</v>
    <v>cd9jsm</v>
    <v>Daily</v>
    <v>45953</v>
    <v>46318</v>
    <v>0</v>
    <v>1</v>
    <v>639283104000000000,639285351123696763,0</v>
    <v>10</v>
    <v>cd9jsm</v>
    <v>XNAS:TEM</v>
    <v>411</v>
  </rv>
  <rv s="28">
    <v>65</v>
    <v>cd9jsm</v>
    <v>Daily</v>
    <v>45222</v>
    <v>46318</v>
    <v>0</v>
    <v>1</v>
    <v>639283104000000000,639285351133096876,0</v>
    <v>412</v>
    <v>cd9jsm</v>
    <v>XNAS:TEM</v>
    <v>413</v>
  </rv>
  <rv s="28">
    <v>64</v>
    <v>btgxh7</v>
    <v>Daily</v>
    <v>46022</v>
    <v>46318</v>
    <v>0</v>
    <v>1</v>
    <v>639283104000000000,639285316895626897,0</v>
    <v>2</v>
    <v>btgxh7</v>
    <v>XMIL:VGEA</v>
    <v>414</v>
  </rv>
  <rv s="28">
    <v>64</v>
    <v>btgxh7</v>
    <v>Daily</v>
    <v>45222</v>
    <v>46318</v>
    <v>0</v>
    <v>1</v>
    <v>639283104000000000,639285316895626897,0</v>
    <v>0</v>
    <v>btgxh7</v>
    <v>XMIL:VGEA</v>
    <v>415</v>
  </rv>
  <rv s="28">
    <v>64</v>
    <v>btgxh7</v>
    <v>Daily</v>
    <v>45953</v>
    <v>46318</v>
    <v>0</v>
    <v>1</v>
    <v>639283104000000000,639285316895626897,0</v>
    <v>4</v>
    <v>btgxh7</v>
    <v>XMIL:VGEA</v>
    <v>416</v>
  </rv>
  <rv s="28">
    <v>64</v>
    <v>ajgy5r</v>
    <v>Daily</v>
    <v>45222</v>
    <v>46318</v>
    <v>0</v>
    <v>1</v>
    <v>639283104000000000,639285315776043552,0</v>
    <v>0</v>
    <v>ajgy5r</v>
    <v>XMIL:XAD2</v>
    <v>417</v>
  </rv>
  <rv s="28">
    <v>64</v>
    <v>ajgy5r</v>
    <v>Daily</v>
    <v>45953</v>
    <v>46318</v>
    <v>0</v>
    <v>1</v>
    <v>639283104000000000,639285315776043552,0</v>
    <v>4</v>
    <v>ajgy5r</v>
    <v>XMIL:XAD2</v>
    <v>418</v>
  </rv>
  <rv s="28">
    <v>64</v>
    <v>ajgy5r</v>
    <v>Daily</v>
    <v>46022</v>
    <v>46318</v>
    <v>0</v>
    <v>1</v>
    <v>639283104000000000,639285315776043552,0</v>
    <v>2</v>
    <v>ajgy5r</v>
    <v>XMIL:XAD2</v>
    <v>419</v>
  </rv>
  <rv s="28">
    <v>64</v>
    <v>alnz5r</v>
    <v>Daily</v>
    <v>46022</v>
    <v>46318</v>
    <v>0</v>
    <v>1</v>
    <v>639283104000000000,639285315775417166,0</v>
    <v>24</v>
    <v>alnz5r</v>
    <v>XAMS:ASML</v>
    <v>420</v>
  </rv>
  <rv s="28">
    <v>64</v>
    <v>alnz5r</v>
    <v>Daily</v>
    <v>45222</v>
    <v>46318</v>
    <v>0</v>
    <v>1</v>
    <v>639283104000000000,639285315775597643,0</v>
    <v>28</v>
    <v>alnz5r</v>
    <v>XAMS:ASML</v>
    <v>421</v>
  </rv>
  <rv s="28">
    <v>64</v>
    <v>alnz5r</v>
    <v>Daily</v>
    <v>45953</v>
    <v>46318</v>
    <v>0</v>
    <v>1</v>
    <v>639283104000000000,639285315775597643,0</v>
    <v>26</v>
    <v>alnz5r</v>
    <v>XAMS:ASML</v>
    <v>422</v>
  </rv>
  <rv s="28">
    <v>64</v>
    <v>ajfnoc</v>
    <v>Daily</v>
    <v>45953</v>
    <v>46318</v>
    <v>0</v>
    <v>1</v>
    <v>639283104000000000,639285315804078294,0</v>
    <v>4</v>
    <v>ajfnoc</v>
    <v>XMIL:IUSE</v>
    <v>423</v>
  </rv>
  <rv s="28">
    <v>64</v>
    <v>ajfnoc</v>
    <v>Daily</v>
    <v>45222</v>
    <v>46318</v>
    <v>0</v>
    <v>1</v>
    <v>639283104000000000,639285315804078294,0</v>
    <v>0</v>
    <v>ajfnoc</v>
    <v>XMIL:IUSE</v>
    <v>424</v>
  </rv>
  <rv s="28">
    <v>64</v>
    <v>ajfnoc</v>
    <v>Daily</v>
    <v>46022</v>
    <v>46318</v>
    <v>0</v>
    <v>1</v>
    <v>639283104000000000,639285315804078294,0</v>
    <v>2</v>
    <v>ajfnoc</v>
    <v>XMIL:IUSE</v>
    <v>425</v>
  </rv>
  <rv s="28">
    <v>64</v>
    <v>ajh9cw</v>
    <v>Daily</v>
    <v>45222</v>
    <v>46318</v>
    <v>0</v>
    <v>1</v>
    <v>639283104000000000,639285316895686820,0</v>
    <v>0</v>
    <v>ajh9cw</v>
    <v>XMIL:XSDX</v>
    <v>426</v>
  </rv>
  <rv s="28">
    <v>64</v>
    <v>ajh9cw</v>
    <v>Daily</v>
    <v>45953</v>
    <v>46318</v>
    <v>0</v>
    <v>1</v>
    <v>639283104000000000,639285316895686820,0</v>
    <v>4</v>
    <v>ajh9cw</v>
    <v>XMIL:XSDX</v>
    <v>427</v>
  </rv>
  <rv s="28">
    <v>64</v>
    <v>ajh9cw</v>
    <v>Daily</v>
    <v>46022</v>
    <v>46318</v>
    <v>0</v>
    <v>1</v>
    <v>639283104000000000,639285316895686820,0</v>
    <v>2</v>
    <v>ajh9cw</v>
    <v>XMIL:XSDX</v>
    <v>428</v>
  </rv>
  <rv s="28">
    <v>64</v>
    <v>ajepp2</v>
    <v>Daily</v>
    <v>46022</v>
    <v>46318</v>
    <v>0</v>
    <v>1</v>
    <v>639283104000000000,639285315785873735,0</v>
    <v>2</v>
    <v>ajepp2</v>
    <v>XMIL:DIA</v>
    <v>429</v>
  </rv>
  <rv s="28">
    <v>64</v>
    <v>ajepp2</v>
    <v>Daily</v>
    <v>45222</v>
    <v>46318</v>
    <v>0</v>
    <v>1</v>
    <v>639283104000000000,639285315794462273,0</v>
    <v>0</v>
    <v>ajepp2</v>
    <v>XMIL:DIA</v>
    <v>430</v>
  </rv>
  <rv s="28">
    <v>64</v>
    <v>ajepp2</v>
    <v>Daily</v>
    <v>45953</v>
    <v>46318</v>
    <v>0</v>
    <v>1</v>
    <v>639283104000000000,639285315794462273,0</v>
    <v>4</v>
    <v>ajepp2</v>
    <v>XMIL:DIA</v>
    <v>431</v>
  </rv>
  <rv s="28">
    <v>64</v>
    <v>ajea4c</v>
    <v>Daily</v>
    <v>45953</v>
    <v>46318</v>
    <v>0</v>
    <v>1</v>
    <v>639283104000000000,639285315793987221,0</v>
    <v>4</v>
    <v>ajea4c</v>
    <v>XMIL:BTP13</v>
    <v>432</v>
  </rv>
  <rv s="28">
    <v>64</v>
    <v>ajea4c</v>
    <v>Daily</v>
    <v>45222</v>
    <v>46318</v>
    <v>0</v>
    <v>1</v>
    <v>639283104000000000,639285315813067409,0</v>
    <v>0</v>
    <v>ajea4c</v>
    <v>XMIL:BTP13</v>
    <v>433</v>
  </rv>
  <rv s="28">
    <v>64</v>
    <v>ajea4c</v>
    <v>Daily</v>
    <v>46022</v>
    <v>46318</v>
    <v>0</v>
    <v>1</v>
    <v>639283104000000000,639285315793987221,0</v>
    <v>2</v>
    <v>ajea4c</v>
    <v>XMIL:BTP13</v>
    <v>434</v>
  </rv>
  <rv s="28">
    <v>64</v>
    <v>bwxmnm</v>
    <v>Daily</v>
    <v>46022</v>
    <v>46318</v>
    <v>0</v>
    <v>1</v>
    <v>639283104000000000,639285315780623634,0</v>
    <v>24</v>
    <v>bwxmnm</v>
    <v>XAMS:UNA</v>
    <v>435</v>
  </rv>
  <rv s="28">
    <v>64</v>
    <v>bwxmnm</v>
    <v>Daily</v>
    <v>45222</v>
    <v>46318</v>
    <v>0</v>
    <v>1</v>
    <v>639283104000000000,639285315780807491,0</v>
    <v>28</v>
    <v>bwxmnm</v>
    <v>XAMS:UNA</v>
    <v>436</v>
  </rv>
  <rv s="28">
    <v>64</v>
    <v>bwxmnm</v>
    <v>Daily</v>
    <v>45953</v>
    <v>46318</v>
    <v>0</v>
    <v>1</v>
    <v>639283104000000000,639285315780807491,0</v>
    <v>26</v>
    <v>bwxmnm</v>
    <v>XAMS:UNA</v>
    <v>437</v>
  </rv>
  <rv s="28">
    <v>64</v>
    <v>afr9ec</v>
    <v>Daily</v>
    <v>46022</v>
    <v>46318</v>
    <v>0</v>
    <v>1</v>
    <v>639283104000000000,639285315813397744,0</v>
    <v>2</v>
    <v>afr9ec</v>
    <v>XETR:DHL</v>
    <v>438</v>
  </rv>
  <rv s="28">
    <v>64</v>
    <v>afr9ec</v>
    <v>Daily</v>
    <v>45222</v>
    <v>46318</v>
    <v>0</v>
    <v>1</v>
    <v>639283104000000000,639285315813587095,0</v>
    <v>110</v>
    <v>afr9ec</v>
    <v>XETR:DHL</v>
    <v>439</v>
  </rv>
  <rv s="28">
    <v>64</v>
    <v>afr9ec</v>
    <v>Daily</v>
    <v>45953</v>
    <v>46318</v>
    <v>0</v>
    <v>1</v>
    <v>639283104000000000,639285315813587095,0</v>
    <v>4</v>
    <v>afr9ec</v>
    <v>XETR:DHL</v>
    <v>440</v>
  </rv>
  <rv s="28">
    <v>64</v>
    <v>ajg81h</v>
    <v>Daily</v>
    <v>46022</v>
    <v>46318</v>
    <v>0</v>
    <v>1</v>
    <v>639283104000000000,639285315803387556,0</v>
    <v>2</v>
    <v>ajg81h</v>
    <v>XMIL:RACE</v>
    <v>441</v>
  </rv>
  <rv s="28">
    <v>64</v>
    <v>ajg81h</v>
    <v>Daily</v>
    <v>45953</v>
    <v>46318</v>
    <v>0</v>
    <v>1</v>
    <v>639283104000000000,639285315812928063,0</v>
    <v>4</v>
    <v>ajg81h</v>
    <v>XMIL:RACE</v>
    <v>442</v>
  </rv>
  <rv s="28">
    <v>64</v>
    <v>ajg81h</v>
    <v>Daily</v>
    <v>45222</v>
    <v>46318</v>
    <v>0</v>
    <v>1</v>
    <v>639283104000000000,639285315812928063,0</v>
    <v>0</v>
    <v>ajg81h</v>
    <v>XMIL:RACE</v>
    <v>443</v>
  </rv>
  <rv s="28">
    <v>64</v>
    <v>ajffu2</v>
    <v>Daily</v>
    <v>45222</v>
    <v>46318</v>
    <v>0</v>
    <v>1</v>
    <v>639283104000000000,639285315795132414,0</v>
    <v>0</v>
    <v>ajffu2</v>
    <v>XMIL:IBGM</v>
    <v>444</v>
  </rv>
  <rv s="28">
    <v>64</v>
    <v>ajffu2</v>
    <v>Daily</v>
    <v>45953</v>
    <v>46318</v>
    <v>0</v>
    <v>1</v>
    <v>639283104000000000,639285315795132414,0</v>
    <v>4</v>
    <v>ajffu2</v>
    <v>XMIL:IBGM</v>
    <v>445</v>
  </rv>
  <rv s="28">
    <v>64</v>
    <v>ajffu2</v>
    <v>Daily</v>
    <v>46022</v>
    <v>46318</v>
    <v>0</v>
    <v>1</v>
    <v>639283104000000000,639285315812542643,0</v>
    <v>2</v>
    <v>ajffu2</v>
    <v>XMIL:IBGM</v>
    <v>446</v>
  </rv>
  <rv s="28">
    <v>64</v>
    <v>ajgi8m</v>
    <v>Daily</v>
    <v>46022</v>
    <v>46318</v>
    <v>0</v>
    <v>1</v>
    <v>639283104000000000,639285315775367154,0</v>
    <v>2</v>
    <v>ajgi8m</v>
    <v>XMIL:SPM</v>
    <v>447</v>
  </rv>
  <rv s="28">
    <v>64</v>
    <v>ajgi8m</v>
    <v>Daily</v>
    <v>45222</v>
    <v>46318</v>
    <v>0</v>
    <v>1</v>
    <v>639283104000000000,639285315775527149,0</v>
    <v>0</v>
    <v>ajgi8m</v>
    <v>XMIL:SPM</v>
    <v>448</v>
  </rv>
  <rv s="28">
    <v>64</v>
    <v>ajgi8m</v>
    <v>Daily</v>
    <v>45953</v>
    <v>46318</v>
    <v>0</v>
    <v>1</v>
    <v>639283104000000000,639285315775527149,0</v>
    <v>4</v>
    <v>ajgi8m</v>
    <v>XMIL:SPM</v>
    <v>449</v>
  </rv>
  <rv s="28">
    <v>65</v>
    <v>bvlqa2</v>
    <v>Daily</v>
    <v>46022</v>
    <v>46318</v>
    <v>0</v>
    <v>1</v>
    <v>639283104000000000,639285315785210205,0</v>
    <v>6</v>
    <v>bvlqa2</v>
    <v>XNYS:SNOW</v>
    <v>450</v>
  </rv>
  <rv s="28">
    <v>65</v>
    <v>bvlqa2</v>
    <v>Daily</v>
    <v>45222</v>
    <v>46318</v>
    <v>0</v>
    <v>1</v>
    <v>639283104000000000,639285315793573848,0</v>
    <v>8</v>
    <v>bvlqa2</v>
    <v>XNYS:SNOW</v>
    <v>451</v>
  </rv>
  <rv s="28">
    <v>65</v>
    <v>bvlqa2</v>
    <v>Daily</v>
    <v>45953</v>
    <v>46318</v>
    <v>0</v>
    <v>1</v>
    <v>639283104000000000,639285315785392173,0</v>
    <v>10</v>
    <v>bvlqa2</v>
    <v>XNYS:SNOW</v>
    <v>452</v>
  </rv>
  <rv s="28">
    <v>64</v>
    <v>aje7z2</v>
    <v>Daily</v>
    <v>46022</v>
    <v>46318</v>
    <v>0</v>
    <v>1</v>
    <v>639283104000000000,639285315785747150,0</v>
    <v>2</v>
    <v>aje7z2</v>
    <v>XMIL:BMPS</v>
    <v>453</v>
  </rv>
  <rv s="28">
    <v>64</v>
    <v>aje7z2</v>
    <v>Daily</v>
    <v>45222</v>
    <v>46318</v>
    <v>0</v>
    <v>1</v>
    <v>639283104000000000,639285315793727198,0</v>
    <v>0</v>
    <v>aje7z2</v>
    <v>XMIL:BMPS</v>
    <v>454</v>
  </rv>
  <rv s="28">
    <v>64</v>
    <v>aje7z2</v>
    <v>Daily</v>
    <v>45953</v>
    <v>46318</v>
    <v>0</v>
    <v>1</v>
    <v>639283104000000000,639285315793727198,0</v>
    <v>4</v>
    <v>aje7z2</v>
    <v>XMIL:BMPS</v>
    <v>455</v>
  </rv>
  <rv s="28">
    <v>68</v>
    <v>cjc2r7</v>
    <v>Daily</v>
    <v>45222</v>
    <v>46318</v>
    <v>0</v>
    <v>1</v>
    <v>639283104000000000,639285351138937675,0</v>
    <v>456</v>
    <v>cjc2r7</v>
    <v>XLON:QANT</v>
    <v>457</v>
  </rv>
  <rv s="28">
    <v>68</v>
    <v>cjc2r7</v>
    <v>Daily</v>
    <v>46022</v>
    <v>46318</v>
    <v>0</v>
    <v>1</v>
    <v>639283104000000000,639285351138937675,0</v>
    <v>458</v>
    <v>cjc2r7</v>
    <v>XLON:QANT</v>
    <v>457</v>
  </rv>
  <rv s="28">
    <v>68</v>
    <v>cjc2r7</v>
    <v>Daily</v>
    <v>45953</v>
    <v>46318</v>
    <v>0</v>
    <v>1</v>
    <v>639283104000000000,639285351138937675,0</v>
    <v>459</v>
    <v>cjc2r7</v>
    <v>XLON:QANT</v>
    <v>457</v>
  </rv>
  <rv s="28">
    <v>64</v>
    <v>bqegww</v>
    <v>Daily</v>
    <v>46022</v>
    <v>46318</v>
    <v>0</v>
    <v>1</v>
    <v>639283104000000000,639285315775112684,0</v>
    <v>2</v>
    <v>bqegww</v>
    <v>XMIL:AGGH</v>
    <v>460</v>
  </rv>
  <rv s="28">
    <v>64</v>
    <v>bqegww</v>
    <v>Daily</v>
    <v>45953</v>
    <v>46318</v>
    <v>0</v>
    <v>1</v>
    <v>639283104000000000,639285315804107273,0</v>
    <v>4</v>
    <v>bqegww</v>
    <v>XMIL:AGGH</v>
    <v>461</v>
  </rv>
  <rv s="28">
    <v>64</v>
    <v>bqegww</v>
    <v>Daily</v>
    <v>45222</v>
    <v>46318</v>
    <v>0</v>
    <v>1</v>
    <v>639283104000000000,639285315804107273,0</v>
    <v>0</v>
    <v>bqegww</v>
    <v>XMIL:AGGH</v>
    <v>462</v>
  </rv>
  <rv s="28">
    <v>64</v>
    <v>ajgku2</v>
    <v>Daily</v>
    <v>46022</v>
    <v>46318</v>
    <v>0</v>
    <v>1</v>
    <v>639283104000000000,639285315785293762,0</v>
    <v>2</v>
    <v>ajgku2</v>
    <v>XMIL:STMMI</v>
    <v>463</v>
  </rv>
  <rv s="28">
    <v>64</v>
    <v>ajgku2</v>
    <v>Daily</v>
    <v>45953</v>
    <v>46318</v>
    <v>0</v>
    <v>1</v>
    <v>639283104000000000,639285315785472294,0</v>
    <v>4</v>
    <v>ajgku2</v>
    <v>XMIL:STMMI</v>
    <v>464</v>
  </rv>
  <rv s="28">
    <v>64</v>
    <v>ajgku2</v>
    <v>Daily</v>
    <v>45222</v>
    <v>46318</v>
    <v>0</v>
    <v>1</v>
    <v>639283104000000000,639285315785472294,0</v>
    <v>0</v>
    <v>ajgku2</v>
    <v>XMIL:STMMI</v>
    <v>465</v>
  </rv>
  <rv s="28">
    <v>64</v>
    <v>aje2cw</v>
    <v>Daily</v>
    <v>46022</v>
    <v>46318</v>
    <v>0</v>
    <v>1</v>
    <v>639283104000000000,639285315776807196,0</v>
    <v>2</v>
    <v>aje2cw</v>
    <v>XMIL:AIGI</v>
    <v>466</v>
  </rv>
  <rv s="28">
    <v>64</v>
    <v>aje2cw</v>
    <v>Daily</v>
    <v>45222</v>
    <v>46318</v>
    <v>0</v>
    <v>1</v>
    <v>639283104000000000,639285315776269441,0</v>
    <v>0</v>
    <v>aje2cw</v>
    <v>XMIL:AIGI</v>
    <v>467</v>
  </rv>
  <rv s="28">
    <v>64</v>
    <v>aje2cw</v>
    <v>Daily</v>
    <v>45953</v>
    <v>46318</v>
    <v>0</v>
    <v>1</v>
    <v>639283104000000000,639285315776269441,0</v>
    <v>4</v>
    <v>aje2cw</v>
    <v>XMIL:AIGI</v>
    <v>468</v>
  </rv>
  <rv s="28">
    <v>65</v>
    <v>c4xjc7</v>
    <v>Daily</v>
    <v>46022</v>
    <v>46318</v>
    <v>0</v>
    <v>1</v>
    <v>639283104000000000,639285315770876516,0</v>
    <v>6</v>
    <v>c4xjc7</v>
    <v>XNAS:CEG</v>
    <v>469</v>
  </rv>
  <rv s="28">
    <v>65</v>
    <v>c4xjc7</v>
    <v>Daily</v>
    <v>45222</v>
    <v>46318</v>
    <v>0</v>
    <v>1</v>
    <v>639283104000000000,639285315776377176,0</v>
    <v>8</v>
    <v>c4xjc7</v>
    <v>XNAS:CEG</v>
    <v>470</v>
  </rv>
  <rv s="28">
    <v>65</v>
    <v>c4xjc7</v>
    <v>Daily</v>
    <v>45953</v>
    <v>46318</v>
    <v>0</v>
    <v>1</v>
    <v>639283104000000000,639285315776377176,0</v>
    <v>10</v>
    <v>c4xjc7</v>
    <v>XNAS:CEG</v>
    <v>471</v>
  </rv>
  <rv s="28">
    <v>64</v>
    <v>ajgz27</v>
    <v>Daily</v>
    <v>45953</v>
    <v>46318</v>
    <v>0</v>
    <v>1</v>
    <v>639283104000000000,639285315793397202,0</v>
    <v>4</v>
    <v>ajgz27</v>
    <v>XMIL:XBLC</v>
    <v>472</v>
  </rv>
  <rv s="28">
    <v>64</v>
    <v>ajgz27</v>
    <v>Daily</v>
    <v>46022</v>
    <v>46318</v>
    <v>0</v>
    <v>1</v>
    <v>639283104000000000,639285315793397202,0</v>
    <v>2</v>
    <v>ajgz27</v>
    <v>XMIL:XBLC</v>
    <v>473</v>
  </rv>
  <rv s="28">
    <v>64</v>
    <v>ajgz27</v>
    <v>Daily</v>
    <v>45222</v>
    <v>46318</v>
    <v>0</v>
    <v>1</v>
    <v>639283104000000000,639285315793397202,0</v>
    <v>0</v>
    <v>ajgz27</v>
    <v>XMIL:XBLC</v>
    <v>474</v>
  </rv>
  <rv s="28">
    <v>64</v>
    <v>bsxrh7</v>
    <v>Daily</v>
    <v>46022</v>
    <v>46318</v>
    <v>0</v>
    <v>1</v>
    <v>639283104000000000,639285315812614447,0</v>
    <v>2</v>
    <v>bsxrh7</v>
    <v>XMIL:500X</v>
    <v>475</v>
  </rv>
  <rv s="28">
    <v>64</v>
    <v>bsxrh7</v>
    <v>Daily</v>
    <v>45222</v>
    <v>46318</v>
    <v>0</v>
    <v>1</v>
    <v>639283104000000000,639285316897496587,0</v>
    <v>0</v>
    <v>bsxrh7</v>
    <v>XMIL:500X</v>
    <v>476</v>
  </rv>
  <rv s="28">
    <v>64</v>
    <v>bsxrh7</v>
    <v>Daily</v>
    <v>45953</v>
    <v>46318</v>
    <v>0</v>
    <v>1</v>
    <v>639283104000000000,639285316897496587,0</v>
    <v>4</v>
    <v>bsxrh7</v>
    <v>XMIL:500X</v>
    <v>477</v>
  </rv>
  <rv s="28">
    <v>65</v>
    <v>a1ndww</v>
    <v>Daily</v>
    <v>46022</v>
    <v>46318</v>
    <v>0</v>
    <v>1</v>
    <v>639283104000000000,639285315770845580,0</v>
    <v>6</v>
    <v>a1ndww</v>
    <v>XNAS:AMD</v>
    <v>478</v>
  </rv>
  <rv s="28">
    <v>65</v>
    <v>a1ndww</v>
    <v>Daily</v>
    <v>45953</v>
    <v>46318</v>
    <v>0</v>
    <v>1</v>
    <v>639283104000000000,639285315802997272,0</v>
    <v>10</v>
    <v>a1ndww</v>
    <v>XNAS:AMD</v>
    <v>479</v>
  </rv>
  <rv s="28">
    <v>65</v>
    <v>a1ndww</v>
    <v>Daily</v>
    <v>45222</v>
    <v>46318</v>
    <v>0</v>
    <v>1</v>
    <v>639283104000000000,639285315802997272,0</v>
    <v>8</v>
    <v>a1ndww</v>
    <v>XNAS:AMD</v>
    <v>480</v>
  </rv>
  <rv s="28">
    <v>64</v>
    <v>ajg16h</v>
    <v>Daily</v>
    <v>46022</v>
    <v>46318</v>
    <v>0</v>
    <v>1</v>
    <v>639283104000000000,639285315813217758,0</v>
    <v>2</v>
    <v>ajg16h</v>
    <v>XMIL:NGAS</v>
    <v>481</v>
  </rv>
  <rv s="28">
    <v>64</v>
    <v>ajg16h</v>
    <v>Daily</v>
    <v>45953</v>
    <v>46318</v>
    <v>0</v>
    <v>1</v>
    <v>639283104000000000,639285315813217758,0</v>
    <v>4</v>
    <v>ajg16h</v>
    <v>XMIL:NGAS</v>
    <v>482</v>
  </rv>
  <rv s="28">
    <v>64</v>
    <v>ajg16h</v>
    <v>Daily</v>
    <v>45222</v>
    <v>46318</v>
    <v>0</v>
    <v>1</v>
    <v>639283104000000000,639285315813217758,0</v>
    <v>0</v>
    <v>ajg16h</v>
    <v>XMIL:NGAS</v>
    <v>483</v>
  </rv>
  <rv s="28">
    <v>65</v>
    <v>a1vgar</v>
    <v>Daily</v>
    <v>46022</v>
    <v>46318</v>
    <v>0</v>
    <v>1</v>
    <v>639283104000000000,639285315771027513,0</v>
    <v>6</v>
    <v>a1vgar</v>
    <v>XNYS:COHR</v>
    <v>484</v>
  </rv>
  <rv s="28">
    <v>65</v>
    <v>a1vgar</v>
    <v>Daily</v>
    <v>45953</v>
    <v>46318</v>
    <v>0</v>
    <v>1</v>
    <v>639283104000000000,639285315771197504,0</v>
    <v>10</v>
    <v>a1vgar</v>
    <v>XNYS:COHR</v>
    <v>485</v>
  </rv>
  <rv s="28">
    <v>65</v>
    <v>a1vgar</v>
    <v>Daily</v>
    <v>45222</v>
    <v>46318</v>
    <v>0</v>
    <v>1</v>
    <v>639283104000000000,639285315786847914,0</v>
    <v>8</v>
    <v>a1vgar</v>
    <v>XNYS:COHR</v>
    <v>486</v>
  </rv>
  <rv s="28">
    <v>64</v>
    <v>ajge5r</v>
    <v>Daily</v>
    <v>45222</v>
    <v>46318</v>
    <v>0</v>
    <v>1</v>
    <v>639283104000000000,639285315793690624,0</v>
    <v>0</v>
    <v>ajge5r</v>
    <v>XMIL:SGBS</v>
    <v>487</v>
  </rv>
  <rv s="28">
    <v>64</v>
    <v>ajge5r</v>
    <v>Daily</v>
    <v>46022</v>
    <v>46318</v>
    <v>0</v>
    <v>1</v>
    <v>639283104000000000,639285315793690624,0</v>
    <v>2</v>
    <v>ajge5r</v>
    <v>XMIL:SGBS</v>
    <v>488</v>
  </rv>
  <rv s="28">
    <v>64</v>
    <v>ajge5r</v>
    <v>Daily</v>
    <v>45953</v>
    <v>46318</v>
    <v>0</v>
    <v>1</v>
    <v>639283104000000000,639285315793690624,0</v>
    <v>4</v>
    <v>ajge5r</v>
    <v>XMIL:SGBS</v>
    <v>489</v>
  </rv>
  <rv s="28">
    <v>65</v>
    <v>a234r7</v>
    <v>Daily</v>
    <v>46022</v>
    <v>46318</v>
    <v>0</v>
    <v>1</v>
    <v>639283104000000000,639285315770007484,0</v>
    <v>6</v>
    <v>a234r7</v>
    <v>XNAS:SMCI</v>
    <v>490</v>
  </rv>
  <rv s="28">
    <v>65</v>
    <v>a234r7</v>
    <v>Daily</v>
    <v>45953</v>
    <v>46318</v>
    <v>0</v>
    <v>1</v>
    <v>639283104000000000,639285315775671524,0</v>
    <v>10</v>
    <v>a234r7</v>
    <v>XNAS:SMCI</v>
    <v>491</v>
  </rv>
  <rv s="28">
    <v>65</v>
    <v>a234r7</v>
    <v>Daily</v>
    <v>45222</v>
    <v>46318</v>
    <v>0</v>
    <v>1</v>
    <v>639283104000000000,639285315793941703,0</v>
    <v>8</v>
    <v>a234r7</v>
    <v>XNAS:SMCI</v>
    <v>492</v>
  </rv>
  <rv s="28">
    <v>65</v>
    <v>a1xygh</v>
    <v>Daily</v>
    <v>46022</v>
    <v>46318</v>
    <v>0</v>
    <v>1</v>
    <v>639283104000000000,639285315786623806,0</v>
    <v>6</v>
    <v>a1xygh</v>
    <v>XNAS:MRVL</v>
    <v>493</v>
  </rv>
  <rv s="28">
    <v>65</v>
    <v>a1xygh</v>
    <v>Daily</v>
    <v>45222</v>
    <v>46318</v>
    <v>0</v>
    <v>1</v>
    <v>639283104000000000,639285315794685365,0</v>
    <v>8</v>
    <v>a1xygh</v>
    <v>XNAS:MRVL</v>
    <v>494</v>
  </rv>
  <rv s="28">
    <v>65</v>
    <v>a1xygh</v>
    <v>Daily</v>
    <v>45953</v>
    <v>46318</v>
    <v>0</v>
    <v>1</v>
    <v>639283104000000000,639285315794685365,0</v>
    <v>10</v>
    <v>a1xygh</v>
    <v>XNAS:MRVL</v>
    <v>495</v>
  </rv>
  <rv s="28">
    <v>64</v>
    <v>ajevtc</v>
    <v>Daily</v>
    <v>45222</v>
    <v>46318</v>
    <v>0</v>
    <v>1</v>
    <v>639283104000000000,639285316895347611,0</v>
    <v>0</v>
    <v>ajevtc</v>
    <v>XMIL:EM1015</v>
    <v>496</v>
  </rv>
  <rv s="28">
    <v>64</v>
    <v>ajevtc</v>
    <v>Daily</v>
    <v>46022</v>
    <v>46318</v>
    <v>0</v>
    <v>1</v>
    <v>639283104000000000,639285316895347611,0</v>
    <v>2</v>
    <v>ajevtc</v>
    <v>XMIL:EM1015</v>
    <v>497</v>
  </rv>
  <rv s="28">
    <v>64</v>
    <v>ajevtc</v>
    <v>Daily</v>
    <v>45953</v>
    <v>46318</v>
    <v>0</v>
    <v>1</v>
    <v>639283104000000000,639285316895347611,0</v>
    <v>4</v>
    <v>ajevtc</v>
    <v>XMIL:EM1015</v>
    <v>498</v>
  </rv>
  <rv s="28">
    <v>65</v>
    <v>bx3ch7</v>
    <v>Daily</v>
    <v>46022</v>
    <v>46318</v>
    <v>0</v>
    <v>1</v>
    <v>639283104000000000,639285315784862532,0</v>
    <v>6</v>
    <v>bx3ch7</v>
    <v>XNAS:QBTS</v>
    <v>499</v>
  </rv>
  <rv s="28">
    <v>65</v>
    <v>bx3ch7</v>
    <v>Daily</v>
    <v>45953</v>
    <v>46318</v>
    <v>0</v>
    <v>1</v>
    <v>639283104000000000,639285316900434339,0</v>
    <v>10</v>
    <v>bx3ch7</v>
    <v>XNAS:QBTS</v>
    <v>500</v>
  </rv>
  <rv s="28">
    <v>65</v>
    <v>bx3ch7</v>
    <v>Daily</v>
    <v>45222</v>
    <v>46318</v>
    <v>0</v>
    <v>1</v>
    <v>639283104000000000,639285315785032540,0</v>
    <v>8</v>
    <v>bx3ch7</v>
    <v>XNAS:QBTS</v>
    <v>501</v>
  </rv>
  <rv s="28">
    <v>65</v>
    <v>a221pr</v>
    <v>Daily</v>
    <v>46022</v>
    <v>46318</v>
    <v>0</v>
    <v>1</v>
    <v>639283104000000000,639285315775299732,0</v>
    <v>6</v>
    <v>a221pr</v>
    <v>XNAS:RIOT</v>
    <v>502</v>
  </rv>
  <rv s="28">
    <v>65</v>
    <v>a221pr</v>
    <v>Daily</v>
    <v>45222</v>
    <v>46318</v>
    <v>0</v>
    <v>1</v>
    <v>639283104000000000,639285315775477087,0</v>
    <v>8</v>
    <v>a221pr</v>
    <v>XNAS:RIOT</v>
    <v>503</v>
  </rv>
  <rv s="28">
    <v>65</v>
    <v>a221pr</v>
    <v>Daily</v>
    <v>45953</v>
    <v>46318</v>
    <v>0</v>
    <v>1</v>
    <v>639283104000000000,639285315775477087,0</v>
    <v>10</v>
    <v>a221pr</v>
    <v>XNAS:RIOT</v>
    <v>504</v>
  </rv>
  <rv s="28">
    <v>64</v>
    <v>ajewk2</v>
    <v>Daily</v>
    <v>46022</v>
    <v>46318</v>
    <v>0</v>
    <v>1</v>
    <v>639283104000000000,639285315776809447,0</v>
    <v>2</v>
    <v>ajewk2</v>
    <v>XMIL:EMBE</v>
    <v>505</v>
  </rv>
  <rv s="28">
    <v>64</v>
    <v>ajewk2</v>
    <v>Daily</v>
    <v>45953</v>
    <v>46318</v>
    <v>0</v>
    <v>1</v>
    <v>639283104000000000,639285315776809447,0</v>
    <v>4</v>
    <v>ajewk2</v>
    <v>XMIL:EMBE</v>
    <v>506</v>
  </rv>
  <rv s="28">
    <v>64</v>
    <v>ajewk2</v>
    <v>Daily</v>
    <v>45222</v>
    <v>46318</v>
    <v>0</v>
    <v>1</v>
    <v>639283104000000000,639285315813077736,0</v>
    <v>0</v>
    <v>ajewk2</v>
    <v>XMIL:EMBE</v>
    <v>507</v>
  </rv>
  <rv s="28">
    <v>64</v>
    <v>afr3u2</v>
    <v>Daily</v>
    <v>46022</v>
    <v>46318</v>
    <v>0</v>
    <v>1</v>
    <v>639283104000000000,639285315775975381,0</v>
    <v>2</v>
    <v>afr3u2</v>
    <v>XETR:MBG</v>
    <v>508</v>
  </rv>
  <rv s="28">
    <v>64</v>
    <v>afr3u2</v>
    <v>Daily</v>
    <v>45222</v>
    <v>46318</v>
    <v>0</v>
    <v>1</v>
    <v>639283104000000000,639285315812938200,0</v>
    <v>110</v>
    <v>afr3u2</v>
    <v>XETR:MBG</v>
    <v>509</v>
  </rv>
  <rv s="28">
    <v>64</v>
    <v>afr3u2</v>
    <v>Daily</v>
    <v>45953</v>
    <v>46318</v>
    <v>0</v>
    <v>1</v>
    <v>639283104000000000,639285315812938200,0</v>
    <v>4</v>
    <v>afr3u2</v>
    <v>XETR:MBG</v>
    <v>510</v>
  </rv>
  <rv s="28">
    <v>65</v>
    <v>brg5u2</v>
    <v>Daily</v>
    <v>46022</v>
    <v>46318</v>
    <v>0</v>
    <v>1</v>
    <v>639283104000000000,639285315771057052,0</v>
    <v>6</v>
    <v>brg5u2</v>
    <v>XNYS:HIMS</v>
    <v>511</v>
  </rv>
  <rv s="28">
    <v>65</v>
    <v>brg5u2</v>
    <v>Daily</v>
    <v>45953</v>
    <v>46318</v>
    <v>0</v>
    <v>1</v>
    <v>639283104000000000,639285315771217054,0</v>
    <v>10</v>
    <v>brg5u2</v>
    <v>XNYS:HIMS</v>
    <v>512</v>
  </rv>
  <rv s="28">
    <v>65</v>
    <v>brg5u2</v>
    <v>Daily</v>
    <v>45222</v>
    <v>46318</v>
    <v>0</v>
    <v>1</v>
    <v>639283104000000000,639285315786472886,0</v>
    <v>8</v>
    <v>brg5u2</v>
    <v>XNYS:HIMS</v>
    <v>513</v>
  </rv>
  <rv s="28">
    <v>64</v>
    <v>ae8gm7</v>
    <v>Daily</v>
    <v>46022</v>
    <v>46318</v>
    <v>0</v>
    <v>1</v>
    <v>639283104000000000,639285315785990005,0</v>
    <v>24</v>
    <v>ae8gm7</v>
    <v>XPAR:EL</v>
    <v>514</v>
  </rv>
  <rv s="28">
    <v>64</v>
    <v>ae8gm7</v>
    <v>Daily</v>
    <v>45953</v>
    <v>46318</v>
    <v>0</v>
    <v>1</v>
    <v>639283104000000000,639285316895464960,0</v>
    <v>26</v>
    <v>ae8gm7</v>
    <v>XPAR:EL</v>
    <v>515</v>
  </rv>
  <rv s="28">
    <v>64</v>
    <v>ae8gm7</v>
    <v>Daily</v>
    <v>45222</v>
    <v>46318</v>
    <v>0</v>
    <v>1</v>
    <v>639283104000000000,639285316895464960,0</v>
    <v>28</v>
    <v>ae8gm7</v>
    <v>XPAR:EL</v>
    <v>516</v>
  </rv>
  <rv s="28">
    <v>64</v>
    <v>ae7z7w</v>
    <v>Daily</v>
    <v>46022</v>
    <v>46318</v>
    <v>0</v>
    <v>1</v>
    <v>639283104000000000,639285315770723390,0</v>
    <v>24</v>
    <v>ae7z7w</v>
    <v>XPAR:C5E</v>
    <v>517</v>
  </rv>
  <rv s="28">
    <v>64</v>
    <v>ae7z7w</v>
    <v>Daily</v>
    <v>45222</v>
    <v>46318</v>
    <v>0</v>
    <v>1</v>
    <v>639283104000000000,639285316897849944,0</v>
    <v>28</v>
    <v>ae7z7w</v>
    <v>XPAR:C5E</v>
    <v>518</v>
  </rv>
  <rv s="28">
    <v>64</v>
    <v>ae7z7w</v>
    <v>Daily</v>
    <v>45953</v>
    <v>46318</v>
    <v>0</v>
    <v>1</v>
    <v>639283104000000000,639285316897849944,0</v>
    <v>26</v>
    <v>ae7z7w</v>
    <v>XPAR:C5E</v>
    <v>519</v>
  </rv>
  <rv s="28">
    <v>64</v>
    <v>ajh3mw</v>
    <v>Daily</v>
    <v>45953</v>
    <v>46318</v>
    <v>0</v>
    <v>1</v>
    <v>639283104000000000,639285315775544035,0</v>
    <v>4</v>
    <v>ajh3mw</v>
    <v>XMIL:XEON</v>
    <v>520</v>
  </rv>
  <rv s="28">
    <v>64</v>
    <v>ajh3mw</v>
    <v>Daily</v>
    <v>45222</v>
    <v>46318</v>
    <v>0</v>
    <v>1</v>
    <v>639283104000000000,639285315785645513,0</v>
    <v>0</v>
    <v>ajh3mw</v>
    <v>XMIL:XEON</v>
    <v>521</v>
  </rv>
  <rv s="28">
    <v>64</v>
    <v>ajh3mw</v>
    <v>Daily</v>
    <v>46022</v>
    <v>46318</v>
    <v>0</v>
    <v>1</v>
    <v>639283104000000000,639285315775544035,0</v>
    <v>2</v>
    <v>ajh3mw</v>
    <v>XMIL:XEON</v>
    <v>522</v>
  </rv>
  <rv s="28">
    <v>65</v>
    <v>a1vgur</v>
    <v>Daily</v>
    <v>46022</v>
    <v>46318</v>
    <v>0</v>
    <v>1</v>
    <v>639283104000000000,639285315786489108,0</v>
    <v>6</v>
    <v>a1vgur</v>
    <v>XNAS:WULF</v>
    <v>523</v>
  </rv>
  <rv s="28">
    <v>65</v>
    <v>a1vgur</v>
    <v>Daily</v>
    <v>45222</v>
    <v>46318</v>
    <v>0</v>
    <v>1</v>
    <v>639283104000000000,639285315811430655,0</v>
    <v>8</v>
    <v>a1vgur</v>
    <v>XNAS:WULF</v>
    <v>524</v>
  </rv>
  <rv s="28">
    <v>65</v>
    <v>a1vgur</v>
    <v>Daily</v>
    <v>45953</v>
    <v>46318</v>
    <v>0</v>
    <v>1</v>
    <v>639283104000000000,639285315811430655,0</v>
    <v>10</v>
    <v>a1vgur</v>
    <v>XNAS:WULF</v>
    <v>525</v>
  </rv>
  <rv s="28">
    <v>64</v>
    <v>ajfaur</v>
    <v>Daily</v>
    <v>46022</v>
    <v>46318</v>
    <v>0</v>
    <v>1</v>
    <v>639283104000000000,639285315776447644,0</v>
    <v>2</v>
    <v>ajfaur</v>
    <v>XMIL:GGOV</v>
    <v>526</v>
  </rv>
  <rv s="28">
    <v>64</v>
    <v>ajfaur</v>
    <v>Daily</v>
    <v>45953</v>
    <v>46318</v>
    <v>0</v>
    <v>1</v>
    <v>639283104000000000,639285315813094445,0</v>
    <v>4</v>
    <v>ajfaur</v>
    <v>XMIL:GGOV</v>
    <v>527</v>
  </rv>
  <rv s="28">
    <v>64</v>
    <v>ajfaur</v>
    <v>Daily</v>
    <v>45222</v>
    <v>46318</v>
    <v>0</v>
    <v>1</v>
    <v>639283104000000000,639285315813094445,0</v>
    <v>0</v>
    <v>ajfaur</v>
    <v>XMIL:GGOV</v>
    <v>528</v>
  </rv>
  <rv s="28">
    <v>64</v>
    <v>c9sxf2</v>
    <v>Daily</v>
    <v>46022</v>
    <v>46318</v>
    <v>0</v>
    <v>1</v>
    <v>639283104000000000,639285351123467377,0</v>
    <v>2</v>
    <v>c9sxf2</v>
    <v>XMIL:OIH</v>
    <v>529</v>
  </rv>
  <rv s="28">
    <v>64</v>
    <v>c9sxf2</v>
    <v>Daily</v>
    <v>45222</v>
    <v>46318</v>
    <v>0</v>
    <v>1</v>
    <v>639283104000000000,639285351117814266,0</v>
    <v>0</v>
    <v>c9sxf2</v>
    <v>XMIL:OIH</v>
    <v>530</v>
  </rv>
  <rv s="28">
    <v>64</v>
    <v>c9sxf2</v>
    <v>Daily</v>
    <v>45953</v>
    <v>46318</v>
    <v>0</v>
    <v>1</v>
    <v>639283104000000000,639285351117814266,0</v>
    <v>4</v>
    <v>c9sxf2</v>
    <v>XMIL:OIH</v>
    <v>531</v>
  </rv>
  <rv s="28">
    <v>64</v>
    <v>ajg877</v>
    <v>Daily</v>
    <v>46022</v>
    <v>46318</v>
    <v>0</v>
    <v>1</v>
    <v>639283104000000000,639285315795105709,0</v>
    <v>2</v>
    <v>ajg877</v>
    <v>XMIL:RBOT</v>
    <v>532</v>
  </rv>
  <rv s="28">
    <v>64</v>
    <v>ajg877</v>
    <v>Daily</v>
    <v>45222</v>
    <v>46318</v>
    <v>0</v>
    <v>1</v>
    <v>639283104000000000,639285316896104219,0</v>
    <v>0</v>
    <v>ajg877</v>
    <v>XMIL:RBOT</v>
    <v>533</v>
  </rv>
  <rv s="28">
    <v>64</v>
    <v>ajg877</v>
    <v>Daily</v>
    <v>45953</v>
    <v>46318</v>
    <v>0</v>
    <v>1</v>
    <v>639283104000000000,639285316896104219,0</v>
    <v>4</v>
    <v>ajg877</v>
    <v>XMIL:RBOT</v>
    <v>534</v>
  </rv>
  <rv s="28">
    <v>64</v>
    <v>brge9c</v>
    <v>Daily</v>
    <v>45953</v>
    <v>46318</v>
    <v>0</v>
    <v>1</v>
    <v>639283104000000000,639285315775165013,0</v>
    <v>4</v>
    <v>brge9c</v>
    <v>XMIL:ESPO</v>
    <v>535</v>
  </rv>
  <rv s="28">
    <v>64</v>
    <v>brge9c</v>
    <v>Daily</v>
    <v>46022</v>
    <v>46318</v>
    <v>0</v>
    <v>1</v>
    <v>639283104000000000,639285315775165013,0</v>
    <v>2</v>
    <v>brge9c</v>
    <v>XMIL:ESPO</v>
    <v>536</v>
  </rv>
  <rv s="28">
    <v>64</v>
    <v>brge9c</v>
    <v>Daily</v>
    <v>45222</v>
    <v>46318</v>
    <v>0</v>
    <v>1</v>
    <v>639283104000000000,639285315786682305,0</v>
    <v>0</v>
    <v>brge9c</v>
    <v>XMIL:ESPO</v>
    <v>537</v>
  </rv>
  <rv s="28">
    <v>64</v>
    <v>buefp2</v>
    <v>Daily</v>
    <v>45953</v>
    <v>46318</v>
    <v>0</v>
    <v>1</v>
    <v>639283104000000000,639285315776450320,0</v>
    <v>4</v>
    <v>buefp2</v>
    <v>XETR:MVEW</v>
    <v>538</v>
  </rv>
  <rv s="28">
    <v>64</v>
    <v>buefp2</v>
    <v>Daily</v>
    <v>45222</v>
    <v>46318</v>
    <v>0</v>
    <v>1</v>
    <v>639283104000000000,639285316896633491,0</v>
    <v>110</v>
    <v>buefp2</v>
    <v>XETR:MVEW</v>
    <v>539</v>
  </rv>
  <rv s="28">
    <v>64</v>
    <v>buefp2</v>
    <v>Daily</v>
    <v>46022</v>
    <v>46318</v>
    <v>0</v>
    <v>1</v>
    <v>639283104000000000,639285315776450320,0</v>
    <v>2</v>
    <v>buefp2</v>
    <v>XETR:MVEW</v>
    <v>540</v>
  </rv>
  <rv s="28">
    <v>65</v>
    <v>a1nz8m</v>
    <v>Daily</v>
    <v>46022</v>
    <v>46318</v>
    <v>0</v>
    <v>1</v>
    <v>639283104000000000,639285315769646532,0</v>
    <v>6</v>
    <v>a1nz8m</v>
    <v>XNAS:AVGO</v>
    <v>541</v>
  </rv>
  <rv s="28">
    <v>65</v>
    <v>a1nz8m</v>
    <v>Daily</v>
    <v>45953</v>
    <v>46318</v>
    <v>0</v>
    <v>1</v>
    <v>639283104000000000,639285315769817093,0</v>
    <v>10</v>
    <v>a1nz8m</v>
    <v>XNAS:AVGO</v>
    <v>542</v>
  </rv>
  <rv s="28">
    <v>65</v>
    <v>a1nz8m</v>
    <v>Daily</v>
    <v>45222</v>
    <v>46318</v>
    <v>0</v>
    <v>1</v>
    <v>639283104000000000,639285315803556928,0</v>
    <v>8</v>
    <v>a1nz8m</v>
    <v>XNAS:AVGO</v>
    <v>543</v>
  </rv>
  <rv s="28">
    <v>64</v>
    <v>ajfnzr</v>
    <v>Daily</v>
    <v>45222</v>
    <v>46318</v>
    <v>0</v>
    <v>1</v>
    <v>639283104000000000,639285315793757881,0</v>
    <v>0</v>
    <v>ajfnzr</v>
    <v>XMIL:IWDE</v>
    <v>544</v>
  </rv>
  <rv s="28">
    <v>64</v>
    <v>ajfnzr</v>
    <v>Daily</v>
    <v>45953</v>
    <v>46318</v>
    <v>0</v>
    <v>1</v>
    <v>639283104000000000,639285315793757881,0</v>
    <v>4</v>
    <v>ajfnzr</v>
    <v>XMIL:IWDE</v>
    <v>545</v>
  </rv>
  <rv s="28">
    <v>64</v>
    <v>ajfnzr</v>
    <v>Daily</v>
    <v>46022</v>
    <v>46318</v>
    <v>0</v>
    <v>1</v>
    <v>639283104000000000,639285315793757881,0</v>
    <v>2</v>
    <v>ajfnzr</v>
    <v>XMIL:IWDE</v>
    <v>546</v>
  </rv>
  <rv s="28">
    <v>65</v>
    <v>a1y4oc</v>
    <v>Daily</v>
    <v>46022</v>
    <v>46318</v>
    <v>0</v>
    <v>1</v>
    <v>639283104000000000,639285315770686511,0</v>
    <v>6</v>
    <v>a1y4oc</v>
    <v>XNAS:MU</v>
    <v>547</v>
  </rv>
  <rv s="28">
    <v>65</v>
    <v>a1y4oc</v>
    <v>Daily</v>
    <v>45222</v>
    <v>46318</v>
    <v>0</v>
    <v>1</v>
    <v>639283104000000000,639285315770606515,0</v>
    <v>8</v>
    <v>a1y4oc</v>
    <v>XNAS:MU</v>
    <v>548</v>
  </rv>
  <rv s="28">
    <v>65</v>
    <v>a1y4oc</v>
    <v>Daily</v>
    <v>45953</v>
    <v>46318</v>
    <v>0</v>
    <v>1</v>
    <v>639283104000000000,639285315770606515,0</v>
    <v>10</v>
    <v>a1y4oc</v>
    <v>XNAS:MU</v>
    <v>549</v>
  </rv>
  <rv s="28">
    <v>64</v>
    <v>ajfohw</v>
    <v>Daily</v>
    <v>45953</v>
    <v>46318</v>
    <v>0</v>
    <v>1</v>
    <v>639283104000000000,639285316896454261,0</v>
    <v>4</v>
    <v>ajfohw</v>
    <v>XMIL:IWVL</v>
    <v>550</v>
  </rv>
  <rv s="28">
    <v>64</v>
    <v>ajfohw</v>
    <v>Daily</v>
    <v>46022</v>
    <v>46318</v>
    <v>0</v>
    <v>1</v>
    <v>639283104000000000,639285316896454261,0</v>
    <v>2</v>
    <v>ajfohw</v>
    <v>XMIL:IWVL</v>
    <v>551</v>
  </rv>
  <rv s="28">
    <v>64</v>
    <v>ajfohw</v>
    <v>Daily</v>
    <v>45222</v>
    <v>46318</v>
    <v>0</v>
    <v>1</v>
    <v>639283104000000000,639285316896454261,0</v>
    <v>0</v>
    <v>ajfohw</v>
    <v>XMIL:IWVL</v>
    <v>552</v>
  </rv>
  <rv s="28">
    <v>64</v>
    <v>ae79f2</v>
    <v>Daily</v>
    <v>46022</v>
    <v>46318</v>
    <v>0</v>
    <v>1</v>
    <v>639283104000000000,639285315805017622,0</v>
    <v>24</v>
    <v>ae79f2</v>
    <v>XPAR:ACA</v>
    <v>553</v>
  </rv>
  <rv s="28">
    <v>64</v>
    <v>ae79f2</v>
    <v>Daily</v>
    <v>45222</v>
    <v>46318</v>
    <v>0</v>
    <v>1</v>
    <v>639283104000000000,639285315805206965,0</v>
    <v>28</v>
    <v>ae79f2</v>
    <v>XPAR:ACA</v>
    <v>554</v>
  </rv>
  <rv s="28">
    <v>64</v>
    <v>ae79f2</v>
    <v>Daily</v>
    <v>45953</v>
    <v>46318</v>
    <v>0</v>
    <v>1</v>
    <v>639283104000000000,639285315805206965,0</v>
    <v>26</v>
    <v>ae79f2</v>
    <v>XPAR:ACA</v>
    <v>555</v>
  </rv>
  <rv s="28">
    <v>64</v>
    <v>c7amec</v>
    <v>Daily</v>
    <v>46022</v>
    <v>46318</v>
    <v>0</v>
    <v>1</v>
    <v>639283104000000000,639285316896612406,0</v>
    <v>2</v>
    <v>c7amec</v>
    <v>XMIL:JEDI</v>
    <v>556</v>
  </rv>
  <rv s="28">
    <v>64</v>
    <v>c7amec</v>
    <v>Daily</v>
    <v>45222</v>
    <v>46318</v>
    <v>0</v>
    <v>1</v>
    <v>639283104000000000,639285316896520707,0</v>
    <v>0</v>
    <v>c7amec</v>
    <v>XMIL:JEDI</v>
    <v>557</v>
  </rv>
  <rv s="28">
    <v>64</v>
    <v>c7amec</v>
    <v>Daily</v>
    <v>45953</v>
    <v>46318</v>
    <v>0</v>
    <v>1</v>
    <v>639283104000000000,639285316896612406,0</v>
    <v>4</v>
    <v>c7amec</v>
    <v>XMIL:JEDI</v>
    <v>558</v>
  </rv>
  <rv s="28">
    <v>64</v>
    <v>cfeu5r</v>
    <v>Daily</v>
    <v>46022</v>
    <v>46318</v>
    <v>0</v>
    <v>1</v>
    <v>639283104000000000,639285351138158788,0</v>
    <v>2</v>
    <v>cfeu5r</v>
    <v>XMIL:AIAA</v>
    <v>559</v>
  </rv>
  <rv s="28">
    <v>64</v>
    <v>cfeu5r</v>
    <v>Daily</v>
    <v>45222</v>
    <v>46318</v>
    <v>0</v>
    <v>1</v>
    <v>639283104000000000,639285351129928630,0</v>
    <v>560</v>
    <v>cfeu5r</v>
    <v>XMIL:AIAA</v>
    <v>561</v>
  </rv>
  <rv s="28">
    <v>64</v>
    <v>cfeu5r</v>
    <v>Daily</v>
    <v>45953</v>
    <v>46318</v>
    <v>0</v>
    <v>1</v>
    <v>639283104000000000,639285351138158788,0</v>
    <v>4</v>
    <v>cfeu5r</v>
    <v>XMIL:AIAA</v>
    <v>562</v>
  </rv>
  <rv s="28">
    <v>64</v>
    <v>ajha3m</v>
    <v>Daily</v>
    <v>46022</v>
    <v>46318</v>
    <v>0</v>
    <v>1</v>
    <v>639283104000000000,639285315775727636,0</v>
    <v>2</v>
    <v>ajha3m</v>
    <v>XMIL:XSPS</v>
    <v>563</v>
  </rv>
  <rv s="28">
    <v>64</v>
    <v>ajha3m</v>
    <v>Daily</v>
    <v>45953</v>
    <v>46318</v>
    <v>0</v>
    <v>1</v>
    <v>639283104000000000,639285315785767308,0</v>
    <v>4</v>
    <v>ajha3m</v>
    <v>XMIL:XSPS</v>
    <v>564</v>
  </rv>
  <rv s="28">
    <v>64</v>
    <v>ajha3m</v>
    <v>Daily</v>
    <v>45222</v>
    <v>46318</v>
    <v>0</v>
    <v>1</v>
    <v>639283104000000000,639285315785767308,0</v>
    <v>0</v>
    <v>ajha3m</v>
    <v>XMIL:XSPS</v>
    <v>565</v>
  </rv>
  <rv s="28">
    <v>64</v>
    <v>ae7bjc</v>
    <v>Daily</v>
    <v>46022</v>
    <v>46318</v>
    <v>0</v>
    <v>1</v>
    <v>639283104000000000,639285315775857169,0</v>
    <v>24</v>
    <v>ae7bjc</v>
    <v>XPAR:AI</v>
    <v>566</v>
  </rv>
  <rv s="28">
    <v>64</v>
    <v>ae7bjc</v>
    <v>Daily</v>
    <v>45953</v>
    <v>46318</v>
    <v>0</v>
    <v>1</v>
    <v>639283104000000000,639285315803566942,0</v>
    <v>26</v>
    <v>ae7bjc</v>
    <v>XPAR:AI</v>
    <v>567</v>
  </rv>
  <rv s="28">
    <v>64</v>
    <v>ae7bjc</v>
    <v>Daily</v>
    <v>45222</v>
    <v>46318</v>
    <v>0</v>
    <v>1</v>
    <v>639283104000000000,639285316895804405,0</v>
    <v>28</v>
    <v>ae7bjc</v>
    <v>XPAR:AI</v>
    <v>568</v>
  </rv>
  <rv s="28">
    <v>64</v>
    <v>aje21h</v>
    <v>Daily</v>
    <v>45222</v>
    <v>46318</v>
    <v>0</v>
    <v>1</v>
    <v>639283104000000000,639285315795332411,0</v>
    <v>0</v>
    <v>aje21h</v>
    <v>XMIL:AIGA</v>
    <v>569</v>
  </rv>
  <rv s="28">
    <v>64</v>
    <v>aje21h</v>
    <v>Daily</v>
    <v>45953</v>
    <v>46318</v>
    <v>0</v>
    <v>1</v>
    <v>639283104000000000,639285315795332411,0</v>
    <v>4</v>
    <v>aje21h</v>
    <v>XMIL:AIGA</v>
    <v>570</v>
  </rv>
  <rv s="28">
    <v>64</v>
    <v>aje21h</v>
    <v>Daily</v>
    <v>46022</v>
    <v>46318</v>
    <v>0</v>
    <v>1</v>
    <v>639283104000000000,639285315795332411,0</v>
    <v>2</v>
    <v>aje21h</v>
    <v>XMIL:AIGA</v>
    <v>571</v>
  </rv>
  <rv s="28">
    <v>65</v>
    <v>ao86jc</v>
    <v>Daily</v>
    <v>46022</v>
    <v>46318</v>
    <v>0</v>
    <v>1</v>
    <v>639283104000000000,639285316895326838,0</v>
    <v>92</v>
    <v>ao86jc</v>
    <v>XLON:EMLB</v>
    <v>572</v>
  </rv>
  <rv s="28">
    <v>65</v>
    <v>ao86jc</v>
    <v>Daily</v>
    <v>45953</v>
    <v>46318</v>
    <v>0</v>
    <v>1</v>
    <v>639283104000000000,639285316895326838,0</v>
    <v>88</v>
    <v>ao86jc</v>
    <v>XLON:EMLB</v>
    <v>573</v>
  </rv>
  <rv s="28">
    <v>65</v>
    <v>ao86jc</v>
    <v>Daily</v>
    <v>45222</v>
    <v>46318</v>
    <v>0</v>
    <v>1</v>
    <v>639283104000000000,639285316895326838,0</v>
    <v>90</v>
    <v>ao86jc</v>
    <v>XLON:EMLB</v>
    <v>574</v>
  </rv>
  <rv s="28">
    <v>64</v>
    <v>cel8fr</v>
    <v>Daily</v>
    <v>45222</v>
    <v>46318</v>
    <v>0</v>
    <v>1</v>
    <v>639283104000000000,639285351110818337,0</v>
    <v>575</v>
    <v>cel8fr</v>
    <v>XMIL:AIQE</v>
    <v>576</v>
  </rv>
  <rv s="28">
    <v>64</v>
    <v>cel8fr</v>
    <v>Daily</v>
    <v>45953</v>
    <v>46318</v>
    <v>0</v>
    <v>1</v>
    <v>639283104000000000,639285351110818337,0</v>
    <v>4</v>
    <v>cel8fr</v>
    <v>XMIL:AIQE</v>
    <v>577</v>
  </rv>
  <rv s="28">
    <v>64</v>
    <v>cel8fr</v>
    <v>Daily</v>
    <v>46022</v>
    <v>46318</v>
    <v>0</v>
    <v>1</v>
    <v>639283104000000000,639285351110818337,0</v>
    <v>2</v>
    <v>cel8fr</v>
    <v>XMIL:AIQE</v>
    <v>578</v>
  </rv>
  <rv s="28">
    <v>64</v>
    <v>ce9oa2</v>
    <v>Daily</v>
    <v>45953</v>
    <v>46318</v>
    <v>0</v>
    <v>1</v>
    <v>639283104000000000,639285351137896937,0</v>
    <v>4</v>
    <v>ce9oa2</v>
    <v>XMIL:30IG</v>
    <v>579</v>
  </rv>
  <rv s="28">
    <v>64</v>
    <v>ce9oa2</v>
    <v>Daily</v>
    <v>46022</v>
    <v>46318</v>
    <v>0</v>
    <v>1</v>
    <v>639283104000000000,639285351137896937,0</v>
    <v>2</v>
    <v>ce9oa2</v>
    <v>XMIL:30IG</v>
    <v>580</v>
  </rv>
  <rv s="28">
    <v>64</v>
    <v>ce9oa2</v>
    <v>Daily</v>
    <v>45222</v>
    <v>46318</v>
    <v>0</v>
    <v>1</v>
    <v>639283104000000000,639285351138946949,0</v>
    <v>30</v>
    <v>ce9oa2</v>
    <v>XMIL:30IG</v>
    <v>581</v>
  </rv>
  <rv s="28">
    <v>64</v>
    <v>bhu9a2</v>
    <v>Daily</v>
    <v>46022</v>
    <v>46318</v>
    <v>0</v>
    <v>1</v>
    <v>639283104000000000,639285315804102362,0</v>
    <v>2</v>
    <v>bhu9a2</v>
    <v>XMIL:FLES</v>
    <v>582</v>
  </rv>
  <rv s="28">
    <v>64</v>
    <v>bhu9a2</v>
    <v>Daily</v>
    <v>45222</v>
    <v>46318</v>
    <v>0</v>
    <v>1</v>
    <v>639283104000000000,639285315787412544,0</v>
    <v>0</v>
    <v>bhu9a2</v>
    <v>XMIL:FLES</v>
    <v>583</v>
  </rv>
  <rv s="28">
    <v>64</v>
    <v>bhu9a2</v>
    <v>Daily</v>
    <v>45953</v>
    <v>46318</v>
    <v>0</v>
    <v>1</v>
    <v>639283104000000000,639285315787412544,0</v>
    <v>4</v>
    <v>bhu9a2</v>
    <v>XMIL:FLES</v>
    <v>584</v>
  </rv>
  <rv s="28">
    <v>65</v>
    <v>a23rjc</v>
    <v>Daily</v>
    <v>46022</v>
    <v>46318</v>
    <v>0</v>
    <v>1</v>
    <v>639283104000000000,639285315776362177,0</v>
    <v>6</v>
    <v>a23rjc</v>
    <v>XNAS:STX</v>
    <v>585</v>
  </rv>
  <rv s="28">
    <v>65</v>
    <v>a23rjc</v>
    <v>Daily</v>
    <v>45953</v>
    <v>46318</v>
    <v>0</v>
    <v>1</v>
    <v>639283104000000000,639285315776522168,0</v>
    <v>10</v>
    <v>a23rjc</v>
    <v>XNAS:STX</v>
    <v>586</v>
  </rv>
  <rv s="28">
    <v>65</v>
    <v>a23rjc</v>
    <v>Daily</v>
    <v>45222</v>
    <v>46318</v>
    <v>0</v>
    <v>1</v>
    <v>639283104000000000,639285316895234850,0</v>
    <v>8</v>
    <v>a23rjc</v>
    <v>XNAS:STX</v>
    <v>587</v>
  </rv>
  <rv s="28">
    <v>64</v>
    <v>ajfijc</v>
    <v>Daily</v>
    <v>45222</v>
    <v>46318</v>
    <v>0</v>
    <v>1</v>
    <v>639283104000000000,639285315804924344,0</v>
    <v>0</v>
    <v>ajfijc</v>
    <v>XMIL:IHYG</v>
    <v>588</v>
  </rv>
  <rv s="28">
    <v>64</v>
    <v>ajfijc</v>
    <v>Daily</v>
    <v>46022</v>
    <v>46318</v>
    <v>0</v>
    <v>1</v>
    <v>639283104000000000,639285315804924344,0</v>
    <v>2</v>
    <v>ajfijc</v>
    <v>XMIL:IHYG</v>
    <v>589</v>
  </rv>
  <rv s="28">
    <v>64</v>
    <v>ajfijc</v>
    <v>Daily</v>
    <v>45953</v>
    <v>46318</v>
    <v>0</v>
    <v>1</v>
    <v>639283104000000000,639285315804924344,0</v>
    <v>4</v>
    <v>ajfijc</v>
    <v>XMIL:IHYG</v>
    <v>590</v>
  </rv>
  <rv s="28">
    <v>64</v>
    <v>ajffoc</v>
    <v>Daily</v>
    <v>45222</v>
    <v>46318</v>
    <v>0</v>
    <v>1</v>
    <v>639283104000000000,639285315803733233,0</v>
    <v>0</v>
    <v>ajffoc</v>
    <v>XMIL:IBCX</v>
    <v>591</v>
  </rv>
  <rv s="28">
    <v>64</v>
    <v>ajffoc</v>
    <v>Daily</v>
    <v>46022</v>
    <v>46318</v>
    <v>0</v>
    <v>1</v>
    <v>639283104000000000,639285315802857261,0</v>
    <v>2</v>
    <v>ajffoc</v>
    <v>XMIL:IBCX</v>
    <v>592</v>
  </rv>
  <rv s="28">
    <v>64</v>
    <v>ajffoc</v>
    <v>Daily</v>
    <v>45953</v>
    <v>46318</v>
    <v>0</v>
    <v>1</v>
    <v>639283104000000000,639285315803733233,0</v>
    <v>4</v>
    <v>ajffoc</v>
    <v>XMIL:IBCX</v>
    <v>593</v>
  </rv>
  <rv s="28">
    <v>64</v>
    <v>bwywmw</v>
    <v>Daily</v>
    <v>45222</v>
    <v>46318</v>
    <v>0</v>
    <v>1</v>
    <v>639283104000000000,639285315811862628,0</v>
    <v>0</v>
    <v>bwywmw</v>
    <v>XMIL:SMH</v>
    <v>594</v>
  </rv>
  <rv s="28">
    <v>64</v>
    <v>bwywmw</v>
    <v>Daily</v>
    <v>45953</v>
    <v>46318</v>
    <v>0</v>
    <v>1</v>
    <v>639283104000000000,639285315811862628,0</v>
    <v>4</v>
    <v>bwywmw</v>
    <v>XMIL:SMH</v>
    <v>595</v>
  </rv>
  <rv s="28">
    <v>64</v>
    <v>bwywmw</v>
    <v>Daily</v>
    <v>46022</v>
    <v>46318</v>
    <v>0</v>
    <v>1</v>
    <v>639283104000000000,639285315811862628,0</v>
    <v>2</v>
    <v>bwywmw</v>
    <v>XMIL:SMH</v>
    <v>596</v>
  </rv>
  <rv s="28">
    <v>65</v>
    <v>bwve27</v>
    <v>Daily</v>
    <v>46022</v>
    <v>46318</v>
    <v>0</v>
    <v>1</v>
    <v>639283104000000000,639285315775727636,0</v>
    <v>6</v>
    <v>bwve27</v>
    <v>XNYS:RBLX</v>
    <v>597</v>
  </rv>
  <rv s="28">
    <v>65</v>
    <v>bwve27</v>
    <v>Daily</v>
    <v>45953</v>
    <v>46318</v>
    <v>0</v>
    <v>1</v>
    <v>639283104000000000,639285315812721933,0</v>
    <v>10</v>
    <v>bwve27</v>
    <v>XNYS:RBLX</v>
    <v>598</v>
  </rv>
  <rv s="28">
    <v>65</v>
    <v>bwve27</v>
    <v>Daily</v>
    <v>45222</v>
    <v>46318</v>
    <v>0</v>
    <v>1</v>
    <v>639283104000000000,639285315785082292,0</v>
    <v>8</v>
    <v>bwve27</v>
    <v>XNYS:RBLX</v>
    <v>599</v>
  </rv>
  <rv s="28">
    <v>64</v>
    <v>ajfo9c</v>
    <v>Daily</v>
    <v>45222</v>
    <v>46318</v>
    <v>0</v>
    <v>1</v>
    <v>639283104000000000,639285316895222512,0</v>
    <v>0</v>
    <v>ajfo9c</v>
    <v>XMIL:IWQU</v>
    <v>600</v>
  </rv>
  <rv s="28">
    <v>64</v>
    <v>ajfo9c</v>
    <v>Daily</v>
    <v>45953</v>
    <v>46318</v>
    <v>0</v>
    <v>1</v>
    <v>639283104000000000,639285315811675703,0</v>
    <v>4</v>
    <v>ajfo9c</v>
    <v>XMIL:IWQU</v>
    <v>601</v>
  </rv>
  <rv s="28">
    <v>64</v>
    <v>ajfo9c</v>
    <v>Daily</v>
    <v>46022</v>
    <v>46318</v>
    <v>0</v>
    <v>1</v>
    <v>639283104000000000,639285315811675703,0</v>
    <v>2</v>
    <v>ajfo9c</v>
    <v>XMIL:IWQU</v>
    <v>602</v>
  </rv>
  <rv s="28">
    <v>64</v>
    <v>bp5myc</v>
    <v>Daily</v>
    <v>46022</v>
    <v>46318</v>
    <v>0</v>
    <v>1</v>
    <v>639283104000000000,639285315785256080,0</v>
    <v>2</v>
    <v>bp5myc</v>
    <v>XMIL:CINA</v>
    <v>603</v>
  </rv>
  <rv s="28">
    <v>64</v>
    <v>bp5myc</v>
    <v>Daily</v>
    <v>45953</v>
    <v>46318</v>
    <v>0</v>
    <v>1</v>
    <v>639283104000000000,639285315785256080,0</v>
    <v>4</v>
    <v>bp5myc</v>
    <v>XMIL:CINA</v>
    <v>604</v>
  </rv>
  <rv s="28">
    <v>64</v>
    <v>bp5myc</v>
    <v>Daily</v>
    <v>45222</v>
    <v>46318</v>
    <v>0</v>
    <v>1</v>
    <v>639283104000000000,639285316896392413,0</v>
    <v>0</v>
    <v>bp5myc</v>
    <v>XMIL:CINA</v>
    <v>605</v>
  </rv>
  <rv s="28">
    <v>64</v>
    <v>ajfgnm</v>
    <v>Daily</v>
    <v>45953</v>
    <v>46318</v>
    <v>0</v>
    <v>1</v>
    <v>639283104000000000,639285315786515852,0</v>
    <v>4</v>
    <v>ajfgnm</v>
    <v>XMIL:IEAC</v>
    <v>606</v>
  </rv>
  <rv s="28">
    <v>64</v>
    <v>ajfgnm</v>
    <v>Daily</v>
    <v>45222</v>
    <v>46318</v>
    <v>0</v>
    <v>1</v>
    <v>639283104000000000,639285315803326047,0</v>
    <v>0</v>
    <v>ajfgnm</v>
    <v>XMIL:IEAC</v>
    <v>607</v>
  </rv>
  <rv s="28">
    <v>64</v>
    <v>ajfgnm</v>
    <v>Daily</v>
    <v>46022</v>
    <v>46318</v>
    <v>0</v>
    <v>1</v>
    <v>639283104000000000,639285315786515852,0</v>
    <v>2</v>
    <v>ajfgnm</v>
    <v>XMIL:IEAC</v>
    <v>608</v>
  </rv>
  <rv s="28">
    <v>64</v>
    <v>cd67hw</v>
    <v>Daily</v>
    <v>45953</v>
    <v>46318</v>
    <v>0</v>
    <v>1</v>
    <v>639283104000000000,639285351114570024,0</v>
    <v>4</v>
    <v>cd67hw</v>
    <v>XMIL:EXUS</v>
    <v>609</v>
  </rv>
  <rv s="28">
    <v>64</v>
    <v>cd67hw</v>
    <v>Daily</v>
    <v>46022</v>
    <v>46318</v>
    <v>0</v>
    <v>1</v>
    <v>639283104000000000,639285351114570024,0</v>
    <v>2</v>
    <v>cd67hw</v>
    <v>XMIL:EXUS</v>
    <v>610</v>
  </rv>
  <rv s="28">
    <v>64</v>
    <v>cd67hw</v>
    <v>Daily</v>
    <v>45222</v>
    <v>46318</v>
    <v>0</v>
    <v>1</v>
    <v>639283104000000000,639285351128371912,0</v>
    <v>611</v>
    <v>cd67hw</v>
    <v>XMIL:EXUS</v>
    <v>612</v>
  </rv>
  <rv s="28">
    <v>64</v>
    <v>bp85ec</v>
    <v>Daily</v>
    <v>45222</v>
    <v>46318</v>
    <v>0</v>
    <v>1</v>
    <v>639283104000000000,639285316895401943,0</v>
    <v>110</v>
    <v>bp85ec</v>
    <v>XETR:SPPW</v>
    <v>613</v>
  </rv>
  <rv s="28">
    <v>64</v>
    <v>bp85ec</v>
    <v>Daily</v>
    <v>45953</v>
    <v>46318</v>
    <v>0</v>
    <v>1</v>
    <v>639283104000000000,639285316895401943,0</v>
    <v>4</v>
    <v>bp85ec</v>
    <v>XETR:SPPW</v>
    <v>614</v>
  </rv>
  <rv s="28">
    <v>64</v>
    <v>bp85ec</v>
    <v>Daily</v>
    <v>46022</v>
    <v>46318</v>
    <v>0</v>
    <v>1</v>
    <v>639283104000000000,639285316895401943,0</v>
    <v>2</v>
    <v>bp85ec</v>
    <v>XETR:SPPW</v>
    <v>615</v>
  </rv>
  <rv s="28">
    <v>64</v>
    <v>ch7hmw</v>
    <v>Daily</v>
    <v>45222</v>
    <v>46318</v>
    <v>0</v>
    <v>1</v>
    <v>639283104000000000,639285351115208296,0</v>
    <v>616</v>
    <v>ch7hmw</v>
    <v>XMIL:QNTM</v>
    <v>617</v>
  </rv>
  <rv s="28">
    <v>64</v>
    <v>ch7hmw</v>
    <v>Daily</v>
    <v>46022</v>
    <v>46318</v>
    <v>0</v>
    <v>1</v>
    <v>639283104000000000,639285351138409381,0</v>
    <v>2</v>
    <v>ch7hmw</v>
    <v>XMIL:QNTM</v>
    <v>618</v>
  </rv>
  <rv s="28">
    <v>64</v>
    <v>ch7hmw</v>
    <v>Daily</v>
    <v>45953</v>
    <v>46318</v>
    <v>0</v>
    <v>1</v>
    <v>639283104000000000,639285351140409413,0</v>
    <v>4</v>
    <v>ch7hmw</v>
    <v>XMIL:QNTM</v>
    <v>619</v>
  </rv>
  <rv s="28">
    <v>64</v>
    <v>afthu2</v>
    <v>Daily</v>
    <v>45222</v>
    <v>46318</v>
    <v>0</v>
    <v>1</v>
    <v>639283104000000000,639285315794927480,0</v>
    <v>110</v>
    <v>afthu2</v>
    <v>XETR:QDVW</v>
    <v>620</v>
  </rv>
  <rv s="28">
    <v>64</v>
    <v>afthu2</v>
    <v>Daily</v>
    <v>46022</v>
    <v>46318</v>
    <v>0</v>
    <v>1</v>
    <v>639283104000000000,639285315794927480,0</v>
    <v>2</v>
    <v>afthu2</v>
    <v>XETR:QDVW</v>
    <v>621</v>
  </rv>
  <rv s="28">
    <v>64</v>
    <v>afthu2</v>
    <v>Daily</v>
    <v>45953</v>
    <v>46318</v>
    <v>0</v>
    <v>1</v>
    <v>639283104000000000,639285315794927480,0</v>
    <v>4</v>
    <v>afthu2</v>
    <v>XETR:QDVW</v>
    <v>622</v>
  </rv>
  <rv s="28">
    <v>64</v>
    <v>ae8cjc</v>
    <v>Daily</v>
    <v>46022</v>
    <v>46318</v>
    <v>0</v>
    <v>1</v>
    <v>639283104000000000,639285315786354167,0</v>
    <v>24</v>
    <v>ae8cjc</v>
    <v>XPAR:DG</v>
    <v>623</v>
  </rv>
  <rv s="28">
    <v>64</v>
    <v>ae8cjc</v>
    <v>Daily</v>
    <v>45953</v>
    <v>46318</v>
    <v>0</v>
    <v>1</v>
    <v>639283104000000000,639285315786545532,0</v>
    <v>26</v>
    <v>ae8cjc</v>
    <v>XPAR:DG</v>
    <v>624</v>
  </rv>
  <rv s="28">
    <v>64</v>
    <v>ae8cjc</v>
    <v>Daily</v>
    <v>45222</v>
    <v>46318</v>
    <v>0</v>
    <v>1</v>
    <v>639283104000000000,639285315811934410,0</v>
    <v>28</v>
    <v>ae8cjc</v>
    <v>XPAR:DG</v>
    <v>625</v>
  </rv>
  <rv s="28">
    <v>64</v>
    <v>ajh4p2</v>
    <v>Daily</v>
    <v>45953</v>
    <v>46318</v>
    <v>0</v>
    <v>1</v>
    <v>639283104000000000,639285316901691540,0</v>
    <v>4</v>
    <v>ajh4p2</v>
    <v>XMIL:XGLE</v>
    <v>626</v>
  </rv>
  <rv s="28">
    <v>64</v>
    <v>ajh4p2</v>
    <v>Daily</v>
    <v>45222</v>
    <v>46318</v>
    <v>0</v>
    <v>1</v>
    <v>639283104000000000,639285316901691540,0</v>
    <v>0</v>
    <v>ajh4p2</v>
    <v>XMIL:XGLE</v>
    <v>627</v>
  </rv>
  <rv s="28">
    <v>64</v>
    <v>ajh4p2</v>
    <v>Daily</v>
    <v>46022</v>
    <v>46318</v>
    <v>0</v>
    <v>1</v>
    <v>639283104000000000,639285316901691540,0</v>
    <v>2</v>
    <v>ajh4p2</v>
    <v>XMIL:XGLE</v>
    <v>628</v>
  </rv>
  <rv s="28">
    <v>64</v>
    <v>azqspr</v>
    <v>Daily</v>
    <v>45953</v>
    <v>46318</v>
    <v>0</v>
    <v>1</v>
    <v>639283104000000000,639285315813577108,0</v>
    <v>4</v>
    <v>azqspr</v>
    <v>XMIL:XCS6</v>
    <v>629</v>
  </rv>
  <rv s="28">
    <v>64</v>
    <v>azqspr</v>
    <v>Daily</v>
    <v>45222</v>
    <v>46318</v>
    <v>0</v>
    <v>1</v>
    <v>639283104000000000,639285315811587077,0</v>
    <v>0</v>
    <v>azqspr</v>
    <v>XMIL:XCS6</v>
    <v>630</v>
  </rv>
  <rv s="28">
    <v>64</v>
    <v>azqspr</v>
    <v>Daily</v>
    <v>46022</v>
    <v>46318</v>
    <v>0</v>
    <v>1</v>
    <v>639283104000000000,639285315813577108,0</v>
    <v>2</v>
    <v>azqspr</v>
    <v>XMIL:XCS6</v>
    <v>631</v>
  </rv>
  <rv s="28">
    <v>65</v>
    <v>ck41u2</v>
    <v>Daily</v>
    <v>45953</v>
    <v>46318</v>
    <v>0</v>
    <v>1</v>
    <v>639283104000000000,639285351123914508,0</v>
    <v>632</v>
    <v>ck41u2</v>
    <v>XNAS:VBCD</v>
    <v>633</v>
  </rv>
  <rv s="28">
    <v>65</v>
    <v>ck41u2</v>
    <v>Daily</v>
    <v>45222</v>
    <v>46318</v>
    <v>0</v>
    <v>1</v>
    <v>639283104000000000,639285351119174377,0</v>
    <v>634</v>
    <v>ck41u2</v>
    <v>XNAS:VBCD</v>
    <v>633</v>
  </rv>
  <rv s="28">
    <v>65</v>
    <v>ck41u2</v>
    <v>Daily</v>
    <v>46022</v>
    <v>46318</v>
    <v>0</v>
    <v>1</v>
    <v>639283104000000000,639285351129768528,0</v>
    <v>635</v>
    <v>ck41u2</v>
    <v>XNAS:VBCD</v>
    <v>633</v>
  </rv>
  <rv s="28">
    <v>65</v>
    <v>aoala2</v>
    <v>Daily</v>
    <v>45953</v>
    <v>46318</v>
    <v>0</v>
    <v>1</v>
    <v>639283104000000000,639285315786087775,0</v>
    <v>88</v>
    <v>aoala2</v>
    <v>XLON:IUIT</v>
    <v>636</v>
  </rv>
  <rv s="28">
    <v>65</v>
    <v>aoala2</v>
    <v>Daily</v>
    <v>46022</v>
    <v>46318</v>
    <v>0</v>
    <v>1</v>
    <v>639283104000000000,639285315786087775,0</v>
    <v>92</v>
    <v>aoala2</v>
    <v>XLON:IUIT</v>
    <v>637</v>
  </rv>
  <rv s="28">
    <v>65</v>
    <v>aoala2</v>
    <v>Daily</v>
    <v>45222</v>
    <v>46318</v>
    <v>0</v>
    <v>1</v>
    <v>639283104000000000,639285315786087775,0</v>
    <v>90</v>
    <v>aoala2</v>
    <v>XLON:IUIT</v>
    <v>638</v>
  </rv>
  <rv s="28">
    <v>64</v>
    <v>ae7vjc</v>
    <v>Daily</v>
    <v>46022</v>
    <v>46318</v>
    <v>0</v>
    <v>1</v>
    <v>639283104000000000,639285315776620059,0</v>
    <v>24</v>
    <v>ae7vjc</v>
    <v>XPAR:BN</v>
    <v>639</v>
  </rv>
  <rv s="28">
    <v>64</v>
    <v>ae7vjc</v>
    <v>Daily</v>
    <v>45222</v>
    <v>46318</v>
    <v>0</v>
    <v>1</v>
    <v>639283104000000000,639285315774883540,0</v>
    <v>28</v>
    <v>ae7vjc</v>
    <v>XPAR:BN</v>
    <v>640</v>
  </rv>
  <rv s="28">
    <v>64</v>
    <v>ae7vjc</v>
    <v>Daily</v>
    <v>45953</v>
    <v>46318</v>
    <v>0</v>
    <v>1</v>
    <v>639283104000000000,639285315774883540,0</v>
    <v>26</v>
    <v>ae7vjc</v>
    <v>XPAR:BN</v>
    <v>641</v>
  </rv>
  <rv s="28">
    <v>64</v>
    <v>ajgoa2</v>
    <v>Daily</v>
    <v>46022</v>
    <v>46318</v>
    <v>0</v>
    <v>1</v>
    <v>639283104000000000,639285315787367158,0</v>
    <v>2</v>
    <v>ajgoa2</v>
    <v>XMIL:TGYM</v>
    <v>642</v>
  </rv>
  <rv s="28">
    <v>64</v>
    <v>ajgoa2</v>
    <v>Daily</v>
    <v>45953</v>
    <v>46318</v>
    <v>0</v>
    <v>1</v>
    <v>639283104000000000,639285315787527153,0</v>
    <v>4</v>
    <v>ajgoa2</v>
    <v>XMIL:TGYM</v>
    <v>643</v>
  </rv>
  <rv s="28">
    <v>64</v>
    <v>ajgoa2</v>
    <v>Daily</v>
    <v>45222</v>
    <v>46318</v>
    <v>0</v>
    <v>1</v>
    <v>639283104000000000,639285315803677274,0</v>
    <v>0</v>
    <v>ajgoa2</v>
    <v>XMIL:TGYM</v>
    <v>644</v>
  </rv>
  <rv s="28">
    <v>64</v>
    <v>boml52</v>
    <v>Daily</v>
    <v>45222</v>
    <v>46318</v>
    <v>0</v>
    <v>1</v>
    <v>639283104000000000,639285315811932625,0</v>
    <v>0</v>
    <v>boml52</v>
    <v>XMIL:VUSA</v>
    <v>645</v>
  </rv>
  <rv s="28">
    <v>64</v>
    <v>boml52</v>
    <v>Daily</v>
    <v>45953</v>
    <v>46318</v>
    <v>0</v>
    <v>1</v>
    <v>639283104000000000,639285316900816878,0</v>
    <v>4</v>
    <v>boml52</v>
    <v>XMIL:VUSA</v>
    <v>646</v>
  </rv>
  <rv s="28">
    <v>64</v>
    <v>boml52</v>
    <v>Daily</v>
    <v>46022</v>
    <v>46318</v>
    <v>0</v>
    <v>1</v>
    <v>639283104000000000,639285316900816878,0</v>
    <v>2</v>
    <v>boml52</v>
    <v>XMIL:VUSA</v>
    <v>647</v>
  </rv>
  <rv s="28">
    <v>65</v>
    <v>bpmtzr</v>
    <v>Daily</v>
    <v>46022</v>
    <v>46318</v>
    <v>0</v>
    <v>1</v>
    <v>639283104000000000,639285315786327315,0</v>
    <v>6</v>
    <v>bpmtzr</v>
    <v>XNYS:JMIA</v>
    <v>648</v>
  </rv>
  <rv s="28">
    <v>65</v>
    <v>bpmtzr</v>
    <v>Daily</v>
    <v>45953</v>
    <v>46318</v>
    <v>0</v>
    <v>1</v>
    <v>639283104000000000,639285315812177721,0</v>
    <v>10</v>
    <v>bpmtzr</v>
    <v>XNYS:JMIA</v>
    <v>649</v>
  </rv>
  <rv s="28">
    <v>65</v>
    <v>bpmtzr</v>
    <v>Daily</v>
    <v>45222</v>
    <v>46318</v>
    <v>0</v>
    <v>1</v>
    <v>639283104000000000,639285315812177721,0</v>
    <v>8</v>
    <v>bpmtzr</v>
    <v>XNYS:JMIA</v>
    <v>650</v>
  </rv>
  <rv s="28">
    <v>64</v>
    <v>ajh3bh</v>
    <v>Daily</v>
    <v>46022</v>
    <v>46318</v>
    <v>0</v>
    <v>1</v>
    <v>639283104000000000,639285315781527258,0</v>
    <v>2</v>
    <v>ajh3bh</v>
    <v>XMIL:XDWT</v>
    <v>651</v>
  </rv>
  <rv s="28">
    <v>64</v>
    <v>ajh3bh</v>
    <v>Daily</v>
    <v>45222</v>
    <v>46318</v>
    <v>0</v>
    <v>1</v>
    <v>639283104000000000,639285315812298506,0</v>
    <v>0</v>
    <v>ajh3bh</v>
    <v>XMIL:XDWT</v>
    <v>652</v>
  </rv>
  <rv s="28">
    <v>64</v>
    <v>ajh3bh</v>
    <v>Daily</v>
    <v>45953</v>
    <v>46318</v>
    <v>0</v>
    <v>1</v>
    <v>639283104000000000,639285315812298506,0</v>
    <v>4</v>
    <v>ajh3bh</v>
    <v>XMIL:XDWT</v>
    <v>653</v>
  </rv>
  <rv s="28">
    <v>64</v>
    <v>ajexxm</v>
    <v>Daily</v>
    <v>45953</v>
    <v>46318</v>
    <v>0</v>
    <v>1</v>
    <v>639283104000000000,639285315805286947,0</v>
    <v>4</v>
    <v>ajexxm</v>
    <v>XMIL:EMLI</v>
    <v>654</v>
  </rv>
  <rv s="28">
    <v>64</v>
    <v>ajexxm</v>
    <v>Daily</v>
    <v>45222</v>
    <v>46318</v>
    <v>0</v>
    <v>1</v>
    <v>639283104000000000,639285315781177249,0</v>
    <v>0</v>
    <v>ajexxm</v>
    <v>XMIL:EMLI</v>
    <v>655</v>
  </rv>
  <rv s="28">
    <v>64</v>
    <v>ajexxm</v>
    <v>Daily</v>
    <v>46022</v>
    <v>46318</v>
    <v>0</v>
    <v>1</v>
    <v>639283104000000000,639285316895288998,0</v>
    <v>2</v>
    <v>ajexxm</v>
    <v>XMIL:EMLI</v>
    <v>656</v>
  </rv>
  <rv s="28">
    <v>64</v>
    <v>aje9jc</v>
    <v>Daily</v>
    <v>45953</v>
    <v>46318</v>
    <v>0</v>
    <v>1</v>
    <v>639283104000000000,639285315785992828,0</v>
    <v>4</v>
    <v>aje9jc</v>
    <v>XMIL:BRNT</v>
    <v>657</v>
  </rv>
  <rv s="28">
    <v>64</v>
    <v>aje9jc</v>
    <v>Daily</v>
    <v>45222</v>
    <v>46318</v>
    <v>0</v>
    <v>1</v>
    <v>639283104000000000,639285315785992828,0</v>
    <v>0</v>
    <v>aje9jc</v>
    <v>XMIL:BRNT</v>
    <v>658</v>
  </rv>
  <rv s="28">
    <v>64</v>
    <v>aje9jc</v>
    <v>Daily</v>
    <v>46022</v>
    <v>46318</v>
    <v>0</v>
    <v>1</v>
    <v>639283104000000000,639285315785992828,0</v>
    <v>2</v>
    <v>aje9jc</v>
    <v>XMIL:BRNT</v>
    <v>659</v>
  </rv>
  <rv s="28">
    <v>64</v>
    <v>bqeh9c</v>
    <v>Daily</v>
    <v>46022</v>
    <v>46318</v>
    <v>0</v>
    <v>1</v>
    <v>639283104000000000,639285315776630336,0</v>
    <v>2</v>
    <v>bqeh9c</v>
    <v>XMIL:LOCK</v>
    <v>660</v>
  </rv>
  <rv s="28">
    <v>64</v>
    <v>bqeh9c</v>
    <v>Daily</v>
    <v>45953</v>
    <v>46318</v>
    <v>0</v>
    <v>1</v>
    <v>639283104000000000,639285315775632442,0</v>
    <v>4</v>
    <v>bqeh9c</v>
    <v>XMIL:LOCK</v>
    <v>661</v>
  </rv>
  <rv s="28">
    <v>64</v>
    <v>bqeh9c</v>
    <v>Daily</v>
    <v>45222</v>
    <v>46318</v>
    <v>0</v>
    <v>1</v>
    <v>639283104000000000,639285315795450655,0</v>
    <v>0</v>
    <v>bqeh9c</v>
    <v>XMIL:LOCK</v>
    <v>662</v>
  </rv>
  <rv s="28">
    <v>64</v>
    <v>ajeiww</v>
    <v>Daily</v>
    <v>45953</v>
    <v>46318</v>
    <v>0</v>
    <v>1</v>
    <v>639283104000000000,639285315803906314,0</v>
    <v>4</v>
    <v>ajeiww</v>
    <v>XMIL:COPA</v>
    <v>663</v>
  </rv>
  <rv s="28">
    <v>64</v>
    <v>ajeiww</v>
    <v>Daily</v>
    <v>46022</v>
    <v>46318</v>
    <v>0</v>
    <v>1</v>
    <v>639283104000000000,639285315803906314,0</v>
    <v>2</v>
    <v>ajeiww</v>
    <v>XMIL:COPA</v>
    <v>664</v>
  </rv>
  <rv s="28">
    <v>64</v>
    <v>ajeiww</v>
    <v>Daily</v>
    <v>45222</v>
    <v>46318</v>
    <v>0</v>
    <v>1</v>
    <v>639283104000000000,639285316900074728,0</v>
    <v>0</v>
    <v>ajeiww</v>
    <v>XMIL:COPA</v>
    <v>665</v>
  </rv>
  <rv s="28">
    <v>64</v>
    <v>bp5nxm</v>
    <v>Daily</v>
    <v>46022</v>
    <v>46318</v>
    <v>0</v>
    <v>1</v>
    <v>639283104000000000,639285316896962551,0</v>
    <v>2</v>
    <v>bp5nxm</v>
    <v>XMIL:KOR</v>
    <v>666</v>
  </rv>
  <rv s="28">
    <v>64</v>
    <v>bp5nxm</v>
    <v>Daily</v>
    <v>45953</v>
    <v>46318</v>
    <v>0</v>
    <v>1</v>
    <v>639283104000000000,639285316896962551,0</v>
    <v>4</v>
    <v>bp5nxm</v>
    <v>XMIL:KOR</v>
    <v>667</v>
  </rv>
  <rv s="28">
    <v>64</v>
    <v>bp5nxm</v>
    <v>Daily</v>
    <v>45222</v>
    <v>46318</v>
    <v>0</v>
    <v>1</v>
    <v>639283104000000000,639285316896962551,0</v>
    <v>0</v>
    <v>bp5nxm</v>
    <v>XMIL:KOR</v>
    <v>668</v>
  </rv>
  <rv s="28">
    <v>64</v>
    <v>ajfa52</v>
    <v>Daily</v>
    <v>45953</v>
    <v>46318</v>
    <v>0</v>
    <v>1</v>
    <v>639283104000000000,639285315794747208,0</v>
    <v>4</v>
    <v>ajfa52</v>
    <v>XMIL:GBSE</v>
    <v>669</v>
  </rv>
  <rv s="28">
    <v>64</v>
    <v>ajfa52</v>
    <v>Daily</v>
    <v>46022</v>
    <v>46318</v>
    <v>0</v>
    <v>1</v>
    <v>639283104000000000,639285315794747208,0</v>
    <v>2</v>
    <v>ajfa52</v>
    <v>XMIL:GBSE</v>
    <v>670</v>
  </rv>
  <rv s="28">
    <v>64</v>
    <v>ajfa52</v>
    <v>Daily</v>
    <v>45222</v>
    <v>46318</v>
    <v>0</v>
    <v>1</v>
    <v>639283104000000000,639285315812557387,0</v>
    <v>0</v>
    <v>ajfa52</v>
    <v>XMIL:GBSE</v>
    <v>671</v>
  </rv>
  <rv s="28">
    <v>64</v>
    <v>ajge8m</v>
    <v>Daily</v>
    <v>45222</v>
    <v>46318</v>
    <v>0</v>
    <v>1</v>
    <v>639283104000000000,639285315775373546,0</v>
    <v>0</v>
    <v>ajge8m</v>
    <v>XMIL:SGLD</v>
    <v>672</v>
  </rv>
  <rv s="28">
    <v>64</v>
    <v>ajge8m</v>
    <v>Daily</v>
    <v>46022</v>
    <v>46318</v>
    <v>0</v>
    <v>1</v>
    <v>639283104000000000,639285315775373546,0</v>
    <v>2</v>
    <v>ajge8m</v>
    <v>XMIL:SGLD</v>
    <v>673</v>
  </rv>
  <rv s="28">
    <v>64</v>
    <v>ajge8m</v>
    <v>Daily</v>
    <v>45953</v>
    <v>46318</v>
    <v>0</v>
    <v>1</v>
    <v>639283104000000000,639285315775373546,0</v>
    <v>4</v>
    <v>ajge8m</v>
    <v>XMIL:SGLD</v>
    <v>674</v>
  </rv>
  <rv s="28">
    <v>64</v>
    <v>ajexgh</v>
    <v>Daily</v>
    <v>45953</v>
    <v>46318</v>
    <v>0</v>
    <v>1</v>
    <v>639283104000000000,639285315776547662,0</v>
    <v>4</v>
    <v>ajexgh</v>
    <v>XMIL:EMI</v>
    <v>675</v>
  </rv>
  <rv s="28">
    <v>64</v>
    <v>ajexgh</v>
    <v>Daily</v>
    <v>45222</v>
    <v>46318</v>
    <v>0</v>
    <v>1</v>
    <v>639283104000000000,639285315794117876,0</v>
    <v>0</v>
    <v>ajexgh</v>
    <v>XMIL:EMI</v>
    <v>676</v>
  </rv>
  <rv s="28">
    <v>64</v>
    <v>ajexgh</v>
    <v>Daily</v>
    <v>46022</v>
    <v>46318</v>
    <v>0</v>
    <v>1</v>
    <v>639283104000000000,639285315776547662,0</v>
    <v>2</v>
    <v>ajexgh</v>
    <v>XMIL:EMI</v>
    <v>677</v>
  </rv>
  <rv s="28">
    <v>64</v>
    <v>ca78h7</v>
    <v>Daily</v>
    <v>45953</v>
    <v>46318</v>
    <v>0</v>
    <v>1</v>
    <v>639283104000000000,639285351122909188,0</v>
    <v>4</v>
    <v>ca78h7</v>
    <v>XMIL:FWRA</v>
    <v>678</v>
  </rv>
  <rv s="28">
    <v>64</v>
    <v>ca78h7</v>
    <v>Daily</v>
    <v>45222</v>
    <v>46318</v>
    <v>0</v>
    <v>1</v>
    <v>639283104000000000,639285351118859140,0</v>
    <v>0</v>
    <v>ca78h7</v>
    <v>XMIL:FWRA</v>
    <v>679</v>
  </rv>
  <rv s="28">
    <v>64</v>
    <v>ca78h7</v>
    <v>Daily</v>
    <v>46022</v>
    <v>46318</v>
    <v>0</v>
    <v>1</v>
    <v>639283104000000000,639285351122909188,0</v>
    <v>2</v>
    <v>ca78h7</v>
    <v>XMIL:FWRA</v>
    <v>680</v>
  </rv>
  <rv s="28">
    <v>64</v>
    <v>ajf1pr</v>
    <v>Daily</v>
    <v>45953</v>
    <v>46318</v>
    <v>0</v>
    <v>1</v>
    <v>639283104000000000,639285315775062049,0</v>
    <v>4</v>
    <v>ajf1pr</v>
    <v>XMIL:ERNE</v>
    <v>681</v>
  </rv>
  <rv s="28">
    <v>64</v>
    <v>ajf1pr</v>
    <v>Daily</v>
    <v>46022</v>
    <v>46318</v>
    <v>0</v>
    <v>1</v>
    <v>639283104000000000,639285315775062049,0</v>
    <v>2</v>
    <v>ajf1pr</v>
    <v>XMIL:ERNE</v>
    <v>682</v>
  </rv>
  <rv s="28">
    <v>64</v>
    <v>ajf1pr</v>
    <v>Daily</v>
    <v>45222</v>
    <v>46318</v>
    <v>0</v>
    <v>1</v>
    <v>639283104000000000,639285315812154144,0</v>
    <v>0</v>
    <v>ajf1pr</v>
    <v>XMIL:ERNE</v>
    <v>683</v>
  </rv>
  <rv s="28">
    <v>65</v>
    <v>a28plh</v>
    <v>Daily</v>
    <v>46022</v>
    <v>46318</v>
    <v>0</v>
    <v>1</v>
    <v>639283104000000000,639285315776875698,0</v>
    <v>6</v>
    <v>a28plh</v>
    <v>OTCM:ATEYY</v>
    <v>684</v>
  </rv>
  <rv s="28">
    <v>65</v>
    <v>a28plh</v>
    <v>Daily</v>
    <v>45953</v>
    <v>46318</v>
    <v>0</v>
    <v>1</v>
    <v>639283104000000000,639285315775175650,0</v>
    <v>10</v>
    <v>a28plh</v>
    <v>OTCM:ATEYY</v>
    <v>685</v>
  </rv>
  <rv s="28">
    <v>65</v>
    <v>a28plh</v>
    <v>Daily</v>
    <v>45222</v>
    <v>46318</v>
    <v>0</v>
    <v>1</v>
    <v>639283104000000000,639285315782059011,0</v>
    <v>8</v>
    <v>a28plh</v>
    <v>OTCM:ATEYY</v>
    <v>686</v>
  </rv>
</rvData>
</file>

<file path=xl/richData/rdrichvaluestructure.xml><?xml version="1.0" encoding="utf-8"?>
<rvStructures xmlns="http://schemas.microsoft.com/office/spreadsheetml/2017/richdata" count="29">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Name" t="s"/>
    <k n="Official name" t="s"/>
    <k n="Open"/>
    <k n="P/E"/>
    <k n="Previous close"/>
    <k n="Price"/>
    <k n="Price (Extended hours)"/>
    <k n="Shares outstanding"/>
    <k n="Ticker symbol" t="s"/>
    <k n="UniqueName" t="s"/>
    <k n="Volume"/>
    <k n="Volume average"/>
    <k n="Year incorporated"/>
  </s>
  <s t="_linkedentity">
    <k n="%cvi" t="r"/>
  </s>
  <s t="_error">
    <k n="errorType" t="i"/>
    <k n="field" t="s"/>
    <k n="subType" t="i"/>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Name" t="s"/>
    <k n="Official name" t="s"/>
    <k n="Open"/>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ow"/>
    <k n="Name" t="s"/>
    <k n="Official name" t="s"/>
    <k n="Open"/>
    <k n="P/E"/>
    <k n="Previous close"/>
    <k n="Price"/>
    <k n="Price (Extended hours)"/>
    <k n="Shares outstanding"/>
    <k n="Ticker symbol" t="s"/>
    <k n="UniqueName" t="s"/>
    <k n="Volume"/>
    <k n="Volume average"/>
    <k n="Year incorporated"/>
  </s>
  <s t="_error">
    <k n="errorType" t="i"/>
    <k n="subType" t="i"/>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Change"/>
    <k n="Change (%)"/>
    <k n="Currency" t="s"/>
    <k n="Exchange" t="s"/>
    <k n="Exchange abbreviation" t="s"/>
    <k n="Expense ratio"/>
    <k n="High"/>
    <k n="Instrument type" t="s"/>
    <k n="Last trade time"/>
    <k n="Low"/>
    <k n="Market cap"/>
    <k n="Name" t="s"/>
    <k n="Open"/>
    <k n="Previous close"/>
    <k n="Price"/>
    <k n="Ticker symbol" t="s"/>
    <k n="UniqueName" t="s"/>
    <k n="Volume"/>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Exchange" t="s"/>
    <k n="Exchange abbreviation" t="s"/>
    <k n="High"/>
    <k n="Instrument type" t="s"/>
    <k n="Last trade time"/>
    <k n="LearnMoreOnLink" t="r"/>
    <k n="Low"/>
    <k n="Name" t="s"/>
    <k n="Open"/>
    <k n="Previous close"/>
    <k n="Price"/>
    <k n="Ticker symbol" t="s"/>
    <k n="UniqueName" t="s"/>
    <k n="Volum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s>
  <s t="_linkedentitycore">
    <k n="_Display" t="spb"/>
    <k n="_DisplayString" t="s"/>
    <k n="_Flags" t="spb"/>
    <k n="_Format" t="spb"/>
    <k n="_Icon" t="s"/>
    <k n="_SubLabel" t="spb"/>
    <k n="%EntityCulture" t="s"/>
    <k n="%EntityId" t="s"/>
    <k n="%EntityServiceId"/>
    <k n="%IsRefreshable" t="b"/>
    <k n="%ProviderInfo" t="s"/>
    <k n="52 week high"/>
    <k n="52 week low"/>
    <k n="Change"/>
    <k n="Change (%)"/>
    <k n="Change (Extended hours)"/>
    <k n="Change % (Extended hours)"/>
    <k n="Currency" t="s"/>
    <k n="Exchange" t="s"/>
    <k n="Exchange abbreviation" t="s"/>
    <k n="Expense ratio"/>
    <k n="High"/>
    <k n="Instrument type" t="s"/>
    <k n="Last trade time"/>
    <k n="Low"/>
    <k n="Market cap"/>
    <k n="Name" t="s"/>
    <k n="Open"/>
    <k n="Previous close"/>
    <k n="Price"/>
    <k n="Price (Extended hours)"/>
    <k n="Ticker symbol" t="s"/>
    <k n="UniqueName" t="s"/>
    <k n="Volume"/>
    <k n="Volume average"/>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22">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Beta</v>
      <v t="s">P/E</v>
      <v t="s">Shares outstanding</v>
      <v t="s">Description</v>
      <v t="s">Employees</v>
      <v t="s">Headquarters</v>
      <v t="s">Industry</v>
      <v t="s">Instrument type</v>
      <v t="s">Year incorporated</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Beta</v>
      <v t="s">P/E</v>
      <v t="s">Shares outstanding</v>
      <v t="s">Description</v>
      <v t="s">Employees</v>
      <v t="s">Headquarters</v>
      <v t="s">Industry</v>
      <v t="s">Instrument type</v>
      <v t="s">Year incorporated</v>
      <v t="s">_Flags</v>
      <v t="s">UniqueName</v>
      <v t="s">_DisplayString</v>
      <v t="s">LearnMoreOnLink</v>
      <v t="s">Image</v>
      <v t="s">ExchangeID</v>
      <v t="s">%ProviderInfo</v>
    </a>
    <a count="43">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Beta</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Beta</v>
      <v t="s">P/E</v>
      <v t="s">Shares outstanding</v>
      <v t="s">Description</v>
      <v t="s">Employees</v>
      <v t="s">Headquarters</v>
      <v t="s">Industry</v>
      <v t="s">Instrument type</v>
      <v t="s">Year incorporated</v>
      <v t="s">_Flags</v>
      <v t="s">UniqueName</v>
      <v t="s">_DisplayString</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29">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Volume</v>
      <v t="s">Market cap</v>
      <v t="s">Instrument type</v>
      <v t="s">_Flags</v>
      <v t="s">UniqueName</v>
      <v t="s">_DisplayString</v>
      <v t="s">%ProviderInfo</v>
    </a>
    <a count="32">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LearnMoreOnLink</v>
      <v t="s">%ProviderInfo</v>
    </a>
    <a count="31">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%ProviderInfo</v>
    </a>
    <a count="33">
      <v t="s">%EntityServiceId</v>
      <v t="s">_Format</v>
      <v t="s">%IsRefreshable</v>
      <v t="s">%EntityCulture</v>
      <v t="s">%EntityId</v>
      <v t="s">_Icon</v>
      <v t="s">_Display</v>
      <v t="s">Name</v>
      <v t="s">_SubLabel</v>
      <v t="s">Price</v>
      <v t="s">Price (Extended hours)</v>
      <v t="s">Exchange</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LearnMoreOnLink</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30">
      <v t="s">%EntityServiceId</v>
      <v t="s">_Format</v>
      <v t="s">%IsRefreshable</v>
      <v t="s">%EntityCulture</v>
      <v t="s">%EntityId</v>
      <v t="s">_Icon</v>
      <v t="s">_Display</v>
      <v t="s">Name</v>
      <v t="s">_SubLabel</v>
      <v t="s">Price</v>
      <v t="s">Exchange</v>
      <v t="s">Last trade time</v>
      <v t="s">Ticker symbol</v>
      <v t="s">Exchange abbreviation</v>
      <v t="s">Change</v>
      <v t="s">Change (%)</v>
      <v t="s">Currency</v>
      <v t="s">Previous close</v>
      <v t="s">Open</v>
      <v t="s">High</v>
      <v t="s">Low</v>
      <v t="s">52 week high</v>
      <v t="s">52 week low</v>
      <v t="s">Volume</v>
      <v t="s">Instrument type</v>
      <v t="s">_Flags</v>
      <v t="s">UniqueName</v>
      <v t="s">_DisplayString</v>
      <v t="s">LearnMoreOnLink</v>
      <v t="s">%ProviderInfo</v>
    </a>
    <a count="34">
      <v t="s">%EntityServiceId</v>
      <v t="s">_Format</v>
      <v t="s">%IsRefreshable</v>
      <v t="s">%EntityCulture</v>
      <v t="s">%EntityId</v>
      <v t="s">_Icon</v>
      <v t="s">_Display</v>
      <v t="s">Name</v>
      <v t="s">_SubLabel</v>
      <v t="s">Price</v>
      <v t="s">Price (Extended hours)</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35">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Instrument type</v>
      <v t="s">_Flags</v>
      <v t="s">UniqueName</v>
      <v t="s">_DisplayString</v>
      <v t="s">%ProviderInfo</v>
    </a>
  </spbArrays>
  <spbData count="69">
    <spb s="0">
      <v>0</v>
      <v>Name</v>
      <v>LearnMoreOnLink</v>
    </spb>
    <spb s="1">
      <v>0</v>
      <v>0</v>
      <v>0</v>
    </spb>
    <spb s="2">
      <v>1</v>
      <v>1</v>
      <v>1</v>
      <v>1</v>
    </spb>
    <spb s="3">
      <v>1</v>
      <v>2</v>
      <v>2</v>
      <v>1</v>
      <v>3</v>
      <v>1</v>
      <v>1</v>
      <v>1</v>
      <v>4</v>
      <v>4</v>
      <v>5</v>
      <v>1</v>
      <v>1</v>
      <v>1</v>
      <v>4</v>
      <v>6</v>
      <v>7</v>
      <v>8</v>
      <v>4</v>
      <v>1</v>
      <v>1</v>
      <v>5</v>
    </spb>
    <spb s="4">
      <v>at close</v>
      <v>from previous close</v>
      <v>from previous close</v>
      <v>Source: Nasdaq</v>
      <v>GMT</v>
      <v>Delayed 15 minutes</v>
      <v>from close</v>
      <v>from close</v>
    </spb>
    <spb s="0">
      <v>1</v>
      <v>Name</v>
      <v>LearnMoreOnLink</v>
    </spb>
    <spb s="5">
      <v>1</v>
      <v>2</v>
      <v>2</v>
      <v>1</v>
      <v>3</v>
      <v>1</v>
      <v>1</v>
      <v>1</v>
      <v>4</v>
      <v>4</v>
      <v>5</v>
      <v>9</v>
      <v>1</v>
      <v>1</v>
      <v>1</v>
      <v>4</v>
      <v>6</v>
      <v>7</v>
      <v>8</v>
      <v>4</v>
      <v>1</v>
      <v>1</v>
      <v>5</v>
    </spb>
    <spb s="0">
      <v>2</v>
      <v>Name</v>
      <v>LearnMoreOnLink</v>
    </spb>
    <spb s="6">
      <v>0</v>
      <v>0</v>
    </spb>
    <spb s="7">
      <v>8</v>
      <v>1</v>
      <v>1</v>
      <v>1</v>
      <v>1</v>
    </spb>
    <spb s="8">
      <v>1</v>
      <v>2</v>
      <v>2</v>
      <v>1</v>
      <v>3</v>
      <v>1</v>
      <v>10</v>
      <v>1</v>
      <v>1</v>
      <v>4</v>
      <v>4</v>
      <v>5</v>
      <v>1</v>
      <v>1</v>
      <v>1</v>
      <v>4</v>
      <v>6</v>
      <v>7</v>
      <v>8</v>
      <v>4</v>
      <v>1</v>
      <v>1</v>
      <v>5</v>
    </spb>
    <spb s="9">
      <v>Powered by Refinitiv</v>
    </spb>
    <spb s="10">
      <v>at close</v>
      <v>from previous close</v>
      <v>from previous close</v>
      <v>GMT</v>
      <v>Delayed 15 minutes</v>
      <v>from close</v>
      <v>from close</v>
    </spb>
    <spb s="5">
      <v>1</v>
      <v>2</v>
      <v>2</v>
      <v>1</v>
      <v>3</v>
      <v>1</v>
      <v>1</v>
      <v>1</v>
      <v>4</v>
      <v>4</v>
      <v>5</v>
      <v>11</v>
      <v>1</v>
      <v>1</v>
      <v>1</v>
      <v>4</v>
      <v>6</v>
      <v>7</v>
      <v>8</v>
      <v>4</v>
      <v>1</v>
      <v>1</v>
      <v>5</v>
    </spb>
    <spb s="0">
      <v>3</v>
      <v>Name</v>
      <v>LearnMoreOnLink</v>
    </spb>
    <spb s="11">
      <v>1</v>
      <v>2</v>
      <v>1</v>
      <v>3</v>
      <v>1</v>
      <v>1</v>
      <v>1</v>
      <v>4</v>
      <v>4</v>
      <v>5</v>
      <v>1</v>
      <v>1</v>
      <v>1</v>
      <v>4</v>
      <v>6</v>
      <v>7</v>
      <v>8</v>
      <v>4</v>
      <v>1</v>
      <v>1</v>
      <v>5</v>
    </spb>
    <spb s="4">
      <v>at close</v>
      <v>from previous close</v>
      <v>from previous close</v>
      <v>Source: Nasdaq Last Sale</v>
      <v>GMT</v>
      <v>Real-Time Nasdaq Last Sale</v>
      <v>from close</v>
      <v>from close</v>
    </spb>
    <spb s="12">
      <v>4</v>
      <v>Name</v>
    </spb>
    <spb s="13">
      <v>1</v>
      <v>1</v>
      <v>1</v>
    </spb>
    <spb s="0">
      <v>5</v>
      <v>Name</v>
      <v>LearnMoreOnLink</v>
    </spb>
    <spb s="14">
      <v>1</v>
      <v>2</v>
      <v>1</v>
      <v>3</v>
      <v>1</v>
      <v>1</v>
      <v>1</v>
      <v>4</v>
      <v>4</v>
      <v>5</v>
      <v>9</v>
      <v>1</v>
      <v>1</v>
      <v>1</v>
      <v>4</v>
      <v>6</v>
      <v>7</v>
      <v>8</v>
      <v>4</v>
      <v>1</v>
      <v>1</v>
      <v>5</v>
    </spb>
    <spb s="12">
      <v>6</v>
      <v>Name</v>
    </spb>
    <spb s="12">
      <v>7</v>
      <v>Name</v>
    </spb>
    <spb s="15">
      <v>1</v>
      <v>2</v>
      <v>2</v>
      <v>1</v>
      <v>3</v>
      <v>1</v>
      <v>1</v>
      <v>1</v>
      <v>4</v>
      <v>4</v>
      <v>5</v>
      <v>9</v>
      <v>1</v>
      <v>4</v>
      <v>6</v>
      <v>7</v>
      <v>8</v>
      <v>4</v>
    </spb>
    <spb s="16">
      <v>Delayed 15 minutes</v>
      <v>from previous close</v>
      <v>from previous close</v>
      <v>GMT</v>
    </spb>
    <spb s="0">
      <v>8</v>
      <v>Name</v>
      <v>LearnMoreOnLink</v>
    </spb>
    <spb s="17">
      <v>1</v>
      <v>2</v>
      <v>2</v>
      <v>1</v>
      <v>3</v>
      <v>1</v>
      <v>10</v>
      <v>1</v>
      <v>1</v>
      <v>4</v>
      <v>4</v>
      <v>5</v>
      <v>9</v>
      <v>1</v>
      <v>1</v>
      <v>1</v>
      <v>4</v>
      <v>6</v>
      <v>7</v>
      <v>8</v>
      <v>4</v>
      <v>1</v>
      <v>1</v>
      <v>5</v>
    </spb>
    <spb s="0">
      <v>9</v>
      <v>Name</v>
      <v>LearnMoreOnLink</v>
    </spb>
    <spb s="18">
      <v>12</v>
      <v>2</v>
      <v>2</v>
      <v>12</v>
      <v>3</v>
      <v>12</v>
      <v>12</v>
      <v>12</v>
      <v>4</v>
      <v>4</v>
      <v>5</v>
      <v>13</v>
      <v>12</v>
      <v>12</v>
      <v>12</v>
      <v>4</v>
      <v>6</v>
      <v>7</v>
      <v>8</v>
      <v>4</v>
    </spb>
    <spb s="0">
      <v>10</v>
      <v>Name</v>
      <v>LearnMoreOnLink</v>
    </spb>
    <spb s="19">
      <v>14</v>
      <v>2</v>
      <v>14</v>
      <v>3</v>
      <v>14</v>
      <v>14</v>
      <v>14</v>
      <v>4</v>
      <v>4</v>
      <v>5</v>
      <v>15</v>
      <v>14</v>
      <v>14</v>
      <v>14</v>
      <v>4</v>
      <v>6</v>
      <v>7</v>
      <v>8</v>
      <v>4</v>
    </spb>
    <spb s="16">
      <v>End of Day</v>
      <v>from previous close</v>
      <v>from previous close</v>
      <v>GMT</v>
    </spb>
    <spb s="0">
      <v>11</v>
      <v>Name</v>
      <v>LearnMoreOnLink</v>
    </spb>
    <spb s="20">
      <v>1</v>
      <v>2</v>
      <v>2</v>
      <v>1</v>
      <v>3</v>
      <v>1</v>
      <v>1</v>
      <v>1</v>
      <v>4</v>
      <v>4</v>
      <v>5</v>
      <v>1</v>
      <v>1</v>
      <v>1</v>
      <v>4</v>
      <v>6</v>
      <v>7</v>
      <v>8</v>
      <v>4</v>
    </spb>
    <spb s="0">
      <v>12</v>
      <v>Name</v>
      <v>LearnMoreOnLink</v>
    </spb>
    <spb s="21">
      <v>16</v>
      <v>2</v>
      <v>2</v>
      <v>16</v>
      <v>3</v>
      <v>16</v>
      <v>16</v>
      <v>16</v>
      <v>4</v>
      <v>4</v>
      <v>5</v>
      <v>17</v>
      <v>16</v>
      <v>16</v>
      <v>16</v>
      <v>4</v>
      <v>6</v>
      <v>8</v>
      <v>4</v>
    </spb>
    <spb s="22">
      <v>Delayed 15 minutes</v>
      <v>from previous close</v>
      <v>from previous close</v>
      <v>Borsa Italia</v>
      <v>GMT</v>
    </spb>
    <spb s="18">
      <v>16</v>
      <v>2</v>
      <v>2</v>
      <v>16</v>
      <v>3</v>
      <v>16</v>
      <v>16</v>
      <v>16</v>
      <v>4</v>
      <v>4</v>
      <v>5</v>
      <v>17</v>
      <v>16</v>
      <v>16</v>
      <v>16</v>
      <v>4</v>
      <v>6</v>
      <v>7</v>
      <v>8</v>
      <v>4</v>
    </spb>
    <spb s="18">
      <v>16</v>
      <v>2</v>
      <v>2</v>
      <v>16</v>
      <v>3</v>
      <v>16</v>
      <v>16</v>
      <v>16</v>
      <v>4</v>
      <v>4</v>
      <v>5</v>
      <v>18</v>
      <v>16</v>
      <v>16</v>
      <v>16</v>
      <v>4</v>
      <v>6</v>
      <v>7</v>
      <v>8</v>
      <v>4</v>
    </spb>
    <spb s="0">
      <v>13</v>
      <v>Name</v>
      <v>LearnMoreOnLink</v>
    </spb>
    <spb s="23">
      <v>16</v>
      <v>2</v>
      <v>2</v>
      <v>16</v>
      <v>3</v>
      <v>16</v>
      <v>10</v>
      <v>16</v>
      <v>16</v>
      <v>4</v>
      <v>4</v>
      <v>5</v>
      <v>17</v>
      <v>16</v>
      <v>16</v>
      <v>16</v>
      <v>4</v>
      <v>6</v>
      <v>7</v>
      <v>8</v>
      <v>4</v>
    </spb>
    <spb s="12">
      <v>14</v>
      <v>Name</v>
    </spb>
    <spb s="24">
      <v>1</v>
      <v>1</v>
    </spb>
    <spb s="25">
      <v>16</v>
      <v>16</v>
      <v>3</v>
      <v>16</v>
      <v>16</v>
      <v>16</v>
      <v>4</v>
      <v>5</v>
      <v>17</v>
      <v>5</v>
      <v>16</v>
      <v>6</v>
      <v>8</v>
    </spb>
    <spb s="26">
      <v>Delayed 15 minutes</v>
      <v>from previous close</v>
      <v>Borsa Italia</v>
      <v>from previous close</v>
      <v>GMT</v>
    </spb>
    <spb s="0">
      <v>15</v>
      <v>Name</v>
      <v>LearnMoreOnLink</v>
    </spb>
    <spb s="27">
      <v>1</v>
      <v>1</v>
      <v>1</v>
    </spb>
    <spb s="28">
      <v>16</v>
      <v>16</v>
      <v>3</v>
      <v>16</v>
      <v>16</v>
      <v>16</v>
      <v>4</v>
      <v>5</v>
      <v>17</v>
      <v>16</v>
      <v>16</v>
      <v>5</v>
      <v>16</v>
      <v>6</v>
      <v>8</v>
    </spb>
    <spb s="12">
      <v>16</v>
      <v>Name</v>
    </spb>
    <spb s="0">
      <v>17</v>
      <v>Name</v>
      <v>LearnMoreOnLink</v>
    </spb>
    <spb s="29">
      <v>16</v>
      <v>16</v>
      <v>3</v>
      <v>16</v>
      <v>16</v>
      <v>16</v>
      <v>4</v>
      <v>5</v>
      <v>17</v>
      <v>16</v>
      <v>16</v>
      <v>5</v>
      <v>16</v>
      <v>6</v>
      <v>8</v>
      <v>16</v>
    </spb>
    <spb s="30">
      <v>at close</v>
      <v>from previous close</v>
      <v>Borsa Italia</v>
      <v>from previous close</v>
      <v>GMT</v>
      <v>Delayed 15 minutes</v>
    </spb>
    <spb s="0">
      <v>18</v>
      <v>Name</v>
      <v>LearnMoreOnLink</v>
    </spb>
    <spb s="31">
      <v>16</v>
      <v>2</v>
      <v>16</v>
      <v>3</v>
      <v>16</v>
      <v>16</v>
      <v>16</v>
      <v>4</v>
      <v>5</v>
      <v>17</v>
      <v>16</v>
      <v>16</v>
      <v>5</v>
      <v>16</v>
      <v>6</v>
      <v>8</v>
    </spb>
    <spb s="31">
      <v>1</v>
      <v>2</v>
      <v>1</v>
      <v>3</v>
      <v>1</v>
      <v>1</v>
      <v>1</v>
      <v>4</v>
      <v>5</v>
      <v>9</v>
      <v>1</v>
      <v>1</v>
      <v>5</v>
      <v>1</v>
      <v>6</v>
      <v>8</v>
    </spb>
    <spb s="26">
      <v>Delayed 15 minutes</v>
      <v>from previous close</v>
      <v>LSE</v>
      <v>from previous close</v>
      <v>GMT</v>
    </spb>
    <spb s="0">
      <v>19</v>
      <v>Name</v>
      <v>LearnMoreOnLink</v>
    </spb>
    <spb s="32">
      <v>16</v>
      <v>16</v>
      <v>3</v>
      <v>16</v>
      <v>16</v>
      <v>16</v>
      <v>4</v>
      <v>5</v>
      <v>16</v>
      <v>16</v>
      <v>16</v>
      <v>6</v>
      <v>8</v>
    </spb>
    <spb s="28">
      <v>19</v>
      <v>19</v>
      <v>3</v>
      <v>19</v>
      <v>19</v>
      <v>19</v>
      <v>4</v>
      <v>5</v>
      <v>18</v>
      <v>19</v>
      <v>19</v>
      <v>5</v>
      <v>19</v>
      <v>6</v>
      <v>8</v>
    </spb>
    <spb s="0">
      <v>20</v>
      <v>Name</v>
      <v>LearnMoreOnLink</v>
    </spb>
    <spb s="33">
      <v>16</v>
      <v>2</v>
      <v>16</v>
      <v>3</v>
      <v>16</v>
      <v>16</v>
      <v>16</v>
      <v>4</v>
      <v>5</v>
      <v>17</v>
      <v>16</v>
      <v>16</v>
      <v>5</v>
      <v>16</v>
      <v>6</v>
      <v>8</v>
      <v>16</v>
    </spb>
    <spb s="12">
      <v>21</v>
      <v>Name</v>
    </spb>
    <spb s="34">
      <v>1</v>
      <v>1</v>
      <v>3</v>
      <v>1</v>
      <v>1</v>
      <v>1</v>
      <v>4</v>
      <v>5</v>
      <v>9</v>
      <v>1</v>
      <v>1</v>
      <v>5</v>
      <v>1</v>
      <v>4</v>
      <v>6</v>
      <v>8</v>
      <v>1</v>
      <v>1</v>
      <v>5</v>
    </spb>
    <spb s="35">
      <v>at close</v>
      <v>from previous close</v>
      <v>Source: Nasdaq</v>
      <v>from previous close</v>
      <v>GMT</v>
      <v>Delayed 15 minutes</v>
      <v>from close</v>
      <v>from close</v>
    </spb>
    <spb s="36">
      <v>20</v>
      <v>16</v>
    </spb>
    <spb s="36">
      <v>20</v>
      <v>1</v>
    </spb>
    <spb s="36">
      <v>20</v>
      <v>12</v>
    </spb>
    <spb s="36">
      <v>20</v>
      <v>14</v>
    </spb>
    <spb s="36">
      <v>20</v>
      <v>19</v>
    </spb>
  </spbData>
</supportingPropertyBags>
</file>

<file path=xl/richData/rdsupportingpropertybagstructure.xml><?xml version="1.0" encoding="utf-8"?>
<spbStructures xmlns="http://schemas.microsoft.com/office/spreadsheetml/2017/richdata2" count="37">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Price" t="s"/>
    <k n="Change" t="s"/>
    <k n="Change (%)" t="s"/>
    <k n="Last trade time" t="s"/>
    <k n="Price (Extended hours)" t="s"/>
    <k n="Change (Extended hours)" t="s"/>
    <k n="Change % (Extended hours)" t="s"/>
  </s>
  <s>
    <k n="Low" t="i"/>
    <k n="Beta" t="i"/>
    <k n="High" t="i"/>
    <k n="Name" t="i"/>
    <k n="Open" t="i"/>
    <k n="Price" t="i"/>
    <k n="Change" t="i"/>
    <k n="Volume" t="i"/>
    <k n="Employees" t="i"/>
    <k n="Change (%)" t="i"/>
    <k n="52 week low" t="i"/>
    <k n="52 week high" t="i"/>
    <k n="Previous close" t="i"/>
    <k n="Volume average" t="i"/>
    <k n="Last trade time" t="i"/>
    <k n="Year incorporated" t="i"/>
    <k n="`%EntityServiceId" t="i"/>
    <k n="Shares outstanding" t="i"/>
    <k n="Price (Extended hours)" t="i"/>
    <k n="Change (Extended hours)" t="i"/>
    <k n="Change % (Extended hours)" t="i"/>
  </s>
  <s>
    <k n="^Order" t="spba"/>
    <k n="TitleProperty" t="s"/>
  </s>
  <s>
    <k n="ExchangeID" t="spb"/>
    <k n="UniqueName" t="spb"/>
    <k n="`%ProviderInfo"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Price" t="s"/>
    <k n="Change" t="s"/>
    <k n="Change (%)" t="s"/>
    <k n="Last trade time" t="s"/>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Price" t="s"/>
    <k n="Change" t="s"/>
    <k n="Change (%)" t="s"/>
    <k n="ExchangeID" t="s"/>
    <k n="Last trade time" t="s"/>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UniqueName" t="spb"/>
    <k n="`%ProviderInfo" t="spb"/>
  </s>
  <s>
    <k n="Low" t="i"/>
    <k n="High" t="i"/>
    <k n="Name" t="i"/>
    <k n="Open" t="i"/>
    <k n="Price" t="i"/>
    <k n="Change" t="i"/>
    <k n="Volume" t="i"/>
    <k n="Change (%)" t="i"/>
    <k n="Market cap" t="i"/>
    <k n="Expense ratio" t="i"/>
    <k n="Previous close" t="i"/>
    <k n="Last trade time" t="i"/>
    <k n="`%EntityServiceId" t="i"/>
  </s>
  <s>
    <k n="Price" t="s"/>
    <k n="Change" t="s"/>
    <k n="Exchange" t="s"/>
    <k n="Change (%)" t="s"/>
    <k n="Last trade time" t="s"/>
  </s>
  <s>
    <k n="UniqueName" t="spb"/>
    <k n="`%ProviderInfo" t="spb"/>
    <k n="LearnMoreOnLink" t="spb"/>
  </s>
  <s>
    <k n="Low" t="i"/>
    <k n="High" t="i"/>
    <k n="Name" t="i"/>
    <k n="Open" t="i"/>
    <k n="Price" t="i"/>
    <k n="Change" t="i"/>
    <k n="Volume" t="i"/>
    <k n="Change (%)" t="i"/>
    <k n="Market cap" t="i"/>
    <k n="52 week low" t="i"/>
    <k n="52 week high" t="i"/>
    <k n="Expense ratio" t="i"/>
    <k n="Previous close" t="i"/>
    <k n="Last trade time" t="i"/>
    <k n="`%EntityServiceId" t="i"/>
  </s>
  <s>
    <k n="Low" t="i"/>
    <k n="High" t="i"/>
    <k n="Name" t="i"/>
    <k n="Open" t="i"/>
    <k n="Price" t="i"/>
    <k n="Change" t="i"/>
    <k n="Volume" t="i"/>
    <k n="Change (%)" t="i"/>
    <k n="Market cap" t="i"/>
    <k n="52 week low" t="i"/>
    <k n="52 week high" t="i"/>
    <k n="Expense ratio" t="i"/>
    <k n="Previous close" t="i"/>
    <k n="Last trade time" t="i"/>
    <k n="`%EntityServiceId" t="i"/>
    <k n="Price (Extended hours)" t="i"/>
  </s>
  <s>
    <k n="Price" t="s"/>
    <k n="Change" t="s"/>
    <k n="Exchange" t="s"/>
    <k n="Change (%)" t="s"/>
    <k n="Last trade time" t="s"/>
    <k n="Price (Extended hours)" t="s"/>
  </s>
  <s>
    <k n="Low" t="i"/>
    <k n="Beta" t="i"/>
    <k n="High" t="i"/>
    <k n="Name" t="i"/>
    <k n="Open" t="i"/>
    <k n="Price" t="i"/>
    <k n="Change" t="i"/>
    <k n="Volume" t="i"/>
    <k n="Change (%)" t="i"/>
    <k n="Market cap" t="i"/>
    <k n="52 week low" t="i"/>
    <k n="52 week high" t="i"/>
    <k n="Expense ratio" t="i"/>
    <k n="Previous close" t="i"/>
    <k n="Last trade time" t="i"/>
    <k n="`%EntityServiceId" t="i"/>
  </s>
  <s>
    <k n="Low" t="i"/>
    <k n="High" t="i"/>
    <k n="Name" t="i"/>
    <k n="Open" t="i"/>
    <k n="Price" t="i"/>
    <k n="Change" t="i"/>
    <k n="Volume" t="i"/>
    <k n="Change (%)" t="i"/>
    <k n="52 week low" t="i"/>
    <k n="52 week high" t="i"/>
    <k n="Previous close" t="i"/>
    <k n="Last trade time" t="i"/>
    <k n="`%EntityServiceId" t="i"/>
  </s>
  <s>
    <k n="Low" t="i"/>
    <k n="Beta" t="i"/>
    <k n="High" t="i"/>
    <k n="Name" t="i"/>
    <k n="Open" t="i"/>
    <k n="Price" t="i"/>
    <k n="Change" t="i"/>
    <k n="Volume" t="i"/>
    <k n="Change (%)" t="i"/>
    <k n="Market cap" t="i"/>
    <k n="52 week low" t="i"/>
    <k n="52 week high" t="i"/>
    <k n="Expense ratio" t="i"/>
    <k n="Previous close" t="i"/>
    <k n="Last trade time" t="i"/>
    <k n="`%EntityServiceId" t="i"/>
    <k n="Price (Extended hours)" t="i"/>
  </s>
  <s>
    <k n="Low"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2" formatCode="0.00"/>
    </x:dxf>
    <x:dxf>
      <x:numFmt numFmtId="27" formatCode="dd/mm/yyyy\ hh:mm"/>
    </x:dxf>
    <x:dxf>
      <x:numFmt numFmtId="14" formatCode="0.00%"/>
    </x:dxf>
    <x:dxf>
      <x:numFmt numFmtId="3" formatCode="#,##0"/>
    </x:dxf>
    <x:dxf>
      <x:numFmt numFmtId="4" formatCode="#,##0.00"/>
    </x:dxf>
    <x:dxf>
      <x:numFmt numFmtId="1" formatCode="0"/>
    </x:dxf>
    <x:dxf>
      <x:numFmt numFmtId="19" formatCode="dd/mm/yyyy"/>
    </x:dxf>
  </dxfs>
  <richProperties>
    <rPr n="NumberFormat" t="s"/>
    <rPr n="IsTitleField" t="b"/>
    <rPr n="IsHeroField" t="b"/>
  </richProperties>
  <richStyles>
    <rSty dxfid="0">
      <rpv i="0">_([$$-en-US]* #,##0.00_);_([$$-en-US]* (#,##0.00);_([$$-en-US]* "-"??_);_(@_)</rpv>
    </rSty>
    <rSty dxfid="5">
      <rpv i="0">#,##0.00</rpv>
    </rSty>
    <rSty>
      <rpv i="1">1</rpv>
    </rSty>
    <rSty dxfid="4">
      <rpv i="0">#,##0</rpv>
    </rSty>
    <rSty dxfid="3"/>
    <rSty dxfid="2"/>
    <rSty dxfid="6">
      <rpv i="0">0</rpv>
    </rSty>
    <rSty dxfid="1">
      <rpv i="0">0.00</rpv>
    </rSty>
    <rSty dxfid="0">
      <rpv i="0">_([$$-en-US]* #,##0_);_([$$-en-US]* (#,##0);_([$$-en-US]* "-"_);_(@_)</rpv>
    </rSty>
    <rSty>
      <rpv i="2">1</rpv>
    </rSty>
    <rSty dxfid="0">
      <rpv i="0">_([$$-en-CA]* #,##0_);_([$$-en-CA]* (#,##0);_([$$-en-CA]* "-"_);_(@_)</rpv>
    </rSty>
    <rSty dxfid="0">
      <rpv i="0" xml:space="preserve">_ [$CHF-fr-CH] * #,##0.00_ ;_ [$CHF-fr-CH] * -#,##0.00_ ;_ [$CHF-fr-CH] * "-"??_ ;_ @_ </rpv>
    </rSty>
    <rSty dxfid="0">
      <rpv i="0" xml:space="preserve">_ [$CHF-fr-CH] * #,##0_ ;_ [$CHF-fr-CH] * -#,##0_ ;_ [$CHF-fr-CH] * "-"_ ;_ @_ </rpv>
    </rSty>
    <rSty dxfid="0">
      <rpv i="0" xml:space="preserve">_ * #,##0.00_) [$zł-pl-PL]_ ;_ * (#,##0.00) [$zł-pl-PL]_ ;_ * "-"??_) [$zł-pl-PL]_ ;_ @_ </rpv>
    </rSty>
    <rSty dxfid="0">
      <rpv i="0" xml:space="preserve">_ * #,##0_) [$zł-pl-PL]_ ;_ * (#,##0) [$zł-pl-PL]_ ;_ * "-"_) [$zł-pl-PL]_ ;_ @_ </rpv>
    </rSty>
    <rSty dxfid="0">
      <rpv i="0">_([$€-x-euro2] * #,##0.00_);_([$€-x-euro2] * (#,##0.00);_([$€-x-euro2] * "-"??_);_(@_)</rpv>
    </rSty>
    <rSty dxfid="0">
      <rpv i="0">_([$€-x-euro2] * #,##0_);_([$€-x-euro2] * (#,##0);_([$€-x-euro2] * "-"_);_(@_)</rpv>
    </rSty>
    <rSty dxfid="0">
      <rpv i="0">_([$£-en-GB]* #,##0_);_([$£-en-GB]* (#,##0);_([$£-en-GB]* "-"_);_(@_)</rpv>
    </rSty>
    <rSty dxfid="0">
      <rpv i="0">_([$£-en-GB]* #,##0.00_);_([$£-en-GB]* (#,##0.00);_([$£-en-GB]* "-"??_);_(@_)</rpv>
    </rSty>
    <rSty dxfid="7"/>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ReportTable" displayName="StockReportTable" ref="A1:Q105" headerRowDxfId="49" dataDxfId="48">
  <autoFilter ref="A1:Q105" xr:uid="{00000000-000C-0000-FFFF-FFFF00000000}"/>
  <tableColumns count="17">
    <tableColumn id="1" xr3:uid="{00000000-0010-0000-0000-000001000000}" name="Company" dataDxfId="47">
      <calculatedColumnFormula array="1">_FV(StockReportTable[[#This Row],[Ticker]],"Official name",TRUE)</calculatedColumnFormula>
    </tableColumn>
    <tableColumn id="2" xr3:uid="{00000000-0010-0000-0000-000002000000}" name="Ticker" dataDxfId="46"/>
    <tableColumn id="3" xr3:uid="{00000000-0010-0000-0000-000003000000}" name="Exchange" dataDxfId="45">
      <calculatedColumnFormula array="1">_FV(StockReportTable[[#This Row],[Ticker]],"Exchange")</calculatedColumnFormula>
    </tableColumn>
    <tableColumn id="4" xr3:uid="{00000000-0010-0000-0000-000004000000}" name="Currency" dataDxfId="44">
      <calculatedColumnFormula array="1">_FV(StockReportTable[[#This Row],[Ticker]],"Currency")</calculatedColumnFormula>
    </tableColumn>
    <tableColumn id="12" xr3:uid="{1E2F381D-4F01-2046-8096-BDDAFD2DA62F}" name="Date" dataDxfId="43">
      <calculatedColumnFormula>WORKDAY(TODAY()+1,-1)</calculatedColumnFormula>
    </tableColumn>
    <tableColumn id="5" xr3:uid="{00000000-0010-0000-0000-000005000000}" name="Price @ Date" dataDxfId="42">
      <calculatedColumnFormula array="1">_FV(StockReportTable[[#This Row],[Ticker]],"Price")</calculatedColumnFormula>
    </tableColumn>
    <tableColumn id="6" xr3:uid="{00000000-0010-0000-0000-000006000000}" name="YTD %" dataDxfId="41" dataCellStyle="Per cent">
      <calculatedColumnFormula>(StockReportTable[[#This Row],[Price @ Date]]-INDEX(_xlfn.STOCKHISTORY(B2,DATE(2025,12,31),E2),2,2))/(INDEX(_xlfn.STOCKHISTORY(B2,DATE(2025,12,31),E2),2,2))</calculatedColumnFormula>
    </tableColumn>
    <tableColumn id="7" xr3:uid="{00000000-0010-0000-0000-000007000000}" name="1Y %" dataDxfId="40" dataCellStyle="Per cent">
      <calculatedColumnFormula>(StockReportTable[[#This Row],[Price @ Date]]-INDEX(_xlfn.STOCKHISTORY(B2,DATE(2025,12,31),E2),2,2))/(INDEX(_xlfn.STOCKHISTORY(B2,EDATE(StockReportTable[[#This Row],[Date]],-12),E2),2,2))</calculatedColumnFormula>
    </tableColumn>
    <tableColumn id="20" xr3:uid="{9B6A3F58-8076-DA47-86B9-45DA972973FB}" name="3Y %" dataDxfId="39" dataCellStyle="Per cent">
      <calculatedColumnFormula>(StockReportTable[[#This Row],[Price @ Date]]-INDEX(_xlfn.STOCKHISTORY(B2,DATE(2025,12,31),E2),2,2))/(INDEX(_xlfn.STOCKHISTORY(B2,EDATE(StockReportTable[[#This Row],[Date]],-36),E2),2,2))</calculatedColumnFormula>
    </tableColumn>
    <tableColumn id="8" xr3:uid="{00000000-0010-0000-0000-000008000000}" name="P/E" dataDxfId="38">
      <calculatedColumnFormula array="1">IFERROR(_FV(StockReportTable[[#This Row],[Ticker]],"P/E",TRUE),"N/A")</calculatedColumnFormula>
    </tableColumn>
    <tableColumn id="17" xr3:uid="{5A28A3E1-FA0E-804C-8FE5-8FAD1A191718}" name="Ranking" dataDxfId="37">
      <calculatedColumnFormula>IF(ISNUMBER(StockReportTable[[#This Row],[P/E]]),IF(StockReportTable[[#This Row],[P/E]]&lt;35,1,2),3)</calculatedColumnFormula>
    </tableColumn>
    <tableColumn id="18" xr3:uid="{70A8523B-4B01-724C-BE54-59550F0B3997}" name="Industry" dataDxfId="36">
      <calculatedColumnFormula array="1">_FV(StockReportTable[[#This Row],[Ticker]],"Industry")</calculatedColumnFormula>
    </tableColumn>
    <tableColumn id="9" xr3:uid="{0BBAD5A0-5220-9E4A-8FEF-7717313EE0B2}" name="52 Day High" dataDxfId="35">
      <calculatedColumnFormula array="1">IFERROR(_FV(StockReportTable[[#This Row],[Ticker]],"52 week high",TRUE),"N/A")</calculatedColumnFormula>
    </tableColumn>
    <tableColumn id="10" xr3:uid="{EFFDB619-A951-D044-A1B2-3DFBB662138B}" name="52 Day Low" dataDxfId="34">
      <calculatedColumnFormula array="1">IFERROR(_FV(StockReportTable[[#This Row],[Ticker]],"52 week low",TRUE),"N/A")</calculatedColumnFormula>
    </tableColumn>
    <tableColumn id="11" xr3:uid="{7727D680-E2A2-F74A-9055-EC5F51ACA1C5}" name="Daily % Change" dataDxfId="33">
      <calculatedColumnFormula array="1">_FV(StockReportTable[[#This Row],[Ticker]],"Change (%)",TRUE)</calculatedColumnFormula>
    </tableColumn>
    <tableColumn id="13" xr3:uid="{007E9063-1F9F-DA4A-9E4C-C21D900051B2}" name="Market Cap" dataDxfId="32">
      <calculatedColumnFormula array="1">_FV(StockReportTable[[#This Row],[Ticker]],"Market cap",TRUE)</calculatedColumnFormula>
    </tableColumn>
    <tableColumn id="14" xr3:uid="{C6CC78EA-75E9-8947-8F51-366F615857CD}" name="Average Volume" dataDxfId="31">
      <calculatedColumnFormula array="1">_FV(StockReportTable[[#This Row],[Ticker]],"Volume average",TRUE)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24B797-5978-3B4D-9FAC-51787DF304B3}" name="Table2" displayName="Table2" ref="A1:Q120" totalsRowShown="0" headerRowDxfId="68" dataDxfId="67" headerRowCellStyle="Per cent" dataCellStyle="Per cent">
  <autoFilter ref="A1:Q120" xr:uid="{3224B797-5978-3B4D-9FAC-51787DF304B3}"/>
  <tableColumns count="17">
    <tableColumn id="1" xr3:uid="{C8F3B9E8-4297-DF49-84F9-F32A698B77B9}" name="Ticker" dataDxfId="66">
      <calculatedColumnFormula array="1">_FV(B2,"Name")</calculatedColumnFormula>
    </tableColumn>
    <tableColumn id="2" xr3:uid="{7B89DB0B-C550-9549-B452-51E036F20A2B}" name="ETF" dataDxfId="65"/>
    <tableColumn id="3" xr3:uid="{81480BFE-1F7D-1440-999C-4B6CC0F948E9}" name="Exchange" dataDxfId="64">
      <calculatedColumnFormula array="1">_FV(B2,"Exchange")</calculatedColumnFormula>
    </tableColumn>
    <tableColumn id="4" xr3:uid="{C8E4A866-D130-1C49-8039-4DCC8B97AD58}" name="Currency" dataDxfId="63">
      <calculatedColumnFormula array="1">_FV(B2,"Currency")</calculatedColumnFormula>
    </tableColumn>
    <tableColumn id="5" xr3:uid="{1E11EB56-495C-8F4D-A8B2-DA878EB63B91}" name="Date" dataDxfId="62">
      <calculatedColumnFormula>WORKDAY(TODAY()+1,-1)</calculatedColumnFormula>
    </tableColumn>
    <tableColumn id="6" xr3:uid="{21E88812-154A-164C-BF66-19A944C6F928}" name="Price @ Date" dataDxfId="61">
      <calculatedColumnFormula array="1">_FV(B2,"Price")</calculatedColumnFormula>
    </tableColumn>
    <tableColumn id="7" xr3:uid="{C0526E7B-1D25-1341-9302-8A2809897DE2}" name="YTD %" dataDxfId="60" dataCellStyle="Per cent">
      <calculatedColumnFormula>(F2-INDEX(_xlfn.STOCKHISTORY(B2,DATE(2025,12,31),E2),2,2))/(INDEX(_xlfn.STOCKHISTORY(B2,DATE(2025,12,31),E2),2,2))</calculatedColumnFormula>
    </tableColumn>
    <tableColumn id="8" xr3:uid="{626A2C57-7146-EB47-BBDF-B05EDF531F9A}" name="1Y %" dataDxfId="59" dataCellStyle="Per cent">
      <calculatedColumnFormula>(F2-INDEX(_xlfn.STOCKHISTORY(B2,EDATE(E2,-12),E2),2,2))/(INDEX(_xlfn.STOCKHISTORY(B2,EDATE(E2,-12),E2),2,2))</calculatedColumnFormula>
    </tableColumn>
    <tableColumn id="9" xr3:uid="{1BDF6263-7259-CD4A-AC30-5F5C79F16C6F}" name="3Y %" dataDxfId="58" dataCellStyle="Per cent"/>
    <tableColumn id="10" xr3:uid="{0D051C48-3929-F342-ACEE-681188C4CB03}" name="Mkt Cap" dataDxfId="57">
      <calculatedColumnFormula array="1">IFERROR(_FV(B2,"Market cap",TRUE),"N/A")</calculatedColumnFormula>
    </tableColumn>
    <tableColumn id="11" xr3:uid="{82DE8003-0EBD-D24C-9E13-D1BA0E071CDB}" name="Type" dataDxfId="56" dataCellStyle="Per cent"/>
    <tableColumn id="12" xr3:uid="{E11E44F1-3FF0-814F-B035-EFBA4F5C8BC0}" name="Sector" dataDxfId="55" dataCellStyle="Per cent"/>
    <tableColumn id="13" xr3:uid="{E1E54CAF-7F92-5F46-A8EA-776CF77475CC}" name="52 week high" dataDxfId="54" dataCellStyle="Per cent">
      <calculatedColumnFormula array="1">IFERROR(_FV(Table2[[#This Row],[ETF]],"52 week high",TRUE),"N/A")</calculatedColumnFormula>
    </tableColumn>
    <tableColumn id="14" xr3:uid="{882582D5-BF76-8C4D-B5BC-C8779DF73D47}" name="52 week low" dataDxfId="53" dataCellStyle="Per cent">
      <calculatedColumnFormula array="1">IFERROR(_FV(Table2[[#This Row],[ETF]],"52 week low",TRUE),"N/A")</calculatedColumnFormula>
    </tableColumn>
    <tableColumn id="15" xr3:uid="{5D18E332-598B-E349-98B3-A26F0B524428}" name="Change (%)" dataDxfId="52" dataCellStyle="Per cent">
      <calculatedColumnFormula array="1">_FV(Table2[[#This Row],[ETF]],"Change (%)",TRUE)</calculatedColumnFormula>
    </tableColumn>
    <tableColumn id="16" xr3:uid="{8BAF4BF9-E24D-1A4B-8705-53455D8B22E3}" name="Volume" dataDxfId="51" dataCellStyle="Per cent">
      <calculatedColumnFormula array="1">_FV(Table2[[#This Row],[ETF]],"Volume")</calculatedColumnFormula>
    </tableColumn>
    <tableColumn id="17" xr3:uid="{25DCE746-E686-C04F-89DE-23CBC3C2B755}" name="Expense ratio" dataDxfId="50" dataCellStyle="Per cent">
      <calculatedColumnFormula array="1">_FV(Table2[[#This Row],[ETF]],"Expense ratio",TRUE)</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643F7F-194C-1348-8FDA-125EDD25BD90}" name="StockReportTable4" displayName="StockReportTable4" ref="A1:Q71" headerRowDxfId="30" dataDxfId="29">
  <autoFilter ref="A1:Q71" xr:uid="{00000000-000C-0000-FFFF-FFFF00000000}"/>
  <tableColumns count="17">
    <tableColumn id="17" xr3:uid="{AF55769C-6C55-4C41-B2B3-A8979329BFF5}" name="Ranking" dataDxfId="28">
      <calculatedColumnFormula>IF(ISNUMBER(StockReportTable4[[#This Row],[P/E]]),IF(StockReportTable4[[#This Row],[P/E]]&lt;35,1,2),3)</calculatedColumnFormula>
    </tableColumn>
    <tableColumn id="2" xr3:uid="{BB0BFFB0-E6A0-744A-B02D-A61804D3093F}" name="Ticker" dataDxfId="27"/>
    <tableColumn id="1" xr3:uid="{65DB8FBB-27FC-8A4E-A261-92E816CF9836}" name="Company" dataDxfId="26">
      <calculatedColumnFormula array="1">_FV(StockReportTable4[[#This Row],[Ticker]],"Official name",TRUE)</calculatedColumnFormula>
    </tableColumn>
    <tableColumn id="18" xr3:uid="{20663CEE-EB21-5642-BE39-1008F6EC1CD4}" name="Industry" dataDxfId="25">
      <calculatedColumnFormula array="1">_FV(StockReportTable4[[#This Row],[Ticker]],"Industry")</calculatedColumnFormula>
    </tableColumn>
    <tableColumn id="3" xr3:uid="{35E42304-D974-7647-93E3-F736EEAE91C3}" name="Exchange" dataDxfId="24">
      <calculatedColumnFormula array="1">_FV(StockReportTable4[[#This Row],[Ticker]],"Exchange")</calculatedColumnFormula>
    </tableColumn>
    <tableColumn id="4" xr3:uid="{5B6DA357-450F-4C40-A973-2898BD650A72}" name="Currency" dataDxfId="23">
      <calculatedColumnFormula array="1">_FV(StockReportTable4[[#This Row],[Ticker]],"Currency")</calculatedColumnFormula>
    </tableColumn>
    <tableColumn id="12" xr3:uid="{84B090DE-1206-5B48-B11B-96DA126333AC}" name="Date" dataDxfId="22">
      <calculatedColumnFormula>WORKDAY(TODAY()+1,-1)</calculatedColumnFormula>
    </tableColumn>
    <tableColumn id="5" xr3:uid="{611F4B4A-19DA-A944-8089-51A33B19AD05}" name="Price @ Date" dataDxfId="21">
      <calculatedColumnFormula array="1">_FV(StockReportTable4[[#This Row],[Ticker]],"Price")</calculatedColumnFormula>
    </tableColumn>
    <tableColumn id="11" xr3:uid="{297AE76B-5D7F-124C-9366-3307D27D8C7C}" name="Daily % Change" dataDxfId="20" dataCellStyle="Currency">
      <calculatedColumnFormula array="1">_FV(StockReportTable4[[#This Row],[Ticker]],"Change (%)",TRUE)</calculatedColumnFormula>
    </tableColumn>
    <tableColumn id="6" xr3:uid="{FA21E35B-AF32-8E4A-9AD4-4B7B4B8414DA}" name="YTD %" dataDxfId="19" dataCellStyle="Per cent">
      <calculatedColumnFormula>(StockReportTable4[[#This Row],[Price @ Date]]-INDEX(_xlfn.STOCKHISTORY(B2,DATE(2025,12,31),G2),2,2))/(INDEX(_xlfn.STOCKHISTORY(B2,DATE(2025,12,31),G2),2,2))</calculatedColumnFormula>
    </tableColumn>
    <tableColumn id="7" xr3:uid="{4888A44C-5B20-214E-9374-9CD7C3BCBA7A}" name="1Y %" dataDxfId="18" dataCellStyle="Per cent">
      <calculatedColumnFormula>(StockReportTable4[[#This Row],[Price @ Date]]-INDEX(_xlfn.STOCKHISTORY(B2,DATE(2025,12,31),G2),2,2))/(INDEX(_xlfn.STOCKHISTORY(B2,EDATE(StockReportTable4[[#This Row],[Date]],-12),G2),2,2))</calculatedColumnFormula>
    </tableColumn>
    <tableColumn id="20" xr3:uid="{8334A0C0-CA62-1A41-B8E8-83273F3A739E}" name="3Y %" dataDxfId="17" dataCellStyle="Per cent">
      <calculatedColumnFormula>(StockReportTable4[[#This Row],[Price @ Date]]-INDEX(_xlfn.STOCKHISTORY(B2,DATE(2025,12,31),G2),2,2))/(INDEX(_xlfn.STOCKHISTORY(B2,EDATE(StockReportTable4[[#This Row],[Date]],-36),G2),2,2))</calculatedColumnFormula>
    </tableColumn>
    <tableColumn id="8" xr3:uid="{B9DFB931-CF42-C641-9A29-DF7D3FDDCA2C}" name="P/E" dataDxfId="16">
      <calculatedColumnFormula array="1">IFERROR(_FV(StockReportTable4[[#This Row],[Ticker]],"P/E",TRUE),"N/A")</calculatedColumnFormula>
    </tableColumn>
    <tableColumn id="9" xr3:uid="{8573BBD7-D578-F847-AF78-851EF6EE8E37}" name="52 Day High" dataDxfId="15">
      <calculatedColumnFormula array="1">IFERROR(_FV(StockReportTable4[[#This Row],[Ticker]],"52 week high",TRUE),"N/A")</calculatedColumnFormula>
    </tableColumn>
    <tableColumn id="10" xr3:uid="{E9BED6A5-5DE9-434B-802D-817A94D4324E}" name="52 Day Low" dataDxfId="14">
      <calculatedColumnFormula array="1">IFERROR(_FV(StockReportTable4[[#This Row],[Ticker]],"52 week low",TRUE),"N/A")</calculatedColumnFormula>
    </tableColumn>
    <tableColumn id="13" xr3:uid="{B5A0B4B2-0F7B-E444-B8EC-77195761C5F7}" name="Market Cap" dataDxfId="13">
      <calculatedColumnFormula array="1">_FV(StockReportTable4[[#This Row],[Ticker]],"Market cap",TRUE)</calculatedColumnFormula>
    </tableColumn>
    <tableColumn id="14" xr3:uid="{354205F2-F165-494A-BB48-4BF7A9F5B383}" name="Average Volume" dataDxfId="12">
      <calculatedColumnFormula array="1">_FV(StockReportTable4[[#This Row],[Ticker]],"Volume average",TRUE)</calculatedColumnFormula>
    </tableColumn>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5"/>
  <sheetViews>
    <sheetView zoomScale="150" zoomScaleNormal="75" workbookViewId="0">
      <pane ySplit="1" topLeftCell="A2" activePane="bottomLeft" state="frozen"/>
      <selection pane="bottomLeft" activeCell="F4" sqref="F4"/>
    </sheetView>
  </sheetViews>
  <sheetFormatPr baseColWidth="10" defaultColWidth="8.83203125" defaultRowHeight="14"/>
  <cols>
    <col min="1" max="1" width="40.83203125" bestFit="1" customWidth="1"/>
    <col min="2" max="2" width="64.1640625" bestFit="1" customWidth="1"/>
    <col min="3" max="3" width="22.5" bestFit="1" customWidth="1"/>
    <col min="4" max="4" width="12.1640625" customWidth="1"/>
    <col min="5" max="5" width="12.5" style="1" customWidth="1"/>
    <col min="6" max="6" width="18.5" customWidth="1"/>
    <col min="7" max="8" width="13.33203125" style="2" customWidth="1"/>
    <col min="9" max="9" width="13.33203125" style="3" customWidth="1"/>
    <col min="10" max="10" width="11.83203125" customWidth="1"/>
    <col min="12" max="12" width="39.33203125" bestFit="1" customWidth="1"/>
    <col min="13" max="13" width="16.5" bestFit="1" customWidth="1"/>
    <col min="14" max="14" width="16" bestFit="1" customWidth="1"/>
    <col min="15" max="15" width="20.1640625" bestFit="1" customWidth="1"/>
    <col min="16" max="16" width="18.33203125" bestFit="1" customWidth="1"/>
    <col min="17" max="17" width="21" bestFit="1" customWidth="1"/>
  </cols>
  <sheetData>
    <row r="1" spans="1:17" ht="33" customHeight="1">
      <c r="A1" s="12" t="s">
        <v>0</v>
      </c>
      <c r="B1" s="12" t="s">
        <v>1</v>
      </c>
      <c r="C1" s="12" t="s">
        <v>2</v>
      </c>
      <c r="D1" s="12" t="s">
        <v>3</v>
      </c>
      <c r="E1" s="13" t="s">
        <v>8</v>
      </c>
      <c r="F1" s="13" t="s">
        <v>7</v>
      </c>
      <c r="G1" s="14" t="s">
        <v>4</v>
      </c>
      <c r="H1" s="14" t="s">
        <v>5</v>
      </c>
      <c r="I1" s="14" t="s">
        <v>11</v>
      </c>
      <c r="J1" s="12" t="s">
        <v>6</v>
      </c>
      <c r="K1" s="12" t="s">
        <v>9</v>
      </c>
      <c r="L1" s="12" t="s">
        <v>10</v>
      </c>
      <c r="M1" s="12" t="s">
        <v>14</v>
      </c>
      <c r="N1" s="12" t="s">
        <v>15</v>
      </c>
      <c r="O1" s="12" t="s">
        <v>16</v>
      </c>
      <c r="P1" s="12" t="s">
        <v>17</v>
      </c>
      <c r="Q1" s="12" t="s">
        <v>18</v>
      </c>
    </row>
    <row r="2" spans="1:17" ht="15">
      <c r="A2" s="4" t="str" cm="1">
        <f t="array" aca="1" ref="A2" ca="1">_FV(StockReportTable[[#This Row],[Ticker]],"Official name",TRUE)</f>
        <v>ALPHABET INC.</v>
      </c>
      <c r="B2" s="4" t="e" vm="1">
        <v>#VALUE!</v>
      </c>
      <c r="C2" s="4" t="str" cm="1">
        <f t="array" aca="1" ref="C2" ca="1">_FV(StockReportTable[[#This Row],[Ticker]],"Exchange")</f>
        <v>Nasdaq Stock Market</v>
      </c>
      <c r="D2" s="4" t="str" cm="1">
        <f t="array" aca="1" ref="D2" ca="1">_FV(StockReportTable[[#This Row],[Ticker]],"Currency")</f>
        <v>USD</v>
      </c>
      <c r="E2" s="5">
        <f ca="1">WORKDAY(TODAY()+1,-1)</f>
        <v>46318</v>
      </c>
      <c r="F2" s="33" cm="1">
        <f t="array" aca="1" ref="F2" ca="1">_FV(StockReportTable[[#This Row],[Ticker]],"Price")</f>
        <v>320.20999999999998</v>
      </c>
      <c r="G2" s="6">
        <f ca="1">(StockReportTable[[#This Row],[Price @ Date]]-INDEX(_xlfn.STOCKHISTORY(B2,DATE(2025,12,31),E2),2,2))/(INDEX(_xlfn.STOCKHISTORY(B2,DATE(2025,12,31),E2),2,2))</f>
        <v>2.3035143769967986E-2</v>
      </c>
      <c r="H2" s="6">
        <f ca="1">(StockReportTable[[#This Row],[Price @ Date]]-INDEX(_xlfn.STOCKHISTORY(B2,DATE(2025,12,31),E2),2,2))/(INDEX(_xlfn.STOCKHISTORY(B2,EDATE(StockReportTable[[#This Row],[Date]],-12),E2),2,2))</f>
        <v>2.8489015331120512E-2</v>
      </c>
      <c r="I2" s="7">
        <f ca="1">(StockReportTable[[#This Row],[Price @ Date]]-INDEX(_xlfn.STOCKHISTORY(B2,DATE(2025,12,31),E2),2,2))/(INDEX(_xlfn.STOCKHISTORY(B2,EDATE(StockReportTable[[#This Row],[Date]],-36),E2),2,2))</f>
        <v>5.2820512820512672E-2</v>
      </c>
      <c r="J2" s="8" cm="1">
        <f t="array" aca="1" ref="J2" ca="1">IFERROR(_FV(StockReportTable[[#This Row],[Ticker]],"P/E",TRUE),"N/A")</f>
        <v>16.267900000000001</v>
      </c>
      <c r="K2" s="9">
        <f ca="1">IF(ISNUMBER(StockReportTable[[#This Row],[P/E]]),IF(StockReportTable[[#This Row],[P/E]]&lt;35,1,2),3)</f>
        <v>1</v>
      </c>
      <c r="L2" s="4" t="str" cm="1">
        <f t="array" aca="1" ref="L2" ca="1">_FV(StockReportTable[[#This Row],[Ticker]],"Industry")</f>
        <v>Software &amp; IT Services</v>
      </c>
      <c r="M2" s="18" cm="1">
        <f t="array" aca="1" ref="M2" ca="1">IFERROR(_FV(StockReportTable[[#This Row],[Ticker]],"52 week high",TRUE),"N/A")</f>
        <v>408.61</v>
      </c>
      <c r="N2" s="18" cm="1">
        <f t="array" aca="1" ref="N2" ca="1">IFERROR(_FV(StockReportTable[[#This Row],[Ticker]],"52 week low",TRUE),"N/A")</f>
        <v>251.85</v>
      </c>
      <c r="O2" s="21" cm="1">
        <f t="array" aca="1" ref="O2" ca="1">_FV(StockReportTable[[#This Row],[Ticker]],"Change (%)",TRUE)</f>
        <v>-1.2367999999999999E-2</v>
      </c>
      <c r="P2" s="22" t="e" cm="1" vm="2">
        <f t="array" ref="P2">_FV(StockReportTable[[#This Row],[Ticker]],"Market cap",TRUE)</f>
        <v>#VALUE!</v>
      </c>
      <c r="Q2" s="27" cm="1">
        <f t="array" aca="1" ref="Q2" ca="1">_FV(StockReportTable[[#This Row],[Ticker]],"Volume average",TRUE)</f>
        <v>25810895</v>
      </c>
    </row>
    <row r="3" spans="1:17" ht="15">
      <c r="A3" s="4" t="str" cm="1">
        <f t="array" aca="1" ref="A3" ca="1">_FV(StockReportTable[[#This Row],[Ticker]],"Official name",TRUE)</f>
        <v>AMAZON.COM, INC.</v>
      </c>
      <c r="B3" s="4" t="e" vm="3">
        <v>#VALUE!</v>
      </c>
      <c r="C3" s="4" t="str" cm="1">
        <f t="array" aca="1" ref="C3" ca="1">_FV(StockReportTable[[#This Row],[Ticker]],"Exchange")</f>
        <v>Nasdaq Stock Market</v>
      </c>
      <c r="D3" s="4" t="str" cm="1">
        <f t="array" aca="1" ref="D3" ca="1">_FV(StockReportTable[[#This Row],[Ticker]],"Currency")</f>
        <v>USD</v>
      </c>
      <c r="E3" s="5">
        <f t="shared" ref="E3:E33" ca="1" si="0">WORKDAY(TODAY()+1,-1)</f>
        <v>46318</v>
      </c>
      <c r="F3" s="33" cm="1">
        <f t="array" aca="1" ref="F3" ca="1">_FV(StockReportTable[[#This Row],[Ticker]],"Price")</f>
        <v>248</v>
      </c>
      <c r="G3" s="6">
        <f ca="1">(StockReportTable[[#This Row],[Price @ Date]]-INDEX(_xlfn.STOCKHISTORY(B3,DATE(2025,12,31),E3),2,2))/(INDEX(_xlfn.STOCKHISTORY(B3,DATE(2025,12,31),E3),2,2))</f>
        <v>7.4430292002426165E-2</v>
      </c>
      <c r="H3" s="6">
        <f ca="1">(StockReportTable[[#This Row],[Price @ Date]]-INDEX(_xlfn.STOCKHISTORY(B3,DATE(2025,12,31),E3),2,2))/(INDEX(_xlfn.STOCKHISTORY(B3,EDATE(StockReportTable[[#This Row],[Date]],-12),E3),2,2))</f>
        <v>7.7705911619702417E-2</v>
      </c>
      <c r="I3" s="7">
        <f ca="1">(StockReportTable[[#This Row],[Price @ Date]]-INDEX(_xlfn.STOCKHISTORY(B3,DATE(2025,12,31),E3),2,2))/(INDEX(_xlfn.STOCKHISTORY(B3,EDATE(StockReportTable[[#This Row],[Date]],-36),E3),2,2))</f>
        <v>0.13574589127686479</v>
      </c>
      <c r="J3" s="8" cm="1">
        <f t="array" aca="1" ref="J3" ca="1">IFERROR(_FV(StockReportTable[[#This Row],[Ticker]],"P/E",TRUE),"N/A")</f>
        <v>20.1389</v>
      </c>
      <c r="K3" s="9">
        <f ca="1">IF(ISNUMBER(StockReportTable[[#This Row],[P/E]]),IF(StockReportTable[[#This Row],[P/E]]&lt;35,1,2),3)</f>
        <v>1</v>
      </c>
      <c r="L3" s="4" t="str" cm="1">
        <f t="array" aca="1" ref="L3" ca="1">_FV(StockReportTable[[#This Row],[Ticker]],"Industry")</f>
        <v>Diversified Retail</v>
      </c>
      <c r="M3" s="18" cm="1">
        <f t="array" aca="1" ref="M3" ca="1">IFERROR(_FV(StockReportTable[[#This Row],[Ticker]],"52 week high",TRUE),"N/A")</f>
        <v>287.2</v>
      </c>
      <c r="N3" s="18" cm="1">
        <f t="array" aca="1" ref="N3" ca="1">IFERROR(_FV(StockReportTable[[#This Row],[Ticker]],"52 week low",TRUE),"N/A")</f>
        <v>196</v>
      </c>
      <c r="O3" s="21" cm="1">
        <f t="array" aca="1" ref="O3" ca="1">_FV(StockReportTable[[#This Row],[Ticker]],"Change (%)",TRUE)</f>
        <v>-9.5060000000000006E-3</v>
      </c>
      <c r="P3" s="22" cm="1">
        <f t="array" aca="1" ref="P3" ca="1">_FV(StockReportTable[[#This Row],[Ticker]],"Market cap",TRUE)</f>
        <v>2675004880000</v>
      </c>
      <c r="Q3" s="27" cm="1">
        <f t="array" aca="1" ref="Q3" ca="1">_FV(StockReportTable[[#This Row],[Ticker]],"Volume average",TRUE)</f>
        <v>37581700</v>
      </c>
    </row>
    <row r="4" spans="1:17" ht="16" customHeight="1">
      <c r="A4" s="4" t="str" cm="1">
        <f t="array" aca="1" ref="A4" ca="1">_FV(StockReportTable[[#This Row],[Ticker]],"Official name",TRUE)</f>
        <v>APPLE INC.</v>
      </c>
      <c r="B4" s="4" t="e" vm="4">
        <v>#VALUE!</v>
      </c>
      <c r="C4" s="4" t="str" cm="1">
        <f t="array" aca="1" ref="C4" ca="1">_FV(StockReportTable[[#This Row],[Ticker]],"Exchange")</f>
        <v>Nasdaq Stock Market</v>
      </c>
      <c r="D4" s="4" t="str" cm="1">
        <f t="array" aca="1" ref="D4" ca="1">_FV(StockReportTable[[#This Row],[Ticker]],"Currency")</f>
        <v>USD</v>
      </c>
      <c r="E4" s="5">
        <f t="shared" ca="1" si="0"/>
        <v>46318</v>
      </c>
      <c r="F4" s="33" cm="1">
        <f t="array" aca="1" ref="F4" ca="1">_FV(StockReportTable[[#This Row],[Ticker]],"Price")</f>
        <v>347.72500000000002</v>
      </c>
      <c r="G4" s="6">
        <f ca="1">(StockReportTable[[#This Row],[Price @ Date]]-INDEX(_xlfn.STOCKHISTORY(B4,DATE(2025,12,31),E4),2,2))/(INDEX(_xlfn.STOCKHISTORY(B4,DATE(2025,12,31),E4),2,2))</f>
        <v>0.27905907452365192</v>
      </c>
      <c r="H4" s="6">
        <f ca="1">(StockReportTable[[#This Row],[Price @ Date]]-INDEX(_xlfn.STOCKHISTORY(B4,DATE(2025,12,31),E4),2,2))/(INDEX(_xlfn.STOCKHISTORY(B4,EDATE(StockReportTable[[#This Row],[Date]],-12),E4),2,2))</f>
        <v>0.29226057477463602</v>
      </c>
      <c r="I4" s="7">
        <f ca="1">(StockReportTable[[#This Row],[Price @ Date]]-INDEX(_xlfn.STOCKHISTORY(B4,DATE(2025,12,31),E4),2,2))/(INDEX(_xlfn.STOCKHISTORY(B4,EDATE(StockReportTable[[#This Row],[Date]],-36),E4),2,2))</f>
        <v>0.43852601156069371</v>
      </c>
      <c r="J4" s="8" cm="1">
        <f t="array" aca="1" ref="J4" ca="1">IFERROR(_FV(StockReportTable[[#This Row],[Ticker]],"P/E",TRUE),"N/A")</f>
        <v>40.0687</v>
      </c>
      <c r="K4" s="9">
        <f ca="1">IF(ISNUMBER(StockReportTable[[#This Row],[P/E]]),IF(StockReportTable[[#This Row],[P/E]]&lt;35,1,2),3)</f>
        <v>2</v>
      </c>
      <c r="L4" s="4" t="str" cm="1">
        <f t="array" aca="1" ref="L4" ca="1">_FV(StockReportTable[[#This Row],[Ticker]],"Industry")</f>
        <v>Computers, Phones &amp; Household Electronics</v>
      </c>
      <c r="M4" s="18" cm="1">
        <f t="array" aca="1" ref="M4" ca="1">IFERROR(_FV(StockReportTable[[#This Row],[Ticker]],"52 week high",TRUE),"N/A")</f>
        <v>351.73</v>
      </c>
      <c r="N4" s="18" cm="1">
        <f t="array" aca="1" ref="N4" ca="1">IFERROR(_FV(StockReportTable[[#This Row],[Ticker]],"52 week low",TRUE),"N/A")</f>
        <v>243.42</v>
      </c>
      <c r="O4" s="21" cm="1">
        <f t="array" aca="1" ref="O4" ca="1">_FV(StockReportTable[[#This Row],[Ticker]],"Change (%)",TRUE)</f>
        <v>-1.4219999999999999E-3</v>
      </c>
      <c r="P4" s="22" t="e" cm="1" vm="2">
        <f t="array" ref="P4">_FV(StockReportTable[[#This Row],[Ticker]],"Market cap",TRUE)</f>
        <v>#VALUE!</v>
      </c>
      <c r="Q4" s="27" cm="1">
        <f t="array" aca="1" ref="Q4" ca="1">_FV(StockReportTable[[#This Row],[Ticker]],"Volume average",TRUE)</f>
        <v>39174961</v>
      </c>
    </row>
    <row r="5" spans="1:17" ht="15">
      <c r="A5" s="4" t="str" cm="1">
        <f t="array" aca="1" ref="A5" ca="1">_FV(StockReportTable[[#This Row],[Ticker]],"Official name",TRUE)</f>
        <v>META PLATFORMS, INC.</v>
      </c>
      <c r="B5" s="4" t="e" vm="5">
        <v>#VALUE!</v>
      </c>
      <c r="C5" s="4" t="str" cm="1">
        <f t="array" aca="1" ref="C5" ca="1">_FV(StockReportTable[[#This Row],[Ticker]],"Exchange")</f>
        <v>Nasdaq Stock Market</v>
      </c>
      <c r="D5" s="4" t="str" cm="1">
        <f t="array" aca="1" ref="D5" ca="1">_FV(StockReportTable[[#This Row],[Ticker]],"Currency")</f>
        <v>USD</v>
      </c>
      <c r="E5" s="5">
        <f t="shared" ca="1" si="0"/>
        <v>46318</v>
      </c>
      <c r="F5" s="33" cm="1">
        <f t="array" aca="1" ref="F5" ca="1">_FV(StockReportTable[[#This Row],[Ticker]],"Price")</f>
        <v>642.62</v>
      </c>
      <c r="G5" s="6">
        <f ca="1">(StockReportTable[[#This Row],[Price @ Date]]-INDEX(_xlfn.STOCKHISTORY(B5,DATE(2025,12,31),E5),2,2))/(INDEX(_xlfn.STOCKHISTORY(B5,DATE(2025,12,31),E5),2,2))</f>
        <v>-2.6466087957702777E-2</v>
      </c>
      <c r="H5" s="6">
        <f ca="1">(StockReportTable[[#This Row],[Price @ Date]]-INDEX(_xlfn.STOCKHISTORY(B5,DATE(2025,12,31),E5),2,2))/(INDEX(_xlfn.STOCKHISTORY(B5,EDATE(StockReportTable[[#This Row],[Date]],-12),E5),2,2))</f>
        <v>-2.3801089918256167E-2</v>
      </c>
      <c r="I5" s="7">
        <f ca="1">(StockReportTable[[#This Row],[Price @ Date]]-INDEX(_xlfn.STOCKHISTORY(B5,DATE(2025,12,31),E5),2,2))/(INDEX(_xlfn.STOCKHISTORY(B5,EDATE(StockReportTable[[#This Row],[Date]],-36),E5),2,2))</f>
        <v>-5.5635170854431475E-2</v>
      </c>
      <c r="J5" s="8" cm="1">
        <f t="array" aca="1" ref="J5" ca="1">IFERROR(_FV(StockReportTable[[#This Row],[Ticker]],"P/E",TRUE),"N/A")</f>
        <v>25.4816</v>
      </c>
      <c r="K5" s="9">
        <f ca="1">IF(ISNUMBER(StockReportTable[[#This Row],[P/E]]),IF(StockReportTable[[#This Row],[P/E]]&lt;35,1,2),3)</f>
        <v>1</v>
      </c>
      <c r="L5" s="4" t="str" cm="1">
        <f t="array" aca="1" ref="L5" ca="1">_FV(StockReportTable[[#This Row],[Ticker]],"Industry")</f>
        <v>Software &amp; IT Services</v>
      </c>
      <c r="M5" s="18" cm="1">
        <f t="array" aca="1" ref="M5" ca="1">IFERROR(_FV(StockReportTable[[#This Row],[Ticker]],"52 week high",TRUE),"N/A")</f>
        <v>779.81920000000002</v>
      </c>
      <c r="N5" s="18" cm="1">
        <f t="array" aca="1" ref="N5" ca="1">IFERROR(_FV(StockReportTable[[#This Row],[Ticker]],"52 week low",TRUE),"N/A")</f>
        <v>520.26</v>
      </c>
      <c r="O5" s="21" cm="1">
        <f t="array" aca="1" ref="O5" ca="1">_FV(StockReportTable[[#This Row],[Ticker]],"Change (%)",TRUE)</f>
        <v>-9.6020000000000012E-3</v>
      </c>
      <c r="P5" s="22" t="e" cm="1" vm="2">
        <f t="array" ref="P5">_FV(StockReportTable[[#This Row],[Ticker]],"Market cap",TRUE)</f>
        <v>#VALUE!</v>
      </c>
      <c r="Q5" s="27" cm="1">
        <f t="array" aca="1" ref="Q5" ca="1">_FV(StockReportTable[[#This Row],[Ticker]],"Volume average",TRUE)</f>
        <v>22648770</v>
      </c>
    </row>
    <row r="6" spans="1:17" ht="15">
      <c r="A6" s="4" t="str" cm="1">
        <f t="array" aca="1" ref="A6" ca="1">_FV(StockReportTable[[#This Row],[Ticker]],"Official name",TRUE)</f>
        <v>MICROSOFT CORPORATION</v>
      </c>
      <c r="B6" s="4" t="e" vm="6">
        <v>#VALUE!</v>
      </c>
      <c r="C6" s="4" t="str" cm="1">
        <f t="array" aca="1" ref="C6" ca="1">_FV(StockReportTable[[#This Row],[Ticker]],"Exchange")</f>
        <v>Nasdaq Stock Market</v>
      </c>
      <c r="D6" s="4" t="str" cm="1">
        <f t="array" aca="1" ref="D6" ca="1">_FV(StockReportTable[[#This Row],[Ticker]],"Currency")</f>
        <v>USD</v>
      </c>
      <c r="E6" s="5">
        <f t="shared" ca="1" si="0"/>
        <v>46318</v>
      </c>
      <c r="F6" s="33" cm="1">
        <f t="array" aca="1" ref="F6" ca="1">_FV(StockReportTable[[#This Row],[Ticker]],"Price")</f>
        <v>524.51</v>
      </c>
      <c r="G6" s="6">
        <f ca="1">(StockReportTable[[#This Row],[Price @ Date]]-INDEX(_xlfn.STOCKHISTORY(B6,DATE(2025,12,31),E6),2,2))/(INDEX(_xlfn.STOCKHISTORY(B6,DATE(2025,12,31),E6),2,2))</f>
        <v>8.4549853190521454E-2</v>
      </c>
      <c r="H6" s="6">
        <f ca="1">(StockReportTable[[#This Row],[Price @ Date]]-INDEX(_xlfn.STOCKHISTORY(B6,DATE(2025,12,31),E6),2,2))/(INDEX(_xlfn.STOCKHISTORY(B6,EDATE(StockReportTable[[#This Row],[Date]],-12),E6),2,2))</f>
        <v>7.8550023052097726E-2</v>
      </c>
      <c r="I6" s="7">
        <f ca="1">(StockReportTable[[#This Row],[Price @ Date]]-INDEX(_xlfn.STOCKHISTORY(B6,DATE(2025,12,31),E6),2,2))/(INDEX(_xlfn.STOCKHISTORY(B6,EDATE(StockReportTable[[#This Row],[Date]],-36),E6),2,2))</f>
        <v>0.12416494594922868</v>
      </c>
      <c r="J6" s="8" cm="1">
        <f t="array" aca="1" ref="J6" ca="1">IFERROR(_FV(StockReportTable[[#This Row],[Ticker]],"P/E",TRUE),"N/A")</f>
        <v>29.0349</v>
      </c>
      <c r="K6" s="9">
        <f ca="1">IF(ISNUMBER(StockReportTable[[#This Row],[P/E]]),IF(StockReportTable[[#This Row],[P/E]]&lt;35,1,2),3)</f>
        <v>1</v>
      </c>
      <c r="L6" s="4" t="str" cm="1">
        <f t="array" aca="1" ref="L6" ca="1">_FV(StockReportTable[[#This Row],[Ticker]],"Industry")</f>
        <v>Software &amp; IT Services</v>
      </c>
      <c r="M6" s="18" cm="1">
        <f t="array" aca="1" ref="M6" ca="1">IFERROR(_FV(StockReportTable[[#This Row],[Ticker]],"52 week high",TRUE),"N/A")</f>
        <v>553.72</v>
      </c>
      <c r="N6" s="18" cm="1">
        <f t="array" aca="1" ref="N6" ca="1">IFERROR(_FV(StockReportTable[[#This Row],[Ticker]],"52 week low",TRUE),"N/A")</f>
        <v>349.2</v>
      </c>
      <c r="O6" s="21" cm="1">
        <f t="array" aca="1" ref="O6" ca="1">_FV(StockReportTable[[#This Row],[Ticker]],"Change (%)",TRUE)</f>
        <v>6.5820000000000002E-3</v>
      </c>
      <c r="P6" s="22" t="e" cm="1" vm="2">
        <f t="array" ref="P6">_FV(StockReportTable[[#This Row],[Ticker]],"Market cap",TRUE)</f>
        <v>#VALUE!</v>
      </c>
      <c r="Q6" s="27" cm="1">
        <f t="array" aca="1" ref="Q6" ca="1">_FV(StockReportTable[[#This Row],[Ticker]],"Volume average",TRUE)</f>
        <v>22151003</v>
      </c>
    </row>
    <row r="7" spans="1:17" ht="15">
      <c r="A7" s="4" t="str" cm="1">
        <f t="array" aca="1" ref="A7" ca="1">_FV(StockReportTable[[#This Row],[Ticker]],"Official name",TRUE)</f>
        <v>NVIDIA CORPORATION</v>
      </c>
      <c r="B7" s="4" t="e" vm="7">
        <v>#VALUE!</v>
      </c>
      <c r="C7" s="4" t="str" cm="1">
        <f t="array" aca="1" ref="C7" ca="1">_FV(StockReportTable[[#This Row],[Ticker]],"Exchange")</f>
        <v>Nasdaq Stock Market</v>
      </c>
      <c r="D7" s="4" t="str" cm="1">
        <f t="array" aca="1" ref="D7" ca="1">_FV(StockReportTable[[#This Row],[Ticker]],"Currency")</f>
        <v>USD</v>
      </c>
      <c r="E7" s="5">
        <f t="shared" ca="1" si="0"/>
        <v>46318</v>
      </c>
      <c r="F7" s="33" cm="1">
        <f t="array" aca="1" ref="F7" ca="1">_FV(StockReportTable[[#This Row],[Ticker]],"Price")</f>
        <v>210.96</v>
      </c>
      <c r="G7" s="6">
        <f ca="1">(StockReportTable[[#This Row],[Price @ Date]]-INDEX(_xlfn.STOCKHISTORY(B7,DATE(2025,12,31),E7),2,2))/(INDEX(_xlfn.STOCKHISTORY(B7,DATE(2025,12,31),E7),2,2))</f>
        <v>0.13115281501340487</v>
      </c>
      <c r="H7" s="6">
        <f ca="1">(StockReportTable[[#This Row],[Price @ Date]]-INDEX(_xlfn.STOCKHISTORY(B7,DATE(2025,12,31),E7),2,2))/(INDEX(_xlfn.STOCKHISTORY(B7,EDATE(StockReportTable[[#This Row],[Date]],-12),E7),2,2))</f>
        <v>0.13427755819060172</v>
      </c>
      <c r="I7" s="7">
        <f ca="1">(StockReportTable[[#This Row],[Price @ Date]]-INDEX(_xlfn.STOCKHISTORY(B7,DATE(2025,12,31),E7),2,2))/(INDEX(_xlfn.STOCKHISTORY(B7,EDATE(StockReportTable[[#This Row],[Date]],-36),E7),2,2))</f>
        <v>0.56916812100058189</v>
      </c>
      <c r="J7" s="8" cm="1">
        <f t="array" aca="1" ref="J7" ca="1">IFERROR(_FV(StockReportTable[[#This Row],[Ticker]],"P/E",TRUE),"N/A")</f>
        <v>26.825600000000001</v>
      </c>
      <c r="K7" s="9">
        <f ca="1">IF(ISNUMBER(StockReportTable[[#This Row],[P/E]]),IF(StockReportTable[[#This Row],[P/E]]&lt;35,1,2),3)</f>
        <v>1</v>
      </c>
      <c r="L7" s="4" t="str" cm="1">
        <f t="array" aca="1" ref="L7" ca="1">_FV(StockReportTable[[#This Row],[Ticker]],"Industry")</f>
        <v>Semiconductors &amp; Semiconductor Equipment</v>
      </c>
      <c r="M7" s="18" cm="1">
        <f t="array" aca="1" ref="M7" ca="1">IFERROR(_FV(StockReportTable[[#This Row],[Ticker]],"52 week high",TRUE),"N/A")</f>
        <v>243.37</v>
      </c>
      <c r="N7" s="18" cm="1">
        <f t="array" aca="1" ref="N7" ca="1">IFERROR(_FV(StockReportTable[[#This Row],[Ticker]],"52 week low",TRUE),"N/A")</f>
        <v>164.27</v>
      </c>
      <c r="O7" s="21" cm="1">
        <f t="array" aca="1" ref="O7" ca="1">_FV(StockReportTable[[#This Row],[Ticker]],"Change (%)",TRUE)</f>
        <v>-5.8899999999999994E-3</v>
      </c>
      <c r="P7" s="22" t="e" cm="1" vm="2">
        <f t="array" ref="P7">_FV(StockReportTable[[#This Row],[Ticker]],"Market cap",TRUE)</f>
        <v>#VALUE!</v>
      </c>
      <c r="Q7" s="27" cm="1">
        <f t="array" aca="1" ref="Q7" ca="1">_FV(StockReportTable[[#This Row],[Ticker]],"Volume average",TRUE)</f>
        <v>107148374</v>
      </c>
    </row>
    <row r="8" spans="1:17" ht="15">
      <c r="A8" s="4" t="str" cm="1">
        <f t="array" aca="1" ref="A8" ca="1">_FV(StockReportTable[[#This Row],[Ticker]],"Official name",TRUE)</f>
        <v>TESLA, INC.</v>
      </c>
      <c r="B8" s="4" t="e" vm="8">
        <v>#VALUE!</v>
      </c>
      <c r="C8" s="4" t="str" cm="1">
        <f t="array" aca="1" ref="C8" ca="1">_FV(StockReportTable[[#This Row],[Ticker]],"Exchange")</f>
        <v>Nasdaq Stock Market</v>
      </c>
      <c r="D8" s="4" t="str" cm="1">
        <f t="array" aca="1" ref="D8" ca="1">_FV(StockReportTable[[#This Row],[Ticker]],"Currency")</f>
        <v>USD</v>
      </c>
      <c r="E8" s="5">
        <f t="shared" ca="1" si="0"/>
        <v>46318</v>
      </c>
      <c r="F8" s="33" cm="1">
        <f t="array" aca="1" ref="F8" ca="1">_FV(StockReportTable[[#This Row],[Ticker]],"Price")</f>
        <v>372.22</v>
      </c>
      <c r="G8" s="6">
        <f ca="1">(StockReportTable[[#This Row],[Price @ Date]]-INDEX(_xlfn.STOCKHISTORY(B8,DATE(2025,12,31),E8),2,2))/(INDEX(_xlfn.STOCKHISTORY(B8,DATE(2025,12,31),E8),2,2))</f>
        <v>-0.17232944943520412</v>
      </c>
      <c r="H8" s="6">
        <f ca="1">(StockReportTable[[#This Row],[Price @ Date]]-INDEX(_xlfn.STOCKHISTORY(B8,DATE(2025,12,31),E8),2,2))/(INDEX(_xlfn.STOCKHISTORY(B8,EDATE(StockReportTable[[#This Row],[Date]],-12),E8),2,2))</f>
        <v>-0.17261347944229141</v>
      </c>
      <c r="I8" s="7">
        <f ca="1">(StockReportTable[[#This Row],[Price @ Date]]-INDEX(_xlfn.STOCKHISTORY(B8,DATE(2025,12,31),E8),2,2))/(INDEX(_xlfn.STOCKHISTORY(B8,EDATE(StockReportTable[[#This Row],[Date]],-36),E8),2,2))</f>
        <v>-0.36542814032440585</v>
      </c>
      <c r="J8" s="8" cm="1">
        <f t="array" aca="1" ref="J8" ca="1">IFERROR(_FV(StockReportTable[[#This Row],[Ticker]],"P/E",TRUE),"N/A")</f>
        <v>450.21089999999998</v>
      </c>
      <c r="K8" s="9">
        <f ca="1">IF(ISNUMBER(StockReportTable[[#This Row],[P/E]]),IF(StockReportTable[[#This Row],[P/E]]&lt;35,1,2),3)</f>
        <v>2</v>
      </c>
      <c r="L8" s="4" t="str" cm="1">
        <f t="array" aca="1" ref="L8" ca="1">_FV(StockReportTable[[#This Row],[Ticker]],"Industry")</f>
        <v>Automobiles &amp; Auto Parts</v>
      </c>
      <c r="M8" s="18" cm="1">
        <f t="array" aca="1" ref="M8" ca="1">IFERROR(_FV(StockReportTable[[#This Row],[Ticker]],"52 week high",TRUE),"N/A")</f>
        <v>498.83</v>
      </c>
      <c r="N8" s="18" cm="1">
        <f t="array" aca="1" ref="N8" ca="1">IFERROR(_FV(StockReportTable[[#This Row],[Ticker]],"52 week low",TRUE),"N/A")</f>
        <v>297.38</v>
      </c>
      <c r="O8" s="21" cm="1">
        <f t="array" aca="1" ref="O8" ca="1">_FV(StockReportTable[[#This Row],[Ticker]],"Change (%)",TRUE)</f>
        <v>-6.3E-3</v>
      </c>
      <c r="P8" s="22" t="e" cm="1" vm="2">
        <f t="array" ref="P8">_FV(StockReportTable[[#This Row],[Ticker]],"Market cap",TRUE)</f>
        <v>#VALUE!</v>
      </c>
      <c r="Q8" s="27" cm="1">
        <f t="array" aca="1" ref="Q8" ca="1">_FV(StockReportTable[[#This Row],[Ticker]],"Volume average",TRUE)</f>
        <v>36512155</v>
      </c>
    </row>
    <row r="9" spans="1:17" ht="15">
      <c r="A9" s="4" t="str" cm="1">
        <f t="array" aca="1" ref="A9" ca="1">_FV(StockReportTable[[#This Row],[Ticker]],"Official name",TRUE)</f>
        <v>ADVANCED MICRO DEVICES, INC.</v>
      </c>
      <c r="B9" s="4" t="e" vm="9">
        <v>#VALUE!</v>
      </c>
      <c r="C9" s="4" t="str" cm="1">
        <f t="array" aca="1" ref="C9" ca="1">_FV(StockReportTable[[#This Row],[Ticker]],"Exchange")</f>
        <v>Nasdaq Stock Market</v>
      </c>
      <c r="D9" s="4" t="str" cm="1">
        <f t="array" aca="1" ref="D9" ca="1">_FV(StockReportTable[[#This Row],[Ticker]],"Currency")</f>
        <v>USD</v>
      </c>
      <c r="E9" s="5">
        <f t="shared" ca="1" si="0"/>
        <v>46318</v>
      </c>
      <c r="F9" s="33" cm="1">
        <f t="array" aca="1" ref="F9" ca="1">_FV(StockReportTable[[#This Row],[Ticker]],"Price")</f>
        <v>516.79</v>
      </c>
      <c r="G9" s="6">
        <f ca="1">(StockReportTable[[#This Row],[Price @ Date]]-INDEX(_xlfn.STOCKHISTORY(B9,DATE(2025,12,31),E9),2,2))/(INDEX(_xlfn.STOCKHISTORY(B9,DATE(2025,12,31),E9),2,2))</f>
        <v>1.4131023533806499</v>
      </c>
      <c r="H9" s="6">
        <f ca="1">(StockReportTable[[#This Row],[Price @ Date]]-INDEX(_xlfn.STOCKHISTORY(B9,DATE(2025,12,31),E9),2,2))/(INDEX(_xlfn.STOCKHISTORY(B9,EDATE(StockReportTable[[#This Row],[Date]],-12),E9),2,2))</f>
        <v>1.2878420358313118</v>
      </c>
      <c r="I9" s="7">
        <f ca="1">(StockReportTable[[#This Row],[Price @ Date]]-INDEX(_xlfn.STOCKHISTORY(B9,DATE(2025,12,31),E9),2,2))/(INDEX(_xlfn.STOCKHISTORY(B9,EDATE(StockReportTable[[#This Row],[Date]],-36),E9),2,2))</f>
        <v>3.0259974002599739</v>
      </c>
      <c r="J9" s="8" cm="1">
        <f t="array" aca="1" ref="J9" ca="1">IFERROR(_FV(StockReportTable[[#This Row],[Ticker]],"P/E",TRUE),"N/A")</f>
        <v>131.8981</v>
      </c>
      <c r="K9" s="9">
        <f ca="1">IF(ISNUMBER(StockReportTable[[#This Row],[P/E]]),IF(StockReportTable[[#This Row],[P/E]]&lt;35,1,2),3)</f>
        <v>2</v>
      </c>
      <c r="L9" s="10" t="str" cm="1">
        <f t="array" aca="1" ref="L9" ca="1">_FV(StockReportTable[[#This Row],[Ticker]],"Industry")</f>
        <v>Semiconductors &amp; Semiconductor Equipment</v>
      </c>
      <c r="M9" s="18" cm="1">
        <f t="array" aca="1" ref="M9" ca="1">IFERROR(_FV(StockReportTable[[#This Row],[Ticker]],"52 week high",TRUE),"N/A")</f>
        <v>658.52</v>
      </c>
      <c r="N9" s="18" cm="1">
        <f t="array" aca="1" ref="N9" ca="1">IFERROR(_FV(StockReportTable[[#This Row],[Ticker]],"52 week low",TRUE),"N/A")</f>
        <v>188.22</v>
      </c>
      <c r="O9" s="21" cm="1">
        <f t="array" aca="1" ref="O9" ca="1">_FV(StockReportTable[[#This Row],[Ticker]],"Change (%)",TRUE)</f>
        <v>1.7443E-2</v>
      </c>
      <c r="P9" s="22" cm="1">
        <f t="array" aca="1" ref="P9" ca="1">_FV(StockReportTable[[#This Row],[Ticker]],"Market cap",TRUE)</f>
        <v>843646755250</v>
      </c>
      <c r="Q9" s="27" cm="1">
        <f t="array" aca="1" ref="Q9" ca="1">_FV(StockReportTable[[#This Row],[Ticker]],"Volume average",TRUE)</f>
        <v>21540052</v>
      </c>
    </row>
    <row r="10" spans="1:17" ht="15">
      <c r="A10" s="4" t="str" cm="1">
        <f t="array" aca="1" ref="A10" ca="1">_FV(StockReportTable[[#This Row],[Ticker]],"Official name",TRUE)</f>
        <v>INTEL CORPORATION</v>
      </c>
      <c r="B10" s="4" t="e" vm="10">
        <v>#VALUE!</v>
      </c>
      <c r="C10" s="4" t="str" cm="1">
        <f t="array" aca="1" ref="C10" ca="1">_FV(StockReportTable[[#This Row],[Ticker]],"Exchange")</f>
        <v>Nasdaq Stock Market</v>
      </c>
      <c r="D10" s="4" t="str" cm="1">
        <f t="array" aca="1" ref="D10" ca="1">_FV(StockReportTable[[#This Row],[Ticker]],"Currency")</f>
        <v>USD</v>
      </c>
      <c r="E10" s="5">
        <f t="shared" ca="1" si="0"/>
        <v>46318</v>
      </c>
      <c r="F10" s="33" cm="1">
        <f t="array" aca="1" ref="F10" ca="1">_FV(StockReportTable[[#This Row],[Ticker]],"Price")</f>
        <v>86.96</v>
      </c>
      <c r="G10" s="6">
        <f ca="1">(StockReportTable[[#This Row],[Price @ Date]]-INDEX(_xlfn.STOCKHISTORY(B10,DATE(2025,12,31),E10),2,2))/(INDEX(_xlfn.STOCKHISTORY(B10,DATE(2025,12,31),E10),2,2))</f>
        <v>1.3566395663956639</v>
      </c>
      <c r="H10" s="6">
        <f ca="1">(StockReportTable[[#This Row],[Price @ Date]]-INDEX(_xlfn.STOCKHISTORY(B10,DATE(2025,12,31),E10),2,2))/(INDEX(_xlfn.STOCKHISTORY(B10,EDATE(StockReportTable[[#This Row],[Date]],-12),E10),2,2))</f>
        <v>1.3118448637316562</v>
      </c>
      <c r="I10" s="7">
        <f ca="1">(StockReportTable[[#This Row],[Price @ Date]]-INDEX(_xlfn.STOCKHISTORY(B10,DATE(2025,12,31),E10),2,2))/(INDEX(_xlfn.STOCKHISTORY(B10,EDATE(StockReportTable[[#This Row],[Date]],-36),E10),2,2))</f>
        <v>1.4788774002954208</v>
      </c>
      <c r="J10" s="8" cm="1">
        <f t="array" aca="1" ref="J10" ca="1">IFERROR(_FV(StockReportTable[[#This Row],[Ticker]],"P/E",TRUE),"N/A")</f>
        <v>0</v>
      </c>
      <c r="K10" s="9">
        <v>3</v>
      </c>
      <c r="L10" s="4" t="str" cm="1">
        <f t="array" aca="1" ref="L10" ca="1">_FV(StockReportTable[[#This Row],[Ticker]],"Industry")</f>
        <v>Semiconductors &amp; Semiconductor Equipment</v>
      </c>
      <c r="M10" s="18" cm="1">
        <f t="array" aca="1" ref="M10" ca="1">IFERROR(_FV(StockReportTable[[#This Row],[Ticker]],"52 week high",TRUE),"N/A")</f>
        <v>142.35</v>
      </c>
      <c r="N10" s="18" cm="1">
        <f t="array" aca="1" ref="N10" ca="1">IFERROR(_FV(StockReportTable[[#This Row],[Ticker]],"52 week low",TRUE),"N/A")</f>
        <v>32.89</v>
      </c>
      <c r="O10" s="21" cm="1">
        <f t="array" aca="1" ref="O10" ca="1">_FV(StockReportTable[[#This Row],[Ticker]],"Change (%)",TRUE)</f>
        <v>1.7195000000000002E-2</v>
      </c>
      <c r="P10" s="22" cm="1">
        <f t="array" aca="1" ref="P10" ca="1">_FV(StockReportTable[[#This Row],[Ticker]],"Market cap",TRUE)</f>
        <v>459589600239</v>
      </c>
      <c r="Q10" s="27" cm="1">
        <f t="array" aca="1" ref="Q10" ca="1">_FV(StockReportTable[[#This Row],[Ticker]],"Volume average",TRUE)</f>
        <v>106664291</v>
      </c>
    </row>
    <row r="11" spans="1:17" ht="15">
      <c r="A11" s="4" t="str" cm="1">
        <f t="array" aca="1" ref="A11" ca="1">_FV(StockReportTable[[#This Row],[Ticker]],"Official name",TRUE)</f>
        <v>MARVELL TECHNOLOGY, INC.</v>
      </c>
      <c r="B11" s="4" t="e" vm="11">
        <v>#VALUE!</v>
      </c>
      <c r="C11" s="4" t="str" cm="1">
        <f t="array" aca="1" ref="C11" ca="1">_FV(StockReportTable[[#This Row],[Ticker]],"Exchange")</f>
        <v>Nasdaq Stock Market</v>
      </c>
      <c r="D11" s="4" t="str" cm="1">
        <f t="array" aca="1" ref="D11" ca="1">_FV(StockReportTable[[#This Row],[Ticker]],"Currency")</f>
        <v>USD</v>
      </c>
      <c r="E11" s="5">
        <f t="shared" ca="1" si="0"/>
        <v>46318</v>
      </c>
      <c r="F11" s="33" cm="1">
        <f t="array" aca="1" ref="F11" ca="1">_FV(StockReportTable[[#This Row],[Ticker]],"Price")</f>
        <v>228.51</v>
      </c>
      <c r="G11" s="6">
        <f ca="1">(StockReportTable[[#This Row],[Price @ Date]]-INDEX(_xlfn.STOCKHISTORY(B11,DATE(2025,12,31),E11),2,2))/(INDEX(_xlfn.STOCKHISTORY(B11,DATE(2025,12,31),E11),2,2))</f>
        <v>1.6889856436808657</v>
      </c>
      <c r="H11" s="6">
        <f ca="1">(StockReportTable[[#This Row],[Price @ Date]]-INDEX(_xlfn.STOCKHISTORY(B11,DATE(2025,12,31),E11),2,2))/(INDEX(_xlfn.STOCKHISTORY(B11,EDATE(StockReportTable[[#This Row],[Date]],-12),E11),2,2))</f>
        <v>1.7340823970037451</v>
      </c>
      <c r="I11" s="7">
        <f ca="1">(StockReportTable[[#This Row],[Price @ Date]]-INDEX(_xlfn.STOCKHISTORY(B11,DATE(2025,12,31),E11),2,2))/(INDEX(_xlfn.STOCKHISTORY(B11,EDATE(StockReportTable[[#This Row],[Date]],-36),E11),2,2))</f>
        <v>2.9279885760913906</v>
      </c>
      <c r="J11" s="8" cm="1">
        <f t="array" aca="1" ref="J11" ca="1">IFERROR(_FV(StockReportTable[[#This Row],[Ticker]],"P/E",TRUE),"N/A")</f>
        <v>73.750799999999998</v>
      </c>
      <c r="K11" s="9">
        <f ca="1">IF(ISNUMBER(StockReportTable[[#This Row],[P/E]]),IF(StockReportTable[[#This Row],[P/E]]&lt;35,1,2),3)</f>
        <v>2</v>
      </c>
      <c r="L11" s="4" t="str" cm="1">
        <f t="array" aca="1" ref="L11" ca="1">_FV(StockReportTable[[#This Row],[Ticker]],"Industry")</f>
        <v>Semiconductors &amp; Semiconductor Equipment</v>
      </c>
      <c r="M11" s="18" cm="1">
        <f t="array" aca="1" ref="M11" ca="1">IFERROR(_FV(StockReportTable[[#This Row],[Ticker]],"52 week high",TRUE),"N/A")</f>
        <v>329.88</v>
      </c>
      <c r="N11" s="18" cm="1">
        <f t="array" aca="1" ref="N11" ca="1">IFERROR(_FV(StockReportTable[[#This Row],[Ticker]],"52 week low",TRUE),"N/A")</f>
        <v>70.685000000000002</v>
      </c>
      <c r="O11" s="21" cm="1">
        <f t="array" aca="1" ref="O11" ca="1">_FV(StockReportTable[[#This Row],[Ticker]],"Change (%)",TRUE)</f>
        <v>2.2553E-2</v>
      </c>
      <c r="P11" s="22" cm="1">
        <f t="array" aca="1" ref="P11" ca="1">_FV(StockReportTable[[#This Row],[Ticker]],"Market cap",TRUE)</f>
        <v>200380419000</v>
      </c>
      <c r="Q11" s="27" cm="1">
        <f t="array" aca="1" ref="Q11" ca="1">_FV(StockReportTable[[#This Row],[Ticker]],"Volume average",TRUE)</f>
        <v>20037053</v>
      </c>
    </row>
    <row r="12" spans="1:17" ht="15">
      <c r="A12" s="4" t="str" cm="1">
        <f t="array" aca="1" ref="A12" ca="1">_FV(StockReportTable[[#This Row],[Ticker]],"Official name",TRUE)</f>
        <v>ASML Holding N.V.</v>
      </c>
      <c r="B12" s="4" t="e" vm="12">
        <v>#VALUE!</v>
      </c>
      <c r="C12" s="4" t="str" cm="1">
        <f t="array" aca="1" ref="C12" ca="1">_FV(StockReportTable[[#This Row],[Ticker]],"Exchange")</f>
        <v>Nasdaq Stock Market</v>
      </c>
      <c r="D12" s="4" t="str" cm="1">
        <f t="array" aca="1" ref="D12" ca="1">_FV(StockReportTable[[#This Row],[Ticker]],"Currency")</f>
        <v>USD</v>
      </c>
      <c r="E12" s="5">
        <f t="shared" ca="1" si="0"/>
        <v>46318</v>
      </c>
      <c r="F12" s="33" cm="1">
        <f t="array" aca="1" ref="F12" ca="1">_FV(StockReportTable[[#This Row],[Ticker]],"Price")</f>
        <v>1571.8</v>
      </c>
      <c r="G12" s="6">
        <f ca="1">(StockReportTable[[#This Row],[Price @ Date]]-INDEX(_xlfn.STOCKHISTORY(B12,DATE(2025,12,31),E12),2,2))/(INDEX(_xlfn.STOCKHISTORY(B12,DATE(2025,12,31),E12),2,2))</f>
        <v>0.46916418970706458</v>
      </c>
      <c r="H12" s="6">
        <f ca="1">(StockReportTable[[#This Row],[Price @ Date]]-INDEX(_xlfn.STOCKHISTORY(B12,DATE(2025,12,31),E12),2,2))/(INDEX(_xlfn.STOCKHISTORY(B12,EDATE(StockReportTable[[#This Row],[Date]],-12),E12),2,2))</f>
        <v>0.48430640383631962</v>
      </c>
      <c r="I12" s="7">
        <f ca="1">(StockReportTable[[#This Row],[Price @ Date]]-INDEX(_xlfn.STOCKHISTORY(B12,DATE(2025,12,31),E12),2,2))/(INDEX(_xlfn.STOCKHISTORY(B12,EDATE(StockReportTable[[#This Row],[Date]],-36),E12),2,2))</f>
        <v>0.85394443593800518</v>
      </c>
      <c r="J12" s="8" cm="1">
        <f t="array" aca="1" ref="J12" ca="1">IFERROR(_FV(StockReportTable[[#This Row],[Ticker]],"P/E",TRUE),"N/A")</f>
        <v>40.221299999999999</v>
      </c>
      <c r="K12" s="9">
        <f ca="1">IF(ISNUMBER(StockReportTable[[#This Row],[P/E]]),IF(StockReportTable[[#This Row],[P/E]]&lt;35,1,2),3)</f>
        <v>2</v>
      </c>
      <c r="L12" s="4" t="str" cm="1">
        <f t="array" aca="1" ref="L12" ca="1">_FV(StockReportTable[[#This Row],[Ticker]],"Industry")</f>
        <v>Semiconductors &amp; Semiconductor Equipment</v>
      </c>
      <c r="M12" s="18" cm="1">
        <f t="array" aca="1" ref="M12" ca="1">IFERROR(_FV(StockReportTable[[#This Row],[Ticker]],"52 week high",TRUE),"N/A")</f>
        <v>1999.96</v>
      </c>
      <c r="N12" s="18" cm="1">
        <f t="array" aca="1" ref="N12" ca="1">IFERROR(_FV(StockReportTable[[#This Row],[Ticker]],"52 week low",TRUE),"N/A")</f>
        <v>946.11</v>
      </c>
      <c r="O12" s="21" cm="1">
        <f t="array" aca="1" ref="O12" ca="1">_FV(StockReportTable[[#This Row],[Ticker]],"Change (%)",TRUE)</f>
        <v>7.2150000000000001E-3</v>
      </c>
      <c r="P12" s="22" t="e" cm="1" vm="2">
        <f t="array" ref="P12">_FV(StockReportTable[[#This Row],[Ticker]],"Market cap",TRUE)</f>
        <v>#VALUE!</v>
      </c>
      <c r="Q12" s="27" cm="1">
        <f t="array" aca="1" ref="Q12" ca="1">_FV(StockReportTable[[#This Row],[Ticker]],"Volume average",TRUE)</f>
        <v>1510018</v>
      </c>
    </row>
    <row r="13" spans="1:17" ht="15">
      <c r="A13" s="4" t="str" cm="1">
        <f t="array" aca="1" ref="A13" ca="1">_FV(StockReportTable[[#This Row],[Ticker]],"Official name",TRUE)</f>
        <v>MICRON TECHNOLOGY, INC.</v>
      </c>
      <c r="B13" s="4" t="e" vm="13">
        <v>#VALUE!</v>
      </c>
      <c r="C13" s="4" t="str" cm="1">
        <f t="array" aca="1" ref="C13" ca="1">_FV(StockReportTable[[#This Row],[Ticker]],"Exchange")</f>
        <v>Nasdaq Stock Market</v>
      </c>
      <c r="D13" s="4" t="str" cm="1">
        <f t="array" aca="1" ref="D13" ca="1">_FV(StockReportTable[[#This Row],[Ticker]],"Currency")</f>
        <v>USD</v>
      </c>
      <c r="E13" s="5">
        <f t="shared" ca="1" si="0"/>
        <v>46318</v>
      </c>
      <c r="F13" s="33" cm="1">
        <f t="array" aca="1" ref="F13" ca="1">_FV(StockReportTable[[#This Row],[Ticker]],"Price")</f>
        <v>877.55</v>
      </c>
      <c r="G13" s="6">
        <f ca="1">(StockReportTable[[#This Row],[Price @ Date]]-INDEX(_xlfn.STOCKHISTORY(B13,DATE(2025,12,31),E13),2,2))/(INDEX(_xlfn.STOCKHISTORY(B13,DATE(2025,12,31),E13),2,2))</f>
        <v>2.0746995550261023</v>
      </c>
      <c r="H13" s="6">
        <f ca="1">(StockReportTable[[#This Row],[Price @ Date]]-INDEX(_xlfn.STOCKHISTORY(B13,DATE(2025,12,31),E13),2,2))/(INDEX(_xlfn.STOCKHISTORY(B13,EDATE(StockReportTable[[#This Row],[Date]],-12),E13),2,2))</f>
        <v>2.8645929079386572</v>
      </c>
      <c r="I13" s="7">
        <f ca="1">(StockReportTable[[#This Row],[Price @ Date]]-INDEX(_xlfn.STOCKHISTORY(B13,DATE(2025,12,31),E13),2,2))/(INDEX(_xlfn.STOCKHISTORY(B13,EDATE(StockReportTable[[#This Row],[Date]],-36),E13),2,2))</f>
        <v>8.8537679425837315</v>
      </c>
      <c r="J13" s="8" cm="1">
        <f t="array" aca="1" ref="J13" ca="1">IFERROR(_FV(StockReportTable[[#This Row],[Ticker]],"P/E",TRUE),"N/A")</f>
        <v>11.536799999999999</v>
      </c>
      <c r="K13" s="9">
        <f ca="1">IF(ISNUMBER(StockReportTable[[#This Row],[P/E]]),IF(StockReportTable[[#This Row],[P/E]]&lt;35,1,2),3)</f>
        <v>1</v>
      </c>
      <c r="L13" s="4" t="str" cm="1">
        <f t="array" aca="1" ref="L13" ca="1">_FV(StockReportTable[[#This Row],[Ticker]],"Industry")</f>
        <v>Semiconductors &amp; Semiconductor Equipment</v>
      </c>
      <c r="M13" s="18" cm="1">
        <f t="array" aca="1" ref="M13" ca="1">IFERROR(_FV(StockReportTable[[#This Row],[Ticker]],"52 week high",TRUE),"N/A")</f>
        <v>1255</v>
      </c>
      <c r="N13" s="18" cm="1">
        <f t="array" aca="1" ref="N13" ca="1">IFERROR(_FV(StockReportTable[[#This Row],[Ticker]],"52 week low",TRUE),"N/A")</f>
        <v>192.59</v>
      </c>
      <c r="O13" s="21" cm="1">
        <f t="array" aca="1" ref="O13" ca="1">_FV(StockReportTable[[#This Row],[Ticker]],"Change (%)",TRUE)</f>
        <v>2.4589E-2</v>
      </c>
      <c r="P13" s="22" t="e" cm="1" vm="2">
        <f t="array" ref="P13">_FV(StockReportTable[[#This Row],[Ticker]],"Market cap",TRUE)</f>
        <v>#VALUE!</v>
      </c>
      <c r="Q13" s="27" cm="1">
        <f t="array" aca="1" ref="Q13" ca="1">_FV(StockReportTable[[#This Row],[Ticker]],"Volume average",TRUE)</f>
        <v>26981467</v>
      </c>
    </row>
    <row r="14" spans="1:17" ht="15">
      <c r="A14" s="4" t="str" cm="1">
        <f t="array" aca="1" ref="A14" ca="1">_FV(StockReportTable[[#This Row],[Ticker]],"Official name",TRUE)</f>
        <v>ADVANTEST CORPORATION</v>
      </c>
      <c r="B14" s="4" t="e" vm="14">
        <v>#VALUE!</v>
      </c>
      <c r="C14" s="4" t="str" cm="1">
        <f t="array" aca="1" ref="C14" ca="1">_FV(StockReportTable[[#This Row],[Ticker]],"Exchange")</f>
        <v>OTC Markets</v>
      </c>
      <c r="D14" s="4" t="str" cm="1">
        <f t="array" aca="1" ref="D14" ca="1">_FV(StockReportTable[[#This Row],[Ticker]],"Currency")</f>
        <v>USD</v>
      </c>
      <c r="E14" s="5">
        <f t="shared" ca="1" si="0"/>
        <v>46318</v>
      </c>
      <c r="F14" s="33" cm="1">
        <f t="array" aca="1" ref="F14" ca="1">_FV(StockReportTable[[#This Row],[Ticker]],"Price")</f>
        <v>205.61</v>
      </c>
      <c r="G14" s="6">
        <f ca="1">(StockReportTable[[#This Row],[Price @ Date]]-INDEX(_xlfn.STOCKHISTORY(B14,DATE(2025,12,31),E14),2,2))/(INDEX(_xlfn.STOCKHISTORY(B14,DATE(2025,12,31),E14),2,2))</f>
        <v>0.62762715218681975</v>
      </c>
      <c r="H14" s="6">
        <f ca="1">(StockReportTable[[#This Row],[Price @ Date]]-INDEX(_xlfn.STOCKHISTORY(B14,DATE(2025,12,31),E14),2,2))/(INDEX(_xlfn.STOCKHISTORY(B14,EDATE(StockReportTable[[#This Row],[Date]],-12),E14),2,2))</f>
        <v>0.72024890988372103</v>
      </c>
      <c r="I14" s="7">
        <f ca="1">(StockReportTable[[#This Row],[Price @ Date]]-INDEX(_xlfn.STOCKHISTORY(B14,DATE(2025,12,31),E14),2,2))/(INDEX(_xlfn.STOCKHISTORY(B14,EDATE(StockReportTable[[#This Row],[Date]],-36),E14),2,2))</f>
        <v>2.8489040603665114</v>
      </c>
      <c r="J14" s="8" cm="1">
        <f t="array" aca="1" ref="J14" ca="1">IFERROR(_FV(StockReportTable[[#This Row],[Ticker]],"P/E",TRUE),"N/A")</f>
        <v>52.420099999999998</v>
      </c>
      <c r="K14" s="9">
        <f ca="1">IF(ISNUMBER(StockReportTable[[#This Row],[P/E]]),IF(StockReportTable[[#This Row],[P/E]]&lt;35,1,2),3)</f>
        <v>2</v>
      </c>
      <c r="L14" s="4" t="str" cm="1">
        <f t="array" aca="1" ref="L14" ca="1">_FV(StockReportTable[[#This Row],[Ticker]],"Industry")</f>
        <v>Semiconductors &amp; Semiconductor Equipment</v>
      </c>
      <c r="M14" s="18" cm="1">
        <f t="array" aca="1" ref="M14" ca="1">IFERROR(_FV(StockReportTable[[#This Row],[Ticker]],"52 week high",TRUE),"N/A")</f>
        <v>272.49990000000003</v>
      </c>
      <c r="N14" s="18" cm="1">
        <f t="array" aca="1" ref="N14" ca="1">IFERROR(_FV(StockReportTable[[#This Row],[Ticker]],"52 week low",TRUE),"N/A")</f>
        <v>107.99</v>
      </c>
      <c r="O14" s="21" cm="1">
        <f t="array" aca="1" ref="O14" ca="1">_FV(StockReportTable[[#This Row],[Ticker]],"Change (%)",TRUE)</f>
        <v>1.0369E-2</v>
      </c>
      <c r="P14" s="22" t="e" cm="1" vm="2">
        <f t="array" ref="P14">_FV(StockReportTable[[#This Row],[Ticker]],"Market cap",TRUE)</f>
        <v>#VALUE!</v>
      </c>
      <c r="Q14" s="27" cm="1">
        <f t="array" aca="1" ref="Q14" ca="1">_FV(StockReportTable[[#This Row],[Ticker]],"Volume average",TRUE)</f>
        <v>425950</v>
      </c>
    </row>
    <row r="15" spans="1:17" ht="15">
      <c r="A15" s="4" t="str" cm="1">
        <f t="array" aca="1" ref="A15" ca="1">_FV(StockReportTable[[#This Row],[Ticker]],"Official name",TRUE)</f>
        <v>NAVITAS SEMICONDUCTOR CORPORATION</v>
      </c>
      <c r="B15" s="4" t="e" vm="15">
        <v>#VALUE!</v>
      </c>
      <c r="C15" s="4" t="str" cm="1">
        <f t="array" aca="1" ref="C15" ca="1">_FV(StockReportTable[[#This Row],[Ticker]],"Exchange")</f>
        <v>Nasdaq Stock Market</v>
      </c>
      <c r="D15" s="4" t="str" cm="1">
        <f t="array" aca="1" ref="D15" ca="1">_FV(StockReportTable[[#This Row],[Ticker]],"Currency")</f>
        <v>USD</v>
      </c>
      <c r="E15" s="5">
        <f t="shared" ca="1" si="0"/>
        <v>46318</v>
      </c>
      <c r="F15" s="33" cm="1">
        <f t="array" aca="1" ref="F15" ca="1">_FV(StockReportTable[[#This Row],[Ticker]],"Price")</f>
        <v>8.3800000000000008</v>
      </c>
      <c r="G15" s="6">
        <f ca="1">(StockReportTable[[#This Row],[Price @ Date]]-INDEX(_xlfn.STOCKHISTORY(B15,DATE(2025,12,31),E15),2,2))/(INDEX(_xlfn.STOCKHISTORY(B15,DATE(2025,12,31),E15),2,2))</f>
        <v>0.17366946778711501</v>
      </c>
      <c r="H15" s="6">
        <f ca="1">(StockReportTable[[#This Row],[Price @ Date]]-INDEX(_xlfn.STOCKHISTORY(B15,DATE(2025,12,31),E15),2,2))/(INDEX(_xlfn.STOCKHISTORY(B15,EDATE(StockReportTable[[#This Row],[Date]],-12),E15),2,2))</f>
        <v>9.1109478324761295E-2</v>
      </c>
      <c r="I15" s="7">
        <f ca="1">(StockReportTable[[#This Row],[Price @ Date]]-INDEX(_xlfn.STOCKHISTORY(B15,DATE(2025,12,31),E15),2,2))/(INDEX(_xlfn.STOCKHISTORY(B15,EDATE(StockReportTable[[#This Row],[Date]],-36),E15),2,2))</f>
        <v>0.2304832713754649</v>
      </c>
      <c r="J15" s="8" cm="1">
        <f t="array" aca="1" ref="J15" ca="1">IFERROR(_FV(StockReportTable[[#This Row],[Ticker]],"P/E",TRUE),"N/A")</f>
        <v>0</v>
      </c>
      <c r="K15" s="9">
        <v>3</v>
      </c>
      <c r="L15" s="4" t="str" cm="1">
        <f t="array" aca="1" ref="L15" ca="1">_FV(StockReportTable[[#This Row],[Ticker]],"Industry")</f>
        <v>Semiconductors &amp; Semiconductor Equipment</v>
      </c>
      <c r="M15" s="18" cm="1">
        <f t="array" aca="1" ref="M15" ca="1">IFERROR(_FV(StockReportTable[[#This Row],[Ticker]],"52 week high",TRUE),"N/A")</f>
        <v>34.17</v>
      </c>
      <c r="N15" s="18" cm="1">
        <f t="array" aca="1" ref="N15" ca="1">IFERROR(_FV(StockReportTable[[#This Row],[Ticker]],"52 week low",TRUE),"N/A")</f>
        <v>6.85</v>
      </c>
      <c r="O15" s="21" cm="1">
        <f t="array" aca="1" ref="O15" ca="1">_FV(StockReportTable[[#This Row],[Ticker]],"Change (%)",TRUE)</f>
        <v>-1.2956000000000001E-2</v>
      </c>
      <c r="P15" s="22" cm="1">
        <f t="array" aca="1" ref="P15" ca="1">_FV(StockReportTable[[#This Row],[Ticker]],"Market cap",TRUE)</f>
        <v>2187963530</v>
      </c>
      <c r="Q15" s="27" cm="1">
        <f t="array" aca="1" ref="Q15" ca="1">_FV(StockReportTable[[#This Row],[Ticker]],"Volume average",TRUE)</f>
        <v>16495985</v>
      </c>
    </row>
    <row r="16" spans="1:17" ht="15">
      <c r="A16" s="4" t="str" cm="1">
        <f t="array" aca="1" ref="A16" ca="1">_FV(StockReportTable[[#This Row],[Ticker]],"Official name",TRUE)</f>
        <v>ATOMERA INCORPORATED</v>
      </c>
      <c r="B16" s="4" t="e" vm="16">
        <v>#VALUE!</v>
      </c>
      <c r="C16" s="4" t="str" cm="1">
        <f t="array" aca="1" ref="C16" ca="1">_FV(StockReportTable[[#This Row],[Ticker]],"Exchange")</f>
        <v>Nasdaq Stock Market</v>
      </c>
      <c r="D16" s="4" t="str" cm="1">
        <f t="array" aca="1" ref="D16" ca="1">_FV(StockReportTable[[#This Row],[Ticker]],"Currency")</f>
        <v>USD</v>
      </c>
      <c r="E16" s="5">
        <f t="shared" ca="1" si="0"/>
        <v>46318</v>
      </c>
      <c r="F16" s="33" cm="1">
        <f t="array" aca="1" ref="F16" ca="1">_FV(StockReportTable[[#This Row],[Ticker]],"Price")</f>
        <v>2.94</v>
      </c>
      <c r="G16" s="6">
        <f ca="1">(StockReportTable[[#This Row],[Price @ Date]]-INDEX(_xlfn.STOCKHISTORY(B16,DATE(2025,12,31),E16),2,2))/(INDEX(_xlfn.STOCKHISTORY(B16,DATE(2025,12,31),E16),2,2))</f>
        <v>0.33031674208144796</v>
      </c>
      <c r="H16" s="6">
        <f ca="1">(StockReportTable[[#This Row],[Price @ Date]]-INDEX(_xlfn.STOCKHISTORY(B16,DATE(2025,12,31),E16),2,2))/(INDEX(_xlfn.STOCKHISTORY(B16,EDATE(StockReportTable[[#This Row],[Date]],-12),E16),2,2))</f>
        <v>0.2260061919504644</v>
      </c>
      <c r="I16" s="7">
        <f ca="1">(StockReportTable[[#This Row],[Price @ Date]]-INDEX(_xlfn.STOCKHISTORY(B16,DATE(2025,12,31),E16),2,2))/(INDEX(_xlfn.STOCKHISTORY(B16,EDATE(StockReportTable[[#This Row],[Date]],-36),E16),2,2))</f>
        <v>0.10703812316715541</v>
      </c>
      <c r="J16" s="8" cm="1">
        <f t="array" aca="1" ref="J16" ca="1">IFERROR(_FV(StockReportTable[[#This Row],[Ticker]],"P/E",TRUE),"N/A")</f>
        <v>0</v>
      </c>
      <c r="K16" s="9">
        <v>3</v>
      </c>
      <c r="L16" s="4" t="str" cm="1">
        <f t="array" aca="1" ref="L16" ca="1">_FV(StockReportTable[[#This Row],[Ticker]],"Industry")</f>
        <v>Semiconductors &amp; Semiconductor Equipment</v>
      </c>
      <c r="M16" s="18" cm="1">
        <f t="array" aca="1" ref="M16" ca="1">IFERROR(_FV(StockReportTable[[#This Row],[Ticker]],"52 week high",TRUE),"N/A")</f>
        <v>12.365</v>
      </c>
      <c r="N16" s="18" cm="1">
        <f t="array" aca="1" ref="N16" ca="1">IFERROR(_FV(StockReportTable[[#This Row],[Ticker]],"52 week low",TRUE),"N/A")</f>
        <v>1.8915</v>
      </c>
      <c r="O16" s="21" cm="1">
        <f t="array" aca="1" ref="O16" ca="1">_FV(StockReportTable[[#This Row],[Ticker]],"Change (%)",TRUE)</f>
        <v>-4.5454999999999995E-2</v>
      </c>
      <c r="P16" s="22" t="e" cm="1" vm="2">
        <f t="array" ref="P16">_FV(StockReportTable[[#This Row],[Ticker]],"Market cap",TRUE)</f>
        <v>#VALUE!</v>
      </c>
      <c r="Q16" s="27" cm="1">
        <f t="array" aca="1" ref="Q16" ca="1">_FV(StockReportTable[[#This Row],[Ticker]],"Volume average",TRUE)</f>
        <v>607964</v>
      </c>
    </row>
    <row r="17" spans="1:17" ht="15">
      <c r="A17" s="4" t="str" cm="1">
        <f t="array" aca="1" ref="A17" ca="1">_FV(StockReportTable[[#This Row],[Ticker]],"Official name",TRUE)</f>
        <v>STRATEGY INC</v>
      </c>
      <c r="B17" s="4" t="e" vm="17">
        <v>#VALUE!</v>
      </c>
      <c r="C17" s="4" t="str" cm="1">
        <f t="array" aca="1" ref="C17" ca="1">_FV(StockReportTable[[#This Row],[Ticker]],"Exchange")</f>
        <v>Nasdaq Stock Market</v>
      </c>
      <c r="D17" s="4" t="str" cm="1">
        <f t="array" aca="1" ref="D17" ca="1">_FV(StockReportTable[[#This Row],[Ticker]],"Currency")</f>
        <v>USD</v>
      </c>
      <c r="E17" s="5">
        <f t="shared" ca="1" si="0"/>
        <v>46318</v>
      </c>
      <c r="F17" s="33" cm="1">
        <f t="array" aca="1" ref="F17" ca="1">_FV(StockReportTable[[#This Row],[Ticker]],"Price")</f>
        <v>146.01</v>
      </c>
      <c r="G17" s="6">
        <f ca="1">(StockReportTable[[#This Row],[Price @ Date]]-INDEX(_xlfn.STOCKHISTORY(B17,DATE(2025,12,31),E17),2,2))/(INDEX(_xlfn.STOCKHISTORY(B17,DATE(2025,12,31),E17),2,2))</f>
        <v>-3.9091806515301072E-2</v>
      </c>
      <c r="H17" s="6">
        <f ca="1">(StockReportTable[[#This Row],[Price @ Date]]-INDEX(_xlfn.STOCKHISTORY(B17,DATE(2025,12,31),E17),2,2))/(INDEX(_xlfn.STOCKHISTORY(B17,EDATE(StockReportTable[[#This Row],[Date]],-12),E17),2,2))</f>
        <v>-2.0847957321353354E-2</v>
      </c>
      <c r="I17" s="7">
        <f ca="1">(StockReportTable[[#This Row],[Price @ Date]]-INDEX(_xlfn.STOCKHISTORY(B17,DATE(2025,12,31),E17),2,2))/(INDEX(_xlfn.STOCKHISTORY(B17,EDATE(StockReportTable[[#This Row],[Date]],-36),E17),2,2))</f>
        <v>-0.15735516172613837</v>
      </c>
      <c r="J17" s="8" cm="1">
        <f t="array" aca="1" ref="J17" ca="1">IFERROR(_FV(StockReportTable[[#This Row],[Ticker]],"P/E",TRUE),"N/A")</f>
        <v>0</v>
      </c>
      <c r="K17" s="9">
        <v>3</v>
      </c>
      <c r="L17" s="4" t="str" cm="1">
        <f t="array" aca="1" ref="L17" ca="1">_FV(StockReportTable[[#This Row],[Ticker]],"Industry")</f>
        <v>Software &amp; IT Services</v>
      </c>
      <c r="M17" s="18" cm="1">
        <f t="array" aca="1" ref="M17" ca="1">IFERROR(_FV(StockReportTable[[#This Row],[Ticker]],"52 week high",TRUE),"N/A")</f>
        <v>299.8</v>
      </c>
      <c r="N17" s="18" cm="1">
        <f t="array" aca="1" ref="N17" ca="1">IFERROR(_FV(StockReportTable[[#This Row],[Ticker]],"52 week low",TRUE),"N/A")</f>
        <v>81.81</v>
      </c>
      <c r="O17" s="21" cm="1">
        <f t="array" aca="1" ref="O17" ca="1">_FV(StockReportTable[[#This Row],[Ticker]],"Change (%)",TRUE)</f>
        <v>1.4399999999999999E-3</v>
      </c>
      <c r="P17" s="22" cm="1">
        <f t="array" aca="1" ref="P17" ca="1">_FV(StockReportTable[[#This Row],[Ticker]],"Market cap",TRUE)</f>
        <v>62528344469</v>
      </c>
      <c r="Q17" s="27" cm="1">
        <f t="array" aca="1" ref="Q17" ca="1">_FV(StockReportTable[[#This Row],[Ticker]],"Volume average",TRUE)</f>
        <v>21826972</v>
      </c>
    </row>
    <row r="18" spans="1:17" ht="15">
      <c r="A18" s="4" t="str" cm="1">
        <f t="array" aca="1" ref="A18" ca="1">_FV(StockReportTable[[#This Row],[Ticker]],"Official name",TRUE)</f>
        <v>MARA HOLDINGS, INC.</v>
      </c>
      <c r="B18" s="4" t="e" vm="18">
        <v>#VALUE!</v>
      </c>
      <c r="C18" s="4" t="str" cm="1">
        <f t="array" aca="1" ref="C18" ca="1">_FV(StockReportTable[[#This Row],[Ticker]],"Exchange")</f>
        <v>Nasdaq Stock Market</v>
      </c>
      <c r="D18" s="4" t="str" cm="1">
        <f t="array" aca="1" ref="D18" ca="1">_FV(StockReportTable[[#This Row],[Ticker]],"Currency")</f>
        <v>USD</v>
      </c>
      <c r="E18" s="5">
        <f t="shared" ca="1" si="0"/>
        <v>46318</v>
      </c>
      <c r="F18" s="33" cm="1">
        <f t="array" aca="1" ref="F18" ca="1">_FV(StockReportTable[[#This Row],[Ticker]],"Price")</f>
        <v>7.02</v>
      </c>
      <c r="G18" s="6">
        <f ca="1">(StockReportTable[[#This Row],[Price @ Date]]-INDEX(_xlfn.STOCKHISTORY(B18,DATE(2025,12,31),E18),2,2))/(INDEX(_xlfn.STOCKHISTORY(B18,DATE(2025,12,31),E18),2,2))</f>
        <v>-0.21826280623608027</v>
      </c>
      <c r="H18" s="6">
        <f ca="1">(StockReportTable[[#This Row],[Price @ Date]]-INDEX(_xlfn.STOCKHISTORY(B18,DATE(2025,12,31),E18),2,2))/(INDEX(_xlfn.STOCKHISTORY(B18,EDATE(StockReportTable[[#This Row],[Date]],-12),E18),2,2))</f>
        <v>-0.10197710718002086</v>
      </c>
      <c r="I18" s="7">
        <f ca="1">(StockReportTable[[#This Row],[Price @ Date]]-INDEX(_xlfn.STOCKHISTORY(B18,DATE(2025,12,31),E18),2,2))/(INDEX(_xlfn.STOCKHISTORY(B18,EDATE(StockReportTable[[#This Row],[Date]],-36),E18),2,2))</f>
        <v>-0.22400000000000009</v>
      </c>
      <c r="J18" s="8" cm="1">
        <f t="array" aca="1" ref="J18" ca="1">IFERROR(_FV(StockReportTable[[#This Row],[Ticker]],"P/E",TRUE),"N/A")</f>
        <v>0</v>
      </c>
      <c r="K18" s="9">
        <v>3</v>
      </c>
      <c r="L18" s="4" t="str" cm="1">
        <f t="array" aca="1" ref="L18" ca="1">_FV(StockReportTable[[#This Row],[Ticker]],"Industry")</f>
        <v>Financial Technology (Fintech) &amp; Infrastructure</v>
      </c>
      <c r="M18" s="18" cm="1">
        <f t="array" aca="1" ref="M18" ca="1">IFERROR(_FV(StockReportTable[[#This Row],[Ticker]],"52 week high",TRUE),"N/A")</f>
        <v>20.47</v>
      </c>
      <c r="N18" s="18" cm="1">
        <f t="array" aca="1" ref="N18" ca="1">IFERROR(_FV(StockReportTable[[#This Row],[Ticker]],"52 week low",TRUE),"N/A")</f>
        <v>6.66</v>
      </c>
      <c r="O18" s="21" cm="1">
        <f t="array" aca="1" ref="O18" ca="1">_FV(StockReportTable[[#This Row],[Ticker]],"Change (%)",TRUE)</f>
        <v>-3.1724000000000002E-2</v>
      </c>
      <c r="P18" s="22" t="e" cm="1" vm="2">
        <f t="array" ref="P18">_FV(StockReportTable[[#This Row],[Ticker]],"Market cap",TRUE)</f>
        <v>#VALUE!</v>
      </c>
      <c r="Q18" s="27" cm="1">
        <f t="array" aca="1" ref="Q18" ca="1">_FV(StockReportTable[[#This Row],[Ticker]],"Volume average",TRUE)</f>
        <v>38310413</v>
      </c>
    </row>
    <row r="19" spans="1:17" ht="15">
      <c r="A19" s="4" t="str" cm="1">
        <f t="array" aca="1" ref="A19" ca="1">_FV(StockReportTable[[#This Row],[Ticker]],"Official name",TRUE)</f>
        <v>RIOT PLATFORMS, INC.</v>
      </c>
      <c r="B19" s="4" t="e" vm="19">
        <v>#VALUE!</v>
      </c>
      <c r="C19" s="4" t="str" cm="1">
        <f t="array" aca="1" ref="C19" ca="1">_FV(StockReportTable[[#This Row],[Ticker]],"Exchange")</f>
        <v>Nasdaq Stock Market</v>
      </c>
      <c r="D19" s="4" t="str" cm="1">
        <f t="array" aca="1" ref="D19" ca="1">_FV(StockReportTable[[#This Row],[Ticker]],"Currency")</f>
        <v>USD</v>
      </c>
      <c r="E19" s="5">
        <f t="shared" ca="1" si="0"/>
        <v>46318</v>
      </c>
      <c r="F19" s="33" cm="1">
        <f t="array" aca="1" ref="F19" ca="1">_FV(StockReportTable[[#This Row],[Ticker]],"Price")</f>
        <v>12.53</v>
      </c>
      <c r="G19" s="6">
        <f ca="1">(StockReportTable[[#This Row],[Price @ Date]]-INDEX(_xlfn.STOCKHISTORY(B19,DATE(2025,12,31),E19),2,2))/(INDEX(_xlfn.STOCKHISTORY(B19,DATE(2025,12,31),E19),2,2))</f>
        <v>-1.1049723756906122E-2</v>
      </c>
      <c r="H19" s="6">
        <f ca="1">(StockReportTable[[#This Row],[Price @ Date]]-INDEX(_xlfn.STOCKHISTORY(B19,DATE(2025,12,31),E19),2,2))/(INDEX(_xlfn.STOCKHISTORY(B19,EDATE(StockReportTable[[#This Row],[Date]],-12),E19),2,2))</f>
        <v>-6.8326012689116922E-3</v>
      </c>
      <c r="I19" s="7">
        <f ca="1">(StockReportTable[[#This Row],[Price @ Date]]-INDEX(_xlfn.STOCKHISTORY(B19,DATE(2025,12,31),E19),2,2))/(INDEX(_xlfn.STOCKHISTORY(B19,EDATE(StockReportTable[[#This Row],[Date]],-36),E19),2,2))</f>
        <v>-1.4477766287487133E-2</v>
      </c>
      <c r="J19" s="8" cm="1">
        <f t="array" aca="1" ref="J19" ca="1">IFERROR(_FV(StockReportTable[[#This Row],[Ticker]],"P/E",TRUE),"N/A")</f>
        <v>0</v>
      </c>
      <c r="K19" s="9">
        <v>3</v>
      </c>
      <c r="L19" s="4" t="str" cm="1">
        <f t="array" aca="1" ref="L19" ca="1">_FV(StockReportTable[[#This Row],[Ticker]],"Industry")</f>
        <v>Financial Technology (Fintech) &amp; Infrastructure</v>
      </c>
      <c r="M19" s="18" cm="1">
        <f t="array" aca="1" ref="M19" ca="1">IFERROR(_FV(StockReportTable[[#This Row],[Ticker]],"52 week high",TRUE),"N/A")</f>
        <v>30.32</v>
      </c>
      <c r="N19" s="18" cm="1">
        <f t="array" aca="1" ref="N19" ca="1">IFERROR(_FV(StockReportTable[[#This Row],[Ticker]],"52 week low",TRUE),"N/A")</f>
        <v>11.5</v>
      </c>
      <c r="O19" s="21" cm="1">
        <f t="array" aca="1" ref="O19" ca="1">_FV(StockReportTable[[#This Row],[Ticker]],"Change (%)",TRUE)</f>
        <v>-2.7928999999999999E-2</v>
      </c>
      <c r="P19" s="22" t="e" cm="1" vm="2">
        <f t="array" ref="P19">_FV(StockReportTable[[#This Row],[Ticker]],"Market cap",TRUE)</f>
        <v>#VALUE!</v>
      </c>
      <c r="Q19" s="27" cm="1">
        <f t="array" aca="1" ref="Q19" ca="1">_FV(StockReportTable[[#This Row],[Ticker]],"Volume average",TRUE)</f>
        <v>17426254</v>
      </c>
    </row>
    <row r="20" spans="1:17" ht="15">
      <c r="A20" s="4" t="str" cm="1">
        <f t="array" aca="1" ref="A20" ca="1">_FV(StockReportTable[[#This Row],[Ticker]],"Official name",TRUE)</f>
        <v>HIVE DIGITAL TECHNOLOGIES LTD.</v>
      </c>
      <c r="B20" s="4" t="e" vm="20">
        <v>#VALUE!</v>
      </c>
      <c r="C20" s="4" t="str" cm="1">
        <f t="array" aca="1" ref="C20" ca="1">_FV(StockReportTable[[#This Row],[Ticker]],"Exchange")</f>
        <v>Nasdaq Stock Market</v>
      </c>
      <c r="D20" s="4" t="str" cm="1">
        <f t="array" aca="1" ref="D20" ca="1">_FV(StockReportTable[[#This Row],[Ticker]],"Currency")</f>
        <v>USD</v>
      </c>
      <c r="E20" s="5">
        <f t="shared" ca="1" si="0"/>
        <v>46318</v>
      </c>
      <c r="F20" s="33" cm="1">
        <f t="array" aca="1" ref="F20" ca="1">_FV(StockReportTable[[#This Row],[Ticker]],"Price")</f>
        <v>1.93</v>
      </c>
      <c r="G20" s="6">
        <f ca="1">(StockReportTable[[#This Row],[Price @ Date]]-INDEX(_xlfn.STOCKHISTORY(B20,DATE(2025,12,31),E20),2,2))/(INDEX(_xlfn.STOCKHISTORY(B20,DATE(2025,12,31),E20),2,2))</f>
        <v>-0.25193798449612409</v>
      </c>
      <c r="H20" s="6">
        <f ca="1">(StockReportTable[[#This Row],[Price @ Date]]-INDEX(_xlfn.STOCKHISTORY(B20,DATE(2025,12,31),E20),2,2))/(INDEX(_xlfn.STOCKHISTORY(B20,EDATE(StockReportTable[[#This Row],[Date]],-12),E20),2,2))</f>
        <v>-0.12695312500000003</v>
      </c>
      <c r="I20" s="7">
        <f ca="1">(StockReportTable[[#This Row],[Price @ Date]]-INDEX(_xlfn.STOCKHISTORY(B20,DATE(2025,12,31),E20),2,2))/(INDEX(_xlfn.STOCKHISTORY(B20,EDATE(StockReportTable[[#This Row],[Date]],-36),E20),2,2))</f>
        <v>-0.20766773162939303</v>
      </c>
      <c r="J20" s="8" cm="1">
        <f t="array" aca="1" ref="J20" ca="1">IFERROR(_FV(StockReportTable[[#This Row],[Ticker]],"P/E",TRUE),"N/A")</f>
        <v>0</v>
      </c>
      <c r="K20" s="9">
        <v>3</v>
      </c>
      <c r="L20" s="4" t="str" cm="1">
        <f t="array" aca="1" ref="L20" ca="1">_FV(StockReportTable[[#This Row],[Ticker]],"Industry")</f>
        <v>Financial Technology (Fintech) &amp; Infrastructure</v>
      </c>
      <c r="M20" s="18" cm="1">
        <f t="array" aca="1" ref="M20" ca="1">IFERROR(_FV(StockReportTable[[#This Row],[Ticker]],"52 week high",TRUE),"N/A")</f>
        <v>6.3</v>
      </c>
      <c r="N20" s="18" cm="1">
        <f t="array" aca="1" ref="N20" ca="1">IFERROR(_FV(StockReportTable[[#This Row],[Ticker]],"52 week low",TRUE),"N/A")</f>
        <v>1.73</v>
      </c>
      <c r="O20" s="21" cm="1">
        <f t="array" aca="1" ref="O20" ca="1">_FV(StockReportTable[[#This Row],[Ticker]],"Change (%)",TRUE)</f>
        <v>-1.0256000000000001E-2</v>
      </c>
      <c r="P20" s="23" cm="1">
        <f t="array" aca="1" ref="P20" ca="1">_FV(StockReportTable[[#This Row],[Ticker]],"Market cap",TRUE)</f>
        <v>748353500</v>
      </c>
      <c r="Q20" s="27" cm="1">
        <f t="array" aca="1" ref="Q20" ca="1">_FV(StockReportTable[[#This Row],[Ticker]],"Volume average",TRUE)</f>
        <v>11219377</v>
      </c>
    </row>
    <row r="21" spans="1:17" ht="15">
      <c r="A21" s="4" t="str" cm="1">
        <f t="array" aca="1" ref="A21" ca="1">_FV(StockReportTable[[#This Row],[Ticker]],"Official name",TRUE)</f>
        <v>SUPER MICRO COMPUTER, INC.</v>
      </c>
      <c r="B21" s="4" t="e" vm="21">
        <v>#VALUE!</v>
      </c>
      <c r="C21" s="4" t="str" cm="1">
        <f t="array" aca="1" ref="C21" ca="1">_FV(StockReportTable[[#This Row],[Ticker]],"Exchange")</f>
        <v>Nasdaq Stock Market</v>
      </c>
      <c r="D21" s="4" t="str" cm="1">
        <f t="array" aca="1" ref="D21" ca="1">_FV(StockReportTable[[#This Row],[Ticker]],"Currency")</f>
        <v>USD</v>
      </c>
      <c r="E21" s="5">
        <f t="shared" ca="1" si="0"/>
        <v>46318</v>
      </c>
      <c r="F21" s="33" cm="1">
        <f t="array" aca="1" ref="F21" ca="1">_FV(StockReportTable[[#This Row],[Ticker]],"Price")</f>
        <v>32.94</v>
      </c>
      <c r="G21" s="6">
        <f ca="1">(StockReportTable[[#This Row],[Price @ Date]]-INDEX(_xlfn.STOCKHISTORY(B21,DATE(2025,12,31),E21),2,2))/(INDEX(_xlfn.STOCKHISTORY(B21,DATE(2025,12,31),E21),2,2))</f>
        <v>0.12538435257943281</v>
      </c>
      <c r="H21" s="6">
        <f ca="1">(StockReportTable[[#This Row],[Price @ Date]]-INDEX(_xlfn.STOCKHISTORY(B21,DATE(2025,12,31),E21),2,2))/(INDEX(_xlfn.STOCKHISTORY(B21,EDATE(StockReportTable[[#This Row],[Date]],-12),E21),2,2))</f>
        <v>7.6585976627712812E-2</v>
      </c>
      <c r="I21" s="7">
        <f ca="1">(StockReportTable[[#This Row],[Price @ Date]]-INDEX(_xlfn.STOCKHISTORY(B21,DATE(2025,12,31),E21),2,2))/(INDEX(_xlfn.STOCKHISTORY(B21,EDATE(StockReportTable[[#This Row],[Date]],-36),E21),2,2))</f>
        <v>0.14398367923417937</v>
      </c>
      <c r="J21" s="8" cm="1">
        <f t="array" aca="1" ref="J21" ca="1">IFERROR(_FV(StockReportTable[[#This Row],[Ticker]],"P/E",TRUE),"N/A")</f>
        <v>10.7165</v>
      </c>
      <c r="K21" s="9">
        <f ca="1">IF(ISNUMBER(StockReportTable[[#This Row],[P/E]]),IF(StockReportTable[[#This Row],[P/E]]&lt;35,1,2),3)</f>
        <v>1</v>
      </c>
      <c r="L21" s="4" t="str" cm="1">
        <f t="array" aca="1" ref="L21" ca="1">_FV(StockReportTable[[#This Row],[Ticker]],"Industry")</f>
        <v>Computers, Phones &amp; Household Electronics</v>
      </c>
      <c r="M21" s="18" cm="1">
        <f t="array" aca="1" ref="M21" ca="1">IFERROR(_FV(StockReportTable[[#This Row],[Ticker]],"52 week high",TRUE),"N/A")</f>
        <v>54.08</v>
      </c>
      <c r="N21" s="18" cm="1">
        <f t="array" aca="1" ref="N21" ca="1">IFERROR(_FV(StockReportTable[[#This Row],[Ticker]],"52 week low",TRUE),"N/A")</f>
        <v>19.48</v>
      </c>
      <c r="O21" s="21" cm="1">
        <f t="array" aca="1" ref="O21" ca="1">_FV(StockReportTable[[#This Row],[Ticker]],"Change (%)",TRUE)</f>
        <v>-2.3132E-2</v>
      </c>
      <c r="P21" s="22" cm="1">
        <f t="array" aca="1" ref="P21" ca="1">_FV(StockReportTable[[#This Row],[Ticker]],"Market cap",TRUE)</f>
        <v>21640440276</v>
      </c>
      <c r="Q21" s="27" cm="1">
        <f t="array" aca="1" ref="Q21" ca="1">_FV(StockReportTable[[#This Row],[Ticker]],"Volume average",TRUE)</f>
        <v>37241363</v>
      </c>
    </row>
    <row r="22" spans="1:17" ht="15">
      <c r="A22" s="4" t="str" cm="1">
        <f t="array" aca="1" ref="A22" ca="1">_FV(StockReportTable[[#This Row],[Ticker]],"Official name",TRUE)</f>
        <v>SOUNDHOUND AI, INC.</v>
      </c>
      <c r="B22" s="4" t="e" vm="22">
        <v>#VALUE!</v>
      </c>
      <c r="C22" s="4" t="str" cm="1">
        <f t="array" aca="1" ref="C22" ca="1">_FV(StockReportTable[[#This Row],[Ticker]],"Exchange")</f>
        <v>Nasdaq Stock Market</v>
      </c>
      <c r="D22" s="4" t="str" cm="1">
        <f t="array" aca="1" ref="D22" ca="1">_FV(StockReportTable[[#This Row],[Ticker]],"Currency")</f>
        <v>USD</v>
      </c>
      <c r="E22" s="5">
        <f t="shared" ca="1" si="0"/>
        <v>46318</v>
      </c>
      <c r="F22" s="33" cm="1">
        <f t="array" aca="1" ref="F22" ca="1">_FV(StockReportTable[[#This Row],[Ticker]],"Price")</f>
        <v>4.43</v>
      </c>
      <c r="G22" s="6">
        <f ca="1">(StockReportTable[[#This Row],[Price @ Date]]-INDEX(_xlfn.STOCKHISTORY(B22,DATE(2025,12,31),E22),2,2))/(INDEX(_xlfn.STOCKHISTORY(B22,DATE(2025,12,31),E22),2,2))</f>
        <v>-0.55566700100300903</v>
      </c>
      <c r="H22" s="6">
        <f ca="1">(StockReportTable[[#This Row],[Price @ Date]]-INDEX(_xlfn.STOCKHISTORY(B22,DATE(2025,12,31),E22),2,2))/(INDEX(_xlfn.STOCKHISTORY(B22,EDATE(StockReportTable[[#This Row],[Date]],-12),E22),2,2))</f>
        <v>-0.30372807017543868</v>
      </c>
      <c r="I22" s="7">
        <f ca="1">(StockReportTable[[#This Row],[Price @ Date]]-INDEX(_xlfn.STOCKHISTORY(B22,DATE(2025,12,31),E22),2,2))/(INDEX(_xlfn.STOCKHISTORY(B22,EDATE(StockReportTable[[#This Row],[Date]],-36),E22),2,2))</f>
        <v>-3.3780487804878057</v>
      </c>
      <c r="J22" s="8" cm="1">
        <f t="array" aca="1" ref="J22" ca="1">IFERROR(_FV(StockReportTable[[#This Row],[Ticker]],"P/E",TRUE),"N/A")</f>
        <v>0</v>
      </c>
      <c r="K22" s="9">
        <v>3</v>
      </c>
      <c r="L22" s="4" t="str" cm="1">
        <f t="array" aca="1" ref="L22" ca="1">_FV(StockReportTable[[#This Row],[Ticker]],"Industry")</f>
        <v>Software &amp; IT Services</v>
      </c>
      <c r="M22" s="18" cm="1">
        <f t="array" aca="1" ref="M22" ca="1">IFERROR(_FV(StockReportTable[[#This Row],[Ticker]],"52 week high",TRUE),"N/A")</f>
        <v>19.09</v>
      </c>
      <c r="N22" s="18" cm="1">
        <f t="array" aca="1" ref="N22" ca="1">IFERROR(_FV(StockReportTable[[#This Row],[Ticker]],"52 week low",TRUE),"N/A")</f>
        <v>4.3499999999999996</v>
      </c>
      <c r="O22" s="21" cm="1">
        <f t="array" aca="1" ref="O22" ca="1">_FV(StockReportTable[[#This Row],[Ticker]],"Change (%)",TRUE)</f>
        <v>-1.5556E-2</v>
      </c>
      <c r="P22" s="22" t="e" cm="1" vm="2">
        <f t="array" ref="P22">_FV(StockReportTable[[#This Row],[Ticker]],"Market cap",TRUE)</f>
        <v>#VALUE!</v>
      </c>
      <c r="Q22" s="27" cm="1">
        <f t="array" aca="1" ref="Q22" ca="1">_FV(StockReportTable[[#This Row],[Ticker]],"Volume average",TRUE)</f>
        <v>15511427</v>
      </c>
    </row>
    <row r="23" spans="1:17" ht="15">
      <c r="A23" s="4" t="str" cm="1">
        <f t="array" aca="1" ref="A23" ca="1">_FV(StockReportTable[[#This Row],[Ticker]],"Official name",TRUE)</f>
        <v>ZETA GLOBAL HOLDINGS CORP.</v>
      </c>
      <c r="B23" s="4" t="e" vm="23">
        <v>#VALUE!</v>
      </c>
      <c r="C23" s="4" t="str" cm="1">
        <f t="array" aca="1" ref="C23" ca="1">_FV(StockReportTable[[#This Row],[Ticker]],"Exchange")</f>
        <v>New York Stock Exchange</v>
      </c>
      <c r="D23" s="4" t="str" cm="1">
        <f t="array" aca="1" ref="D23" ca="1">_FV(StockReportTable[[#This Row],[Ticker]],"Currency")</f>
        <v>USD</v>
      </c>
      <c r="E23" s="5">
        <f t="shared" ca="1" si="0"/>
        <v>46318</v>
      </c>
      <c r="F23" s="33" cm="1">
        <f t="array" aca="1" ref="F23" ca="1">_FV(StockReportTable[[#This Row],[Ticker]],"Price")</f>
        <v>33.99</v>
      </c>
      <c r="G23" s="6">
        <f ca="1">(StockReportTable[[#This Row],[Price @ Date]]-INDEX(_xlfn.STOCKHISTORY(B23,DATE(2025,12,31),E23),2,2))/(INDEX(_xlfn.STOCKHISTORY(B23,DATE(2025,12,31),E23),2,2))</f>
        <v>0.6702702702702702</v>
      </c>
      <c r="H23" s="6">
        <f ca="1">(StockReportTable[[#This Row],[Price @ Date]]-INDEX(_xlfn.STOCKHISTORY(B23,DATE(2025,12,31),E23),2,2))/(INDEX(_xlfn.STOCKHISTORY(B23,EDATE(StockReportTable[[#This Row],[Date]],-12),E23),2,2))</f>
        <v>0.72980203317281966</v>
      </c>
      <c r="I23" s="7">
        <f ca="1">(StockReportTable[[#This Row],[Price @ Date]]-INDEX(_xlfn.STOCKHISTORY(B23,DATE(2025,12,31),E23),2,2))/(INDEX(_xlfn.STOCKHISTORY(B23,EDATE(StockReportTable[[#This Row],[Date]],-36),E23),2,2))</f>
        <v>1.7464788732394367</v>
      </c>
      <c r="J23" s="8" t="str" cm="1">
        <f t="array" ref="J23">IFERROR(_FV(StockReportTable[[#This Row],[Ticker]],"P/E",TRUE),"N/A")</f>
        <v>N/A</v>
      </c>
      <c r="K23" s="9">
        <f>IF(ISNUMBER(StockReportTable[[#This Row],[P/E]]),IF(StockReportTable[[#This Row],[P/E]]&lt;35,1,2),3)</f>
        <v>3</v>
      </c>
      <c r="L23" s="4" t="str" cm="1">
        <f t="array" aca="1" ref="L23" ca="1">_FV(StockReportTable[[#This Row],[Ticker]],"Industry")</f>
        <v>Software &amp; IT Services</v>
      </c>
      <c r="M23" s="18" cm="1">
        <f t="array" aca="1" ref="M23" ca="1">IFERROR(_FV(StockReportTable[[#This Row],[Ticker]],"52 week high",TRUE),"N/A")</f>
        <v>35.75</v>
      </c>
      <c r="N23" s="18" cm="1">
        <f t="array" aca="1" ref="N23" ca="1">IFERROR(_FV(StockReportTable[[#This Row],[Ticker]],"52 week low",TRUE),"N/A")</f>
        <v>14.365</v>
      </c>
      <c r="O23" s="21" cm="1">
        <f t="array" aca="1" ref="O23" ca="1">_FV(StockReportTable[[#This Row],[Ticker]],"Change (%)",TRUE)</f>
        <v>1.4020999999999999E-2</v>
      </c>
      <c r="P23" s="22" t="e" cm="1" vm="2">
        <f t="array" ref="P23">_FV(StockReportTable[[#This Row],[Ticker]],"Market cap",TRUE)</f>
        <v>#VALUE!</v>
      </c>
      <c r="Q23" s="27" cm="1">
        <f t="array" aca="1" ref="Q23" ca="1">_FV(StockReportTable[[#This Row],[Ticker]],"Volume average",TRUE)</f>
        <v>6243132</v>
      </c>
    </row>
    <row r="24" spans="1:17" ht="15">
      <c r="A24" s="4" t="str" cm="1">
        <f t="array" aca="1" ref="A24" ca="1">_FV(StockReportTable[[#This Row],[Ticker]],"Official name",TRUE)</f>
        <v>TEMPUS AI, INC.</v>
      </c>
      <c r="B24" s="4" t="e" vm="24">
        <v>#VALUE!</v>
      </c>
      <c r="C24" s="4" t="str" cm="1">
        <f t="array" aca="1" ref="C24" ca="1">_FV(StockReportTable[[#This Row],[Ticker]],"Exchange")</f>
        <v>Nasdaq Stock Market</v>
      </c>
      <c r="D24" s="4" t="str" cm="1">
        <f t="array" aca="1" ref="D24" ca="1">_FV(StockReportTable[[#This Row],[Ticker]],"Currency")</f>
        <v>USD</v>
      </c>
      <c r="E24" s="5">
        <f t="shared" ca="1" si="0"/>
        <v>46318</v>
      </c>
      <c r="F24" s="33" cm="1">
        <f t="array" aca="1" ref="F24" ca="1">_FV(StockReportTable[[#This Row],[Ticker]],"Price")</f>
        <v>67.614999999999995</v>
      </c>
      <c r="G24" s="6">
        <f ca="1">(StockReportTable[[#This Row],[Price @ Date]]-INDEX(_xlfn.STOCKHISTORY(B24,DATE(2025,12,31),E24),2,2))/(INDEX(_xlfn.STOCKHISTORY(B24,DATE(2025,12,31),E24),2,2))</f>
        <v>0.1450465707027942</v>
      </c>
      <c r="H24" s="6">
        <f ca="1">(StockReportTable[[#This Row],[Price @ Date]]-INDEX(_xlfn.STOCKHISTORY(B24,DATE(2025,12,31),E24),2,2))/(INDEX(_xlfn.STOCKHISTORY(B24,EDATE(StockReportTable[[#This Row],[Date]],-12),E24),2,2))</f>
        <v>9.8408686160739917E-2</v>
      </c>
      <c r="I24" s="7" t="e" vm="25">
        <f ca="1">(StockReportTable[[#This Row],[Price @ Date]]-INDEX(_xlfn.STOCKHISTORY(B24,DATE(2025,12,31),E24),2,2))/(INDEX(_xlfn.STOCKHISTORY(B24,EDATE(StockReportTable[[#This Row],[Date]],-36),E24),2,2))</f>
        <v>#N/A</v>
      </c>
      <c r="J24" s="8" cm="1">
        <f t="array" aca="1" ref="J24" ca="1">IFERROR(_FV(StockReportTable[[#This Row],[Ticker]],"P/E",TRUE),"N/A")</f>
        <v>0</v>
      </c>
      <c r="K24" s="9">
        <v>3</v>
      </c>
      <c r="L24" s="4" t="str" cm="1">
        <f t="array" aca="1" ref="L24" ca="1">_FV(StockReportTable[[#This Row],[Ticker]],"Industry")</f>
        <v>Biotechnology &amp; Medical Research</v>
      </c>
      <c r="M24" s="18" cm="1">
        <f t="array" aca="1" ref="M24" ca="1">IFERROR(_FV(StockReportTable[[#This Row],[Ticker]],"52 week high",TRUE),"N/A")</f>
        <v>93.38</v>
      </c>
      <c r="N24" s="18" cm="1">
        <f t="array" aca="1" ref="N24" ca="1">IFERROR(_FV(StockReportTable[[#This Row],[Ticker]],"52 week low",TRUE),"N/A")</f>
        <v>40.770000000000003</v>
      </c>
      <c r="O24" s="21" cm="1">
        <f t="array" aca="1" ref="O24" ca="1">_FV(StockReportTable[[#This Row],[Ticker]],"Change (%)",TRUE)</f>
        <v>5.9630000000000002E-2</v>
      </c>
      <c r="P24" s="22" t="e" cm="1" vm="2">
        <f t="array" ref="P24">_FV(StockReportTable[[#This Row],[Ticker]],"Market cap",TRUE)</f>
        <v>#VALUE!</v>
      </c>
      <c r="Q24" s="27" cm="1">
        <f t="array" aca="1" ref="Q24" ca="1">_FV(StockReportTable[[#This Row],[Ticker]],"Volume average",TRUE)</f>
        <v>6742500</v>
      </c>
    </row>
    <row r="25" spans="1:17" ht="15">
      <c r="A25" s="4" t="str" cm="1">
        <f t="array" aca="1" ref="A25" ca="1">_FV(StockReportTable[[#This Row],[Ticker]],"Official name",TRUE)</f>
        <v>HIMS &amp; HERS HEALTH, INC.</v>
      </c>
      <c r="B25" s="4" t="e" vm="26">
        <v>#VALUE!</v>
      </c>
      <c r="C25" s="4" t="str" cm="1">
        <f t="array" aca="1" ref="C25" ca="1">_FV(StockReportTable[[#This Row],[Ticker]],"Exchange")</f>
        <v>New York Stock Exchange</v>
      </c>
      <c r="D25" s="4" t="str" cm="1">
        <f t="array" aca="1" ref="D25" ca="1">_FV(StockReportTable[[#This Row],[Ticker]],"Currency")</f>
        <v>USD</v>
      </c>
      <c r="E25" s="5">
        <f t="shared" ca="1" si="0"/>
        <v>46318</v>
      </c>
      <c r="F25" s="33" cm="1">
        <f t="array" aca="1" ref="F25" ca="1">_FV(StockReportTable[[#This Row],[Ticker]],"Price")</f>
        <v>27.71</v>
      </c>
      <c r="G25" s="6">
        <f ca="1">(StockReportTable[[#This Row],[Price @ Date]]-INDEX(_xlfn.STOCKHISTORY(B25,DATE(2025,12,31),E25),2,2))/(INDEX(_xlfn.STOCKHISTORY(B25,DATE(2025,12,31),E25),2,2))</f>
        <v>-0.14659685863874339</v>
      </c>
      <c r="H25" s="6">
        <f ca="1">(StockReportTable[[#This Row],[Price @ Date]]-INDEX(_xlfn.STOCKHISTORY(B25,DATE(2025,12,31),E25),2,2))/(INDEX(_xlfn.STOCKHISTORY(B25,EDATE(StockReportTable[[#This Row],[Date]],-12),E25),2,2))</f>
        <v>-9.8164570014435917E-2</v>
      </c>
      <c r="I25" s="7">
        <f ca="1">(StockReportTable[[#This Row],[Price @ Date]]-INDEX(_xlfn.STOCKHISTORY(B25,DATE(2025,12,31),E25),2,2))/(INDEX(_xlfn.STOCKHISTORY(B25,EDATE(StockReportTable[[#This Row],[Date]],-36),E25),2,2))</f>
        <v>-0.76898222940226135</v>
      </c>
      <c r="J25" s="8" t="str" cm="1">
        <f t="array" ref="J25">IFERROR(_FV(StockReportTable[[#This Row],[Ticker]],"P/E",TRUE),"N/A")</f>
        <v>N/A</v>
      </c>
      <c r="K25" s="9">
        <v>3</v>
      </c>
      <c r="L25" s="4" t="str" cm="1">
        <f t="array" aca="1" ref="L25" ca="1">_FV(StockReportTable[[#This Row],[Ticker]],"Industry")</f>
        <v>Healthcare Providers &amp; Services</v>
      </c>
      <c r="M25" s="18" cm="1">
        <f t="array" aca="1" ref="M25" ca="1">IFERROR(_FV(StockReportTable[[#This Row],[Ticker]],"52 week high",TRUE),"N/A")</f>
        <v>50.99</v>
      </c>
      <c r="N25" s="18" cm="1">
        <f t="array" aca="1" ref="N25" ca="1">IFERROR(_FV(StockReportTable[[#This Row],[Ticker]],"52 week low",TRUE),"N/A")</f>
        <v>13.74</v>
      </c>
      <c r="O25" s="21" cm="1">
        <f t="array" aca="1" ref="O25" ca="1">_FV(StockReportTable[[#This Row],[Ticker]],"Change (%)",TRUE)</f>
        <v>-4.8746999999999999E-2</v>
      </c>
      <c r="P25" s="22" t="e" cm="1" vm="2">
        <f t="array" ref="P25">_FV(StockReportTable[[#This Row],[Ticker]],"Market cap",TRUE)</f>
        <v>#VALUE!</v>
      </c>
      <c r="Q25" s="27" cm="1">
        <f t="array" aca="1" ref="Q25" ca="1">_FV(StockReportTable[[#This Row],[Ticker]],"Volume average",TRUE)</f>
        <v>10396731</v>
      </c>
    </row>
    <row r="26" spans="1:17" ht="15">
      <c r="A26" s="4" t="str" cm="1">
        <f t="array" aca="1" ref="A26" ca="1">_FV(StockReportTable[[#This Row],[Ticker]],"Official name",TRUE)</f>
        <v>VERTIV HOLDINGS CO</v>
      </c>
      <c r="B26" s="4" t="e" vm="27">
        <v>#VALUE!</v>
      </c>
      <c r="C26" s="4" t="str" cm="1">
        <f t="array" aca="1" ref="C26" ca="1">_FV(StockReportTable[[#This Row],[Ticker]],"Exchange")</f>
        <v>New York Stock Exchange</v>
      </c>
      <c r="D26" s="4" t="str" cm="1">
        <f t="array" aca="1" ref="D26" ca="1">_FV(StockReportTable[[#This Row],[Ticker]],"Currency")</f>
        <v>USD</v>
      </c>
      <c r="E26" s="5">
        <f t="shared" ca="1" si="0"/>
        <v>46318</v>
      </c>
      <c r="F26" s="33" cm="1">
        <f t="array" aca="1" ref="F26" ca="1">_FV(StockReportTable[[#This Row],[Ticker]],"Price")</f>
        <v>194.32</v>
      </c>
      <c r="G26" s="6">
        <f ca="1">(StockReportTable[[#This Row],[Price @ Date]]-INDEX(_xlfn.STOCKHISTORY(B26,DATE(2025,12,31),E26),2,2))/(INDEX(_xlfn.STOCKHISTORY(B26,DATE(2025,12,31),E26),2,2))</f>
        <v>0.1994321338189001</v>
      </c>
      <c r="H26" s="6">
        <f ca="1">(StockReportTable[[#This Row],[Price @ Date]]-INDEX(_xlfn.STOCKHISTORY(B26,DATE(2025,12,31),E26),2,2))/(INDEX(_xlfn.STOCKHISTORY(B26,EDATE(StockReportTable[[#This Row],[Date]],-12),E26),2,2))</f>
        <v>0.17636462882096071</v>
      </c>
      <c r="I26" s="7">
        <f ca="1">(StockReportTable[[#This Row],[Price @ Date]]-INDEX(_xlfn.STOCKHISTORY(B26,DATE(2025,12,31),E26),2,2))/(INDEX(_xlfn.STOCKHISTORY(B26,EDATE(StockReportTable[[#This Row],[Date]],-36),E26),2,2))</f>
        <v>0.86645213193885773</v>
      </c>
      <c r="J26" s="8" cm="1">
        <f t="array" aca="1" ref="J26" ca="1">IFERROR(_FV(StockReportTable[[#This Row],[Ticker]],"P/E",TRUE),"N/A")</f>
        <v>44.2622</v>
      </c>
      <c r="K26" s="9">
        <f ca="1">IF(ISNUMBER(StockReportTable[[#This Row],[P/E]]),IF(StockReportTable[[#This Row],[P/E]]&lt;35,1,2),3)</f>
        <v>2</v>
      </c>
      <c r="L26" s="4" t="str" cm="1">
        <f t="array" aca="1" ref="L26" ca="1">_FV(StockReportTable[[#This Row],[Ticker]],"Industry")</f>
        <v>Machinery, Equipment &amp; Components</v>
      </c>
      <c r="M26" s="18" cm="1">
        <f t="array" aca="1" ref="M26" ca="1">IFERROR(_FV(StockReportTable[[#This Row],[Ticker]],"52 week high",TRUE),"N/A")</f>
        <v>379.935</v>
      </c>
      <c r="N26" s="18" cm="1">
        <f t="array" aca="1" ref="N26" ca="1">IFERROR(_FV(StockReportTable[[#This Row],[Ticker]],"52 week low",TRUE),"N/A")</f>
        <v>147.82</v>
      </c>
      <c r="O26" s="21" cm="1">
        <f t="array" aca="1" ref="O26" ca="1">_FV(StockReportTable[[#This Row],[Ticker]],"Change (%)",TRUE)</f>
        <v>-6.4929999999999996E-3</v>
      </c>
      <c r="P26" s="22" t="e" cm="1" vm="2">
        <f t="array" ref="P26">_FV(StockReportTable[[#This Row],[Ticker]],"Market cap",TRUE)</f>
        <v>#VALUE!</v>
      </c>
      <c r="Q26" s="27" cm="1">
        <f t="array" aca="1" ref="Q26" ca="1">_FV(StockReportTable[[#This Row],[Ticker]],"Volume average",TRUE)</f>
        <v>5265947</v>
      </c>
    </row>
    <row r="27" spans="1:17" ht="15">
      <c r="A27" s="4" t="str" cm="1">
        <f t="array" aca="1" ref="A27" ca="1">_FV(StockReportTable[[#This Row],[Ticker]],"Official name",TRUE)</f>
        <v>Jumia Technologies AG</v>
      </c>
      <c r="B27" s="4" t="e" vm="28">
        <v>#VALUE!</v>
      </c>
      <c r="C27" s="4" t="str" cm="1">
        <f t="array" aca="1" ref="C27" ca="1">_FV(StockReportTable[[#This Row],[Ticker]],"Exchange")</f>
        <v>New York Stock Exchange</v>
      </c>
      <c r="D27" s="4" t="str" cm="1">
        <f t="array" aca="1" ref="D27" ca="1">_FV(StockReportTable[[#This Row],[Ticker]],"Currency")</f>
        <v>USD</v>
      </c>
      <c r="E27" s="5">
        <f t="shared" ca="1" si="0"/>
        <v>46318</v>
      </c>
      <c r="F27" s="33" cm="1">
        <f t="array" aca="1" ref="F27" ca="1">_FV(StockReportTable[[#This Row],[Ticker]],"Price")</f>
        <v>5.7</v>
      </c>
      <c r="G27" s="6">
        <f ca="1">(StockReportTable[[#This Row],[Price @ Date]]-INDEX(_xlfn.STOCKHISTORY(B27,DATE(2025,12,31),E27),2,2))/(INDEX(_xlfn.STOCKHISTORY(B27,DATE(2025,12,31),E27),2,2))</f>
        <v>-0.54363490792634106</v>
      </c>
      <c r="H27" s="6">
        <f ca="1">(StockReportTable[[#This Row],[Price @ Date]]-INDEX(_xlfn.STOCKHISTORY(B27,DATE(2025,12,31),E27),2,2))/(INDEX(_xlfn.STOCKHISTORY(B27,EDATE(StockReportTable[[#This Row],[Date]],-12),E27),2,2))</f>
        <v>-0.63517305893358278</v>
      </c>
      <c r="I27" s="7">
        <f ca="1">(StockReportTable[[#This Row],[Price @ Date]]-INDEX(_xlfn.STOCKHISTORY(B27,DATE(2025,12,31),E27),2,2))/(INDEX(_xlfn.STOCKHISTORY(B27,EDATE(StockReportTable[[#This Row],[Date]],-36),E27),2,2))</f>
        <v>-2.9521739130434783</v>
      </c>
      <c r="J27" s="8" t="str" cm="1">
        <f t="array" ref="J27">IFERROR(_FV(StockReportTable[[#This Row],[Ticker]],"P/E",TRUE),"N/A")</f>
        <v>N/A</v>
      </c>
      <c r="K27" s="9">
        <v>3</v>
      </c>
      <c r="L27" s="4" t="str" cm="1">
        <f t="array" aca="1" ref="L27" ca="1">_FV(StockReportTable[[#This Row],[Ticker]],"Industry")</f>
        <v>Software &amp; IT Services</v>
      </c>
      <c r="M27" s="18" cm="1">
        <f t="array" aca="1" ref="M27" ca="1">IFERROR(_FV(StockReportTable[[#This Row],[Ticker]],"52 week high",TRUE),"N/A")</f>
        <v>14.72</v>
      </c>
      <c r="N27" s="18" cm="1">
        <f t="array" aca="1" ref="N27" ca="1">IFERROR(_FV(StockReportTable[[#This Row],[Ticker]],"52 week low",TRUE),"N/A")</f>
        <v>5.585</v>
      </c>
      <c r="O27" s="21" cm="1">
        <f t="array" aca="1" ref="O27" ca="1">_FV(StockReportTable[[#This Row],[Ticker]],"Change (%)",TRUE)</f>
        <v>-3.5533000000000002E-2</v>
      </c>
      <c r="P27" s="22" t="e" cm="1" vm="2">
        <f t="array" ref="P27">_FV(StockReportTable[[#This Row],[Ticker]],"Market cap",TRUE)</f>
        <v>#VALUE!</v>
      </c>
      <c r="Q27" s="27" cm="1">
        <f t="array" aca="1" ref="Q27" ca="1">_FV(StockReportTable[[#This Row],[Ticker]],"Volume average",TRUE)</f>
        <v>1363079</v>
      </c>
    </row>
    <row r="28" spans="1:17" ht="15">
      <c r="A28" s="4" t="str" cm="1">
        <f t="array" aca="1" ref="A28" ca="1">_FV(StockReportTable[[#This Row],[Ticker]],"Official name",TRUE)</f>
        <v>ESTABLISHMENT LABS HOLDINGS INC.</v>
      </c>
      <c r="B28" s="4" t="e" vm="29">
        <v>#VALUE!</v>
      </c>
      <c r="C28" s="4" t="str" cm="1">
        <f t="array" aca="1" ref="C28" ca="1">_FV(StockReportTable[[#This Row],[Ticker]],"Exchange")</f>
        <v>Nasdaq Stock Market</v>
      </c>
      <c r="D28" s="4" t="str" cm="1">
        <f t="array" aca="1" ref="D28" ca="1">_FV(StockReportTable[[#This Row],[Ticker]],"Currency")</f>
        <v>USD</v>
      </c>
      <c r="E28" s="5">
        <f t="shared" ca="1" si="0"/>
        <v>46318</v>
      </c>
      <c r="F28" s="33" cm="1">
        <f t="array" aca="1" ref="F28" ca="1">_FV(StockReportTable[[#This Row],[Ticker]],"Price")</f>
        <v>63.8</v>
      </c>
      <c r="G28" s="6">
        <f ca="1">(StockReportTable[[#This Row],[Price @ Date]]-INDEX(_xlfn.STOCKHISTORY(B28,DATE(2025,12,31),E28),2,2))/(INDEX(_xlfn.STOCKHISTORY(B28,DATE(2025,12,31),E28),2,2))</f>
        <v>-0.12458836443468714</v>
      </c>
      <c r="H28" s="6">
        <f ca="1">(StockReportTable[[#This Row],[Price @ Date]]-INDEX(_xlfn.STOCKHISTORY(B28,DATE(2025,12,31),E28),2,2))/(INDEX(_xlfn.STOCKHISTORY(B28,EDATE(StockReportTable[[#This Row],[Date]],-12),E28),2,2))</f>
        <v>-0.18310143174027016</v>
      </c>
      <c r="I28" s="7">
        <f ca="1">(StockReportTable[[#This Row],[Price @ Date]]-INDEX(_xlfn.STOCKHISTORY(B28,DATE(2025,12,31),E28),2,2))/(INDEX(_xlfn.STOCKHISTORY(B28,EDATE(StockReportTable[[#This Row],[Date]],-36),E28),2,2))</f>
        <v>-0.27023809523809517</v>
      </c>
      <c r="J28" s="8" cm="1">
        <f t="array" aca="1" ref="J28" ca="1">IFERROR(_FV(StockReportTable[[#This Row],[Ticker]],"P/E",TRUE),"N/A")</f>
        <v>0</v>
      </c>
      <c r="K28" s="9">
        <v>3</v>
      </c>
      <c r="L28" s="4" t="str" cm="1">
        <f t="array" aca="1" ref="L28" ca="1">_FV(StockReportTable[[#This Row],[Ticker]],"Industry")</f>
        <v>Healthcare Equipment &amp; Supplies</v>
      </c>
      <c r="M28" s="18" cm="1">
        <f t="array" aca="1" ref="M28" ca="1">IFERROR(_FV(StockReportTable[[#This Row],[Ticker]],"52 week high",TRUE),"N/A")</f>
        <v>97.59</v>
      </c>
      <c r="N28" s="18" cm="1">
        <f t="array" aca="1" ref="N28" ca="1">IFERROR(_FV(StockReportTable[[#This Row],[Ticker]],"52 week low",TRUE),"N/A")</f>
        <v>47</v>
      </c>
      <c r="O28" s="21" cm="1">
        <f t="array" aca="1" ref="O28" ca="1">_FV(StockReportTable[[#This Row],[Ticker]],"Change (%)",TRUE)</f>
        <v>4.4080000000000005E-3</v>
      </c>
      <c r="P28" s="22" t="e" cm="1" vm="2">
        <f t="array" ref="P28">_FV(StockReportTable[[#This Row],[Ticker]],"Market cap",TRUE)</f>
        <v>#VALUE!</v>
      </c>
      <c r="Q28" s="27" cm="1">
        <f t="array" aca="1" ref="Q28" ca="1">_FV(StockReportTable[[#This Row],[Ticker]],"Volume average",TRUE)</f>
        <v>399043</v>
      </c>
    </row>
    <row r="29" spans="1:17" ht="15">
      <c r="A29" s="4" t="str" cm="1">
        <f t="array" aca="1" ref="A29" ca="1">_FV(StockReportTable[[#This Row],[Ticker]],"Official name",TRUE)</f>
        <v>IONQ, INC.</v>
      </c>
      <c r="B29" s="4" t="e" vm="30">
        <v>#VALUE!</v>
      </c>
      <c r="C29" s="4" t="str" cm="1">
        <f t="array" aca="1" ref="C29" ca="1">_FV(StockReportTable[[#This Row],[Ticker]],"Exchange")</f>
        <v>New York Stock Exchange</v>
      </c>
      <c r="D29" s="4" t="str" cm="1">
        <f t="array" aca="1" ref="D29" ca="1">_FV(StockReportTable[[#This Row],[Ticker]],"Currency")</f>
        <v>USD</v>
      </c>
      <c r="E29" s="5">
        <f t="shared" ca="1" si="0"/>
        <v>46318</v>
      </c>
      <c r="F29" s="33" cm="1">
        <f t="array" aca="1" ref="F29" ca="1">_FV(StockReportTable[[#This Row],[Ticker]],"Price")</f>
        <v>31.27</v>
      </c>
      <c r="G29" s="6">
        <f ca="1">(StockReportTable[[#This Row],[Price @ Date]]-INDEX(_xlfn.STOCKHISTORY(B29,DATE(2025,12,31),E29),2,2))/(INDEX(_xlfn.STOCKHISTORY(B29,DATE(2025,12,31),E29),2,2))</f>
        <v>-0.30309783819924224</v>
      </c>
      <c r="H29" s="6">
        <f ca="1">(StockReportTable[[#This Row],[Price @ Date]]-INDEX(_xlfn.STOCKHISTORY(B29,DATE(2025,12,31),E29),2,2))/(INDEX(_xlfn.STOCKHISTORY(B29,EDATE(StockReportTable[[#This Row],[Date]],-12),E29),2,2))</f>
        <v>-0.22907192184605016</v>
      </c>
      <c r="I29" s="7">
        <f ca="1">(StockReportTable[[#This Row],[Price @ Date]]-INDEX(_xlfn.STOCKHISTORY(B29,DATE(2025,12,31),E29),2,2))/(INDEX(_xlfn.STOCKHISTORY(B29,EDATE(StockReportTable[[#This Row],[Date]],-36),E29),2,2))</f>
        <v>-1.0759493670886073</v>
      </c>
      <c r="J29" s="8" t="str" cm="1">
        <f t="array" ref="J29">IFERROR(_FV(StockReportTable[[#This Row],[Ticker]],"P/E",TRUE),"N/A")</f>
        <v>N/A</v>
      </c>
      <c r="K29" s="9">
        <f>IF(ISNUMBER(StockReportTable[[#This Row],[P/E]]),IF(StockReportTable[[#This Row],[P/E]]&lt;35,1,2),3)</f>
        <v>3</v>
      </c>
      <c r="L29" s="4" t="str" cm="1">
        <f t="array" aca="1" ref="L29" ca="1">_FV(StockReportTable[[#This Row],[Ticker]],"Industry")</f>
        <v>Computers, Phones &amp; Household Electronics</v>
      </c>
      <c r="M29" s="18" cm="1">
        <f t="array" aca="1" ref="M29" ca="1">IFERROR(_FV(StockReportTable[[#This Row],[Ticker]],"52 week high",TRUE),"N/A")</f>
        <v>73.650000000000006</v>
      </c>
      <c r="N29" s="18" cm="1">
        <f t="array" aca="1" ref="N29" ca="1">IFERROR(_FV(StockReportTable[[#This Row],[Ticker]],"52 week low",TRUE),"N/A")</f>
        <v>25.89</v>
      </c>
      <c r="O29" s="21" cm="1">
        <f t="array" aca="1" ref="O29" ca="1">_FV(StockReportTable[[#This Row],[Ticker]],"Change (%)",TRUE)</f>
        <v>3.5299999999999997E-3</v>
      </c>
      <c r="P29" s="22" cm="1">
        <f t="array" aca="1" ref="P29" ca="1">_FV(StockReportTable[[#This Row],[Ticker]],"Market cap",TRUE)</f>
        <v>13427578779</v>
      </c>
      <c r="Q29" s="27" cm="1">
        <f t="array" aca="1" ref="Q29" ca="1">_FV(StockReportTable[[#This Row],[Ticker]],"Volume average",TRUE)</f>
        <v>26339638</v>
      </c>
    </row>
    <row r="30" spans="1:17" ht="15">
      <c r="A30" s="4" t="str" cm="1">
        <f t="array" aca="1" ref="A30" ca="1">_FV(StockReportTable[[#This Row],[Ticker]],"Official name",TRUE)</f>
        <v>RIGETTI COMPUTING, INC.</v>
      </c>
      <c r="B30" s="4" t="e" vm="31">
        <v>#VALUE!</v>
      </c>
      <c r="C30" s="4" t="str" cm="1">
        <f t="array" aca="1" ref="C30" ca="1">_FV(StockReportTable[[#This Row],[Ticker]],"Exchange")</f>
        <v>Nasdaq Stock Market</v>
      </c>
      <c r="D30" s="4" t="str" cm="1">
        <f t="array" aca="1" ref="D30" ca="1">_FV(StockReportTable[[#This Row],[Ticker]],"Currency")</f>
        <v>USD</v>
      </c>
      <c r="E30" s="5">
        <f t="shared" ca="1" si="0"/>
        <v>46318</v>
      </c>
      <c r="F30" s="33" cm="1">
        <f t="array" aca="1" ref="F30" ca="1">_FV(StockReportTable[[#This Row],[Ticker]],"Price")</f>
        <v>11.52</v>
      </c>
      <c r="G30" s="6">
        <f ca="1">(StockReportTable[[#This Row],[Price @ Date]]-INDEX(_xlfn.STOCKHISTORY(B30,DATE(2025,12,31),E30),2,2))/(INDEX(_xlfn.STOCKHISTORY(B30,DATE(2025,12,31),E30),2,2))</f>
        <v>-0.47990970654627541</v>
      </c>
      <c r="H30" s="6">
        <f ca="1">(StockReportTable[[#This Row],[Price @ Date]]-INDEX(_xlfn.STOCKHISTORY(B30,DATE(2025,12,31),E30),2,2))/(INDEX(_xlfn.STOCKHISTORY(B30,EDATE(StockReportTable[[#This Row],[Date]],-12),E30),2,2))</f>
        <v>-0.26846824093951255</v>
      </c>
      <c r="I30" s="7">
        <f ca="1">(StockReportTable[[#This Row],[Price @ Date]]-INDEX(_xlfn.STOCKHISTORY(B30,DATE(2025,12,31),E30),2,2))/(INDEX(_xlfn.STOCKHISTORY(B30,EDATE(StockReportTable[[#This Row],[Date]],-36),E30),2,2))</f>
        <v>-9.1637931034482758</v>
      </c>
      <c r="J30" s="8" cm="1">
        <f t="array" aca="1" ref="J30" ca="1">IFERROR(_FV(StockReportTable[[#This Row],[Ticker]],"P/E",TRUE),"N/A")</f>
        <v>0</v>
      </c>
      <c r="K30" s="9">
        <v>3</v>
      </c>
      <c r="L30" s="4" t="str" cm="1">
        <f t="array" aca="1" ref="L30" ca="1">_FV(StockReportTable[[#This Row],[Ticker]],"Industry")</f>
        <v>Semiconductors &amp; Semiconductor Equipment</v>
      </c>
      <c r="M30" s="18" cm="1">
        <f t="array" aca="1" ref="M30" ca="1">IFERROR(_FV(StockReportTable[[#This Row],[Ticker]],"52 week high",TRUE),"N/A")</f>
        <v>44.52</v>
      </c>
      <c r="N30" s="18" cm="1">
        <f t="array" aca="1" ref="N30" ca="1">IFERROR(_FV(StockReportTable[[#This Row],[Ticker]],"52 week low",TRUE),"N/A")</f>
        <v>11.11</v>
      </c>
      <c r="O30" s="21" cm="1">
        <f t="array" aca="1" ref="O30" ca="1">_FV(StockReportTable[[#This Row],[Ticker]],"Change (%)",TRUE)</f>
        <v>3.4839999999999997E-3</v>
      </c>
      <c r="P30" s="22" cm="1">
        <f t="array" aca="1" ref="P30" ca="1">_FV(StockReportTable[[#This Row],[Ticker]],"Market cap",TRUE)</f>
        <v>3845015424</v>
      </c>
      <c r="Q30" s="27" cm="1">
        <f t="array" aca="1" ref="Q30" ca="1">_FV(StockReportTable[[#This Row],[Ticker]],"Volume average",TRUE)</f>
        <v>15651683</v>
      </c>
    </row>
    <row r="31" spans="1:17" ht="15">
      <c r="A31" s="4" t="str" cm="1">
        <f t="array" aca="1" ref="A31" ca="1">_FV(StockReportTable[[#This Row],[Ticker]],"Official name",TRUE)</f>
        <v>D-WAVE QUANTUM INC.</v>
      </c>
      <c r="B31" s="4" t="e" vm="32">
        <v>#VALUE!</v>
      </c>
      <c r="C31" s="4" t="str" cm="1">
        <f t="array" aca="1" ref="C31" ca="1">_FV(StockReportTable[[#This Row],[Ticker]],"Exchange")</f>
        <v>Nasdaq Stock Market</v>
      </c>
      <c r="D31" s="4" t="str" cm="1">
        <f t="array" aca="1" ref="D31" ca="1">_FV(StockReportTable[[#This Row],[Ticker]],"Currency")</f>
        <v>USD</v>
      </c>
      <c r="E31" s="5">
        <f t="shared" ca="1" si="0"/>
        <v>46318</v>
      </c>
      <c r="F31" s="33" cm="1">
        <f t="array" aca="1" ref="F31" ca="1">_FV(StockReportTable[[#This Row],[Ticker]],"Price")</f>
        <v>11.66</v>
      </c>
      <c r="G31" s="6">
        <f ca="1">(StockReportTable[[#This Row],[Price @ Date]]-INDEX(_xlfn.STOCKHISTORY(B31,DATE(2025,12,31),E31),2,2))/(INDEX(_xlfn.STOCKHISTORY(B31,DATE(2025,12,31),E31),2,2))</f>
        <v>-0.55411089866156782</v>
      </c>
      <c r="H31" s="6">
        <f ca="1">(StockReportTable[[#This Row],[Price @ Date]]-INDEX(_xlfn.STOCKHISTORY(B31,DATE(2025,12,31),E31),2,2))/(INDEX(_xlfn.STOCKHISTORY(B31,EDATE(StockReportTable[[#This Row],[Date]],-12),E31),2,2))</f>
        <v>-0.46651641983258207</v>
      </c>
      <c r="I31" s="7">
        <f ca="1">(StockReportTable[[#This Row],[Price @ Date]]-INDEX(_xlfn.STOCKHISTORY(B31,DATE(2025,12,31),E31),2,2))/(INDEX(_xlfn.STOCKHISTORY(B31,EDATE(StockReportTable[[#This Row],[Date]],-36),E31),2,2))</f>
        <v>-18.696774193548386</v>
      </c>
      <c r="J31" s="8" cm="1">
        <f t="array" aca="1" ref="J31" ca="1">IFERROR(_FV(StockReportTable[[#This Row],[Ticker]],"P/E",TRUE),"N/A")</f>
        <v>0</v>
      </c>
      <c r="K31" s="9">
        <v>3</v>
      </c>
      <c r="L31" s="4" t="str" cm="1">
        <f t="array" aca="1" ref="L31" ca="1">_FV(StockReportTable[[#This Row],[Ticker]],"Industry")</f>
        <v>Software &amp; IT Services</v>
      </c>
      <c r="M31" s="18" cm="1">
        <f t="array" aca="1" ref="M31" ca="1">IFERROR(_FV(StockReportTable[[#This Row],[Ticker]],"52 week high",TRUE),"N/A")</f>
        <v>37.619999999999997</v>
      </c>
      <c r="N31" s="18" cm="1">
        <f t="array" aca="1" ref="N31" ca="1">IFERROR(_FV(StockReportTable[[#This Row],[Ticker]],"52 week low",TRUE),"N/A")</f>
        <v>11.26</v>
      </c>
      <c r="O31" s="21" cm="1">
        <f t="array" aca="1" ref="O31" ca="1">_FV(StockReportTable[[#This Row],[Ticker]],"Change (%)",TRUE)</f>
        <v>2.5800000000000003E-3</v>
      </c>
      <c r="P31" s="22" cm="1">
        <f t="array" aca="1" ref="P31" ca="1">_FV(StockReportTable[[#This Row],[Ticker]],"Market cap",TRUE)</f>
        <v>4426446156</v>
      </c>
      <c r="Q31" s="27" cm="1">
        <f t="array" aca="1" ref="Q31" ca="1">_FV(StockReportTable[[#This Row],[Ticker]],"Volume average",TRUE)</f>
        <v>15866579</v>
      </c>
    </row>
    <row r="32" spans="1:17" ht="15">
      <c r="A32" s="4" t="str" cm="1">
        <f t="array" aca="1" ref="A32" ca="1">_FV(StockReportTable[[#This Row],[Ticker]],"Official name",TRUE)</f>
        <v>GE VERNOVA INC.</v>
      </c>
      <c r="B32" s="4" t="e" vm="33">
        <v>#VALUE!</v>
      </c>
      <c r="C32" s="4" t="str" cm="1">
        <f t="array" aca="1" ref="C32" ca="1">_FV(StockReportTable[[#This Row],[Ticker]],"Exchange")</f>
        <v>New York Stock Exchange</v>
      </c>
      <c r="D32" s="4" t="str" cm="1">
        <f t="array" aca="1" ref="D32" ca="1">_FV(StockReportTable[[#This Row],[Ticker]],"Currency")</f>
        <v>USD</v>
      </c>
      <c r="E32" s="5">
        <f t="shared" ca="1" si="0"/>
        <v>46318</v>
      </c>
      <c r="F32" s="33" cm="1">
        <f t="array" aca="1" ref="F32" ca="1">_FV(StockReportTable[[#This Row],[Ticker]],"Price")</f>
        <v>815</v>
      </c>
      <c r="G32" s="6">
        <f ca="1">(StockReportTable[[#This Row],[Price @ Date]]-INDEX(_xlfn.STOCKHISTORY(B32,DATE(2025,12,31),E32),2,2))/(INDEX(_xlfn.STOCKHISTORY(B32,DATE(2025,12,31),E32),2,2))</f>
        <v>0.24699726119619925</v>
      </c>
      <c r="H32" s="6">
        <f ca="1">(StockReportTable[[#This Row],[Price @ Date]]-INDEX(_xlfn.STOCKHISTORY(B32,DATE(2025,12,31),E32),2,2))/(INDEX(_xlfn.STOCKHISTORY(B32,EDATE(StockReportTable[[#This Row],[Date]],-12),E32),2,2))</f>
        <v>0.2712425438964966</v>
      </c>
      <c r="I32" s="7" t="e" vm="25">
        <f ca="1">(StockReportTable[[#This Row],[Price @ Date]]-INDEX(_xlfn.STOCKHISTORY(B32,DATE(2025,12,31),E32),2,2))/(INDEX(_xlfn.STOCKHISTORY(B32,EDATE(StockReportTable[[#This Row],[Date]],-36),E32),2,2))</f>
        <v>#N/A</v>
      </c>
      <c r="J32" s="8" cm="1">
        <f t="array" aca="1" ref="J32" ca="1">IFERROR(_FV(StockReportTable[[#This Row],[Ticker]],"P/E",TRUE),"N/A")</f>
        <v>23.651499999999999</v>
      </c>
      <c r="K32" s="9">
        <f ca="1">IF(ISNUMBER(StockReportTable[[#This Row],[P/E]]),IF(StockReportTable[[#This Row],[P/E]]&lt;35,1,2),3)</f>
        <v>1</v>
      </c>
      <c r="L32" s="4" t="str" cm="1">
        <f t="array" aca="1" ref="L32" ca="1">_FV(StockReportTable[[#This Row],[Ticker]],"Industry")</f>
        <v>Electrical Utilities &amp; IPPs</v>
      </c>
      <c r="M32" s="18" cm="1">
        <f t="array" aca="1" ref="M32" ca="1">IFERROR(_FV(StockReportTable[[#This Row],[Ticker]],"52 week high",TRUE),"N/A")</f>
        <v>1195.94</v>
      </c>
      <c r="N32" s="18" cm="1">
        <f t="array" aca="1" ref="N32" ca="1">IFERROR(_FV(StockReportTable[[#This Row],[Ticker]],"52 week low",TRUE),"N/A")</f>
        <v>530.16</v>
      </c>
      <c r="O32" s="21" cm="1">
        <f t="array" aca="1" ref="O32" ca="1">_FV(StockReportTable[[#This Row],[Ticker]],"Change (%)",TRUE)</f>
        <v>-1.5011000000000002E-2</v>
      </c>
      <c r="P32" s="22" t="e" cm="1" vm="2">
        <f t="array" ref="P32">_FV(StockReportTable[[#This Row],[Ticker]],"Market cap",TRUE)</f>
        <v>#VALUE!</v>
      </c>
      <c r="Q32" s="27" cm="1">
        <f t="array" aca="1" ref="Q32" ca="1">_FV(StockReportTable[[#This Row],[Ticker]],"Volume average",TRUE)</f>
        <v>2397888</v>
      </c>
    </row>
    <row r="33" spans="1:17" ht="15">
      <c r="A33" s="4" t="str" cm="1">
        <f t="array" aca="1" ref="A33" ca="1">_FV(StockReportTable[[#This Row],[Ticker]],"Official name",TRUE)</f>
        <v>CONSTELLATION ENERGY CORPORATION.</v>
      </c>
      <c r="B33" s="4" t="e" vm="34">
        <v>#VALUE!</v>
      </c>
      <c r="C33" s="4" t="str" cm="1">
        <f t="array" aca="1" ref="C33" ca="1">_FV(StockReportTable[[#This Row],[Ticker]],"Exchange")</f>
        <v>Nasdaq Stock Market</v>
      </c>
      <c r="D33" s="4" t="str" cm="1">
        <f t="array" aca="1" ref="D33" ca="1">_FV(StockReportTable[[#This Row],[Ticker]],"Currency")</f>
        <v>USD</v>
      </c>
      <c r="E33" s="5">
        <f t="shared" ca="1" si="0"/>
        <v>46318</v>
      </c>
      <c r="F33" s="33" cm="1">
        <f t="array" aca="1" ref="F33" ca="1">_FV(StockReportTable[[#This Row],[Ticker]],"Price")</f>
        <v>253.45</v>
      </c>
      <c r="G33" s="6">
        <f ca="1">(StockReportTable[[#This Row],[Price @ Date]]-INDEX(_xlfn.STOCKHISTORY(B33,DATE(2025,12,31),E33),2,2))/(INDEX(_xlfn.STOCKHISTORY(B33,DATE(2025,12,31),E33),2,2))</f>
        <v>-0.28256008152404677</v>
      </c>
      <c r="H33" s="6">
        <f ca="1">(StockReportTable[[#This Row],[Price @ Date]]-INDEX(_xlfn.STOCKHISTORY(B33,DATE(2025,12,31),E33),2,2))/(INDEX(_xlfn.STOCKHISTORY(B33,EDATE(StockReportTable[[#This Row],[Date]],-12),E33),2,2))</f>
        <v>-0.27288135593220336</v>
      </c>
      <c r="I33" s="7">
        <f ca="1">(StockReportTable[[#This Row],[Price @ Date]]-INDEX(_xlfn.STOCKHISTORY(B33,DATE(2025,12,31),E33),2,2))/(INDEX(_xlfn.STOCKHISTORY(B33,EDATE(StockReportTable[[#This Row],[Date]],-36),E33),2,2))</f>
        <v>-0.89037552403889031</v>
      </c>
      <c r="J33" s="8" cm="1">
        <f t="array" aca="1" ref="J33" ca="1">IFERROR(_FV(StockReportTable[[#This Row],[Ticker]],"P/E",TRUE),"N/A")</f>
        <v>24.865600000000001</v>
      </c>
      <c r="K33" s="9">
        <f ca="1">IF(ISNUMBER(StockReportTable[[#This Row],[P/E]]),IF(StockReportTable[[#This Row],[P/E]]&lt;35,1,2),3)</f>
        <v>1</v>
      </c>
      <c r="L33" s="4" t="str" cm="1">
        <f t="array" aca="1" ref="L33" ca="1">_FV(StockReportTable[[#This Row],[Ticker]],"Industry")</f>
        <v>Electrical Utilities &amp; IPPs</v>
      </c>
      <c r="M33" s="18" cm="1">
        <f t="array" aca="1" ref="M33" ca="1">IFERROR(_FV(StockReportTable[[#This Row],[Ticker]],"52 week high",TRUE),"N/A")</f>
        <v>406.04250000000002</v>
      </c>
      <c r="N33" s="18" cm="1">
        <f t="array" aca="1" ref="N33" ca="1">IFERROR(_FV(StockReportTable[[#This Row],[Ticker]],"52 week low",TRUE),"N/A")</f>
        <v>228.63</v>
      </c>
      <c r="O33" s="21" cm="1">
        <f t="array" aca="1" ref="O33" ca="1">_FV(StockReportTable[[#This Row],[Ticker]],"Change (%)",TRUE)</f>
        <v>-6.8960000000000002E-3</v>
      </c>
      <c r="P33" s="22" cm="1">
        <f t="array" aca="1" ref="P33" ca="1">_FV(StockReportTable[[#This Row],[Ticker]],"Market cap",TRUE)</f>
        <v>89799210530</v>
      </c>
      <c r="Q33" s="27" cm="1">
        <f t="array" aca="1" ref="Q33" ca="1">_FV(StockReportTable[[#This Row],[Ticker]],"Volume average",TRUE)</f>
        <v>4042739</v>
      </c>
    </row>
    <row r="34" spans="1:17" ht="15">
      <c r="A34" s="4" t="str" cm="1">
        <f t="array" aca="1" ref="A34" ca="1">_FV(StockReportTable[[#This Row],[Ticker]],"Official name",TRUE)</f>
        <v>OKLO INC.</v>
      </c>
      <c r="B34" s="4" t="e" vm="35">
        <v>#VALUE!</v>
      </c>
      <c r="C34" s="4" t="str" cm="1">
        <f t="array" aca="1" ref="C34" ca="1">_FV(StockReportTable[[#This Row],[Ticker]],"Exchange")</f>
        <v>New York Stock Exchange</v>
      </c>
      <c r="D34" s="4" t="str" cm="1">
        <f t="array" aca="1" ref="D34" ca="1">_FV(StockReportTable[[#This Row],[Ticker]],"Currency")</f>
        <v>USD</v>
      </c>
      <c r="E34" s="5">
        <f t="shared" ref="E34:E51" ca="1" si="1">WORKDAY(TODAY()+1,-1)</f>
        <v>46318</v>
      </c>
      <c r="F34" s="33" cm="1">
        <f t="array" aca="1" ref="F34" ca="1">_FV(StockReportTable[[#This Row],[Ticker]],"Price")</f>
        <v>26.35</v>
      </c>
      <c r="G34" s="6">
        <f ca="1">(StockReportTable[[#This Row],[Price @ Date]]-INDEX(_xlfn.STOCKHISTORY(B34,DATE(2025,12,31),E34),2,2))/(INDEX(_xlfn.STOCKHISTORY(B34,DATE(2025,12,31),E34),2,2))</f>
        <v>-0.63280379041248602</v>
      </c>
      <c r="H34" s="6">
        <f ca="1">(StockReportTable[[#This Row],[Price @ Date]]-INDEX(_xlfn.STOCKHISTORY(B34,DATE(2025,12,31),E34),2,2))/(INDEX(_xlfn.STOCKHISTORY(B34,EDATE(StockReportTable[[#This Row],[Date]],-12),E34),2,2))</f>
        <v>-0.36415396952686452</v>
      </c>
      <c r="I34" s="7">
        <f ca="1">(StockReportTable[[#This Row],[Price @ Date]]-INDEX(_xlfn.STOCKHISTORY(B34,DATE(2025,12,31),E34),2,2))/(INDEX(_xlfn.STOCKHISTORY(B34,EDATE(StockReportTable[[#This Row],[Date]],-36),E34),2,2))</f>
        <v>-4.4001937984496129</v>
      </c>
      <c r="J34" s="8" t="str" cm="1">
        <f t="array" ref="J34">IFERROR(_FV(StockReportTable[[#This Row],[Ticker]],"P/E",TRUE),"N/A")</f>
        <v>N/A</v>
      </c>
      <c r="K34" s="9">
        <f>IF(ISNUMBER(StockReportTable[[#This Row],[P/E]]),IF(StockReportTable[[#This Row],[P/E]]&lt;35,1,2),3)</f>
        <v>3</v>
      </c>
      <c r="L34" s="4" t="str" cm="1">
        <f t="array" aca="1" ref="L34" ca="1">_FV(StockReportTable[[#This Row],[Ticker]],"Industry")</f>
        <v>Electrical Utilities &amp; IPPs</v>
      </c>
      <c r="M34" s="18" cm="1">
        <f t="array" aca="1" ref="M34" ca="1">IFERROR(_FV(StockReportTable[[#This Row],[Ticker]],"52 week high",TRUE),"N/A")</f>
        <v>152.06</v>
      </c>
      <c r="N34" s="18" cm="1">
        <f t="array" aca="1" ref="N34" ca="1">IFERROR(_FV(StockReportTable[[#This Row],[Ticker]],"52 week low",TRUE),"N/A")</f>
        <v>26.07</v>
      </c>
      <c r="O34" s="21" cm="1">
        <f t="array" aca="1" ref="O34" ca="1">_FV(StockReportTable[[#This Row],[Ticker]],"Change (%)",TRUE)</f>
        <v>-2.4434999999999998E-2</v>
      </c>
      <c r="P34" s="22" t="e" cm="1" vm="2">
        <f t="array" ref="P34">_FV(StockReportTable[[#This Row],[Ticker]],"Market cap",TRUE)</f>
        <v>#VALUE!</v>
      </c>
      <c r="Q34" s="27" cm="1">
        <f t="array" aca="1" ref="Q34" ca="1">_FV(StockReportTable[[#This Row],[Ticker]],"Volume average",TRUE)</f>
        <v>9531941</v>
      </c>
    </row>
    <row r="35" spans="1:17" ht="15">
      <c r="A35" s="4" t="str" cm="1">
        <f t="array" aca="1" ref="A35" ca="1">_FV(StockReportTable[[#This Row],[Ticker]],"Official name",TRUE)</f>
        <v>NUSCALE POWER CORPORATION</v>
      </c>
      <c r="B35" s="4" t="e" vm="36">
        <v>#VALUE!</v>
      </c>
      <c r="C35" s="4" t="str" cm="1">
        <f t="array" aca="1" ref="C35" ca="1">_FV(StockReportTable[[#This Row],[Ticker]],"Exchange")</f>
        <v>New York Stock Exchange</v>
      </c>
      <c r="D35" s="4" t="str" cm="1">
        <f t="array" aca="1" ref="D35" ca="1">_FV(StockReportTable[[#This Row],[Ticker]],"Currency")</f>
        <v>USD</v>
      </c>
      <c r="E35" s="5">
        <f t="shared" ca="1" si="1"/>
        <v>46318</v>
      </c>
      <c r="F35" s="33" cm="1">
        <f t="array" aca="1" ref="F35" ca="1">_FV(StockReportTable[[#This Row],[Ticker]],"Price")</f>
        <v>5.38</v>
      </c>
      <c r="G35" s="6">
        <f ca="1">(StockReportTable[[#This Row],[Price @ Date]]-INDEX(_xlfn.STOCKHISTORY(B35,DATE(2025,12,31),E35),2,2))/(INDEX(_xlfn.STOCKHISTORY(B35,DATE(2025,12,31),E35),2,2))</f>
        <v>-0.6203246294989414</v>
      </c>
      <c r="H35" s="6">
        <f ca="1">(StockReportTable[[#This Row],[Price @ Date]]-INDEX(_xlfn.STOCKHISTORY(B35,DATE(2025,12,31),E35),2,2))/(INDEX(_xlfn.STOCKHISTORY(B35,EDATE(StockReportTable[[#This Row],[Date]],-12),E35),2,2))</f>
        <v>-0.23402555910543127</v>
      </c>
      <c r="I35" s="7">
        <f ca="1">(StockReportTable[[#This Row],[Price @ Date]]-INDEX(_xlfn.STOCKHISTORY(B35,DATE(2025,12,31),E35),2,2))/(INDEX(_xlfn.STOCKHISTORY(B35,EDATE(StockReportTable[[#This Row],[Date]],-36),E35),2,2))</f>
        <v>-2.5478260869565212</v>
      </c>
      <c r="J35" s="8" t="str" cm="1">
        <f t="array" ref="J35">IFERROR(_FV(StockReportTable[[#This Row],[Ticker]],"P/E",TRUE),"N/A")</f>
        <v>N/A</v>
      </c>
      <c r="K35" s="9">
        <f>IF(ISNUMBER(StockReportTable[[#This Row],[P/E]]),IF(StockReportTable[[#This Row],[P/E]]&lt;35,1,2),3)</f>
        <v>3</v>
      </c>
      <c r="L35" s="4" t="str" cm="1">
        <f t="array" aca="1" ref="L35" ca="1">_FV(StockReportTable[[#This Row],[Ticker]],"Industry")</f>
        <v>Electrical Utilities &amp; IPPs</v>
      </c>
      <c r="M35" s="18" cm="1">
        <f t="array" aca="1" ref="M35" ca="1">IFERROR(_FV(StockReportTable[[#This Row],[Ticker]],"52 week high",TRUE),"N/A")</f>
        <v>45.54</v>
      </c>
      <c r="N35" s="18" cm="1">
        <f t="array" aca="1" ref="N35" ca="1">IFERROR(_FV(StockReportTable[[#This Row],[Ticker]],"52 week low",TRUE),"N/A")</f>
        <v>5.2</v>
      </c>
      <c r="O35" s="21" cm="1">
        <f t="array" aca="1" ref="O35" ca="1">_FV(StockReportTable[[#This Row],[Ticker]],"Change (%)",TRUE)</f>
        <v>0</v>
      </c>
      <c r="P35" s="22" cm="1">
        <f t="array" aca="1" ref="P35" ca="1">_FV(StockReportTable[[#This Row],[Ticker]],"Market cap",TRUE)</f>
        <v>2311911354</v>
      </c>
      <c r="Q35" s="27" cm="1">
        <f t="array" aca="1" ref="Q35" ca="1">_FV(StockReportTable[[#This Row],[Ticker]],"Volume average",TRUE)</f>
        <v>33436779</v>
      </c>
    </row>
    <row r="36" spans="1:17" ht="15">
      <c r="A36" s="4" t="str" cm="1">
        <f t="array" aca="1" ref="A36" ca="1">_FV(StockReportTable[[#This Row],[Ticker]],"Official name",TRUE)</f>
        <v>Nano Nuclear Energy Inc.</v>
      </c>
      <c r="B36" s="4" t="e" vm="37">
        <v>#VALUE!</v>
      </c>
      <c r="C36" s="4" t="str" cm="1">
        <f t="array" aca="1" ref="C36" ca="1">_FV(StockReportTable[[#This Row],[Ticker]],"Exchange")</f>
        <v>Nasdaq Stock Market</v>
      </c>
      <c r="D36" s="4" t="str" cm="1">
        <f t="array" aca="1" ref="D36" ca="1">_FV(StockReportTable[[#This Row],[Ticker]],"Currency")</f>
        <v>USD</v>
      </c>
      <c r="E36" s="5">
        <f t="shared" ca="1" si="1"/>
        <v>46318</v>
      </c>
      <c r="F36" s="33" cm="1">
        <f t="array" aca="1" ref="F36" ca="1">_FV(StockReportTable[[#This Row],[Ticker]],"Price")</f>
        <v>12.16</v>
      </c>
      <c r="G36" s="6">
        <f ca="1">(StockReportTable[[#This Row],[Price @ Date]]-INDEX(_xlfn.STOCKHISTORY(B36,DATE(2025,12,31),E36),2,2))/(INDEX(_xlfn.STOCKHISTORY(B36,DATE(2025,12,31),E36),2,2))</f>
        <v>-0.49354435651811746</v>
      </c>
      <c r="H36" s="6">
        <f ca="1">(StockReportTable[[#This Row],[Price @ Date]]-INDEX(_xlfn.STOCKHISTORY(B36,DATE(2025,12,31),E36),2,2))/(INDEX(_xlfn.STOCKHISTORY(B36,EDATE(StockReportTable[[#This Row],[Date]],-12),E36),2,2))</f>
        <v>-0.27888915038832668</v>
      </c>
      <c r="I36" s="7">
        <f ca="1">(StockReportTable[[#This Row],[Price @ Date]]-INDEX(_xlfn.STOCKHISTORY(B36,DATE(2025,12,31),E36),2,2))/(INDEX(_xlfn.STOCKHISTORY(B36,EDATE(StockReportTable[[#This Row],[Date]],-36),E36),2,2))</f>
        <v>-2.2832369942196533</v>
      </c>
      <c r="J36" s="8" cm="1">
        <f t="array" aca="1" ref="J36" ca="1">IFERROR(_FV(StockReportTable[[#This Row],[Ticker]],"P/E",TRUE),"N/A")</f>
        <v>0</v>
      </c>
      <c r="K36" s="9">
        <v>3</v>
      </c>
      <c r="L36" s="4" t="str" cm="1">
        <f t="array" aca="1" ref="L36" ca="1">_FV(StockReportTable[[#This Row],[Ticker]],"Industry")</f>
        <v>Electrical Utilities &amp; IPPs</v>
      </c>
      <c r="M36" s="18" cm="1">
        <f t="array" aca="1" ref="M36" ca="1">IFERROR(_FV(StockReportTable[[#This Row],[Ticker]],"52 week high",TRUE),"N/A")</f>
        <v>49.5</v>
      </c>
      <c r="N36" s="18" cm="1">
        <f t="array" aca="1" ref="N36" ca="1">IFERROR(_FV(StockReportTable[[#This Row],[Ticker]],"52 week low",TRUE),"N/A")</f>
        <v>11.95</v>
      </c>
      <c r="O36" s="21" cm="1">
        <f t="array" aca="1" ref="O36" ca="1">_FV(StockReportTable[[#This Row],[Ticker]],"Change (%)",TRUE)</f>
        <v>-2.9529E-2</v>
      </c>
      <c r="P36" s="22" cm="1">
        <f t="array" aca="1" ref="P36" ca="1">_FV(StockReportTable[[#This Row],[Ticker]],"Market cap",TRUE)</f>
        <v>652969504</v>
      </c>
      <c r="Q36" s="27" cm="1">
        <f t="array" aca="1" ref="Q36" ca="1">_FV(StockReportTable[[#This Row],[Ticker]],"Volume average",TRUE)</f>
        <v>2075700</v>
      </c>
    </row>
    <row r="37" spans="1:17" ht="15">
      <c r="A37" s="4" t="str" cm="1">
        <f t="array" aca="1" ref="A37" ca="1">_FV(StockReportTable[[#This Row],[Ticker]],"Official name",TRUE)</f>
        <v>BWX TECHNOLOGIES, INC.</v>
      </c>
      <c r="B37" s="4" t="e" vm="38">
        <v>#VALUE!</v>
      </c>
      <c r="C37" s="4" t="str" cm="1">
        <f t="array" aca="1" ref="C37" ca="1">_FV(StockReportTable[[#This Row],[Ticker]],"Exchange")</f>
        <v>New York Stock Exchange</v>
      </c>
      <c r="D37" s="4" t="str" cm="1">
        <f t="array" aca="1" ref="D37" ca="1">_FV(StockReportTable[[#This Row],[Ticker]],"Currency")</f>
        <v>USD</v>
      </c>
      <c r="E37" s="5">
        <f t="shared" ca="1" si="1"/>
        <v>46318</v>
      </c>
      <c r="F37" s="33" cm="1">
        <f t="array" aca="1" ref="F37" ca="1">_FV(StockReportTable[[#This Row],[Ticker]],"Price")</f>
        <v>127.19</v>
      </c>
      <c r="G37" s="6">
        <f ca="1">(StockReportTable[[#This Row],[Price @ Date]]-INDEX(_xlfn.STOCKHISTORY(B37,DATE(2025,12,31),E37),2,2))/(INDEX(_xlfn.STOCKHISTORY(B37,DATE(2025,12,31),E37),2,2))</f>
        <v>-0.26411710252256426</v>
      </c>
      <c r="H37" s="6">
        <f ca="1">(StockReportTable[[#This Row],[Price @ Date]]-INDEX(_xlfn.STOCKHISTORY(B37,DATE(2025,12,31),E37),2,2))/(INDEX(_xlfn.STOCKHISTORY(B37,EDATE(StockReportTable[[#This Row],[Date]],-12),E37),2,2))</f>
        <v>-0.22834133653461389</v>
      </c>
      <c r="I37" s="7">
        <f ca="1">(StockReportTable[[#This Row],[Price @ Date]]-INDEX(_xlfn.STOCKHISTORY(B37,DATE(2025,12,31),E37),2,2))/(INDEX(_xlfn.STOCKHISTORY(B37,EDATE(StockReportTable[[#This Row],[Date]],-36),E37),2,2))</f>
        <v>-0.60866666666666669</v>
      </c>
      <c r="J37" s="8" cm="1">
        <f t="array" aca="1" ref="J37" ca="1">IFERROR(_FV(StockReportTable[[#This Row],[Ticker]],"P/E",TRUE),"N/A")</f>
        <v>32.954300000000003</v>
      </c>
      <c r="K37" s="9">
        <f ca="1">IF(ISNUMBER(StockReportTable[[#This Row],[P/E]]),IF(StockReportTable[[#This Row],[P/E]]&lt;35,1,2),3)</f>
        <v>1</v>
      </c>
      <c r="L37" s="4" t="str" cm="1">
        <f t="array" aca="1" ref="L37" ca="1">_FV(StockReportTable[[#This Row],[Ticker]],"Industry")</f>
        <v>Aerospace &amp; Defense</v>
      </c>
      <c r="M37" s="18" cm="1">
        <f t="array" aca="1" ref="M37" ca="1">IFERROR(_FV(StockReportTable[[#This Row],[Ticker]],"52 week high",TRUE),"N/A")</f>
        <v>241.82</v>
      </c>
      <c r="N37" s="18" cm="1">
        <f t="array" aca="1" ref="N37" ca="1">IFERROR(_FV(StockReportTable[[#This Row],[Ticker]],"52 week low",TRUE),"N/A")</f>
        <v>123.05</v>
      </c>
      <c r="O37" s="21" cm="1">
        <f t="array" aca="1" ref="O37" ca="1">_FV(StockReportTable[[#This Row],[Ticker]],"Change (%)",TRUE)</f>
        <v>-8.6410000000000002E-4</v>
      </c>
      <c r="P37" s="22" cm="1">
        <f t="array" aca="1" ref="P37" ca="1">_FV(StockReportTable[[#This Row],[Ticker]],"Market cap",TRUE)</f>
        <v>11653399636</v>
      </c>
      <c r="Q37" s="27" cm="1">
        <f t="array" aca="1" ref="Q37" ca="1">_FV(StockReportTable[[#This Row],[Ticker]],"Volume average",TRUE)</f>
        <v>1281922</v>
      </c>
    </row>
    <row r="38" spans="1:17" ht="15">
      <c r="A38" s="4" t="str" cm="1">
        <f t="array" aca="1" ref="A38" ca="1">_FV(StockReportTable[[#This Row],[Ticker]],"Official name",TRUE)</f>
        <v>CAMECO CORPORATION</v>
      </c>
      <c r="B38" s="4" t="e" vm="39">
        <v>#VALUE!</v>
      </c>
      <c r="C38" s="4" t="str" cm="1">
        <f t="array" aca="1" ref="C38" ca="1">_FV(StockReportTable[[#This Row],[Ticker]],"Exchange")</f>
        <v>New York Stock Exchange</v>
      </c>
      <c r="D38" s="4" t="str" cm="1">
        <f t="array" aca="1" ref="D38" ca="1">_FV(StockReportTable[[#This Row],[Ticker]],"Currency")</f>
        <v>USD</v>
      </c>
      <c r="E38" s="5">
        <f t="shared" ca="1" si="1"/>
        <v>46318</v>
      </c>
      <c r="F38" s="33" cm="1">
        <f t="array" aca="1" ref="F38" ca="1">_FV(StockReportTable[[#This Row],[Ticker]],"Price")</f>
        <v>78.599999999999994</v>
      </c>
      <c r="G38" s="6">
        <f ca="1">(StockReportTable[[#This Row],[Price @ Date]]-INDEX(_xlfn.STOCKHISTORY(B38,DATE(2025,12,31),E38),2,2))/(INDEX(_xlfn.STOCKHISTORY(B38,DATE(2025,12,31),E38),2,2))</f>
        <v>-0.14088971472292056</v>
      </c>
      <c r="H38" s="6">
        <f ca="1">(StockReportTable[[#This Row],[Price @ Date]]-INDEX(_xlfn.STOCKHISTORY(B38,DATE(2025,12,31),E38),2,2))/(INDEX(_xlfn.STOCKHISTORY(B38,EDATE(StockReportTable[[#This Row],[Date]],-12),E38),2,2))</f>
        <v>-0.14936268829663965</v>
      </c>
      <c r="I38" s="7">
        <f ca="1">(StockReportTable[[#This Row],[Price @ Date]]-INDEX(_xlfn.STOCKHISTORY(B38,DATE(2025,12,31),E38),2,2))/(INDEX(_xlfn.STOCKHISTORY(B38,EDATE(StockReportTable[[#This Row],[Date]],-36),E38),2,2))</f>
        <v>-0.33681735040501698</v>
      </c>
      <c r="J38" s="8" cm="1">
        <f t="array" aca="1" ref="J38" ca="1">IFERROR(_FV(StockReportTable[[#This Row],[Ticker]],"P/E",TRUE),"N/A")</f>
        <v>137.53120000000001</v>
      </c>
      <c r="K38" s="9">
        <f ca="1">IF(ISNUMBER(StockReportTable[[#This Row],[P/E]]),IF(StockReportTable[[#This Row],[P/E]]&lt;35,1,2),3)</f>
        <v>2</v>
      </c>
      <c r="L38" s="4" t="str" cm="1">
        <f t="array" aca="1" ref="L38" ca="1">_FV(StockReportTable[[#This Row],[Ticker]],"Industry")</f>
        <v>Uranium</v>
      </c>
      <c r="M38" s="18" cm="1">
        <f t="array" aca="1" ref="M38" ca="1">IFERROR(_FV(StockReportTable[[#This Row],[Ticker]],"52 week high",TRUE),"N/A")</f>
        <v>135.24</v>
      </c>
      <c r="N38" s="18" cm="1">
        <f t="array" aca="1" ref="N38" ca="1">IFERROR(_FV(StockReportTable[[#This Row],[Ticker]],"52 week low",TRUE),"N/A")</f>
        <v>76.92</v>
      </c>
      <c r="O38" s="21" cm="1">
        <f t="array" aca="1" ref="O38" ca="1">_FV(StockReportTable[[#This Row],[Ticker]],"Change (%)",TRUE)</f>
        <v>-4.1810000000000007E-3</v>
      </c>
      <c r="P38" s="22" t="e" cm="1" vm="2">
        <f t="array" ref="P38">_FV(StockReportTable[[#This Row],[Ticker]],"Market cap",TRUE)</f>
        <v>#VALUE!</v>
      </c>
      <c r="Q38" s="27" cm="1">
        <f t="array" aca="1" ref="Q38" ca="1">_FV(StockReportTable[[#This Row],[Ticker]],"Volume average",TRUE)</f>
        <v>3442829</v>
      </c>
    </row>
    <row r="39" spans="1:17" ht="15">
      <c r="A39" s="4" t="str" cm="1">
        <f t="array" aca="1" ref="A39" ca="1">_FV(StockReportTable[[#This Row],[Ticker]],"Official name",TRUE)</f>
        <v>TERAWULF INC.</v>
      </c>
      <c r="B39" s="4" t="e" vm="40">
        <v>#VALUE!</v>
      </c>
      <c r="C39" s="4" t="str" cm="1">
        <f t="array" aca="1" ref="C39" ca="1">_FV(StockReportTable[[#This Row],[Ticker]],"Exchange")</f>
        <v>Nasdaq Stock Market</v>
      </c>
      <c r="D39" s="4" t="str" cm="1">
        <f t="array" aca="1" ref="D39" ca="1">_FV(StockReportTable[[#This Row],[Ticker]],"Currency")</f>
        <v>USD</v>
      </c>
      <c r="E39" s="5">
        <f t="shared" ca="1" si="1"/>
        <v>46318</v>
      </c>
      <c r="F39" s="33" cm="1">
        <f t="array" aca="1" ref="F39" ca="1">_FV(StockReportTable[[#This Row],[Ticker]],"Price")</f>
        <v>11.32</v>
      </c>
      <c r="G39" s="6">
        <f ca="1">(StockReportTable[[#This Row],[Price @ Date]]-INDEX(_xlfn.STOCKHISTORY(B39,DATE(2025,12,31),E39),2,2))/(INDEX(_xlfn.STOCKHISTORY(B39,DATE(2025,12,31),E39),2,2))</f>
        <v>-1.4795474325500428E-2</v>
      </c>
      <c r="H39" s="6">
        <f ca="1">(StockReportTable[[#This Row],[Price @ Date]]-INDEX(_xlfn.STOCKHISTORY(B39,DATE(2025,12,31),E39),2,2))/(INDEX(_xlfn.STOCKHISTORY(B39,EDATE(StockReportTable[[#This Row],[Date]],-12),E39),2,2))</f>
        <v>-1.3198757763975149E-2</v>
      </c>
      <c r="I39" s="7">
        <f ca="1">(StockReportTable[[#This Row],[Price @ Date]]-INDEX(_xlfn.STOCKHISTORY(B39,DATE(2025,12,31),E39),2,2))/(INDEX(_xlfn.STOCKHISTORY(B39,EDATE(StockReportTable[[#This Row],[Date]],-36),E39),2,2))</f>
        <v>-0.14166666666666661</v>
      </c>
      <c r="J39" s="8" cm="1">
        <f t="array" aca="1" ref="J39" ca="1">IFERROR(_FV(StockReportTable[[#This Row],[Ticker]],"P/E",TRUE),"N/A")</f>
        <v>0</v>
      </c>
      <c r="K39" s="9">
        <v>3</v>
      </c>
      <c r="L39" s="4" t="str" cm="1">
        <f t="array" aca="1" ref="L39" ca="1">_FV(StockReportTable[[#This Row],[Ticker]],"Industry")</f>
        <v>Financial Technology (Fintech) &amp; Infrastructure</v>
      </c>
      <c r="M39" s="18" cm="1">
        <f t="array" aca="1" ref="M39" ca="1">IFERROR(_FV(StockReportTable[[#This Row],[Ticker]],"52 week high",TRUE),"N/A")</f>
        <v>29.84</v>
      </c>
      <c r="N39" s="18" cm="1">
        <f t="array" aca="1" ref="N39" ca="1">IFERROR(_FV(StockReportTable[[#This Row],[Ticker]],"52 week low",TRUE),"N/A")</f>
        <v>10.35</v>
      </c>
      <c r="O39" s="21" cm="1">
        <f t="array" aca="1" ref="O39" ca="1">_FV(StockReportTable[[#This Row],[Ticker]],"Change (%)",TRUE)</f>
        <v>0</v>
      </c>
      <c r="P39" s="22" t="e" cm="1" vm="2">
        <f t="array" ref="P39">_FV(StockReportTable[[#This Row],[Ticker]],"Market cap",TRUE)</f>
        <v>#VALUE!</v>
      </c>
      <c r="Q39" s="27" cm="1">
        <f t="array" aca="1" ref="Q39" ca="1">_FV(StockReportTable[[#This Row],[Ticker]],"Volume average",TRUE)</f>
        <v>35588334</v>
      </c>
    </row>
    <row r="40" spans="1:17" ht="15">
      <c r="A40" s="4" t="str" cm="1">
        <f t="array" aca="1" ref="A40" ca="1">_FV(StockReportTable[[#This Row],[Ticker]],"Official name",TRUE)</f>
        <v>PALO ALTO NETWORKS, INC.</v>
      </c>
      <c r="B40" s="4" t="e" vm="41">
        <v>#VALUE!</v>
      </c>
      <c r="C40" s="4" t="str" cm="1">
        <f t="array" aca="1" ref="C40" ca="1">_FV(StockReportTable[[#This Row],[Ticker]],"Exchange")</f>
        <v>Nasdaq Stock Market</v>
      </c>
      <c r="D40" s="4" t="str" cm="1">
        <f t="array" aca="1" ref="D40" ca="1">_FV(StockReportTable[[#This Row],[Ticker]],"Currency")</f>
        <v>USD</v>
      </c>
      <c r="E40" s="5">
        <f t="shared" ca="1" si="1"/>
        <v>46318</v>
      </c>
      <c r="F40" s="33" cm="1">
        <f t="array" aca="1" ref="F40" ca="1">_FV(StockReportTable[[#This Row],[Ticker]],"Price")</f>
        <v>380.55</v>
      </c>
      <c r="G40" s="6">
        <f ca="1">(StockReportTable[[#This Row],[Price @ Date]]-INDEX(_xlfn.STOCKHISTORY(B40,DATE(2025,12,31),E40),2,2))/(INDEX(_xlfn.STOCKHISTORY(B40,DATE(2025,12,31),E40),2,2))</f>
        <v>1.0659609120521174</v>
      </c>
      <c r="H40" s="6">
        <f ca="1">(StockReportTable[[#This Row],[Price @ Date]]-INDEX(_xlfn.STOCKHISTORY(B40,DATE(2025,12,31),E40),2,2))/(INDEX(_xlfn.STOCKHISTORY(B40,EDATE(StockReportTable[[#This Row],[Date]],-12),E40),2,2))</f>
        <v>0.91317086782624879</v>
      </c>
      <c r="I40" s="7">
        <f ca="1">(StockReportTable[[#This Row],[Price @ Date]]-INDEX(_xlfn.STOCKHISTORY(B40,DATE(2025,12,31),E40),2,2))/(INDEX(_xlfn.STOCKHISTORY(B40,EDATE(StockReportTable[[#This Row],[Date]],-36),E40),2,2))</f>
        <v>1.5952390624365278</v>
      </c>
      <c r="J40" s="8" cm="1">
        <f t="array" aca="1" ref="J40" ca="1">IFERROR(_FV(StockReportTable[[#This Row],[Ticker]],"P/E",TRUE),"N/A")</f>
        <v>697.11080000000004</v>
      </c>
      <c r="K40" s="9">
        <f ca="1">IF(ISNUMBER(StockReportTable[[#This Row],[P/E]]),IF(StockReportTable[[#This Row],[P/E]]&lt;35,1,2),3)</f>
        <v>2</v>
      </c>
      <c r="L40" s="4" t="str" cm="1">
        <f t="array" aca="1" ref="L40" ca="1">_FV(StockReportTable[[#This Row],[Ticker]],"Industry")</f>
        <v>Software &amp; IT Services</v>
      </c>
      <c r="M40" s="18" cm="1">
        <f t="array" aca="1" ref="M40" ca="1">IFERROR(_FV(StockReportTable[[#This Row],[Ticker]],"52 week high",TRUE),"N/A")</f>
        <v>432.32499999999999</v>
      </c>
      <c r="N40" s="18" cm="1">
        <f t="array" aca="1" ref="N40" ca="1">IFERROR(_FV(StockReportTable[[#This Row],[Ticker]],"52 week low",TRUE),"N/A")</f>
        <v>139.57060000000001</v>
      </c>
      <c r="O40" s="21" cm="1">
        <f t="array" aca="1" ref="O40" ca="1">_FV(StockReportTable[[#This Row],[Ticker]],"Change (%)",TRUE)</f>
        <v>7.2212999999999999E-2</v>
      </c>
      <c r="P40" s="22" cm="1">
        <f t="array" aca="1" ref="P40" ca="1">_FV(StockReportTable[[#This Row],[Ticker]],"Market cap",TRUE)</f>
        <v>311289900000</v>
      </c>
      <c r="Q40" s="27" cm="1">
        <f t="array" aca="1" ref="Q40" ca="1">_FV(StockReportTable[[#This Row],[Ticker]],"Volume average",TRUE)</f>
        <v>5723814</v>
      </c>
    </row>
    <row r="41" spans="1:17" ht="15">
      <c r="A41" s="4" t="str" cm="1">
        <f t="array" aca="1" ref="A41" ca="1">_FV(StockReportTable[[#This Row],[Ticker]],"Official name",TRUE)</f>
        <v>CISCO SYSTEMS, INC.</v>
      </c>
      <c r="B41" s="4" t="e" vm="42">
        <v>#VALUE!</v>
      </c>
      <c r="C41" s="4" t="str" cm="1">
        <f t="array" aca="1" ref="C41" ca="1">_FV(StockReportTable[[#This Row],[Ticker]],"Exchange")</f>
        <v>Nasdaq Stock Market</v>
      </c>
      <c r="D41" s="4" t="str" cm="1">
        <f t="array" aca="1" ref="D41" ca="1">_FV(StockReportTable[[#This Row],[Ticker]],"Currency")</f>
        <v>USD</v>
      </c>
      <c r="E41" s="5">
        <f t="shared" ca="1" si="1"/>
        <v>46318</v>
      </c>
      <c r="F41" s="33" cm="1">
        <f t="array" aca="1" ref="F41" ca="1">_FV(StockReportTable[[#This Row],[Ticker]],"Price")</f>
        <v>106.5</v>
      </c>
      <c r="G41" s="6">
        <f ca="1">(StockReportTable[[#This Row],[Price @ Date]]-INDEX(_xlfn.STOCKHISTORY(B41,DATE(2025,12,31),E41),2,2))/(INDEX(_xlfn.STOCKHISTORY(B41,DATE(2025,12,31),E41),2,2))</f>
        <v>0.38257821627937166</v>
      </c>
      <c r="H41" s="6">
        <f ca="1">(StockReportTable[[#This Row],[Price @ Date]]-INDEX(_xlfn.STOCKHISTORY(B41,DATE(2025,12,31),E41),2,2))/(INDEX(_xlfn.STOCKHISTORY(B41,EDATE(StockReportTable[[#This Row],[Date]],-12),E41),2,2))</f>
        <v>0.41938238223993168</v>
      </c>
      <c r="I41" s="7">
        <f ca="1">(StockReportTable[[#This Row],[Price @ Date]]-INDEX(_xlfn.STOCKHISTORY(B41,DATE(2025,12,31),E41),2,2))/(INDEX(_xlfn.STOCKHISTORY(B41,EDATE(StockReportTable[[#This Row],[Date]],-36),E41),2,2))</f>
        <v>0.56455938697317998</v>
      </c>
      <c r="J41" s="8" cm="1">
        <f t="array" aca="1" ref="J41" ca="1">IFERROR(_FV(StockReportTable[[#This Row],[Ticker]],"P/E",TRUE),"N/A")</f>
        <v>31.515999999999998</v>
      </c>
      <c r="K41" s="9">
        <f ca="1">IF(ISNUMBER(StockReportTable[[#This Row],[P/E]]),IF(StockReportTable[[#This Row],[P/E]]&lt;35,1,2),3)</f>
        <v>1</v>
      </c>
      <c r="L41" s="4" t="str" cm="1">
        <f t="array" aca="1" ref="L41" ca="1">_FV(StockReportTable[[#This Row],[Ticker]],"Industry")</f>
        <v>Communications &amp; Networking</v>
      </c>
      <c r="M41" s="18" cm="1">
        <f t="array" aca="1" ref="M41" ca="1">IFERROR(_FV(StockReportTable[[#This Row],[Ticker]],"52 week high",TRUE),"N/A")</f>
        <v>130.3656</v>
      </c>
      <c r="N41" s="18" cm="1">
        <f t="array" aca="1" ref="N41" ca="1">IFERROR(_FV(StockReportTable[[#This Row],[Ticker]],"52 week low",TRUE),"N/A")</f>
        <v>70.06</v>
      </c>
      <c r="O41" s="21" cm="1">
        <f t="array" aca="1" ref="O41" ca="1">_FV(StockReportTable[[#This Row],[Ticker]],"Change (%)",TRUE)</f>
        <v>1.5349E-2</v>
      </c>
      <c r="P41" s="22" t="e" cm="1" vm="2">
        <f t="array" ref="P41">_FV(StockReportTable[[#This Row],[Ticker]],"Market cap",TRUE)</f>
        <v>#VALUE!</v>
      </c>
      <c r="Q41" s="27" cm="1">
        <f t="array" aca="1" ref="Q41" ca="1">_FV(StockReportTable[[#This Row],[Ticker]],"Volume average",TRUE)</f>
        <v>18429131</v>
      </c>
    </row>
    <row r="42" spans="1:17" ht="15">
      <c r="A42" s="4" t="str" cm="1">
        <f t="array" aca="1" ref="A42" ca="1">_FV(StockReportTable[[#This Row],[Ticker]],"Official name",TRUE)</f>
        <v>DELL TECHNOLOGIES INC.</v>
      </c>
      <c r="B42" s="4" t="e" vm="43">
        <v>#VALUE!</v>
      </c>
      <c r="C42" s="4" t="str" cm="1">
        <f t="array" aca="1" ref="C42" ca="1">_FV(StockReportTable[[#This Row],[Ticker]],"Exchange")</f>
        <v>New York Stock Exchange</v>
      </c>
      <c r="D42" s="4" t="str" cm="1">
        <f t="array" aca="1" ref="D42" ca="1">_FV(StockReportTable[[#This Row],[Ticker]],"Currency")</f>
        <v>USD</v>
      </c>
      <c r="E42" s="5">
        <f t="shared" ca="1" si="1"/>
        <v>46318</v>
      </c>
      <c r="F42" s="33" cm="1">
        <f t="array" aca="1" ref="F42" ca="1">_FV(StockReportTable[[#This Row],[Ticker]],"Price")</f>
        <v>456.44</v>
      </c>
      <c r="G42" s="6">
        <f ca="1">(StockReportTable[[#This Row],[Price @ Date]]-INDEX(_xlfn.STOCKHISTORY(B42,DATE(2025,12,31),E42),2,2))/(INDEX(_xlfn.STOCKHISTORY(B42,DATE(2025,12,31),E42),2,2))</f>
        <v>2.6259930092151258</v>
      </c>
      <c r="H42" s="6">
        <f ca="1">(StockReportTable[[#This Row],[Price @ Date]]-INDEX(_xlfn.STOCKHISTORY(B42,DATE(2025,12,31),E42),2,2))/(INDEX(_xlfn.STOCKHISTORY(B42,EDATE(StockReportTable[[#This Row],[Date]],-12),E42),2,2))</f>
        <v>2.1432924852493032</v>
      </c>
      <c r="I42" s="7">
        <f ca="1">(StockReportTable[[#This Row],[Price @ Date]]-INDEX(_xlfn.STOCKHISTORY(B42,DATE(2025,12,31),E42),2,2))/(INDEX(_xlfn.STOCKHISTORY(B42,EDATE(StockReportTable[[#This Row],[Date]],-36),E42),2,2))</f>
        <v>5.0436374732987481</v>
      </c>
      <c r="J42" s="8" cm="1">
        <f t="array" aca="1" ref="J42" ca="1">IFERROR(_FV(StockReportTable[[#This Row],[Ticker]],"P/E",TRUE),"N/A")</f>
        <v>26.281400000000001</v>
      </c>
      <c r="K42" s="9">
        <f ca="1">IF(ISNUMBER(StockReportTable[[#This Row],[P/E]]),IF(StockReportTable[[#This Row],[P/E]]&lt;35,1,2),3)</f>
        <v>1</v>
      </c>
      <c r="L42" s="4" t="str" cm="1">
        <f t="array" aca="1" ref="L42" ca="1">_FV(StockReportTable[[#This Row],[Ticker]],"Industry")</f>
        <v>Computers, Phones &amp; Household Electronics</v>
      </c>
      <c r="M42" s="18" cm="1">
        <f t="array" aca="1" ref="M42" ca="1">IFERROR(_FV(StockReportTable[[#This Row],[Ticker]],"52 week high",TRUE),"N/A")</f>
        <v>595.51</v>
      </c>
      <c r="N42" s="18" cm="1">
        <f t="array" aca="1" ref="N42" ca="1">IFERROR(_FV(StockReportTable[[#This Row],[Ticker]],"52 week low",TRUE),"N/A")</f>
        <v>110.22</v>
      </c>
      <c r="O42" s="21" cm="1">
        <f t="array" aca="1" ref="O42" ca="1">_FV(StockReportTable[[#This Row],[Ticker]],"Change (%)",TRUE)</f>
        <v>7.705E-3</v>
      </c>
      <c r="P42" s="22" cm="1">
        <f t="array" aca="1" ref="P42" ca="1">_FV(StockReportTable[[#This Row],[Ticker]],"Market cap",TRUE)</f>
        <v>290210348788</v>
      </c>
      <c r="Q42" s="27" cm="1">
        <f t="array" aca="1" ref="Q42" ca="1">_FV(StockReportTable[[#This Row],[Ticker]],"Volume average",TRUE)</f>
        <v>7248161</v>
      </c>
    </row>
    <row r="43" spans="1:17" ht="15">
      <c r="A43" s="4" t="str" cm="1">
        <f t="array" aca="1" ref="A43" ca="1">_FV(StockReportTable[[#This Row],[Ticker]],"Official name",TRUE)</f>
        <v>SNOWFLAKE INC.</v>
      </c>
      <c r="B43" s="4" t="e" vm="44">
        <v>#VALUE!</v>
      </c>
      <c r="C43" s="4" t="str" cm="1">
        <f t="array" aca="1" ref="C43" ca="1">_FV(StockReportTable[[#This Row],[Ticker]],"Exchange")</f>
        <v>New York Stock Exchange</v>
      </c>
      <c r="D43" s="4" t="str" cm="1">
        <f t="array" aca="1" ref="D43" ca="1">_FV(StockReportTable[[#This Row],[Ticker]],"Currency")</f>
        <v>USD</v>
      </c>
      <c r="E43" s="5">
        <f t="shared" ca="1" si="1"/>
        <v>46318</v>
      </c>
      <c r="F43" s="33" cm="1">
        <f t="array" aca="1" ref="F43" ca="1">_FV(StockReportTable[[#This Row],[Ticker]],"Price")</f>
        <v>325.43</v>
      </c>
      <c r="G43" s="6">
        <f ca="1">(StockReportTable[[#This Row],[Price @ Date]]-INDEX(_xlfn.STOCKHISTORY(B43,DATE(2025,12,31),E43),2,2))/(INDEX(_xlfn.STOCKHISTORY(B43,DATE(2025,12,31),E43),2,2))</f>
        <v>0.48354303428154627</v>
      </c>
      <c r="H43" s="6">
        <f ca="1">(StockReportTable[[#This Row],[Price @ Date]]-INDEX(_xlfn.STOCKHISTORY(B43,DATE(2025,12,31),E43),2,2))/(INDEX(_xlfn.STOCKHISTORY(B43,EDATE(StockReportTable[[#This Row],[Date]],-12),E43),2,2))</f>
        <v>0.4192655836199059</v>
      </c>
      <c r="I43" s="7">
        <f ca="1">(StockReportTable[[#This Row],[Price @ Date]]-INDEX(_xlfn.STOCKHISTORY(B43,DATE(2025,12,31),E43),2,2))/(INDEX(_xlfn.STOCKHISTORY(B43,EDATE(StockReportTable[[#This Row],[Date]],-36),E43),2,2))</f>
        <v>0.71384346187495784</v>
      </c>
      <c r="J43" s="8" t="str" cm="1">
        <f t="array" ref="J43">IFERROR(_FV(StockReportTable[[#This Row],[Ticker]],"P/E",TRUE),"N/A")</f>
        <v>N/A</v>
      </c>
      <c r="K43" s="9">
        <f>IF(ISNUMBER(StockReportTable[[#This Row],[P/E]]),IF(StockReportTable[[#This Row],[P/E]]&lt;35,1,2),3)</f>
        <v>3</v>
      </c>
      <c r="L43" s="4" t="str" cm="1">
        <f t="array" aca="1" ref="L43" ca="1">_FV(StockReportTable[[#This Row],[Ticker]],"Industry")</f>
        <v>Software &amp; IT Services</v>
      </c>
      <c r="M43" s="18" cm="1">
        <f t="array" aca="1" ref="M43" ca="1">IFERROR(_FV(StockReportTable[[#This Row],[Ticker]],"52 week high",TRUE),"N/A")</f>
        <v>384.56</v>
      </c>
      <c r="N43" s="18" cm="1">
        <f t="array" aca="1" ref="N43" ca="1">IFERROR(_FV(StockReportTable[[#This Row],[Ticker]],"52 week low",TRUE),"N/A")</f>
        <v>118.3</v>
      </c>
      <c r="O43" s="21" cm="1">
        <f t="array" aca="1" ref="O43" ca="1">_FV(StockReportTable[[#This Row],[Ticker]],"Change (%)",TRUE)</f>
        <v>3.6533000000000003E-2</v>
      </c>
      <c r="P43" s="22" t="e" cm="1" vm="2">
        <f t="array" ref="P43">_FV(StockReportTable[[#This Row],[Ticker]],"Market cap",TRUE)</f>
        <v>#VALUE!</v>
      </c>
      <c r="Q43" s="27" cm="1">
        <f t="array" aca="1" ref="Q43" ca="1">_FV(StockReportTable[[#This Row],[Ticker]],"Volume average",TRUE)</f>
        <v>4407836</v>
      </c>
    </row>
    <row r="44" spans="1:17" ht="15">
      <c r="A44" s="4" t="str" cm="1">
        <f t="array" aca="1" ref="A44" ca="1">_FV(StockReportTable[[#This Row],[Ticker]],"Official name",TRUE)</f>
        <v>PALANTIR TECHNOLOGIES INC.</v>
      </c>
      <c r="B44" s="4" t="e" vm="45">
        <v>#VALUE!</v>
      </c>
      <c r="C44" s="4" t="str" cm="1">
        <f t="array" aca="1" ref="C44" ca="1">_FV(StockReportTable[[#This Row],[Ticker]],"Exchange")</f>
        <v>SIX Swiss Exchange</v>
      </c>
      <c r="D44" s="4" t="str" cm="1">
        <f t="array" aca="1" ref="D44" ca="1">_FV(StockReportTable[[#This Row],[Ticker]],"Currency")</f>
        <v>USD</v>
      </c>
      <c r="E44" s="5">
        <f t="shared" ca="1" si="1"/>
        <v>46318</v>
      </c>
      <c r="F44" s="33" cm="1">
        <f t="array" aca="1" ref="F44" ca="1">_FV(StockReportTable[[#This Row],[Ticker]],"Price")</f>
        <v>193.64</v>
      </c>
      <c r="G44" s="6" t="e" vm="25">
        <f ca="1">(StockReportTable[[#This Row],[Price @ Date]]-INDEX(_xlfn.STOCKHISTORY(B44,DATE(2025,12,31),E44),2,2))/(INDEX(_xlfn.STOCKHISTORY(B44,DATE(2025,12,31),E44),2,2))</f>
        <v>#N/A</v>
      </c>
      <c r="H44" s="6" t="e" vm="25">
        <f ca="1">(StockReportTable[[#This Row],[Price @ Date]]-INDEX(_xlfn.STOCKHISTORY(B44,DATE(2025,12,31),E44),2,2))/(INDEX(_xlfn.STOCKHISTORY(B44,EDATE(StockReportTable[[#This Row],[Date]],-12),E44),2,2))</f>
        <v>#N/A</v>
      </c>
      <c r="I44" s="7" t="e" vm="25">
        <f ca="1">(StockReportTable[[#This Row],[Price @ Date]]-INDEX(_xlfn.STOCKHISTORY(B44,DATE(2025,12,31),E44),2,2))/(INDEX(_xlfn.STOCKHISTORY(B44,EDATE(StockReportTable[[#This Row],[Date]],-36),E44),2,2))</f>
        <v>#N/A</v>
      </c>
      <c r="J44" s="8" cm="1">
        <f t="array" aca="1" ref="J44" ca="1">IFERROR(_FV(StockReportTable[[#This Row],[Ticker]],"P/E",TRUE),"N/A")</f>
        <v>165.01070000000001</v>
      </c>
      <c r="K44" s="9">
        <f ca="1">IF(ISNUMBER(StockReportTable[[#This Row],[P/E]]),IF(StockReportTable[[#This Row],[P/E]]&lt;35,1,2),3)</f>
        <v>2</v>
      </c>
      <c r="L44" s="4" t="str" cm="1">
        <f t="array" aca="1" ref="L44" ca="1">_FV(StockReportTable[[#This Row],[Ticker]],"Industry")</f>
        <v>Software &amp; IT Services</v>
      </c>
      <c r="M44" s="4" t="str" cm="1">
        <f t="array" ref="M44">IFERROR(_FV(StockReportTable[[#This Row],[Ticker]],"52 week high",TRUE),"N/A")</f>
        <v>N/A</v>
      </c>
      <c r="N44" s="4" t="str" cm="1">
        <f t="array" ref="N44">IFERROR(_FV(StockReportTable[[#This Row],[Ticker]],"52 week low",TRUE),"N/A")</f>
        <v>N/A</v>
      </c>
      <c r="O44" s="21" cm="1">
        <f t="array" aca="1" ref="O44" ca="1">_FV(StockReportTable[[#This Row],[Ticker]],"Change (%)",TRUE)</f>
        <v>-7.5849999999999997E-3</v>
      </c>
      <c r="P44" s="22" cm="1">
        <f t="array" aca="1" ref="P44" ca="1">_FV(StockReportTable[[#This Row],[Ticker]],"Market cap",TRUE)</f>
        <v>471456000000</v>
      </c>
      <c r="Q44" s="27" cm="1">
        <f t="array" aca="1" ref="Q44" ca="1">_FV(StockReportTable[[#This Row],[Ticker]],"Volume average",TRUE)</f>
        <v>24622950</v>
      </c>
    </row>
    <row r="45" spans="1:17" ht="15">
      <c r="A45" s="4" t="str" cm="1">
        <f t="array" aca="1" ref="A45" ca="1">_FV(StockReportTable[[#This Row],[Ticker]],"Official name",TRUE)</f>
        <v>PAYPAL HOLDINGS, INC.</v>
      </c>
      <c r="B45" s="4" t="e" vm="46">
        <v>#VALUE!</v>
      </c>
      <c r="C45" s="4" t="str" cm="1">
        <f t="array" aca="1" ref="C45" ca="1">_FV(StockReportTable[[#This Row],[Ticker]],"Exchange")</f>
        <v>Nasdaq Stock Market</v>
      </c>
      <c r="D45" s="4" t="str" cm="1">
        <f t="array" aca="1" ref="D45" ca="1">_FV(StockReportTable[[#This Row],[Ticker]],"Currency")</f>
        <v>USD</v>
      </c>
      <c r="E45" s="5">
        <f t="shared" ca="1" si="1"/>
        <v>46318</v>
      </c>
      <c r="F45" s="33" cm="1">
        <f t="array" aca="1" ref="F45" ca="1">_FV(StockReportTable[[#This Row],[Ticker]],"Price")</f>
        <v>57.02</v>
      </c>
      <c r="G45" s="6">
        <f ca="1">(StockReportTable[[#This Row],[Price @ Date]]-INDEX(_xlfn.STOCKHISTORY(B45,DATE(2025,12,31),E45),2,2))/(INDEX(_xlfn.STOCKHISTORY(B45,DATE(2025,12,31),E45),2,2))</f>
        <v>-2.3295649194929761E-2</v>
      </c>
      <c r="H45" s="6">
        <f ca="1">(StockReportTable[[#This Row],[Price @ Date]]-INDEX(_xlfn.STOCKHISTORY(B45,DATE(2025,12,31),E45),2,2))/(INDEX(_xlfn.STOCKHISTORY(B45,EDATE(StockReportTable[[#This Row],[Date]],-12),E45),2,2))</f>
        <v>-1.9523399368360603E-2</v>
      </c>
      <c r="I45" s="7">
        <f ca="1">(StockReportTable[[#This Row],[Price @ Date]]-INDEX(_xlfn.STOCKHISTORY(B45,DATE(2025,12,31),E45),2,2))/(INDEX(_xlfn.STOCKHISTORY(B45,EDATE(StockReportTable[[#This Row],[Date]],-36),E45),2,2))</f>
        <v>-2.5444340505144984E-2</v>
      </c>
      <c r="J45" s="8" cm="1">
        <f t="array" aca="1" ref="J45" ca="1">IFERROR(_FV(StockReportTable[[#This Row],[Ticker]],"P/E",TRUE),"N/A")</f>
        <v>10.848800000000001</v>
      </c>
      <c r="K45" s="9">
        <f ca="1">IF(ISNUMBER(StockReportTable[[#This Row],[P/E]]),IF(StockReportTable[[#This Row],[P/E]]&lt;35,1,2),3)</f>
        <v>1</v>
      </c>
      <c r="L45" s="4" t="str" cm="1">
        <f t="array" aca="1" ref="L45" ca="1">_FV(StockReportTable[[#This Row],[Ticker]],"Industry")</f>
        <v>Professional &amp; Commercial Services</v>
      </c>
      <c r="M45" s="18" cm="1">
        <f t="array" aca="1" ref="M45" ca="1">IFERROR(_FV(StockReportTable[[#This Row],[Ticker]],"52 week high",TRUE),"N/A")</f>
        <v>79.215000000000003</v>
      </c>
      <c r="N45" s="18" cm="1">
        <f t="array" aca="1" ref="N45" ca="1">IFERROR(_FV(StockReportTable[[#This Row],[Ticker]],"52 week low",TRUE),"N/A")</f>
        <v>38.46</v>
      </c>
      <c r="O45" s="21" cm="1">
        <f t="array" aca="1" ref="O45" ca="1">_FV(StockReportTable[[#This Row],[Ticker]],"Change (%)",TRUE)</f>
        <v>-8.9510000000000006E-3</v>
      </c>
      <c r="P45" s="22" t="e" cm="1" vm="2">
        <f t="array" ref="P45">_FV(StockReportTable[[#This Row],[Ticker]],"Market cap",TRUE)</f>
        <v>#VALUE!</v>
      </c>
      <c r="Q45" s="27" cm="1">
        <f t="array" aca="1" ref="Q45" ca="1">_FV(StockReportTable[[#This Row],[Ticker]],"Volume average",TRUE)</f>
        <v>12225759</v>
      </c>
    </row>
    <row r="46" spans="1:17" ht="15">
      <c r="A46" s="4" t="str" cm="1">
        <f t="array" aca="1" ref="A46" ca="1">_FV(StockReportTable[[#This Row],[Ticker]],"Official name",TRUE)</f>
        <v>ROBLOX CORPORATION</v>
      </c>
      <c r="B46" s="4" t="e" vm="47">
        <v>#VALUE!</v>
      </c>
      <c r="C46" s="4" t="str" cm="1">
        <f t="array" aca="1" ref="C46" ca="1">_FV(StockReportTable[[#This Row],[Ticker]],"Exchange")</f>
        <v>New York Stock Exchange</v>
      </c>
      <c r="D46" s="4" t="str" cm="1">
        <f t="array" aca="1" ref="D46" ca="1">_FV(StockReportTable[[#This Row],[Ticker]],"Currency")</f>
        <v>USD</v>
      </c>
      <c r="E46" s="5">
        <f t="shared" ca="1" si="1"/>
        <v>46318</v>
      </c>
      <c r="F46" s="33" cm="1">
        <f t="array" aca="1" ref="F46" ca="1">_FV(StockReportTable[[#This Row],[Ticker]],"Price")</f>
        <v>52.89</v>
      </c>
      <c r="G46" s="6">
        <f ca="1">(StockReportTable[[#This Row],[Price @ Date]]-INDEX(_xlfn.STOCKHISTORY(B46,DATE(2025,12,31),E46),2,2))/(INDEX(_xlfn.STOCKHISTORY(B46,DATE(2025,12,31),E46),2,2))</f>
        <v>-0.34727878563495002</v>
      </c>
      <c r="H46" s="6">
        <f ca="1">(StockReportTable[[#This Row],[Price @ Date]]-INDEX(_xlfn.STOCKHISTORY(B46,DATE(2025,12,31),E46),2,2))/(INDEX(_xlfn.STOCKHISTORY(B46,EDATE(StockReportTable[[#This Row],[Date]],-12),E46),2,2))</f>
        <v>-0.21773444753946145</v>
      </c>
      <c r="I46" s="7">
        <f ca="1">(StockReportTable[[#This Row],[Price @ Date]]-INDEX(_xlfn.STOCKHISTORY(B46,DATE(2025,12,31),E46),2,2))/(INDEX(_xlfn.STOCKHISTORY(B46,EDATE(StockReportTable[[#This Row],[Date]],-36),E46),2,2))</f>
        <v>-0.92051030421982338</v>
      </c>
      <c r="J46" s="8" t="str" cm="1">
        <f t="array" ref="J46">IFERROR(_FV(StockReportTable[[#This Row],[Ticker]],"P/E",TRUE),"N/A")</f>
        <v>N/A</v>
      </c>
      <c r="K46" s="9">
        <f>IF(ISNUMBER(StockReportTable[[#This Row],[P/E]]),IF(StockReportTable[[#This Row],[P/E]]&lt;35,1,2),3)</f>
        <v>3</v>
      </c>
      <c r="L46" s="4" t="str" cm="1">
        <f t="array" aca="1" ref="L46" ca="1">_FV(StockReportTable[[#This Row],[Ticker]],"Industry")</f>
        <v>Software &amp; IT Services</v>
      </c>
      <c r="M46" s="18" cm="1">
        <f t="array" aca="1" ref="M46" ca="1">IFERROR(_FV(StockReportTable[[#This Row],[Ticker]],"52 week high",TRUE),"N/A")</f>
        <v>134.66999999999999</v>
      </c>
      <c r="N46" s="18" cm="1">
        <f t="array" aca="1" ref="N46" ca="1">IFERROR(_FV(StockReportTable[[#This Row],[Ticker]],"52 week low",TRUE),"N/A")</f>
        <v>33.880000000000003</v>
      </c>
      <c r="O46" s="21" cm="1">
        <f t="array" aca="1" ref="O46" ca="1">_FV(StockReportTable[[#This Row],[Ticker]],"Change (%)",TRUE)</f>
        <v>-1.983E-2</v>
      </c>
      <c r="P46" s="22" cm="1">
        <f t="array" aca="1" ref="P46" ca="1">_FV(StockReportTable[[#This Row],[Ticker]],"Market cap",TRUE)</f>
        <v>37783341351</v>
      </c>
      <c r="Q46" s="27" cm="1">
        <f t="array" aca="1" ref="Q46" ca="1">_FV(StockReportTable[[#This Row],[Ticker]],"Volume average",TRUE)</f>
        <v>11671540</v>
      </c>
    </row>
    <row r="47" spans="1:17" ht="15">
      <c r="A47" s="4" t="str" cm="1">
        <f t="array" aca="1" ref="A47" ca="1">_FV(StockReportTable[[#This Row],[Ticker]],"Official name",TRUE)</f>
        <v>ROKU, INC.</v>
      </c>
      <c r="B47" s="4" t="e" vm="48">
        <v>#VALUE!</v>
      </c>
      <c r="C47" s="4" t="str" cm="1">
        <f t="array" aca="1" ref="C47" ca="1">_FV(StockReportTable[[#This Row],[Ticker]],"Exchange")</f>
        <v>Nasdaq Stock Market</v>
      </c>
      <c r="D47" s="4" t="str" cm="1">
        <f t="array" aca="1" ref="D47" ca="1">_FV(StockReportTable[[#This Row],[Ticker]],"Currency")</f>
        <v>USD</v>
      </c>
      <c r="E47" s="5">
        <f t="shared" ca="1" si="1"/>
        <v>46318</v>
      </c>
      <c r="F47" s="33" cm="1">
        <f t="array" aca="1" ref="F47" ca="1">_FV(StockReportTable[[#This Row],[Ticker]],"Price")</f>
        <v>158.58000000000001</v>
      </c>
      <c r="G47" s="6">
        <f ca="1">(StockReportTable[[#This Row],[Price @ Date]]-INDEX(_xlfn.STOCKHISTORY(B47,DATE(2025,12,31),E47),2,2))/(INDEX(_xlfn.STOCKHISTORY(B47,DATE(2025,12,31),E47),2,2))</f>
        <v>0.46170153931237923</v>
      </c>
      <c r="H47" s="6">
        <f ca="1">(StockReportTable[[#This Row],[Price @ Date]]-INDEX(_xlfn.STOCKHISTORY(B47,DATE(2025,12,31),E47),2,2))/(INDEX(_xlfn.STOCKHISTORY(B47,EDATE(StockReportTable[[#This Row],[Date]],-12),E47),2,2))</f>
        <v>0.50966625966625989</v>
      </c>
      <c r="I47" s="7">
        <f ca="1">(StockReportTable[[#This Row],[Price @ Date]]-INDEX(_xlfn.STOCKHISTORY(B47,DATE(2025,12,31),E47),2,2))/(INDEX(_xlfn.STOCKHISTORY(B47,EDATE(StockReportTable[[#This Row],[Date]],-36),E47),2,2))</f>
        <v>0.8187316116377904</v>
      </c>
      <c r="J47" s="8" cm="1">
        <f t="array" aca="1" ref="J47" ca="1">IFERROR(_FV(StockReportTable[[#This Row],[Ticker]],"P/E",TRUE),"N/A")</f>
        <v>68.381799999999998</v>
      </c>
      <c r="K47" s="9">
        <f ca="1">IF(ISNUMBER(StockReportTable[[#This Row],[P/E]]),IF(StockReportTable[[#This Row],[P/E]]&lt;35,1,2),3)</f>
        <v>2</v>
      </c>
      <c r="L47" s="4" t="str" cm="1">
        <f t="array" aca="1" ref="L47" ca="1">_FV(StockReportTable[[#This Row],[Ticker]],"Industry")</f>
        <v>Media &amp; Publishing</v>
      </c>
      <c r="M47" s="18" cm="1">
        <f t="array" aca="1" ref="M47" ca="1">IFERROR(_FV(StockReportTable[[#This Row],[Ticker]],"52 week high",TRUE),"N/A")</f>
        <v>160.22</v>
      </c>
      <c r="N47" s="18" cm="1">
        <f t="array" aca="1" ref="N47" ca="1">IFERROR(_FV(StockReportTable[[#This Row],[Ticker]],"52 week low",TRUE),"N/A")</f>
        <v>78.53</v>
      </c>
      <c r="O47" s="21" cm="1">
        <f t="array" aca="1" ref="O47" ca="1">_FV(StockReportTable[[#This Row],[Ticker]],"Change (%)",TRUE)</f>
        <v>-9.247E-3</v>
      </c>
      <c r="P47" s="22" cm="1">
        <f t="array" aca="1" ref="P47" ca="1">_FV(StockReportTable[[#This Row],[Ticker]],"Market cap",TRUE)</f>
        <v>23550810948</v>
      </c>
      <c r="Q47" s="27" cm="1">
        <f t="array" aca="1" ref="Q47" ca="1">_FV(StockReportTable[[#This Row],[Ticker]],"Volume average",TRUE)</f>
        <v>1854466</v>
      </c>
    </row>
    <row r="48" spans="1:17" ht="15">
      <c r="A48" s="4" t="str" cm="1">
        <f t="array" aca="1" ref="A48" ca="1">_FV(StockReportTable[[#This Row],[Ticker]],"Official name",TRUE)</f>
        <v>UBER TECHNOLOGIES, INC.</v>
      </c>
      <c r="B48" s="4" t="e" vm="49">
        <v>#VALUE!</v>
      </c>
      <c r="C48" s="4" t="str" cm="1">
        <f t="array" aca="1" ref="C48" ca="1">_FV(StockReportTable[[#This Row],[Ticker]],"Exchange")</f>
        <v>New York Stock Exchange</v>
      </c>
      <c r="D48" s="4" t="str" cm="1">
        <f t="array" aca="1" ref="D48" ca="1">_FV(StockReportTable[[#This Row],[Ticker]],"Currency")</f>
        <v>USD</v>
      </c>
      <c r="E48" s="5">
        <f t="shared" ca="1" si="1"/>
        <v>46318</v>
      </c>
      <c r="F48" s="33" cm="1">
        <f t="array" aca="1" ref="F48" ca="1">_FV(StockReportTable[[#This Row],[Ticker]],"Price")</f>
        <v>66.7</v>
      </c>
      <c r="G48" s="6">
        <f ca="1">(StockReportTable[[#This Row],[Price @ Date]]-INDEX(_xlfn.STOCKHISTORY(B48,DATE(2025,12,31),E48),2,2))/(INDEX(_xlfn.STOCKHISTORY(B48,DATE(2025,12,31),E48),2,2))</f>
        <v>-0.18369844572267766</v>
      </c>
      <c r="H48" s="6">
        <f ca="1">(StockReportTable[[#This Row],[Price @ Date]]-INDEX(_xlfn.STOCKHISTORY(B48,DATE(2025,12,31),E48),2,2))/(INDEX(_xlfn.STOCKHISTORY(B48,EDATE(StockReportTable[[#This Row],[Date]],-12),E48),2,2))</f>
        <v>-0.15865130535884148</v>
      </c>
      <c r="I48" s="7">
        <f ca="1">(StockReportTable[[#This Row],[Price @ Date]]-INDEX(_xlfn.STOCKHISTORY(B48,DATE(2025,12,31),E48),2,2))/(INDEX(_xlfn.STOCKHISTORY(B48,EDATE(StockReportTable[[#This Row],[Date]],-36),E48),2,2))</f>
        <v>-0.34874535315985111</v>
      </c>
      <c r="J48" s="8" cm="1">
        <f t="array" aca="1" ref="J48" ca="1">IFERROR(_FV(StockReportTable[[#This Row],[Ticker]],"P/E",TRUE),"N/A")</f>
        <v>15.1614</v>
      </c>
      <c r="K48" s="9">
        <f ca="1">IF(ISNUMBER(StockReportTable[[#This Row],[P/E]]),IF(StockReportTable[[#This Row],[P/E]]&lt;35,1,2),3)</f>
        <v>1</v>
      </c>
      <c r="L48" s="4" t="str" cm="1">
        <f t="array" aca="1" ref="L48" ca="1">_FV(StockReportTable[[#This Row],[Ticker]],"Industry")</f>
        <v>Software &amp; IT Services</v>
      </c>
      <c r="M48" s="18" cm="1">
        <f t="array" aca="1" ref="M48" ca="1">IFERROR(_FV(StockReportTable[[#This Row],[Ticker]],"52 week high",TRUE),"N/A")</f>
        <v>100.35</v>
      </c>
      <c r="N48" s="18" cm="1">
        <f t="array" aca="1" ref="N48" ca="1">IFERROR(_FV(StockReportTable[[#This Row],[Ticker]],"52 week low",TRUE),"N/A")</f>
        <v>65.41</v>
      </c>
      <c r="O48" s="21" cm="1">
        <f t="array" aca="1" ref="O48" ca="1">_FV(StockReportTable[[#This Row],[Ticker]],"Change (%)",TRUE)</f>
        <v>-3.4312999999999996E-2</v>
      </c>
      <c r="P48" s="22" cm="1">
        <f t="array" aca="1" ref="P48" ca="1">_FV(StockReportTable[[#This Row],[Ticker]],"Market cap",TRUE)</f>
        <v>136238752000</v>
      </c>
      <c r="Q48" s="27" cm="1">
        <f t="array" aca="1" ref="Q48" ca="1">_FV(StockReportTable[[#This Row],[Ticker]],"Volume average",TRUE)</f>
        <v>15933749</v>
      </c>
    </row>
    <row r="49" spans="1:17" ht="15">
      <c r="A49" s="4" t="str" cm="1">
        <f t="array" aca="1" ref="A49" ca="1">_FV(StockReportTable[[#This Row],[Ticker]],"Official name",TRUE)</f>
        <v>EXXONMOBIL HOLDINGS CORPORATION</v>
      </c>
      <c r="B49" s="4" t="e" vm="50">
        <v>#VALUE!</v>
      </c>
      <c r="C49" s="4" t="str" cm="1">
        <f t="array" aca="1" ref="C49" ca="1">_FV(StockReportTable[[#This Row],[Ticker]],"Exchange")</f>
        <v>New York Stock Exchange</v>
      </c>
      <c r="D49" s="4" t="str" cm="1">
        <f t="array" aca="1" ref="D49" ca="1">_FV(StockReportTable[[#This Row],[Ticker]],"Currency")</f>
        <v>USD</v>
      </c>
      <c r="E49" s="5">
        <f t="shared" ca="1" si="1"/>
        <v>46318</v>
      </c>
      <c r="F49" s="33" cm="1">
        <f t="array" aca="1" ref="F49" ca="1">_FV(StockReportTable[[#This Row],[Ticker]],"Price")</f>
        <v>183.21</v>
      </c>
      <c r="G49" s="6">
        <f ca="1">(StockReportTable[[#This Row],[Price @ Date]]-INDEX(_xlfn.STOCKHISTORY(B49,DATE(2025,12,31),E49),2,2))/(INDEX(_xlfn.STOCKHISTORY(B49,DATE(2025,12,31),E49),2,2))</f>
        <v>0.52243643011467511</v>
      </c>
      <c r="H49" s="6">
        <f ca="1">(StockReportTable[[#This Row],[Price @ Date]]-INDEX(_xlfn.STOCKHISTORY(B49,DATE(2025,12,31),E49),2,2))/(INDEX(_xlfn.STOCKHISTORY(B49,EDATE(StockReportTable[[#This Row],[Date]],-12),E49),2,2))</f>
        <v>0.54207622003793765</v>
      </c>
      <c r="I49" s="7">
        <f ca="1">(StockReportTable[[#This Row],[Price @ Date]]-INDEX(_xlfn.STOCKHISTORY(B49,DATE(2025,12,31),E49),2,2))/(INDEX(_xlfn.STOCKHISTORY(B49,EDATE(StockReportTable[[#This Row],[Date]],-36),E49),2,2))</f>
        <v>0.57441754225673824</v>
      </c>
      <c r="J49" s="8" cm="1">
        <f t="array" aca="1" ref="J49" ca="1">IFERROR(_FV(StockReportTable[[#This Row],[Ticker]],"P/E",TRUE),"N/A")</f>
        <v>22.984500000000001</v>
      </c>
      <c r="K49" s="11">
        <f ca="1">IF(ISNUMBER(StockReportTable[[#This Row],[P/E]]),IF(StockReportTable[[#This Row],[P/E]]&lt;35,1,2),3)</f>
        <v>1</v>
      </c>
      <c r="L49" s="4" t="str" cm="1">
        <f t="array" aca="1" ref="L49" ca="1">_FV(StockReportTable[[#This Row],[Ticker]],"Industry")</f>
        <v>Oil &amp; Gas</v>
      </c>
      <c r="M49" s="18" cm="1">
        <f t="array" aca="1" ref="M49" ca="1">IFERROR(_FV(StockReportTable[[#This Row],[Ticker]],"52 week high",TRUE),"N/A")</f>
        <v>183.75</v>
      </c>
      <c r="N49" s="18" cm="1">
        <f t="array" aca="1" ref="N49" ca="1">IFERROR(_FV(StockReportTable[[#This Row],[Ticker]],"52 week low",TRUE),"N/A")</f>
        <v>112.51</v>
      </c>
      <c r="O49" s="21" cm="1">
        <f t="array" aca="1" ref="O49" ca="1">_FV(StockReportTable[[#This Row],[Ticker]],"Change (%)",TRUE)</f>
        <v>2.7940999999999997E-2</v>
      </c>
      <c r="P49" s="22" cm="1">
        <f t="array" aca="1" ref="P49" ca="1">_FV(StockReportTable[[#This Row],[Ticker]],"Market cap",TRUE)</f>
        <v>753343397520</v>
      </c>
      <c r="Q49" s="27" cm="1">
        <f t="array" aca="1" ref="Q49" ca="1">_FV(StockReportTable[[#This Row],[Ticker]],"Volume average",TRUE)</f>
        <v>12806951</v>
      </c>
    </row>
    <row r="50" spans="1:17" ht="15">
      <c r="A50" s="4" t="str" cm="1">
        <f t="array" aca="1" ref="A50" ca="1">_FV(StockReportTable[[#This Row],[Ticker]],"Official name",TRUE)</f>
        <v>Abb Ltd</v>
      </c>
      <c r="B50" s="4" t="e" vm="51">
        <v>#VALUE!</v>
      </c>
      <c r="C50" s="4" t="str" cm="1">
        <f t="array" aca="1" ref="C50" ca="1">_FV(StockReportTable[[#This Row],[Ticker]],"Exchange")</f>
        <v>SIX Swiss Exchange</v>
      </c>
      <c r="D50" s="4" t="str" cm="1">
        <f t="array" aca="1" ref="D50" ca="1">_FV(StockReportTable[[#This Row],[Ticker]],"Currency")</f>
        <v>CHF</v>
      </c>
      <c r="E50" s="5">
        <f t="shared" ca="1" si="1"/>
        <v>46318</v>
      </c>
      <c r="F50" s="34" cm="1">
        <f t="array" aca="1" ref="F50" ca="1">_FV(StockReportTable[[#This Row],[Ticker]],"Price")</f>
        <v>67.78</v>
      </c>
      <c r="G50" s="6">
        <f ca="1">(StockReportTable[[#This Row],[Price @ Date]]-INDEX(_xlfn.STOCKHISTORY(B50,DATE(2025,12,31),E50),2,2))/(INDEX(_xlfn.STOCKHISTORY(B50,DATE(2025,12,31),E50),2,2))</f>
        <v>0.10679294578706726</v>
      </c>
      <c r="H50" s="6">
        <f ca="1">(StockReportTable[[#This Row],[Price @ Date]]-INDEX(_xlfn.STOCKHISTORY(B50,DATE(2025,12,31),E50),2,2))/(INDEX(_xlfn.STOCKHISTORY(B50,EDATE(StockReportTable[[#This Row],[Date]],-12),E50),2,2))</f>
        <v>0.11168032786885244</v>
      </c>
      <c r="I50" s="7">
        <f ca="1">(StockReportTable[[#This Row],[Price @ Date]]-INDEX(_xlfn.STOCKHISTORY(B50,DATE(2025,12,31),E50),2,2))/(INDEX(_xlfn.STOCKHISTORY(B50,EDATE(StockReportTable[[#This Row],[Date]],-36),E50),2,2))</f>
        <v>0.21880227500836397</v>
      </c>
      <c r="J50" s="8" cm="1">
        <f t="array" aca="1" ref="J50" ca="1">IFERROR(_FV(StockReportTable[[#This Row],[Ticker]],"P/E",TRUE),"N/A")</f>
        <v>29.4696</v>
      </c>
      <c r="K50" s="11">
        <f ca="1">IF(ISNUMBER(StockReportTable[[#This Row],[P/E]]),IF(StockReportTable[[#This Row],[P/E]]&lt;35,1,2),3)</f>
        <v>1</v>
      </c>
      <c r="L50" s="4" t="str" cm="1">
        <f t="array" aca="1" ref="L50" ca="1">_FV(StockReportTable[[#This Row],[Ticker]],"Industry")</f>
        <v>Machinery, Equipment &amp; Components</v>
      </c>
      <c r="M50" s="19" cm="1">
        <f t="array" aca="1" ref="M50" ca="1">IFERROR(_FV(StockReportTable[[#This Row],[Ticker]],"52 week high",TRUE),"N/A")</f>
        <v>89.14</v>
      </c>
      <c r="N50" s="19" cm="1">
        <f t="array" aca="1" ref="N50" ca="1">IFERROR(_FV(StockReportTable[[#This Row],[Ticker]],"52 week low",TRUE),"N/A")</f>
        <v>53.78</v>
      </c>
      <c r="O50" s="21" cm="1">
        <f t="array" aca="1" ref="O50" ca="1">_FV(StockReportTable[[#This Row],[Ticker]],"Change (%)",TRUE)</f>
        <v>-1.6541E-2</v>
      </c>
      <c r="P50" s="24" cm="1">
        <f t="array" aca="1" ref="P50" ca="1">_FV(StockReportTable[[#This Row],[Ticker]],"Market cap",TRUE)</f>
        <v>123573400000</v>
      </c>
      <c r="Q50" s="27" cm="1">
        <f t="array" aca="1" ref="Q50" ca="1">_FV(StockReportTable[[#This Row],[Ticker]],"Volume average",TRUE)</f>
        <v>3066080</v>
      </c>
    </row>
    <row r="51" spans="1:17" ht="15">
      <c r="A51" s="4" t="str" cm="1">
        <f t="array" aca="1" ref="A51" ca="1">_FV(StockReportTable[[#This Row],[Ticker]],"Official name",TRUE)</f>
        <v>CHEVRON CORPORATION</v>
      </c>
      <c r="B51" s="4" t="e" vm="52">
        <v>#VALUE!</v>
      </c>
      <c r="C51" s="4" t="str" cm="1">
        <f t="array" aca="1" ref="C51" ca="1">_FV(StockReportTable[[#This Row],[Ticker]],"Exchange")</f>
        <v>New York Stock Exchange</v>
      </c>
      <c r="D51" s="4" t="str" cm="1">
        <f t="array" aca="1" ref="D51" ca="1">_FV(StockReportTable[[#This Row],[Ticker]],"Currency")</f>
        <v>USD</v>
      </c>
      <c r="E51" s="5">
        <f t="shared" ca="1" si="1"/>
        <v>46318</v>
      </c>
      <c r="F51" s="33" cm="1">
        <f t="array" aca="1" ref="F51" ca="1">_FV(StockReportTable[[#This Row],[Ticker]],"Price")</f>
        <v>233.21</v>
      </c>
      <c r="G51" s="6">
        <f ca="1">(StockReportTable[[#This Row],[Price @ Date]]-INDEX(_xlfn.STOCKHISTORY(B51,DATE(2025,12,31),E51),2,2))/(INDEX(_xlfn.STOCKHISTORY(B51,DATE(2025,12,31),E51),2,2))</f>
        <v>0.53014894035824434</v>
      </c>
      <c r="H51" s="6">
        <f ca="1">(StockReportTable[[#This Row],[Price @ Date]]-INDEX(_xlfn.STOCKHISTORY(B51,DATE(2025,12,31),E51),2,2))/(INDEX(_xlfn.STOCKHISTORY(B51,EDATE(StockReportTable[[#This Row],[Date]],-12),E51),2,2))</f>
        <v>0.51609606540623409</v>
      </c>
      <c r="I51" s="7">
        <f ca="1">(StockReportTable[[#This Row],[Price @ Date]]-INDEX(_xlfn.STOCKHISTORY(B51,DATE(2025,12,31),E51),2,2))/(INDEX(_xlfn.STOCKHISTORY(B51,EDATE(StockReportTable[[#This Row],[Date]],-36),E51),2,2))</f>
        <v>0.5028628329599204</v>
      </c>
      <c r="J51" s="8" cm="1">
        <f t="array" aca="1" ref="J51" ca="1">IFERROR(_FV(StockReportTable[[#This Row],[Ticker]],"P/E",TRUE),"N/A")</f>
        <v>21.7364</v>
      </c>
      <c r="K51" s="11">
        <f ca="1">IF(ISNUMBER(StockReportTable[[#This Row],[P/E]]),IF(StockReportTable[[#This Row],[P/E]]&lt;35,1,2),3)</f>
        <v>1</v>
      </c>
      <c r="L51" s="4" t="str" cm="1">
        <f t="array" aca="1" ref="L51" ca="1">_FV(StockReportTable[[#This Row],[Ticker]],"Industry")</f>
        <v>Oil &amp; Gas</v>
      </c>
      <c r="M51" s="18" cm="1">
        <f t="array" aca="1" ref="M51" ca="1">IFERROR(_FV(StockReportTable[[#This Row],[Ticker]],"52 week high",TRUE),"N/A")</f>
        <v>233.74</v>
      </c>
      <c r="N51" s="18" cm="1">
        <f t="array" aca="1" ref="N51" ca="1">IFERROR(_FV(StockReportTable[[#This Row],[Ticker]],"52 week low",TRUE),"N/A")</f>
        <v>146.49</v>
      </c>
      <c r="O51" s="21" cm="1">
        <f t="array" aca="1" ref="O51" ca="1">_FV(StockReportTable[[#This Row],[Ticker]],"Change (%)",TRUE)</f>
        <v>2.8806999999999999E-2</v>
      </c>
      <c r="P51" s="22" cm="1">
        <f t="array" aca="1" ref="P51" ca="1">_FV(StockReportTable[[#This Row],[Ticker]],"Market cap",TRUE)</f>
        <v>460769554910</v>
      </c>
      <c r="Q51" s="27" cm="1">
        <f t="array" aca="1" ref="Q51" ca="1">_FV(StockReportTable[[#This Row],[Ticker]],"Volume average",TRUE)</f>
        <v>9176657</v>
      </c>
    </row>
    <row r="52" spans="1:17" ht="15">
      <c r="A52" s="4" t="str" cm="1">
        <f t="array" aca="1" ref="A52" ca="1">_FV(StockReportTable[[#This Row],[Ticker]],"Official name",TRUE)</f>
        <v>CLOUDFLARE, INC.</v>
      </c>
      <c r="B52" s="4" t="e" vm="53">
        <v>#VALUE!</v>
      </c>
      <c r="C52" s="4" t="str" cm="1">
        <f t="array" aca="1" ref="C52" ca="1">_FV(StockReportTable[[#This Row],[Ticker]],"Exchange")</f>
        <v>New York Stock Exchange</v>
      </c>
      <c r="D52" s="4" t="str" cm="1">
        <f t="array" aca="1" ref="D52" ca="1">_FV(StockReportTable[[#This Row],[Ticker]],"Currency")</f>
        <v>USD</v>
      </c>
      <c r="E52" s="5">
        <f t="shared" ref="E52:E57" ca="1" si="2">WORKDAY(TODAY()+1,-1)</f>
        <v>46318</v>
      </c>
      <c r="F52" s="33" cm="1">
        <f t="array" aca="1" ref="F52" ca="1">_FV(StockReportTable[[#This Row],[Ticker]],"Price")</f>
        <v>325.73</v>
      </c>
      <c r="G52" s="6">
        <f ca="1">(StockReportTable[[#This Row],[Price @ Date]]-INDEX(_xlfn.STOCKHISTORY(B52,DATE(2025,12,31),E52),2,2))/(INDEX(_xlfn.STOCKHISTORY(B52,DATE(2025,12,31),E52),2,2))</f>
        <v>0.65219376109561256</v>
      </c>
      <c r="H52" s="6">
        <f ca="1">(StockReportTable[[#This Row],[Price @ Date]]-INDEX(_xlfn.STOCKHISTORY(B52,DATE(2025,12,31),E52),2,2))/(INDEX(_xlfn.STOCKHISTORY(B52,EDATE(StockReportTable[[#This Row],[Date]],-12),E52),2,2))</f>
        <v>0.59209799226376869</v>
      </c>
      <c r="I52" s="7">
        <f ca="1">(StockReportTable[[#This Row],[Price @ Date]]-INDEX(_xlfn.STOCKHISTORY(B52,DATE(2025,12,31),E52),2,2))/(INDEX(_xlfn.STOCKHISTORY(B52,EDATE(StockReportTable[[#This Row],[Date]],-36),E52),2,2))</f>
        <v>2.1904599659284498</v>
      </c>
      <c r="J52" s="8" t="str" cm="1">
        <f t="array" ref="J52">IFERROR(_FV(StockReportTable[[#This Row],[Ticker]],"P/E",TRUE),"N/A")</f>
        <v>N/A</v>
      </c>
      <c r="K52" s="11">
        <f>IF(ISNUMBER(StockReportTable[[#This Row],[P/E]]),IF(StockReportTable[[#This Row],[P/E]]&lt;35,1,2),3)</f>
        <v>3</v>
      </c>
      <c r="L52" s="4" t="str" cm="1">
        <f t="array" aca="1" ref="L52" ca="1">_FV(StockReportTable[[#This Row],[Ticker]],"Industry")</f>
        <v>Software &amp; IT Services</v>
      </c>
      <c r="M52" s="18" cm="1">
        <f t="array" aca="1" ref="M52" ca="1">IFERROR(_FV(StockReportTable[[#This Row],[Ticker]],"52 week high",TRUE),"N/A")</f>
        <v>370.35</v>
      </c>
      <c r="N52" s="18" cm="1">
        <f t="array" aca="1" ref="N52" ca="1">IFERROR(_FV(StockReportTable[[#This Row],[Ticker]],"52 week low",TRUE),"N/A")</f>
        <v>158.83000000000001</v>
      </c>
      <c r="O52" s="21" cm="1">
        <f t="array" aca="1" ref="O52" ca="1">_FV(StockReportTable[[#This Row],[Ticker]],"Change (%)",TRUE)</f>
        <v>7.2857000000000005E-2</v>
      </c>
      <c r="P52" s="22" cm="1">
        <f t="array" aca="1" ref="P52" ca="1">_FV(StockReportTable[[#This Row],[Ticker]],"Market cap",TRUE)</f>
        <v>115985840681</v>
      </c>
      <c r="Q52" s="27" cm="1">
        <f t="array" aca="1" ref="Q52" ca="1">_FV(StockReportTable[[#This Row],[Ticker]],"Volume average",TRUE)</f>
        <v>3080379</v>
      </c>
    </row>
    <row r="53" spans="1:17" ht="15">
      <c r="A53" s="4" t="str" cm="1">
        <f t="array" aca="1" ref="A53" ca="1">_FV(StockReportTable[[#This Row],[Ticker]],"Official name",TRUE)</f>
        <v>HONEYWELL INTERNATIONAL INCORPORATION</v>
      </c>
      <c r="B53" s="4" t="e" vm="54">
        <v>#VALUE!</v>
      </c>
      <c r="C53" s="4" t="str" cm="1">
        <f t="array" aca="1" ref="C53" ca="1">_FV(StockReportTable[[#This Row],[Ticker]],"Exchange")</f>
        <v>Nasdaq Stock Market</v>
      </c>
      <c r="D53" s="4" t="str" cm="1">
        <f t="array" aca="1" ref="D53" ca="1">_FV(StockReportTable[[#This Row],[Ticker]],"Currency")</f>
        <v>USD</v>
      </c>
      <c r="E53" s="5">
        <f t="shared" ca="1" si="2"/>
        <v>46318</v>
      </c>
      <c r="F53" s="33" cm="1">
        <f t="array" aca="1" ref="F53" ca="1">_FV(StockReportTable[[#This Row],[Ticker]],"Price")</f>
        <v>221.15</v>
      </c>
      <c r="G53" s="6">
        <f ca="1">(StockReportTable[[#This Row],[Price @ Date]]-INDEX(_xlfn.STOCKHISTORY(B53,DATE(2025,12,31),E53),2,2))/(INDEX(_xlfn.STOCKHISTORY(B53,DATE(2025,12,31),E53),2,2))</f>
        <v>8.1412276021987154E-2</v>
      </c>
      <c r="H53" s="6">
        <f ca="1">(StockReportTable[[#This Row],[Price @ Date]]-INDEX(_xlfn.STOCKHISTORY(B53,DATE(2025,12,31),E53),2,2))/(INDEX(_xlfn.STOCKHISTORY(B53,EDATE(StockReportTable[[#This Row],[Date]],-12),E53),2,2))</f>
        <v>7.6392757212824541E-2</v>
      </c>
      <c r="I53" s="7">
        <f ca="1">(StockReportTable[[#This Row],[Price @ Date]]-INDEX(_xlfn.STOCKHISTORY(B53,DATE(2025,12,31),E53),2,2))/(INDEX(_xlfn.STOCKHISTORY(B53,EDATE(StockReportTable[[#This Row],[Date]],-36),E53),2,2))</f>
        <v>9.3383522580674103E-2</v>
      </c>
      <c r="J53" s="8" cm="1">
        <f t="array" aca="1" ref="J53" ca="1">IFERROR(_FV(StockReportTable[[#This Row],[Ticker]],"P/E",TRUE),"N/A")</f>
        <v>10.154999999999999</v>
      </c>
      <c r="K53" s="11">
        <f ca="1">IF(ISNUMBER(StockReportTable[[#This Row],[P/E]]),IF(StockReportTable[[#This Row],[P/E]]&lt;35,1,2),3)</f>
        <v>1</v>
      </c>
      <c r="L53" s="4" t="str" cm="1">
        <f t="array" aca="1" ref="L53" ca="1">_FV(StockReportTable[[#This Row],[Ticker]],"Industry")</f>
        <v>Consumer Goods Conglomerates</v>
      </c>
      <c r="M53" s="18" cm="1">
        <f t="array" aca="1" ref="M53" ca="1">IFERROR(_FV(StockReportTable[[#This Row],[Ticker]],"52 week high",TRUE),"N/A")</f>
        <v>260.15019999999998</v>
      </c>
      <c r="N53" s="18" cm="1">
        <f t="array" aca="1" ref="N53" ca="1">IFERROR(_FV(StockReportTable[[#This Row],[Ticker]],"52 week low",TRUE),"N/A")</f>
        <v>195.76779999999999</v>
      </c>
      <c r="O53" s="21" cm="1">
        <f t="array" aca="1" ref="O53" ca="1">_FV(StockReportTable[[#This Row],[Ticker]],"Change (%)",TRUE)</f>
        <v>1.3009E-2</v>
      </c>
      <c r="P53" s="22" t="e" cm="1" vm="2">
        <f t="array" ref="P53">_FV(StockReportTable[[#This Row],[Ticker]],"Market cap",TRUE)</f>
        <v>#VALUE!</v>
      </c>
      <c r="Q53" s="27" cm="1">
        <f t="array" aca="1" ref="Q53" ca="1">_FV(StockReportTable[[#This Row],[Ticker]],"Volume average",TRUE)</f>
        <v>2714410</v>
      </c>
    </row>
    <row r="54" spans="1:17" ht="15">
      <c r="A54" s="4" t="str" cm="1">
        <f t="array" aca="1" ref="A54" ca="1">_FV(StockReportTable[[#This Row],[Ticker]],"Official name",TRUE)</f>
        <v>Medicofarma Biotech SA</v>
      </c>
      <c r="B54" s="4" t="e" vm="55">
        <v>#VALUE!</v>
      </c>
      <c r="C54" s="4" t="str" cm="1">
        <f t="array" aca="1" ref="C54" ca="1">_FV(StockReportTable[[#This Row],[Ticker]],"Exchange")</f>
        <v>Warsaw Stock Exchange</v>
      </c>
      <c r="D54" s="4" t="str" cm="1">
        <f t="array" aca="1" ref="D54" ca="1">_FV(StockReportTable[[#This Row],[Ticker]],"Currency")</f>
        <v>PLN</v>
      </c>
      <c r="E54" s="5">
        <f t="shared" ca="1" si="2"/>
        <v>46318</v>
      </c>
      <c r="F54" s="35" cm="1">
        <f t="array" aca="1" ref="F54" ca="1">_FV(StockReportTable[[#This Row],[Ticker]],"Price")</f>
        <v>0.35199999999999998</v>
      </c>
      <c r="G54" s="6">
        <f ca="1">(StockReportTable[[#This Row],[Price @ Date]]-INDEX(_xlfn.STOCKHISTORY(B54,DATE(2025,12,31),E54),2,2))/(INDEX(_xlfn.STOCKHISTORY(B54,DATE(2025,12,31),E54),2,2))</f>
        <v>-7.8534031413612634E-2</v>
      </c>
      <c r="H54" s="6">
        <f ca="1">(StockReportTable[[#This Row],[Price @ Date]]-INDEX(_xlfn.STOCKHISTORY(B54,DATE(2025,12,31),E54),2,2))/(INDEX(_xlfn.STOCKHISTORY(B54,EDATE(StockReportTable[[#This Row],[Date]],-12),E54),2,2))</f>
        <v>-4.7318611987381742E-2</v>
      </c>
      <c r="I54" s="7">
        <f ca="1">(StockReportTable[[#This Row],[Price @ Date]]-INDEX(_xlfn.STOCKHISTORY(B54,DATE(2025,12,31),E54),2,2))/(INDEX(_xlfn.STOCKHISTORY(B54,EDATE(StockReportTable[[#This Row],[Date]],-36),E54),2,2))</f>
        <v>-2.6666666666666689E-2</v>
      </c>
      <c r="J54" s="8" t="str" cm="1">
        <f t="array" ref="J54">IFERROR(_FV(StockReportTable[[#This Row],[Ticker]],"P/E",TRUE),"N/A")</f>
        <v>N/A</v>
      </c>
      <c r="K54" s="11">
        <f>IF(ISNUMBER(StockReportTable[[#This Row],[P/E]]),IF(StockReportTable[[#This Row],[P/E]]&lt;35,1,2),3)</f>
        <v>3</v>
      </c>
      <c r="L54" s="4" t="str" cm="1">
        <f t="array" aca="1" ref="L54" ca="1">_FV(StockReportTable[[#This Row],[Ticker]],"Industry")</f>
        <v>Biotechnology &amp; Medical Research</v>
      </c>
      <c r="M54" s="20" cm="1">
        <f t="array" aca="1" ref="M54" ca="1">IFERROR(_FV(StockReportTable[[#This Row],[Ticker]],"52 week high",TRUE),"N/A")</f>
        <v>0.64</v>
      </c>
      <c r="N54" s="20" cm="1">
        <f t="array" aca="1" ref="N54" ca="1">IFERROR(_FV(StockReportTable[[#This Row],[Ticker]],"52 week low",TRUE),"N/A")</f>
        <v>0.33</v>
      </c>
      <c r="O54" s="21" cm="1">
        <f t="array" aca="1" ref="O54" ca="1">_FV(StockReportTable[[#This Row],[Ticker]],"Change (%)",TRUE)</f>
        <v>0</v>
      </c>
      <c r="P54" s="25" cm="1">
        <f t="array" aca="1" ref="P54" ca="1">_FV(StockReportTable[[#This Row],[Ticker]],"Market cap",TRUE)</f>
        <v>23928360</v>
      </c>
      <c r="Q54" s="27" cm="1">
        <f t="array" aca="1" ref="Q54" ca="1">_FV(StockReportTable[[#This Row],[Ticker]],"Volume average",TRUE)</f>
        <v>14180</v>
      </c>
    </row>
    <row r="55" spans="1:17" ht="15">
      <c r="A55" s="4" t="str" cm="1">
        <f t="array" aca="1" ref="A55" ca="1">_FV(StockReportTable[[#This Row],[Ticker]],"Official name",TRUE)</f>
        <v>ORACLE CORPORATION</v>
      </c>
      <c r="B55" s="4" t="e" vm="56">
        <v>#VALUE!</v>
      </c>
      <c r="C55" s="4" t="str" cm="1">
        <f t="array" aca="1" ref="C55" ca="1">_FV(StockReportTable[[#This Row],[Ticker]],"Exchange")</f>
        <v>New York Stock Exchange</v>
      </c>
      <c r="D55" s="4" t="str" cm="1">
        <f t="array" aca="1" ref="D55" ca="1">_FV(StockReportTable[[#This Row],[Ticker]],"Currency")</f>
        <v>USD</v>
      </c>
      <c r="E55" s="5">
        <f t="shared" ca="1" si="2"/>
        <v>46318</v>
      </c>
      <c r="F55" s="33" cm="1">
        <f t="array" aca="1" ref="F55" ca="1">_FV(StockReportTable[[#This Row],[Ticker]],"Price")</f>
        <v>126.16</v>
      </c>
      <c r="G55" s="6">
        <f ca="1">(StockReportTable[[#This Row],[Price @ Date]]-INDEX(_xlfn.STOCKHISTORY(B55,DATE(2025,12,31),E55),2,2))/(INDEX(_xlfn.STOCKHISTORY(B55,DATE(2025,12,31),E55),2,2))</f>
        <v>-0.35272689959468473</v>
      </c>
      <c r="H55" s="6">
        <f ca="1">(StockReportTable[[#This Row],[Price @ Date]]-INDEX(_xlfn.STOCKHISTORY(B55,DATE(2025,12,31),E55),2,2))/(INDEX(_xlfn.STOCKHISTORY(B55,EDATE(StockReportTable[[#This Row],[Date]],-12),E55),2,2))</f>
        <v>-0.24547434569928947</v>
      </c>
      <c r="I55" s="7">
        <f ca="1">(StockReportTable[[#This Row],[Price @ Date]]-INDEX(_xlfn.STOCKHISTORY(B55,DATE(2025,12,31),E55),2,2))/(INDEX(_xlfn.STOCKHISTORY(B55,EDATE(StockReportTable[[#This Row],[Date]],-36),E55),2,2))</f>
        <v>-0.66322593092803395</v>
      </c>
      <c r="J55" s="8" cm="1">
        <f t="array" aca="1" ref="J55" ca="1">IFERROR(_FV(StockReportTable[[#This Row],[Ticker]],"P/E",TRUE),"N/A")</f>
        <v>19.7075</v>
      </c>
      <c r="K55" s="11">
        <f ca="1">IF(ISNUMBER(StockReportTable[[#This Row],[P/E]]),IF(StockReportTable[[#This Row],[P/E]]&lt;35,1,2),3)</f>
        <v>1</v>
      </c>
      <c r="L55" s="4" t="str" cm="1">
        <f t="array" aca="1" ref="L55" ca="1">_FV(StockReportTable[[#This Row],[Ticker]],"Industry")</f>
        <v>Software &amp; IT Services</v>
      </c>
      <c r="M55" s="18" cm="1">
        <f t="array" aca="1" ref="M55" ca="1">IFERROR(_FV(StockReportTable[[#This Row],[Ticker]],"52 week high",TRUE),"N/A")</f>
        <v>287.19</v>
      </c>
      <c r="N55" s="18" cm="1">
        <f t="array" aca="1" ref="N55" ca="1">IFERROR(_FV(StockReportTable[[#This Row],[Ticker]],"52 week low",TRUE),"N/A")</f>
        <v>114.5</v>
      </c>
      <c r="O55" s="21" cm="1">
        <f t="array" aca="1" ref="O55" ca="1">_FV(StockReportTable[[#This Row],[Ticker]],"Change (%)",TRUE)</f>
        <v>4.9389999999999998E-3</v>
      </c>
      <c r="P55" s="22" t="e" cm="1" vm="2">
        <f t="array" ref="P55">_FV(StockReportTable[[#This Row],[Ticker]],"Market cap",TRUE)</f>
        <v>#VALUE!</v>
      </c>
      <c r="Q55" s="27" cm="1">
        <f t="array" aca="1" ref="Q55" ca="1">_FV(StockReportTable[[#This Row],[Ticker]],"Volume average",TRUE)</f>
        <v>30562104</v>
      </c>
    </row>
    <row r="56" spans="1:17" ht="15">
      <c r="A56" s="4" t="str" cm="1">
        <f t="array" aca="1" ref="A56" ca="1">_FV(StockReportTable[[#This Row],[Ticker]],"Official name",TRUE)</f>
        <v>Nokia Oyj</v>
      </c>
      <c r="B56" s="4" t="e" vm="57">
        <v>#VALUE!</v>
      </c>
      <c r="C56" s="4" t="str" cm="1">
        <f t="array" aca="1" ref="C56" ca="1">_FV(StockReportTable[[#This Row],[Ticker]],"Exchange")</f>
        <v>New York Stock Exchange</v>
      </c>
      <c r="D56" s="4" t="str" cm="1">
        <f t="array" aca="1" ref="D56" ca="1">_FV(StockReportTable[[#This Row],[Ticker]],"Currency")</f>
        <v>USD</v>
      </c>
      <c r="E56" s="5">
        <f t="shared" ca="1" si="2"/>
        <v>46318</v>
      </c>
      <c r="F56" s="33" cm="1">
        <f t="array" aca="1" ref="F56" ca="1">_FV(StockReportTable[[#This Row],[Ticker]],"Price")</f>
        <v>8.14</v>
      </c>
      <c r="G56" s="6">
        <f ca="1">(StockReportTable[[#This Row],[Price @ Date]]-INDEX(_xlfn.STOCKHISTORY(B56,DATE(2025,12,31),E56),2,2))/(INDEX(_xlfn.STOCKHISTORY(B56,DATE(2025,12,31),E56),2,2))</f>
        <v>0.25811437403400322</v>
      </c>
      <c r="H56" s="6">
        <f ca="1">(StockReportTable[[#This Row],[Price @ Date]]-INDEX(_xlfn.STOCKHISTORY(B56,DATE(2025,12,31),E56),2,2))/(INDEX(_xlfn.STOCKHISTORY(B56,EDATE(StockReportTable[[#This Row],[Date]],-12),E56),2,2))</f>
        <v>0.27066450567260952</v>
      </c>
      <c r="I56" s="7">
        <f ca="1">(StockReportTable[[#This Row],[Price @ Date]]-INDEX(_xlfn.STOCKHISTORY(B56,DATE(2025,12,31),E56),2,2))/(INDEX(_xlfn.STOCKHISTORY(B56,EDATE(StockReportTable[[#This Row],[Date]],-36),E56),2,2))</f>
        <v>0.52848101265822811</v>
      </c>
      <c r="J56" s="8" cm="1">
        <f t="array" aca="1" ref="J56" ca="1">IFERROR(_FV(StockReportTable[[#This Row],[Ticker]],"P/E",TRUE),"N/A")</f>
        <v>47.917700000000004</v>
      </c>
      <c r="K56" s="11">
        <f ca="1">IF(ISNUMBER(StockReportTable[[#This Row],[P/E]]),IF(StockReportTable[[#This Row],[P/E]]&lt;35,1,2),3)</f>
        <v>2</v>
      </c>
      <c r="L56" s="4" t="str" cm="1">
        <f t="array" aca="1" ref="L56" ca="1">_FV(StockReportTable[[#This Row],[Ticker]],"Industry")</f>
        <v>Communications &amp; Networking</v>
      </c>
      <c r="M56" s="18" cm="1">
        <f t="array" aca="1" ref="M56" ca="1">IFERROR(_FV(StockReportTable[[#This Row],[Ticker]],"52 week high",TRUE),"N/A")</f>
        <v>17.45</v>
      </c>
      <c r="N56" s="18" cm="1">
        <f t="array" aca="1" ref="N56" ca="1">IFERROR(_FV(StockReportTable[[#This Row],[Ticker]],"52 week low",TRUE),"N/A")</f>
        <v>5.835</v>
      </c>
      <c r="O56" s="21" cm="1">
        <f t="array" aca="1" ref="O56" ca="1">_FV(StockReportTable[[#This Row],[Ticker]],"Change (%)",TRUE)</f>
        <v>3.2995000000000003E-2</v>
      </c>
      <c r="P56" s="22" t="e" cm="1" vm="2">
        <f t="array" ref="P56">_FV(StockReportTable[[#This Row],[Ticker]],"Market cap",TRUE)</f>
        <v>#VALUE!</v>
      </c>
      <c r="Q56" s="27" cm="1">
        <f t="array" aca="1" ref="Q56" ca="1">_FV(StockReportTable[[#This Row],[Ticker]],"Volume average",TRUE)</f>
        <v>79735635</v>
      </c>
    </row>
    <row r="57" spans="1:17" ht="15">
      <c r="A57" s="4" t="str" cm="1">
        <f t="array" aca="1" ref="A57" ca="1">_FV(StockReportTable[[#This Row],[Ticker]],"Official name",TRUE)</f>
        <v>SERVICENOW, INC.</v>
      </c>
      <c r="B57" s="4" t="e" vm="58">
        <v>#VALUE!</v>
      </c>
      <c r="C57" s="4" t="str" cm="1">
        <f t="array" aca="1" ref="C57" ca="1">_FV(StockReportTable[[#This Row],[Ticker]],"Exchange")</f>
        <v>New York Stock Exchange</v>
      </c>
      <c r="D57" s="4" t="str" cm="1">
        <f t="array" aca="1" ref="D57" ca="1">_FV(StockReportTable[[#This Row],[Ticker]],"Currency")</f>
        <v>USD</v>
      </c>
      <c r="E57" s="5">
        <f t="shared" ca="1" si="2"/>
        <v>46318</v>
      </c>
      <c r="F57" s="33" cm="1">
        <f t="array" aca="1" ref="F57" ca="1">_FV(StockReportTable[[#This Row],[Ticker]],"Price")</f>
        <v>158.96</v>
      </c>
      <c r="G57" s="6">
        <f ca="1">(StockReportTable[[#This Row],[Price @ Date]]-INDEX(_xlfn.STOCKHISTORY(B57,DATE(2025,12,31),E57),2,2))/(INDEX(_xlfn.STOCKHISTORY(B57,DATE(2025,12,31),E57),2,2))</f>
        <v>3.7665643971538681E-2</v>
      </c>
      <c r="H57" s="6">
        <f ca="1">(StockReportTable[[#This Row],[Price @ Date]]-INDEX(_xlfn.STOCKHISTORY(B57,DATE(2025,12,31),E57),2,2))/(INDEX(_xlfn.STOCKHISTORY(B57,EDATE(StockReportTable[[#This Row],[Date]],-12),E57),2,2))</f>
        <v>3.0718613243608771E-2</v>
      </c>
      <c r="I57" s="7">
        <f ca="1">(StockReportTable[[#This Row],[Price @ Date]]-INDEX(_xlfn.STOCKHISTORY(B57,DATE(2025,12,31),E57),2,2))/(INDEX(_xlfn.STOCKHISTORY(B57,EDATE(StockReportTable[[#This Row],[Date]],-36),E57),2,2))</f>
        <v>5.3289741032177124E-2</v>
      </c>
      <c r="J57" s="8" cm="1">
        <f t="array" aca="1" ref="J57" ca="1">IFERROR(_FV(StockReportTable[[#This Row],[Ticker]],"P/E",TRUE),"N/A")</f>
        <v>98.024900000000002</v>
      </c>
      <c r="K57" s="11">
        <f ca="1">IF(ISNUMBER(StockReportTable[[#This Row],[P/E]]),IF(StockReportTable[[#This Row],[P/E]]&lt;35,1,2),3)</f>
        <v>2</v>
      </c>
      <c r="L57" s="4" t="str" cm="1">
        <f t="array" aca="1" ref="L57" ca="1">_FV(StockReportTable[[#This Row],[Ticker]],"Industry")</f>
        <v>Software &amp; IT Services</v>
      </c>
      <c r="M57" s="18" cm="1">
        <f t="array" aca="1" ref="M57" ca="1">IFERROR(_FV(StockReportTable[[#This Row],[Ticker]],"52 week high",TRUE),"N/A")</f>
        <v>192.96600000000001</v>
      </c>
      <c r="N57" s="18" cm="1">
        <f t="array" aca="1" ref="N57" ca="1">IFERROR(_FV(StockReportTable[[#This Row],[Ticker]],"52 week low",TRUE),"N/A")</f>
        <v>81.239999999999995</v>
      </c>
      <c r="O57" s="21" cm="1">
        <f t="array" aca="1" ref="O57" ca="1">_FV(StockReportTable[[#This Row],[Ticker]],"Change (%)",TRUE)</f>
        <v>1.2484E-2</v>
      </c>
      <c r="P57" s="22" cm="1">
        <f t="array" aca="1" ref="P57" ca="1">_FV(StockReportTable[[#This Row],[Ticker]],"Market cap",TRUE)</f>
        <v>164342703520</v>
      </c>
      <c r="Q57" s="27" cm="1">
        <f t="array" aca="1" ref="Q57" ca="1">_FV(StockReportTable[[#This Row],[Ticker]],"Volume average",TRUE)</f>
        <v>11429082</v>
      </c>
    </row>
    <row r="58" spans="1:17" ht="15">
      <c r="A58" s="4" t="str" cm="1">
        <f t="array" aca="1" ref="A58" ca="1">_FV(StockReportTable[[#This Row],[Ticker]],"Official name",TRUE)</f>
        <v>HP INC.</v>
      </c>
      <c r="B58" s="4" t="e" vm="59">
        <v>#VALUE!</v>
      </c>
      <c r="C58" s="4" t="str" cm="1">
        <f t="array" aca="1" ref="C58" ca="1">_FV(StockReportTable[[#This Row],[Ticker]],"Exchange")</f>
        <v>New York Stock Exchange</v>
      </c>
      <c r="D58" s="4" t="str" cm="1">
        <f t="array" aca="1" ref="D58" ca="1">_FV(StockReportTable[[#This Row],[Ticker]],"Currency")</f>
        <v>USD</v>
      </c>
      <c r="E58" s="5">
        <f t="shared" ref="E58:E64" ca="1" si="3">WORKDAY(TODAY()+1,-1)</f>
        <v>46318</v>
      </c>
      <c r="F58" s="33" cm="1">
        <f t="array" aca="1" ref="F58" ca="1">_FV(StockReportTable[[#This Row],[Ticker]],"Price")</f>
        <v>33.64</v>
      </c>
      <c r="G58" s="6">
        <f ca="1">(StockReportTable[[#This Row],[Price @ Date]]-INDEX(_xlfn.STOCKHISTORY(B58,DATE(2025,12,31),E58),2,2))/(INDEX(_xlfn.STOCKHISTORY(B58,DATE(2025,12,31),E58),2,2))</f>
        <v>0.50987432675044875</v>
      </c>
      <c r="H58" s="6">
        <f ca="1">(StockReportTable[[#This Row],[Price @ Date]]-INDEX(_xlfn.STOCKHISTORY(B58,DATE(2025,12,31),E58),2,2))/(INDEX(_xlfn.STOCKHISTORY(B58,EDATE(StockReportTable[[#This Row],[Date]],-12),E58),2,2))</f>
        <v>0.40819259791591805</v>
      </c>
      <c r="I58" s="7">
        <f ca="1">(StockReportTable[[#This Row],[Price @ Date]]-INDEX(_xlfn.STOCKHISTORY(B58,DATE(2025,12,31),E58),2,2))/(INDEX(_xlfn.STOCKHISTORY(B58,EDATE(StockReportTable[[#This Row],[Date]],-36),E58),2,2))</f>
        <v>0.43894899536321486</v>
      </c>
      <c r="J58" s="8" cm="1">
        <f t="array" aca="1" ref="J58" ca="1">IFERROR(_FV(StockReportTable[[#This Row],[Ticker]],"P/E",TRUE),"N/A")</f>
        <v>12.866899999999999</v>
      </c>
      <c r="K58" s="11">
        <f ca="1">IF(ISNUMBER(StockReportTable[[#This Row],[P/E]]),IF(StockReportTable[[#This Row],[P/E]]&lt;35,1,2),3)</f>
        <v>1</v>
      </c>
      <c r="L58" s="4" t="str" cm="1">
        <f t="array" aca="1" ref="L58" ca="1">_FV(StockReportTable[[#This Row],[Ticker]],"Industry")</f>
        <v>Computers, Phones &amp; Household Electronics</v>
      </c>
      <c r="M58" s="18" cm="1">
        <f t="array" aca="1" ref="M58" ca="1">IFERROR(_FV(StockReportTable[[#This Row],[Ticker]],"52 week high",TRUE),"N/A")</f>
        <v>36.225000000000001</v>
      </c>
      <c r="N58" s="18" cm="1">
        <f t="array" aca="1" ref="N58" ca="1">IFERROR(_FV(StockReportTable[[#This Row],[Ticker]],"52 week low",TRUE),"N/A")</f>
        <v>17.559999999999999</v>
      </c>
      <c r="O58" s="21" cm="1">
        <f t="array" aca="1" ref="O58" ca="1">_FV(StockReportTable[[#This Row],[Ticker]],"Change (%)",TRUE)</f>
        <v>-3.555E-3</v>
      </c>
      <c r="P58" s="22" cm="1">
        <f t="array" aca="1" ref="P58" ca="1">_FV(StockReportTable[[#This Row],[Ticker]],"Market cap",TRUE)</f>
        <v>30336249240</v>
      </c>
      <c r="Q58" s="27" cm="1">
        <f t="array" aca="1" ref="Q58" ca="1">_FV(StockReportTable[[#This Row],[Ticker]],"Volume average",TRUE)</f>
        <v>13315031</v>
      </c>
    </row>
    <row r="59" spans="1:17" ht="15">
      <c r="A59" s="4" t="str" cm="1">
        <f t="array" aca="1" ref="A59" ca="1">_FV(StockReportTable[[#This Row],[Ticker]],"Official name",TRUE)</f>
        <v>QUALCOMM INCORPORATED</v>
      </c>
      <c r="B59" s="4" t="e" vm="60">
        <v>#VALUE!</v>
      </c>
      <c r="C59" s="4" t="str" cm="1">
        <f t="array" aca="1" ref="C59" ca="1">_FV(StockReportTable[[#This Row],[Ticker]],"Exchange")</f>
        <v>Nasdaq Stock Market</v>
      </c>
      <c r="D59" s="4" t="str" cm="1">
        <f t="array" aca="1" ref="D59" ca="1">_FV(StockReportTable[[#This Row],[Ticker]],"Currency")</f>
        <v>USD</v>
      </c>
      <c r="E59" s="5">
        <f t="shared" ca="1" si="3"/>
        <v>46318</v>
      </c>
      <c r="F59" s="33" cm="1">
        <f t="array" aca="1" ref="F59" ca="1">_FV(StockReportTable[[#This Row],[Ticker]],"Price")</f>
        <v>175.91</v>
      </c>
      <c r="G59" s="6">
        <f ca="1">(StockReportTable[[#This Row],[Price @ Date]]-INDEX(_xlfn.STOCKHISTORY(B59,DATE(2025,12,31),E59),2,2))/(INDEX(_xlfn.STOCKHISTORY(B59,DATE(2025,12,31),E59),2,2))</f>
        <v>2.841274481145855E-2</v>
      </c>
      <c r="H59" s="6">
        <f ca="1">(StockReportTable[[#This Row],[Price @ Date]]-INDEX(_xlfn.STOCKHISTORY(B59,DATE(2025,12,31),E59),2,2))/(INDEX(_xlfn.STOCKHISTORY(B59,EDATE(StockReportTable[[#This Row],[Date]],-12),E59),2,2))</f>
        <v>2.8583191201552581E-2</v>
      </c>
      <c r="I59" s="7">
        <f ca="1">(StockReportTable[[#This Row],[Price @ Date]]-INDEX(_xlfn.STOCKHISTORY(B59,DATE(2025,12,31),E59),2,2))/(INDEX(_xlfn.STOCKHISTORY(B59,EDATE(StockReportTable[[#This Row],[Date]],-36),E59),2,2))</f>
        <v>4.4726670347873969E-2</v>
      </c>
      <c r="J59" s="8" cm="1">
        <f t="array" aca="1" ref="J59" ca="1">IFERROR(_FV(StockReportTable[[#This Row],[Ticker]],"P/E",TRUE),"N/A")</f>
        <v>20.002600000000001</v>
      </c>
      <c r="K59" s="11">
        <f ca="1">IF(ISNUMBER(StockReportTable[[#This Row],[P/E]]),IF(StockReportTable[[#This Row],[P/E]]&lt;35,1,2),3)</f>
        <v>1</v>
      </c>
      <c r="L59" s="4" t="str" cm="1">
        <f t="array" aca="1" ref="L59" ca="1">_FV(StockReportTable[[#This Row],[Ticker]],"Industry")</f>
        <v>Semiconductors &amp; Semiconductor Equipment</v>
      </c>
      <c r="M59" s="18" cm="1">
        <f t="array" aca="1" ref="M59" ca="1">IFERROR(_FV(StockReportTable[[#This Row],[Ticker]],"52 week high",TRUE),"N/A")</f>
        <v>259.92</v>
      </c>
      <c r="N59" s="18" cm="1">
        <f t="array" aca="1" ref="N59" ca="1">IFERROR(_FV(StockReportTable[[#This Row],[Ticker]],"52 week low",TRUE),"N/A")</f>
        <v>121.99</v>
      </c>
      <c r="O59" s="21" cm="1">
        <f t="array" aca="1" ref="O59" ca="1">_FV(StockReportTable[[#This Row],[Ticker]],"Change (%)",TRUE)</f>
        <v>1.7821E-2</v>
      </c>
      <c r="P59" s="22" cm="1">
        <f t="array" aca="1" ref="P59" ca="1">_FV(StockReportTable[[#This Row],[Ticker]],"Market cap",TRUE)</f>
        <v>184705500000</v>
      </c>
      <c r="Q59" s="27" cm="1">
        <f t="array" aca="1" ref="Q59" ca="1">_FV(StockReportTable[[#This Row],[Ticker]],"Volume average",TRUE)</f>
        <v>12653239</v>
      </c>
    </row>
    <row r="60" spans="1:17" ht="15">
      <c r="A60" s="4" t="str" cm="1">
        <f t="array" aca="1" ref="A60" ca="1">_FV(StockReportTable[[#This Row],[Ticker]],"Official name",TRUE)</f>
        <v>BROADCOM INC.</v>
      </c>
      <c r="B60" s="4" t="e" vm="61">
        <v>#VALUE!</v>
      </c>
      <c r="C60" s="4" t="str" cm="1">
        <f t="array" aca="1" ref="C60" ca="1">_FV(StockReportTable[[#This Row],[Ticker]],"Exchange")</f>
        <v>Nasdaq Stock Market</v>
      </c>
      <c r="D60" s="4" t="str" cm="1">
        <f t="array" aca="1" ref="D60" ca="1">_FV(StockReportTable[[#This Row],[Ticker]],"Currency")</f>
        <v>USD</v>
      </c>
      <c r="E60" s="5">
        <f t="shared" ca="1" si="3"/>
        <v>46318</v>
      </c>
      <c r="F60" s="33" cm="1">
        <f t="array" aca="1" ref="F60" ca="1">_FV(StockReportTable[[#This Row],[Ticker]],"Price")</f>
        <v>321.68</v>
      </c>
      <c r="G60" s="6">
        <f ca="1">(StockReportTable[[#This Row],[Price @ Date]]-INDEX(_xlfn.STOCKHISTORY(B60,DATE(2025,12,31),E60),2,2))/(INDEX(_xlfn.STOCKHISTORY(B60,DATE(2025,12,31),E60),2,2))</f>
        <v>-7.0557642299913362E-2</v>
      </c>
      <c r="H60" s="6">
        <f ca="1">(StockReportTable[[#This Row],[Price @ Date]]-INDEX(_xlfn.STOCKHISTORY(B60,DATE(2025,12,31),E60),2,2))/(INDEX(_xlfn.STOCKHISTORY(B60,EDATE(StockReportTable[[#This Row],[Date]],-12),E60),2,2))</f>
        <v>-7.0928577652560387E-2</v>
      </c>
      <c r="I60" s="7">
        <f ca="1">(StockReportTable[[#This Row],[Price @ Date]]-INDEX(_xlfn.STOCKHISTORY(B60,DATE(2025,12,31),E60),2,2))/(INDEX(_xlfn.STOCKHISTORY(B60,EDATE(StockReportTable[[#This Row],[Date]],-36),E60),2,2))</f>
        <v>-0.28322237943912248</v>
      </c>
      <c r="J60" s="8" cm="1">
        <f t="array" aca="1" ref="J60" ca="1">IFERROR(_FV(StockReportTable[[#This Row],[Ticker]],"P/E",TRUE),"N/A")</f>
        <v>41.283499999999997</v>
      </c>
      <c r="K60" s="11">
        <f ca="1">IF(ISNUMBER(StockReportTable[[#This Row],[P/E]]),IF(StockReportTable[[#This Row],[P/E]]&lt;35,1,2),3)</f>
        <v>2</v>
      </c>
      <c r="L60" s="4" t="str" cm="1">
        <f t="array" aca="1" ref="L60" ca="1">_FV(StockReportTable[[#This Row],[Ticker]],"Industry")</f>
        <v>Semiconductors &amp; Semiconductor Equipment</v>
      </c>
      <c r="M60" s="18" cm="1">
        <f t="array" aca="1" ref="M60" ca="1">IFERROR(_FV(StockReportTable[[#This Row],[Ticker]],"52 week high",TRUE),"N/A")</f>
        <v>495</v>
      </c>
      <c r="N60" s="18" cm="1">
        <f t="array" aca="1" ref="N60" ca="1">IFERROR(_FV(StockReportTable[[#This Row],[Ticker]],"52 week low",TRUE),"N/A")</f>
        <v>289.95999999999998</v>
      </c>
      <c r="O60" s="21" cm="1">
        <f t="array" aca="1" ref="O60" ca="1">_FV(StockReportTable[[#This Row],[Ticker]],"Change (%)",TRUE)</f>
        <v>-4.8259999999999996E-3</v>
      </c>
      <c r="P60" s="22" cm="1">
        <f t="array" aca="1" ref="P60" ca="1">_FV(StockReportTable[[#This Row],[Ticker]],"Market cap",TRUE)</f>
        <v>1535581298400</v>
      </c>
      <c r="Q60" s="27" cm="1">
        <f t="array" aca="1" ref="Q60" ca="1">_FV(StockReportTable[[#This Row],[Ticker]],"Volume average",TRUE)</f>
        <v>22776595</v>
      </c>
    </row>
    <row r="61" spans="1:17" ht="15">
      <c r="A61" s="4" t="str" cm="1">
        <f t="array" aca="1" ref="A61" ca="1">_FV(StockReportTable[[#This Row],[Ticker]],"Official name",TRUE)</f>
        <v>STMicroelectronics N.V.</v>
      </c>
      <c r="B61" s="4" t="e" vm="62">
        <v>#VALUE!</v>
      </c>
      <c r="C61" s="4" t="str" cm="1">
        <f t="array" aca="1" ref="C61" ca="1">_FV(StockReportTable[[#This Row],[Ticker]],"Exchange")</f>
        <v>OTC Markets</v>
      </c>
      <c r="D61" s="4" t="str" cm="1">
        <f t="array" aca="1" ref="D61" ca="1">_FV(StockReportTable[[#This Row],[Ticker]],"Currency")</f>
        <v>USD</v>
      </c>
      <c r="E61" s="5">
        <f t="shared" ca="1" si="3"/>
        <v>46318</v>
      </c>
      <c r="F61" s="33" cm="1">
        <f t="array" aca="1" ref="F61" ca="1">_FV(StockReportTable[[#This Row],[Ticker]],"Price")</f>
        <v>44.1</v>
      </c>
      <c r="G61" s="6">
        <f ca="1">(StockReportTable[[#This Row],[Price @ Date]]-INDEX(_xlfn.STOCKHISTORY(B61,DATE(2025,12,31),E61),2,2))/(INDEX(_xlfn.STOCKHISTORY(B61,DATE(2025,12,31),E61),2,2))</f>
        <v>0.68900804289544249</v>
      </c>
      <c r="H61" s="6">
        <f ca="1">(StockReportTable[[#This Row],[Price @ Date]]-INDEX(_xlfn.STOCKHISTORY(B61,DATE(2025,12,31),E61),2,2))/(INDEX(_xlfn.STOCKHISTORY(B61,EDATE(StockReportTable[[#This Row],[Date]],-12),E61),2,2))</f>
        <v>0.69192307692307697</v>
      </c>
      <c r="I61" s="7">
        <f ca="1">(StockReportTable[[#This Row],[Price @ Date]]-INDEX(_xlfn.STOCKHISTORY(B61,DATE(2025,12,31),E61),2,2))/(INDEX(_xlfn.STOCKHISTORY(B61,EDATE(StockReportTable[[#This Row],[Date]],-36),E61),2,2))</f>
        <v>0.44986246561640414</v>
      </c>
      <c r="J61" s="8" cm="1">
        <f t="array" aca="1" ref="J61" ca="1">IFERROR(_FV(StockReportTable[[#This Row],[Ticker]],"P/E",TRUE),"N/A")</f>
        <v>484.59019999999998</v>
      </c>
      <c r="K61" s="11">
        <f ca="1">IF(ISNUMBER(StockReportTable[[#This Row],[P/E]]),IF(StockReportTable[[#This Row],[P/E]]&lt;35,1,2),3)</f>
        <v>2</v>
      </c>
      <c r="L61" s="4" t="str" cm="1">
        <f t="array" aca="1" ref="L61" ca="1">_FV(StockReportTable[[#This Row],[Ticker]],"Industry")</f>
        <v>Semiconductors &amp; Semiconductor Equipment</v>
      </c>
      <c r="M61" s="18" cm="1">
        <f t="array" aca="1" ref="M61" ca="1">IFERROR(_FV(StockReportTable[[#This Row],[Ticker]],"52 week high",TRUE),"N/A")</f>
        <v>80.86</v>
      </c>
      <c r="N61" s="18" cm="1">
        <f t="array" aca="1" ref="N61" ca="1">IFERROR(_FV(StockReportTable[[#This Row],[Ticker]],"52 week low",TRUE),"N/A")</f>
        <v>23.1205</v>
      </c>
      <c r="O61" s="21" cm="1">
        <f t="array" aca="1" ref="O61" ca="1">_FV(StockReportTable[[#This Row],[Ticker]],"Change (%)",TRUE)</f>
        <v>-5.4130000000000003E-3</v>
      </c>
      <c r="P61" s="26" t="e" cm="1" vm="2">
        <f t="array" ref="P61">_FV(StockReportTable[[#This Row],[Ticker]],"Market cap",TRUE)</f>
        <v>#VALUE!</v>
      </c>
      <c r="Q61" s="27" cm="1">
        <f t="array" aca="1" ref="Q61" ca="1">_FV(StockReportTable[[#This Row],[Ticker]],"Volume average",TRUE)</f>
        <v>2235830</v>
      </c>
    </row>
    <row r="62" spans="1:17" ht="15">
      <c r="A62" s="4" t="str" cm="1">
        <f t="array" aca="1" ref="A62" ca="1">_FV(StockReportTable[[#This Row],[Ticker]],"Official name",TRUE)</f>
        <v>LUMENTUM HOLDINGS INC.</v>
      </c>
      <c r="B62" s="4" t="e" vm="63">
        <v>#VALUE!</v>
      </c>
      <c r="C62" s="4" t="str" cm="1">
        <f t="array" aca="1" ref="C62" ca="1">_FV(StockReportTable[[#This Row],[Ticker]],"Exchange")</f>
        <v>Nasdaq Stock Market</v>
      </c>
      <c r="D62" s="4" t="str" cm="1">
        <f t="array" aca="1" ref="D62" ca="1">_FV(StockReportTable[[#This Row],[Ticker]],"Currency")</f>
        <v>USD</v>
      </c>
      <c r="E62" s="5">
        <f t="shared" ca="1" si="3"/>
        <v>46318</v>
      </c>
      <c r="F62" s="33" cm="1">
        <f t="array" aca="1" ref="F62" ca="1">_FV(StockReportTable[[#This Row],[Ticker]],"Price")</f>
        <v>756.17</v>
      </c>
      <c r="G62" s="6">
        <f ca="1">(StockReportTable[[#This Row],[Price @ Date]]-INDEX(_xlfn.STOCKHISTORY(B62,DATE(2025,12,31),E62),2,2))/(INDEX(_xlfn.STOCKHISTORY(B62,DATE(2025,12,31),E62),2,2))</f>
        <v>1.0515206598117151</v>
      </c>
      <c r="H62" s="6">
        <f ca="1">(StockReportTable[[#This Row],[Price @ Date]]-INDEX(_xlfn.STOCKHISTORY(B62,DATE(2025,12,31),E62),2,2))/(INDEX(_xlfn.STOCKHISTORY(B62,EDATE(StockReportTable[[#This Row],[Date]],-12),E62),2,2))</f>
        <v>2.3001780415430266</v>
      </c>
      <c r="I62" s="7">
        <f ca="1">(StockReportTable[[#This Row],[Price @ Date]]-INDEX(_xlfn.STOCKHISTORY(B62,DATE(2025,12,31),E62),2,2))/(INDEX(_xlfn.STOCKHISTORY(B62,EDATE(StockReportTable[[#This Row],[Date]],-36),E62),2,2))</f>
        <v>10.299760829125697</v>
      </c>
      <c r="J62" s="8" cm="1">
        <f t="array" aca="1" ref="J62" ca="1">IFERROR(_FV(StockReportTable[[#This Row],[Ticker]],"P/E",TRUE),"N/A")</f>
        <v>0</v>
      </c>
      <c r="K62" s="11">
        <f ca="1">IF(ISNUMBER(StockReportTable[[#This Row],[P/E]]),IF(StockReportTable[[#This Row],[P/E]]&lt;35,1,2),3)</f>
        <v>1</v>
      </c>
      <c r="L62" s="4" t="str" cm="1">
        <f t="array" aca="1" ref="L62" ca="1">_FV(StockReportTable[[#This Row],[Ticker]],"Industry")</f>
        <v>Communications &amp; Networking</v>
      </c>
      <c r="M62" s="18" cm="1">
        <f t="array" aca="1" ref="M62" ca="1">IFERROR(_FV(StockReportTable[[#This Row],[Ticker]],"52 week high",TRUE),"N/A")</f>
        <v>1143</v>
      </c>
      <c r="N62" s="18" cm="1">
        <f t="array" aca="1" ref="N62" ca="1">IFERROR(_FV(StockReportTable[[#This Row],[Ticker]],"52 week low",TRUE),"N/A")</f>
        <v>157.39500000000001</v>
      </c>
      <c r="O62" s="21" cm="1">
        <f t="array" aca="1" ref="O62" ca="1">_FV(StockReportTable[[#This Row],[Ticker]],"Change (%)",TRUE)</f>
        <v>4.8240000000000002E-3</v>
      </c>
      <c r="P62" s="22" t="e" cm="1" vm="2">
        <f t="array" ref="P62">_FV(StockReportTable[[#This Row],[Ticker]],"Market cap",TRUE)</f>
        <v>#VALUE!</v>
      </c>
      <c r="Q62" s="27" cm="1">
        <f t="array" aca="1" ref="Q62" ca="1">_FV(StockReportTable[[#This Row],[Ticker]],"Volume average",TRUE)</f>
        <v>4932845</v>
      </c>
    </row>
    <row r="63" spans="1:17" ht="15">
      <c r="A63" s="4" t="str" cm="1">
        <f t="array" aca="1" ref="A63" ca="1">_FV(StockReportTable[[#This Row],[Ticker]],"Official name",TRUE)</f>
        <v>CORNING INCORPORATED</v>
      </c>
      <c r="B63" s="4" t="e" vm="64">
        <v>#VALUE!</v>
      </c>
      <c r="C63" s="4" t="str" cm="1">
        <f t="array" aca="1" ref="C63" ca="1">_FV(StockReportTable[[#This Row],[Ticker]],"Exchange")</f>
        <v>New York Stock Exchange</v>
      </c>
      <c r="D63" s="4" t="str" cm="1">
        <f t="array" aca="1" ref="D63" ca="1">_FV(StockReportTable[[#This Row],[Ticker]],"Currency")</f>
        <v>USD</v>
      </c>
      <c r="E63" s="5">
        <f t="shared" ca="1" si="3"/>
        <v>46318</v>
      </c>
      <c r="F63" s="33" cm="1">
        <f t="array" aca="1" ref="F63" ca="1">_FV(StockReportTable[[#This Row],[Ticker]],"Price")</f>
        <v>123.69</v>
      </c>
      <c r="G63" s="6">
        <f ca="1">(StockReportTable[[#This Row],[Price @ Date]]-INDEX(_xlfn.STOCKHISTORY(B63,DATE(2025,12,31),E63),2,2))/(INDEX(_xlfn.STOCKHISTORY(B63,DATE(2025,12,31),E63),2,2))</f>
        <v>0.41263133851073541</v>
      </c>
      <c r="H63" s="6">
        <f ca="1">(StockReportTable[[#This Row],[Price @ Date]]-INDEX(_xlfn.STOCKHISTORY(B63,DATE(2025,12,31),E63),2,2))/(INDEX(_xlfn.STOCKHISTORY(B63,EDATE(StockReportTable[[#This Row],[Date]],-12),E63),2,2))</f>
        <v>0.42089934762348546</v>
      </c>
      <c r="I63" s="7">
        <f ca="1">(StockReportTable[[#This Row],[Price @ Date]]-INDEX(_xlfn.STOCKHISTORY(B63,DATE(2025,12,31),E63),2,2))/(INDEX(_xlfn.STOCKHISTORY(B63,EDATE(StockReportTable[[#This Row],[Date]],-36),E63),2,2))</f>
        <v>1.3416264389157073</v>
      </c>
      <c r="J63" s="8" cm="1">
        <f t="array" aca="1" ref="J63" ca="1">IFERROR(_FV(StockReportTable[[#This Row],[Ticker]],"P/E",TRUE),"N/A")</f>
        <v>56.927100000000003</v>
      </c>
      <c r="K63" s="11">
        <f ca="1">IF(ISNUMBER(StockReportTable[[#This Row],[P/E]]),IF(StockReportTable[[#This Row],[P/E]]&lt;35,1,2),3)</f>
        <v>2</v>
      </c>
      <c r="L63" s="4" t="str" cm="1">
        <f t="array" aca="1" ref="L63" ca="1">_FV(StockReportTable[[#This Row],[Ticker]],"Industry")</f>
        <v>Electronic Equipment &amp; Parts</v>
      </c>
      <c r="M63" s="18" cm="1">
        <f t="array" aca="1" ref="M63" ca="1">IFERROR(_FV(StockReportTable[[#This Row],[Ticker]],"52 week high",TRUE),"N/A")</f>
        <v>271.77999999999997</v>
      </c>
      <c r="N63" s="18" cm="1">
        <f t="array" aca="1" ref="N63" ca="1">IFERROR(_FV(StockReportTable[[#This Row],[Ticker]],"52 week low",TRUE),"N/A")</f>
        <v>77.39</v>
      </c>
      <c r="O63" s="21" cm="1">
        <f t="array" aca="1" ref="O63" ca="1">_FV(StockReportTable[[#This Row],[Ticker]],"Change (%)",TRUE)</f>
        <v>-2.4199999999999998E-3</v>
      </c>
      <c r="P63" s="22" t="e" cm="1" vm="2">
        <f t="array" ref="P63">_FV(StockReportTable[[#This Row],[Ticker]],"Market cap",TRUE)</f>
        <v>#VALUE!</v>
      </c>
      <c r="Q63" s="27" cm="1">
        <f t="array" aca="1" ref="Q63" ca="1">_FV(StockReportTable[[#This Row],[Ticker]],"Volume average",TRUE)</f>
        <v>7908552</v>
      </c>
    </row>
    <row r="64" spans="1:17" ht="15">
      <c r="A64" s="4" t="str" cm="1">
        <f t="array" aca="1" ref="A64" ca="1">_FV(StockReportTable[[#This Row],[Ticker]],"Official name",TRUE)</f>
        <v>Coherent Corp.</v>
      </c>
      <c r="B64" s="4" t="e" vm="65">
        <v>#VALUE!</v>
      </c>
      <c r="C64" s="4" t="str" cm="1">
        <f t="array" aca="1" ref="C64" ca="1">_FV(StockReportTable[[#This Row],[Ticker]],"Exchange")</f>
        <v>New York Stock Exchange</v>
      </c>
      <c r="D64" s="4" t="str" cm="1">
        <f t="array" aca="1" ref="D64" ca="1">_FV(StockReportTable[[#This Row],[Ticker]],"Currency")</f>
        <v>USD</v>
      </c>
      <c r="E64" s="5">
        <f t="shared" ca="1" si="3"/>
        <v>46318</v>
      </c>
      <c r="F64" s="33" cm="1">
        <f t="array" aca="1" ref="F64" ca="1">_FV(StockReportTable[[#This Row],[Ticker]],"Price")</f>
        <v>209.29</v>
      </c>
      <c r="G64" s="6">
        <f ca="1">(StockReportTable[[#This Row],[Price @ Date]]-INDEX(_xlfn.STOCKHISTORY(B64,DATE(2025,12,31),E64),2,2))/(INDEX(_xlfn.STOCKHISTORY(B64,DATE(2025,12,31),E64),2,2))</f>
        <v>0.13393292517743946</v>
      </c>
      <c r="H64" s="6">
        <f ca="1">(StockReportTable[[#This Row],[Price @ Date]]-INDEX(_xlfn.STOCKHISTORY(B64,DATE(2025,12,31),E64),2,2))/(INDEX(_xlfn.STOCKHISTORY(B64,EDATE(StockReportTable[[#This Row],[Date]],-12),E64),2,2))</f>
        <v>0.20342330480579329</v>
      </c>
      <c r="I64" s="7">
        <f ca="1">(StockReportTable[[#This Row],[Price @ Date]]-INDEX(_xlfn.STOCKHISTORY(B64,DATE(2025,12,31),E64),2,2))/(INDEX(_xlfn.STOCKHISTORY(B64,EDATE(StockReportTable[[#This Row],[Date]],-36),E64),2,2))</f>
        <v>0.79793415106520327</v>
      </c>
      <c r="J64" s="8" cm="1">
        <f t="array" aca="1" ref="J64" ca="1">IFERROR(_FV(StockReportTable[[#This Row],[Ticker]],"P/E",TRUE),"N/A")</f>
        <v>50.441699999999997</v>
      </c>
      <c r="K64" s="11">
        <f ca="1">IF(ISNUMBER(StockReportTable[[#This Row],[P/E]]),IF(StockReportTable[[#This Row],[P/E]]&lt;35,1,2),3)</f>
        <v>2</v>
      </c>
      <c r="L64" s="4" t="str" cm="1">
        <f t="array" aca="1" ref="L64" ca="1">_FV(StockReportTable[[#This Row],[Ticker]],"Industry")</f>
        <v>Electronic Equipment &amp; Parts</v>
      </c>
      <c r="M64" s="18" cm="1">
        <f t="array" aca="1" ref="M64" ca="1">IFERROR(_FV(StockReportTable[[#This Row],[Ticker]],"52 week high",TRUE),"N/A")</f>
        <v>440</v>
      </c>
      <c r="N64" s="18" cm="1">
        <f t="array" aca="1" ref="N64" ca="1">IFERROR(_FV(StockReportTable[[#This Row],[Ticker]],"52 week low",TRUE),"N/A")</f>
        <v>115</v>
      </c>
      <c r="O64" s="21" cm="1">
        <f t="array" aca="1" ref="O64" ca="1">_FV(StockReportTable[[#This Row],[Ticker]],"Change (%)",TRUE)</f>
        <v>7.0730000000000003E-3</v>
      </c>
      <c r="P64" s="22" cm="1">
        <f t="array" aca="1" ref="P64" ca="1">_FV(StockReportTable[[#This Row],[Ticker]],"Market cap",TRUE)</f>
        <v>41215730848</v>
      </c>
      <c r="Q64" s="27" cm="1">
        <f t="array" aca="1" ref="Q64" ca="1">_FV(StockReportTable[[#This Row],[Ticker]],"Volume average",TRUE)</f>
        <v>7280522</v>
      </c>
    </row>
    <row r="65" spans="1:17" ht="15">
      <c r="A65" s="4" t="str" cm="1">
        <f t="array" aca="1" ref="A65" ca="1">_FV(StockReportTable[[#This Row],[Ticker]],"Official name",TRUE)</f>
        <v>UniCredit SpA</v>
      </c>
      <c r="B65" s="4" t="e" vm="66">
        <v>#VALUE!</v>
      </c>
      <c r="C65" s="4" t="str" cm="1">
        <f t="array" aca="1" ref="C65" ca="1">_FV(StockReportTable[[#This Row],[Ticker]],"Exchange")</f>
        <v>Borsa Italiana</v>
      </c>
      <c r="D65" s="4" t="str" cm="1">
        <f t="array" aca="1" ref="D65" ca="1">_FV(StockReportTable[[#This Row],[Ticker]],"Currency")</f>
        <v>EUR</v>
      </c>
      <c r="E65" s="5">
        <f t="shared" ref="E65:E105" ca="1" si="4">WORKDAY(TODAY()+1,-1)</f>
        <v>46318</v>
      </c>
      <c r="F65" s="36" cm="1">
        <f t="array" aca="1" ref="F65" ca="1">_FV(StockReportTable[[#This Row],[Ticker]],"Price")</f>
        <v>72.040000000000006</v>
      </c>
      <c r="G65" s="6">
        <f ca="1">(StockReportTable[[#This Row],[Price @ Date]]-INDEX(_xlfn.STOCKHISTORY(B65,DATE(2025,12,31),E65),2,2))/(INDEX(_xlfn.STOCKHISTORY(B65,DATE(2025,12,31),E65),2,2))</f>
        <v>1.4076576576576575E-2</v>
      </c>
      <c r="H65" s="6">
        <f ca="1">(StockReportTable[[#This Row],[Price @ Date]]-INDEX(_xlfn.STOCKHISTORY(B65,DATE(2025,12,31),E65),2,2))/(INDEX(_xlfn.STOCKHISTORY(B65,EDATE(StockReportTable[[#This Row],[Date]],-12),E65),2,2))</f>
        <v>1.60333493666827E-2</v>
      </c>
      <c r="I65" s="7">
        <f ca="1">(StockReportTable[[#This Row],[Price @ Date]]-INDEX(_xlfn.STOCKHISTORY(B65,DATE(2025,12,31),E65),2,2))/(INDEX(_xlfn.STOCKHISTORY(B65,EDATE(StockReportTable[[#This Row],[Date]],-36),E65),2,2))</f>
        <v>4.4072278536800347E-2</v>
      </c>
      <c r="J65" s="8" cm="1">
        <f t="array" aca="1" ref="J65" ca="1">IFERROR(_FV(StockReportTable[[#This Row],[Ticker]],"P/E",TRUE),"N/A")</f>
        <v>10.1396</v>
      </c>
      <c r="K65" s="11">
        <f ca="1">IF(ISNUMBER(StockReportTable[[#This Row],[P/E]]),IF(StockReportTable[[#This Row],[P/E]]&lt;35,1,2),3)</f>
        <v>1</v>
      </c>
      <c r="L65" s="4" t="str" cm="1">
        <f t="array" aca="1" ref="L65" ca="1">_FV(StockReportTable[[#This Row],[Ticker]],"Industry")</f>
        <v>Banking Services</v>
      </c>
      <c r="M65" s="16" cm="1">
        <f t="array" aca="1" ref="M65" ca="1">IFERROR(_FV(StockReportTable[[#This Row],[Ticker]],"52 week high",TRUE),"N/A")</f>
        <v>86.42</v>
      </c>
      <c r="N65" s="16" cm="1">
        <f t="array" aca="1" ref="N65" ca="1">IFERROR(_FV(StockReportTable[[#This Row],[Ticker]],"52 week low",TRUE),"N/A")</f>
        <v>57.36</v>
      </c>
      <c r="O65" s="21" cm="1">
        <f t="array" aca="1" ref="O65" ca="1">_FV(StockReportTable[[#This Row],[Ticker]],"Change (%)",TRUE)</f>
        <v>5.4429999999999999E-3</v>
      </c>
      <c r="P65" s="26" cm="1">
        <f t="array" aca="1" ref="P65" ca="1">_FV(StockReportTable[[#This Row],[Ticker]],"Market cap",TRUE)</f>
        <v>108632900000</v>
      </c>
      <c r="Q65" s="27" cm="1">
        <f t="array" aca="1" ref="Q65" ca="1">_FV(StockReportTable[[#This Row],[Ticker]],"Volume average",TRUE)</f>
        <v>4032830</v>
      </c>
    </row>
    <row r="66" spans="1:17" ht="15">
      <c r="A66" s="4" t="str" cm="1">
        <f t="array" aca="1" ref="A66" ca="1">_FV(StockReportTable[[#This Row],[Ticker]],"Official name",TRUE)</f>
        <v>SANDISK CORPORATION</v>
      </c>
      <c r="B66" s="4" t="e" vm="67">
        <v>#VALUE!</v>
      </c>
      <c r="C66" s="4" t="str" cm="1">
        <f t="array" aca="1" ref="C66" ca="1">_FV(StockReportTable[[#This Row],[Ticker]],"Exchange")</f>
        <v>Nasdaq Stock Market</v>
      </c>
      <c r="D66" s="4" t="str" cm="1">
        <f t="array" aca="1" ref="D66" ca="1">_FV(StockReportTable[[#This Row],[Ticker]],"Currency")</f>
        <v>USD</v>
      </c>
      <c r="E66" s="5">
        <f t="shared" ca="1" si="4"/>
        <v>46318</v>
      </c>
      <c r="F66" s="33" cm="1">
        <f t="array" aca="1" ref="F66" ca="1">_FV(StockReportTable[[#This Row],[Ticker]],"Price")</f>
        <v>1238.03</v>
      </c>
      <c r="G66" s="6">
        <f ca="1">(StockReportTable[[#This Row],[Price @ Date]]-INDEX(_xlfn.STOCKHISTORY(B66,DATE(2025,12,31),E66),2,2))/(INDEX(_xlfn.STOCKHISTORY(B66,DATE(2025,12,31),E66),2,2))</f>
        <v>4.2153930406942459</v>
      </c>
      <c r="H66" s="6">
        <f ca="1">(StockReportTable[[#This Row],[Price @ Date]]-INDEX(_xlfn.STOCKHISTORY(B66,DATE(2025,12,31),E66),2,2))/(INDEX(_xlfn.STOCKHISTORY(B66,EDATE(StockReportTable[[#This Row],[Date]],-12),E66),2,2))</f>
        <v>5.990122717749176</v>
      </c>
      <c r="I66" s="7" t="e" vm="25">
        <f ca="1">(StockReportTable[[#This Row],[Price @ Date]]-INDEX(_xlfn.STOCKHISTORY(B66,DATE(2025,12,31),E66),2,2))/(INDEX(_xlfn.STOCKHISTORY(B66,EDATE(StockReportTable[[#This Row],[Date]],-36),E66),2,2))</f>
        <v>#N/A</v>
      </c>
      <c r="J66" s="8" cm="1">
        <f t="array" aca="1" ref="J66" ca="1">IFERROR(_FV(StockReportTable[[#This Row],[Ticker]],"P/E",TRUE),"N/A")</f>
        <v>17.1097</v>
      </c>
      <c r="K66" s="11">
        <f ca="1">IF(ISNUMBER(StockReportTable[[#This Row],[P/E]]),IF(StockReportTable[[#This Row],[P/E]]&lt;35,1,2),3)</f>
        <v>1</v>
      </c>
      <c r="L66" s="4" t="str" cm="1">
        <f t="array" aca="1" ref="L66" ca="1">_FV(StockReportTable[[#This Row],[Ticker]],"Industry")</f>
        <v>Computers, Phones &amp; Household Electronics</v>
      </c>
      <c r="M66" s="18" cm="1">
        <f t="array" aca="1" ref="M66" ca="1">IFERROR(_FV(StockReportTable[[#This Row],[Ticker]],"52 week high",TRUE),"N/A")</f>
        <v>2354.3899000000001</v>
      </c>
      <c r="N66" s="18" cm="1">
        <f t="array" aca="1" ref="N66" ca="1">IFERROR(_FV(StockReportTable[[#This Row],[Ticker]],"52 week low",TRUE),"N/A")</f>
        <v>146</v>
      </c>
      <c r="O66" s="21" cm="1">
        <f t="array" aca="1" ref="O66" ca="1">_FV(StockReportTable[[#This Row],[Ticker]],"Change (%)",TRUE)</f>
        <v>-1.8161E-2</v>
      </c>
      <c r="P66" s="22" cm="1">
        <f t="array" aca="1" ref="P66" ca="1">_FV(StockReportTable[[#This Row],[Ticker]],"Market cap",TRUE)</f>
        <v>178929504628</v>
      </c>
      <c r="Q66" s="27" cm="1">
        <f t="array" aca="1" ref="Q66" ca="1">_FV(StockReportTable[[#This Row],[Ticker]],"Volume average",TRUE)</f>
        <v>8684198</v>
      </c>
    </row>
    <row r="67" spans="1:17" ht="15">
      <c r="A67" s="4" t="str" cm="1">
        <f t="array" aca="1" ref="A67" ca="1">_FV(StockReportTable[[#This Row],[Ticker]],"Official name",TRUE)</f>
        <v>WESTERN DIGITAL CORPORATION</v>
      </c>
      <c r="B67" s="4" t="e" vm="68">
        <v>#VALUE!</v>
      </c>
      <c r="C67" s="4" t="str" cm="1">
        <f t="array" aca="1" ref="C67" ca="1">_FV(StockReportTable[[#This Row],[Ticker]],"Exchange")</f>
        <v>Nasdaq Stock Market</v>
      </c>
      <c r="D67" s="4" t="str" cm="1">
        <f t="array" aca="1" ref="D67" ca="1">_FV(StockReportTable[[#This Row],[Ticker]],"Currency")</f>
        <v>USD</v>
      </c>
      <c r="E67" s="5">
        <f t="shared" ca="1" si="4"/>
        <v>46318</v>
      </c>
      <c r="F67" s="33" cm="1">
        <f t="array" aca="1" ref="F67" ca="1">_FV(StockReportTable[[#This Row],[Ticker]],"Price")</f>
        <v>343.67</v>
      </c>
      <c r="G67" s="6">
        <f ca="1">(StockReportTable[[#This Row],[Price @ Date]]-INDEX(_xlfn.STOCKHISTORY(B67,DATE(2025,12,31),E67),2,2))/(INDEX(_xlfn.STOCKHISTORY(B67,DATE(2025,12,31),E67),2,2))</f>
        <v>0.99494978812329482</v>
      </c>
      <c r="H67" s="6">
        <f ca="1">(StockReportTable[[#This Row],[Price @ Date]]-INDEX(_xlfn.STOCKHISTORY(B67,DATE(2025,12,31),E67),2,2))/(INDEX(_xlfn.STOCKHISTORY(B67,EDATE(StockReportTable[[#This Row],[Date]],-12),E67),2,2))</f>
        <v>1.363347120585428</v>
      </c>
      <c r="I67" s="7">
        <f ca="1">(StockReportTable[[#This Row],[Price @ Date]]-INDEX(_xlfn.STOCKHISTORY(B67,DATE(2025,12,31),E67),2,2))/(INDEX(_xlfn.STOCKHISTORY(B67,EDATE(StockReportTable[[#This Row],[Date]],-36),E67),2,2))</f>
        <v>5.4253382923162139</v>
      </c>
      <c r="J67" s="8" cm="1">
        <f t="array" aca="1" ref="J67" ca="1">IFERROR(_FV(StockReportTable[[#This Row],[Ticker]],"P/E",TRUE),"N/A")</f>
        <v>13.7073</v>
      </c>
      <c r="K67" s="11">
        <f ca="1">IF(ISNUMBER(StockReportTable[[#This Row],[P/E]]),IF(StockReportTable[[#This Row],[P/E]]&lt;35,1,2),3)</f>
        <v>1</v>
      </c>
      <c r="L67" s="4" t="str" cm="1">
        <f t="array" aca="1" ref="L67" ca="1">_FV(StockReportTable[[#This Row],[Ticker]],"Industry")</f>
        <v>Computers, Phones &amp; Household Electronics</v>
      </c>
      <c r="M67" s="18" cm="1">
        <f t="array" aca="1" ref="M67" ca="1">IFERROR(_FV(StockReportTable[[#This Row],[Ticker]],"52 week high",TRUE),"N/A")</f>
        <v>799.87</v>
      </c>
      <c r="N67" s="18" cm="1">
        <f t="array" aca="1" ref="N67" ca="1">IFERROR(_FV(StockReportTable[[#This Row],[Ticker]],"52 week low",TRUE),"N/A")</f>
        <v>121.715</v>
      </c>
      <c r="O67" s="21" cm="1">
        <f t="array" aca="1" ref="O67" ca="1">_FV(StockReportTable[[#This Row],[Ticker]],"Change (%)",TRUE)</f>
        <v>-2.9702000000000003E-2</v>
      </c>
      <c r="P67" s="22" cm="1">
        <f t="array" aca="1" ref="P67" ca="1">_FV(StockReportTable[[#This Row],[Ticker]],"Market cap",TRUE)</f>
        <v>128384114560</v>
      </c>
      <c r="Q67" s="27" cm="1">
        <f t="array" aca="1" ref="Q67" ca="1">_FV(StockReportTable[[#This Row],[Ticker]],"Volume average",TRUE)</f>
        <v>9268205</v>
      </c>
    </row>
    <row r="68" spans="1:17" ht="15">
      <c r="A68" s="4" t="str" cm="1">
        <f t="array" aca="1" ref="A68" ca="1">_FV(StockReportTable[[#This Row],[Ticker]],"Official name",TRUE)</f>
        <v>SEAGATE TECHNOLOGY HOLDINGS PUBLIC LIMITED COMPANY</v>
      </c>
      <c r="B68" s="4" t="e" vm="69">
        <v>#VALUE!</v>
      </c>
      <c r="C68" s="4" t="str" cm="1">
        <f t="array" aca="1" ref="C68" ca="1">_FV(StockReportTable[[#This Row],[Ticker]],"Exchange")</f>
        <v>Nasdaq Stock Market</v>
      </c>
      <c r="D68" s="4" t="str" cm="1">
        <f t="array" aca="1" ref="D68" ca="1">_FV(StockReportTable[[#This Row],[Ticker]],"Currency")</f>
        <v>USD</v>
      </c>
      <c r="E68" s="5">
        <f t="shared" ca="1" si="4"/>
        <v>46318</v>
      </c>
      <c r="F68" s="33" cm="1">
        <f t="array" aca="1" ref="F68" ca="1">_FV(StockReportTable[[#This Row],[Ticker]],"Price")</f>
        <v>630.49</v>
      </c>
      <c r="G68" s="6">
        <f ca="1">(StockReportTable[[#This Row],[Price @ Date]]-INDEX(_xlfn.STOCKHISTORY(B68,DATE(2025,12,31),E68),2,2))/(INDEX(_xlfn.STOCKHISTORY(B68,DATE(2025,12,31),E68),2,2))</f>
        <v>1.2894440611496425</v>
      </c>
      <c r="H68" s="6">
        <f ca="1">(StockReportTable[[#This Row],[Price @ Date]]-INDEX(_xlfn.STOCKHISTORY(B68,DATE(2025,12,31),E68),2,2))/(INDEX(_xlfn.STOCKHISTORY(B68,EDATE(StockReportTable[[#This Row],[Date]],-12),E68),2,2))</f>
        <v>1.5683936221898327</v>
      </c>
      <c r="I68" s="7">
        <f ca="1">(StockReportTable[[#This Row],[Price @ Date]]-INDEX(_xlfn.STOCKHISTORY(B68,DATE(2025,12,31),E68),2,2))/(INDEX(_xlfn.STOCKHISTORY(B68,EDATE(StockReportTable[[#This Row],[Date]],-36),E68),2,2))</f>
        <v>5.4421455938697321</v>
      </c>
      <c r="J68" s="8" cm="1">
        <f t="array" aca="1" ref="J68" ca="1">IFERROR(_FV(StockReportTable[[#This Row],[Ticker]],"P/E",TRUE),"N/A")</f>
        <v>46.184100000000001</v>
      </c>
      <c r="K68" s="11">
        <f ca="1">IF(ISNUMBER(StockReportTable[[#This Row],[P/E]]),IF(StockReportTable[[#This Row],[P/E]]&lt;35,1,2),3)</f>
        <v>2</v>
      </c>
      <c r="L68" s="4" t="str" cm="1">
        <f t="array" aca="1" ref="L68" ca="1">_FV(StockReportTable[[#This Row],[Ticker]],"Industry")</f>
        <v>Computers, Phones &amp; Household Electronics</v>
      </c>
      <c r="M68" s="18" cm="1">
        <f t="array" aca="1" ref="M68" ca="1">IFERROR(_FV(StockReportTable[[#This Row],[Ticker]],"52 week high",TRUE),"N/A")</f>
        <v>1145</v>
      </c>
      <c r="N68" s="18" cm="1">
        <f t="array" aca="1" ref="N68" ca="1">IFERROR(_FV(StockReportTable[[#This Row],[Ticker]],"52 week low",TRUE),"N/A")</f>
        <v>217.67</v>
      </c>
      <c r="O68" s="21" cm="1">
        <f t="array" aca="1" ref="O68" ca="1">_FV(StockReportTable[[#This Row],[Ticker]],"Change (%)",TRUE)</f>
        <v>-1.8142000000000002E-2</v>
      </c>
      <c r="P68" s="22" cm="1">
        <f t="array" aca="1" ref="P68" ca="1">_FV(StockReportTable[[#This Row],[Ticker]],"Market cap",TRUE)</f>
        <v>144407997041</v>
      </c>
      <c r="Q68" s="27" cm="1">
        <f t="array" aca="1" ref="Q68" ca="1">_FV(StockReportTable[[#This Row],[Ticker]],"Volume average",TRUE)</f>
        <v>4901617</v>
      </c>
    </row>
    <row r="69" spans="1:17" ht="15">
      <c r="A69" s="4" t="str" cm="1">
        <f t="array" aca="1" ref="A69" ca="1">_FV(StockReportTable[[#This Row],[Ticker]],"Official name",TRUE)</f>
        <v>CIPHER DIGITAL INC.</v>
      </c>
      <c r="B69" s="4" t="e" vm="70">
        <v>#VALUE!</v>
      </c>
      <c r="C69" s="4" t="str" cm="1">
        <f t="array" aca="1" ref="C69" ca="1">_FV(StockReportTable[[#This Row],[Ticker]],"Exchange")</f>
        <v>Nasdaq Stock Market</v>
      </c>
      <c r="D69" s="4" t="str" cm="1">
        <f t="array" aca="1" ref="D69" ca="1">_FV(StockReportTable[[#This Row],[Ticker]],"Currency")</f>
        <v>USD</v>
      </c>
      <c r="E69" s="5">
        <f t="shared" ca="1" si="4"/>
        <v>46318</v>
      </c>
      <c r="F69" s="33" cm="1">
        <f t="array" aca="1" ref="F69" ca="1">_FV(StockReportTable[[#This Row],[Ticker]],"Price")</f>
        <v>7.94</v>
      </c>
      <c r="G69" s="6">
        <f ca="1">(StockReportTable[[#This Row],[Price @ Date]]-INDEX(_xlfn.STOCKHISTORY(B69,DATE(2025,12,31),E69),2,2))/(INDEX(_xlfn.STOCKHISTORY(B69,DATE(2025,12,31),E69),2,2))</f>
        <v>-0.46205962059620592</v>
      </c>
      <c r="H69" s="6">
        <f ca="1">(StockReportTable[[#This Row],[Price @ Date]]-INDEX(_xlfn.STOCKHISTORY(B69,DATE(2025,12,31),E69),2,2))/(INDEX(_xlfn.STOCKHISTORY(B69,EDATE(StockReportTable[[#This Row],[Date]],-12),E69),2,2))</f>
        <v>-0.39524775427412345</v>
      </c>
      <c r="I69" s="7">
        <f ca="1">(StockReportTable[[#This Row],[Price @ Date]]-INDEX(_xlfn.STOCKHISTORY(B69,DATE(2025,12,31),E69),2,2))/(INDEX(_xlfn.STOCKHISTORY(B69,EDATE(StockReportTable[[#This Row],[Date]],-36),E69),2,2))</f>
        <v>-2.5543071161048689</v>
      </c>
      <c r="J69" s="8" cm="1">
        <f t="array" aca="1" ref="J69" ca="1">IFERROR(_FV(StockReportTable[[#This Row],[Ticker]],"P/E",TRUE),"N/A")</f>
        <v>0</v>
      </c>
      <c r="K69" s="11">
        <f ca="1">IF(ISNUMBER(StockReportTable[[#This Row],[P/E]]),IF(StockReportTable[[#This Row],[P/E]]&lt;35,1,2),3)</f>
        <v>1</v>
      </c>
      <c r="L69" s="4" t="str" cm="1">
        <f t="array" aca="1" ref="L69" ca="1">_FV(StockReportTable[[#This Row],[Ticker]],"Industry")</f>
        <v>Financial Technology (Fintech) &amp; Infrastructure</v>
      </c>
      <c r="M69" s="18" cm="1">
        <f t="array" aca="1" ref="M69" ca="1">IFERROR(_FV(StockReportTable[[#This Row],[Ticker]],"52 week high",TRUE),"N/A")</f>
        <v>30.14</v>
      </c>
      <c r="N69" s="18" cm="1">
        <f t="array" aca="1" ref="N69" ca="1">IFERROR(_FV(StockReportTable[[#This Row],[Ticker]],"52 week low",TRUE),"N/A")</f>
        <v>7.9</v>
      </c>
      <c r="O69" s="21" cm="1">
        <f t="array" aca="1" ref="O69" ca="1">_FV(StockReportTable[[#This Row],[Ticker]],"Change (%)",TRUE)</f>
        <v>-4.5673000000000005E-2</v>
      </c>
      <c r="P69" s="22" t="e" cm="1" vm="2">
        <f t="array" ref="P69">_FV(StockReportTable[[#This Row],[Ticker]],"Market cap",TRUE)</f>
        <v>#VALUE!</v>
      </c>
      <c r="Q69" s="27" cm="1">
        <f t="array" aca="1" ref="Q69" ca="1">_FV(StockReportTable[[#This Row],[Ticker]],"Volume average",TRUE)</f>
        <v>43059753</v>
      </c>
    </row>
    <row r="70" spans="1:17" ht="15">
      <c r="A70" s="4" t="str" cm="1">
        <f t="array" aca="1" ref="A70" ca="1">_FV(StockReportTable[[#This Row],[Ticker]],"Official name",TRUE)</f>
        <v>Nebius Group NV</v>
      </c>
      <c r="B70" s="4" t="e" vm="71">
        <v>#VALUE!</v>
      </c>
      <c r="C70" s="4" t="str" cm="1">
        <f t="array" aca="1" ref="C70" ca="1">_FV(StockReportTable[[#This Row],[Ticker]],"Exchange")</f>
        <v>Nasdaq Stock Market</v>
      </c>
      <c r="D70" s="4" t="str" cm="1">
        <f t="array" aca="1" ref="D70" ca="1">_FV(StockReportTable[[#This Row],[Ticker]],"Currency")</f>
        <v>USD</v>
      </c>
      <c r="E70" s="5">
        <f t="shared" ca="1" si="4"/>
        <v>46318</v>
      </c>
      <c r="F70" s="33" cm="1">
        <f t="array" aca="1" ref="F70" ca="1">_FV(StockReportTable[[#This Row],[Ticker]],"Price")</f>
        <v>158.74</v>
      </c>
      <c r="G70" s="6">
        <f ca="1">(StockReportTable[[#This Row],[Price @ Date]]-INDEX(_xlfn.STOCKHISTORY(B70,DATE(2025,12,31),E70),2,2))/(INDEX(_xlfn.STOCKHISTORY(B70,DATE(2025,12,31),E70),2,2))</f>
        <v>0.89642195806702119</v>
      </c>
      <c r="H70" s="6">
        <f ca="1">(StockReportTable[[#This Row],[Price @ Date]]-INDEX(_xlfn.STOCKHISTORY(B70,DATE(2025,12,31),E70),2,2))/(INDEX(_xlfn.STOCKHISTORY(B70,EDATE(StockReportTable[[#This Row],[Date]],-12),E70),2,2))</f>
        <v>0.70681047475508674</v>
      </c>
      <c r="I70" s="7" t="e" vm="25">
        <f ca="1">(StockReportTable[[#This Row],[Price @ Date]]-INDEX(_xlfn.STOCKHISTORY(B70,DATE(2025,12,31),E70),2,2))/(INDEX(_xlfn.STOCKHISTORY(B70,EDATE(StockReportTable[[#This Row],[Date]],-36),E70),2,2))</f>
        <v>#N/A</v>
      </c>
      <c r="J70" s="8" cm="1">
        <f t="array" aca="1" ref="J70" ca="1">IFERROR(_FV(StockReportTable[[#This Row],[Ticker]],"P/E",TRUE),"N/A")</f>
        <v>0</v>
      </c>
      <c r="K70" s="11">
        <f ca="1">IF(ISNUMBER(StockReportTable[[#This Row],[P/E]]),IF(StockReportTable[[#This Row],[P/E]]&lt;35,1,2),3)</f>
        <v>1</v>
      </c>
      <c r="L70" s="4" t="str" cm="1">
        <f t="array" aca="1" ref="L70" ca="1">_FV(StockReportTable[[#This Row],[Ticker]],"Industry")</f>
        <v>Professional &amp; Commercial Services</v>
      </c>
      <c r="M70" s="18" cm="1">
        <f t="array" aca="1" ref="M70" ca="1">IFERROR(_FV(StockReportTable[[#This Row],[Ticker]],"52 week high",TRUE),"N/A")</f>
        <v>299.86</v>
      </c>
      <c r="N70" s="18" cm="1">
        <f t="array" aca="1" ref="N70" ca="1">IFERROR(_FV(StockReportTable[[#This Row],[Ticker]],"52 week low",TRUE),"N/A")</f>
        <v>73.52</v>
      </c>
      <c r="O70" s="21" cm="1">
        <f t="array" aca="1" ref="O70" ca="1">_FV(StockReportTable[[#This Row],[Ticker]],"Change (%)",TRUE)</f>
        <v>-2.702E-3</v>
      </c>
      <c r="P70" s="22" t="e" cm="1" vm="2">
        <f t="array" ref="P70">_FV(StockReportTable[[#This Row],[Ticker]],"Market cap",TRUE)</f>
        <v>#VALUE!</v>
      </c>
      <c r="Q70" s="27" cm="1">
        <f t="array" aca="1" ref="Q70" ca="1">_FV(StockReportTable[[#This Row],[Ticker]],"Volume average",TRUE)</f>
        <v>19840143</v>
      </c>
    </row>
    <row r="71" spans="1:17" s="1" customFormat="1" ht="15">
      <c r="A71" s="4" t="str" cm="1">
        <f t="array" aca="1" ref="A71" ca="1">_FV(StockReportTable[[#This Row],[Ticker]],"Official name",TRUE)</f>
        <v>Ferrari N.V.</v>
      </c>
      <c r="B71" s="4" t="e" vm="72">
        <v>#VALUE!</v>
      </c>
      <c r="C71" s="4" t="str" cm="1">
        <f t="array" aca="1" ref="C71" ca="1">_FV(StockReportTable[[#This Row],[Ticker]],"Exchange")</f>
        <v>Borsa Italiana</v>
      </c>
      <c r="D71" s="4" t="str" cm="1">
        <f t="array" aca="1" ref="D71" ca="1">_FV(StockReportTable[[#This Row],[Ticker]],"Currency")</f>
        <v>EUR</v>
      </c>
      <c r="E71" s="5">
        <f t="shared" ca="1" si="4"/>
        <v>46318</v>
      </c>
      <c r="F71" s="36" cm="1">
        <f t="array" aca="1" ref="F71" ca="1">_FV(StockReportTable[[#This Row],[Ticker]],"Price")</f>
        <v>349.5</v>
      </c>
      <c r="G71" s="6">
        <f ca="1">(StockReportTable[[#This Row],[Price @ Date]]-INDEX(_xlfn.STOCKHISTORY(B71,DATE(2025,12,31),E71),2,2))/(INDEX(_xlfn.STOCKHISTORY(B71,DATE(2025,12,31),E71),2,2))</f>
        <v>0.10496364211191903</v>
      </c>
      <c r="H71" s="6">
        <f ca="1">(StockReportTable[[#This Row],[Price @ Date]]-INDEX(_xlfn.STOCKHISTORY(B71,DATE(2025,12,31),E71),2,2))/(INDEX(_xlfn.STOCKHISTORY(B71,EDATE(StockReportTable[[#This Row],[Date]],-12),E71),2,2))</f>
        <v>9.5484613172274926E-2</v>
      </c>
      <c r="I71" s="7">
        <f ca="1">(StockReportTable[[#This Row],[Price @ Date]]-INDEX(_xlfn.STOCKHISTORY(B71,DATE(2025,12,31),E71),2,2))/(INDEX(_xlfn.STOCKHISTORY(B71,EDATE(StockReportTable[[#This Row],[Date]],-36),E71),2,2))</f>
        <v>0.11604334148898982</v>
      </c>
      <c r="J71" s="8" cm="1">
        <f t="array" aca="1" ref="J71" ca="1">IFERROR(_FV(StockReportTable[[#This Row],[Ticker]],"P/E",TRUE),"N/A")</f>
        <v>37.854199999999999</v>
      </c>
      <c r="K71" s="11">
        <f ca="1">IF(ISNUMBER(StockReportTable[[#This Row],[P/E]]),IF(StockReportTable[[#This Row],[P/E]]&lt;35,1,2),3)</f>
        <v>2</v>
      </c>
      <c r="L71" s="4" t="str" cm="1">
        <f t="array" aca="1" ref="L71" ca="1">_FV(StockReportTable[[#This Row],[Ticker]],"Industry")</f>
        <v>Automobiles &amp; Auto Parts</v>
      </c>
      <c r="M71" s="16" cm="1">
        <f t="array" aca="1" ref="M71" ca="1">IFERROR(_FV(StockReportTable[[#This Row],[Ticker]],"52 week high",TRUE),"N/A")</f>
        <v>377.5</v>
      </c>
      <c r="N71" s="16" cm="1">
        <f t="array" aca="1" ref="N71" ca="1">IFERROR(_FV(StockReportTable[[#This Row],[Ticker]],"52 week low",TRUE),"N/A")</f>
        <v>269</v>
      </c>
      <c r="O71" s="21" cm="1">
        <f t="array" aca="1" ref="O71" ca="1">_FV(StockReportTable[[#This Row],[Ticker]],"Change (%)",TRUE)</f>
        <v>-1.2851E-2</v>
      </c>
      <c r="P71" s="26" cm="1">
        <f t="array" aca="1" ref="P71" ca="1">_FV(StockReportTable[[#This Row],[Ticker]],"Market cap",TRUE)</f>
        <v>61958970000</v>
      </c>
      <c r="Q71" s="27" cm="1">
        <f t="array" aca="1" ref="Q71" ca="1">_FV(StockReportTable[[#This Row],[Ticker]],"Volume average",TRUE)</f>
        <v>306080</v>
      </c>
    </row>
    <row r="72" spans="1:17" s="1" customFormat="1" ht="15">
      <c r="A72" s="4" t="str" cm="1">
        <f t="array" aca="1" ref="A72" ca="1">_FV(StockReportTable[[#This Row],[Ticker]],"Official name",TRUE)</f>
        <v>LVMH Moet Hennessy Louis Vuitton SE</v>
      </c>
      <c r="B72" s="4" t="e" vm="73">
        <v>#VALUE!</v>
      </c>
      <c r="C72" s="4" t="str" cm="1">
        <f t="array" aca="1" ref="C72" ca="1">_FV(StockReportTable[[#This Row],[Ticker]],"Exchange")</f>
        <v>Euronext Paris</v>
      </c>
      <c r="D72" s="4" t="str" cm="1">
        <f t="array" aca="1" ref="D72" ca="1">_FV(StockReportTable[[#This Row],[Ticker]],"Currency")</f>
        <v>EUR</v>
      </c>
      <c r="E72" s="5">
        <f t="shared" ca="1" si="4"/>
        <v>46318</v>
      </c>
      <c r="F72" s="36" cm="1">
        <f t="array" aca="1" ref="F72" ca="1">_FV(StockReportTable[[#This Row],[Ticker]],"Price")</f>
        <v>383</v>
      </c>
      <c r="G72" s="6">
        <f ca="1">(StockReportTable[[#This Row],[Price @ Date]]-INDEX(_xlfn.STOCKHISTORY(B72,DATE(2025,12,31),E72),2,2))/(INDEX(_xlfn.STOCKHISTORY(B72,DATE(2025,12,31),E72),2,2))</f>
        <v>-0.40620155038759692</v>
      </c>
      <c r="H72" s="6">
        <f ca="1">(StockReportTable[[#This Row],[Price @ Date]]-INDEX(_xlfn.STOCKHISTORY(B72,DATE(2025,12,31),E72),2,2))/(INDEX(_xlfn.STOCKHISTORY(B72,EDATE(StockReportTable[[#This Row],[Date]],-12),E72),2,2))</f>
        <v>-0.42203608247422686</v>
      </c>
      <c r="I72" s="7">
        <f ca="1">(StockReportTable[[#This Row],[Price @ Date]]-INDEX(_xlfn.STOCKHISTORY(B72,DATE(2025,12,31),E72),2,2))/(INDEX(_xlfn.STOCKHISTORY(B72,EDATE(StockReportTable[[#This Row],[Date]],-36),E72),2,2))</f>
        <v>-0.39139527935464596</v>
      </c>
      <c r="J72" s="8" cm="1">
        <f t="array" aca="1" ref="J72" ca="1">IFERROR(_FV(StockReportTable[[#This Row],[Ticker]],"P/E",TRUE),"N/A")</f>
        <v>17.6721</v>
      </c>
      <c r="K72" s="11">
        <f ca="1">IF(ISNUMBER(StockReportTable[[#This Row],[P/E]]),IF(StockReportTable[[#This Row],[P/E]]&lt;35,1,2),3)</f>
        <v>1</v>
      </c>
      <c r="L72" s="4" t="str" cm="1">
        <f t="array" aca="1" ref="L72" ca="1">_FV(StockReportTable[[#This Row],[Ticker]],"Industry")</f>
        <v>Textiles &amp; Apparel</v>
      </c>
      <c r="M72" s="16" cm="1">
        <f t="array" aca="1" ref="M72" ca="1">IFERROR(_FV(StockReportTable[[#This Row],[Ticker]],"52 week high",TRUE),"N/A")</f>
        <v>654.70000000000005</v>
      </c>
      <c r="N72" s="16" cm="1">
        <f t="array" aca="1" ref="N72" ca="1">IFERROR(_FV(StockReportTable[[#This Row],[Ticker]],"52 week low",TRUE),"N/A")</f>
        <v>375.65</v>
      </c>
      <c r="O72" s="21" cm="1">
        <f t="array" aca="1" ref="O72" ca="1">_FV(StockReportTable[[#This Row],[Ticker]],"Change (%)",TRUE)</f>
        <v>-1.2378E-2</v>
      </c>
      <c r="P72" s="26" cm="1">
        <f t="array" aca="1" ref="P72" ca="1">_FV(StockReportTable[[#This Row],[Ticker]],"Market cap",TRUE)</f>
        <v>189434100000</v>
      </c>
      <c r="Q72" s="27" cm="1">
        <f t="array" aca="1" ref="Q72" ca="1">_FV(StockReportTable[[#This Row],[Ticker]],"Volume average",TRUE)</f>
        <v>637060</v>
      </c>
    </row>
    <row r="73" spans="1:17" s="1" customFormat="1" ht="15">
      <c r="A73" s="4" t="str" cm="1">
        <f t="array" aca="1" ref="A73" ca="1">_FV(StockReportTable[[#This Row],[Ticker]],"Official name",TRUE)</f>
        <v>Mercedes-Benz Group AG</v>
      </c>
      <c r="B73" s="4" t="e" vm="74">
        <v>#VALUE!</v>
      </c>
      <c r="C73" s="4" t="str" cm="1">
        <f t="array" aca="1" ref="C73" ca="1">_FV(StockReportTable[[#This Row],[Ticker]],"Exchange")</f>
        <v>Xetra</v>
      </c>
      <c r="D73" s="4" t="str" cm="1">
        <f t="array" aca="1" ref="D73" ca="1">_FV(StockReportTable[[#This Row],[Ticker]],"Currency")</f>
        <v>EUR</v>
      </c>
      <c r="E73" s="5">
        <f t="shared" ca="1" si="4"/>
        <v>46318</v>
      </c>
      <c r="F73" s="36" cm="1">
        <f t="array" aca="1" ref="F73" ca="1">_FV(StockReportTable[[#This Row],[Ticker]],"Price")</f>
        <v>40.74</v>
      </c>
      <c r="G73" s="6">
        <f ca="1">(StockReportTable[[#This Row],[Price @ Date]]-INDEX(_xlfn.STOCKHISTORY(B73,DATE(2025,12,31),E73),2,2))/(INDEX(_xlfn.STOCKHISTORY(B73,DATE(2025,12,31),E73),2,2))</f>
        <v>-0.34216050379460677</v>
      </c>
      <c r="H73" s="6">
        <f ca="1">(StockReportTable[[#This Row],[Price @ Date]]-INDEX(_xlfn.STOCKHISTORY(B73,DATE(2025,12,31),E73),2,2))/(INDEX(_xlfn.STOCKHISTORY(B73,EDATE(StockReportTable[[#This Row],[Date]],-12),E73),2,2))</f>
        <v>-0.39830827067669167</v>
      </c>
      <c r="I73" s="7">
        <f ca="1">(StockReportTable[[#This Row],[Price @ Date]]-INDEX(_xlfn.STOCKHISTORY(B73,DATE(2025,12,31),E73),2,2))/(INDEX(_xlfn.STOCKHISTORY(B73,EDATE(StockReportTable[[#This Row],[Date]],-36),E73),2,2))</f>
        <v>-0.34343598055105345</v>
      </c>
      <c r="J73" s="8" cm="1">
        <f t="array" aca="1" ref="J73" ca="1">IFERROR(_FV(StockReportTable[[#This Row],[Ticker]],"P/E",TRUE),"N/A")</f>
        <v>7.8620999999999999</v>
      </c>
      <c r="K73" s="11">
        <f ca="1">IF(ISNUMBER(StockReportTable[[#This Row],[P/E]]),IF(StockReportTable[[#This Row],[P/E]]&lt;35,1,2),3)</f>
        <v>1</v>
      </c>
      <c r="L73" s="4" t="str" cm="1">
        <f t="array" aca="1" ref="L73" ca="1">_FV(StockReportTable[[#This Row],[Ticker]],"Industry")</f>
        <v>Automobiles &amp; Auto Parts</v>
      </c>
      <c r="M73" s="16" cm="1">
        <f t="array" aca="1" ref="M73" ca="1">IFERROR(_FV(StockReportTable[[#This Row],[Ticker]],"52 week high",TRUE),"N/A")</f>
        <v>62.34</v>
      </c>
      <c r="N73" s="16" cm="1">
        <f t="array" aca="1" ref="N73" ca="1">IFERROR(_FV(StockReportTable[[#This Row],[Ticker]],"52 week low",TRUE),"N/A")</f>
        <v>38.89</v>
      </c>
      <c r="O73" s="21" cm="1">
        <f t="array" aca="1" ref="O73" ca="1">_FV(StockReportTable[[#This Row],[Ticker]],"Change (%)",TRUE)</f>
        <v>-1.8786000000000001E-2</v>
      </c>
      <c r="P73" s="26" cm="1">
        <f t="array" aca="1" ref="P73" ca="1">_FV(StockReportTable[[#This Row],[Ticker]],"Market cap",TRUE)</f>
        <v>39270930000</v>
      </c>
      <c r="Q73" s="27" cm="1">
        <f t="array" aca="1" ref="Q73" ca="1">_FV(StockReportTable[[#This Row],[Ticker]],"Volume average",TRUE)</f>
        <v>2159090</v>
      </c>
    </row>
    <row r="74" spans="1:17" s="1" customFormat="1" ht="15">
      <c r="A74" s="4" t="str" cm="1">
        <f t="array" aca="1" ref="A74" ca="1">_FV(StockReportTable[[#This Row],[Ticker]],"Official name",TRUE)</f>
        <v>Technogym S.p.A.</v>
      </c>
      <c r="B74" s="4" t="e" vm="75">
        <v>#VALUE!</v>
      </c>
      <c r="C74" s="4" t="str" cm="1">
        <f t="array" aca="1" ref="C74" ca="1">_FV(StockReportTable[[#This Row],[Ticker]],"Exchange")</f>
        <v>Borsa Italiana</v>
      </c>
      <c r="D74" s="4" t="str" cm="1">
        <f t="array" aca="1" ref="D74" ca="1">_FV(StockReportTable[[#This Row],[Ticker]],"Currency")</f>
        <v>EUR</v>
      </c>
      <c r="E74" s="5">
        <f t="shared" ca="1" si="4"/>
        <v>46318</v>
      </c>
      <c r="F74" s="36" cm="1">
        <f t="array" aca="1" ref="F74" ca="1">_FV(StockReportTable[[#This Row],[Ticker]],"Price")</f>
        <v>12.23</v>
      </c>
      <c r="G74" s="6">
        <f ca="1">(StockReportTable[[#This Row],[Price @ Date]]-INDEX(_xlfn.STOCKHISTORY(B74,DATE(2025,12,31),E74),2,2))/(INDEX(_xlfn.STOCKHISTORY(B74,DATE(2025,12,31),E74),2,2))</f>
        <v>-0.24692118226600976</v>
      </c>
      <c r="H74" s="6">
        <f ca="1">(StockReportTable[[#This Row],[Price @ Date]]-INDEX(_xlfn.STOCKHISTORY(B74,DATE(2025,12,31),E74),2,2))/(INDEX(_xlfn.STOCKHISTORY(B74,EDATE(StockReportTable[[#This Row],[Date]],-12),E74),2,2))</f>
        <v>-0.28041958041958026</v>
      </c>
      <c r="I74" s="7">
        <f ca="1">(StockReportTable[[#This Row],[Price @ Date]]-INDEX(_xlfn.STOCKHISTORY(B74,DATE(2025,12,31),E74),2,2))/(INDEX(_xlfn.STOCKHISTORY(B74,EDATE(StockReportTable[[#This Row],[Date]],-36),E74),2,2))</f>
        <v>-0.55771905424200252</v>
      </c>
      <c r="J74" s="8" cm="1">
        <f t="array" aca="1" ref="J74" ca="1">IFERROR(_FV(StockReportTable[[#This Row],[Ticker]],"P/E",TRUE),"N/A")</f>
        <v>21.2363</v>
      </c>
      <c r="K74" s="11">
        <f ca="1">IF(ISNUMBER(StockReportTable[[#This Row],[P/E]]),IF(StockReportTable[[#This Row],[P/E]]&lt;35,1,2),3)</f>
        <v>1</v>
      </c>
      <c r="L74" s="4" t="str" cm="1">
        <f t="array" aca="1" ref="L74" ca="1">_FV(StockReportTable[[#This Row],[Ticker]],"Industry")</f>
        <v>Leisure Products</v>
      </c>
      <c r="M74" s="16" cm="1">
        <f t="array" aca="1" ref="M74" ca="1">IFERROR(_FV(StockReportTable[[#This Row],[Ticker]],"52 week high",TRUE),"N/A")</f>
        <v>21.82</v>
      </c>
      <c r="N74" s="16" cm="1">
        <f t="array" aca="1" ref="N74" ca="1">IFERROR(_FV(StockReportTable[[#This Row],[Ticker]],"52 week low",TRUE),"N/A")</f>
        <v>11.92</v>
      </c>
      <c r="O74" s="21" cm="1">
        <f t="array" aca="1" ref="O74" ca="1">_FV(StockReportTable[[#This Row],[Ticker]],"Change (%)",TRUE)</f>
        <v>-1.2116E-2</v>
      </c>
      <c r="P74" s="26" cm="1">
        <f t="array" aca="1" ref="P74" ca="1">_FV(StockReportTable[[#This Row],[Ticker]],"Market cap",TRUE)</f>
        <v>2462235000</v>
      </c>
      <c r="Q74" s="27" cm="1">
        <f t="array" aca="1" ref="Q74" ca="1">_FV(StockReportTable[[#This Row],[Ticker]],"Volume average",TRUE)</f>
        <v>214020</v>
      </c>
    </row>
    <row r="75" spans="1:17" s="1" customFormat="1" ht="15">
      <c r="A75" s="4" t="str" cm="1">
        <f t="array" aca="1" ref="A75" ca="1">_FV(StockReportTable[[#This Row],[Ticker]],"Official name",TRUE)</f>
        <v>Deutsche Telekom AG</v>
      </c>
      <c r="B75" s="4" t="e" vm="76">
        <v>#VALUE!</v>
      </c>
      <c r="C75" s="4" t="str" cm="1">
        <f t="array" aca="1" ref="C75" ca="1">_FV(StockReportTable[[#This Row],[Ticker]],"Exchange")</f>
        <v>Xetra</v>
      </c>
      <c r="D75" s="4" t="str" cm="1">
        <f t="array" aca="1" ref="D75" ca="1">_FV(StockReportTable[[#This Row],[Ticker]],"Currency")</f>
        <v>EUR</v>
      </c>
      <c r="E75" s="5">
        <f t="shared" ca="1" si="4"/>
        <v>46318</v>
      </c>
      <c r="F75" s="36" cm="1">
        <f t="array" aca="1" ref="F75" ca="1">_FV(StockReportTable[[#This Row],[Ticker]],"Price")</f>
        <v>25.35</v>
      </c>
      <c r="G75" s="6">
        <f ca="1">(StockReportTable[[#This Row],[Price @ Date]]-INDEX(_xlfn.STOCKHISTORY(B75,DATE(2025,12,31),E75),2,2))/(INDEX(_xlfn.STOCKHISTORY(B75,DATE(2025,12,31),E75),2,2))</f>
        <v>-8.8785046728971917E-2</v>
      </c>
      <c r="H75" s="6">
        <f ca="1">(StockReportTable[[#This Row],[Price @ Date]]-INDEX(_xlfn.STOCKHISTORY(B75,DATE(2025,12,31),E75),2,2))/(INDEX(_xlfn.STOCKHISTORY(B75,EDATE(StockReportTable[[#This Row],[Date]],-12),E75),2,2))</f>
        <v>-8.4271579665643095E-2</v>
      </c>
      <c r="I75" s="7">
        <f ca="1">(StockReportTable[[#This Row],[Price @ Date]]-INDEX(_xlfn.STOCKHISTORY(B75,DATE(2025,12,31),E75),2,2))/(INDEX(_xlfn.STOCKHISTORY(B75,EDATE(StockReportTable[[#This Row],[Date]],-36),E75),2,2))</f>
        <v>-0.12236809512013867</v>
      </c>
      <c r="J75" s="8" cm="1">
        <f t="array" aca="1" ref="J75" ca="1">IFERROR(_FV(StockReportTable[[#This Row],[Ticker]],"P/E",TRUE),"N/A")</f>
        <v>14.662599999999999</v>
      </c>
      <c r="K75" s="11">
        <f ca="1">IF(ISNUMBER(StockReportTable[[#This Row],[P/E]]),IF(StockReportTable[[#This Row],[P/E]]&lt;35,1,2),3)</f>
        <v>1</v>
      </c>
      <c r="L75" s="4" t="str" cm="1">
        <f t="array" aca="1" ref="L75" ca="1">_FV(StockReportTable[[#This Row],[Ticker]],"Industry")</f>
        <v>Telecommunications Services</v>
      </c>
      <c r="M75" s="16" cm="1">
        <f t="array" aca="1" ref="M75" ca="1">IFERROR(_FV(StockReportTable[[#This Row],[Ticker]],"52 week high",TRUE),"N/A")</f>
        <v>34.36</v>
      </c>
      <c r="N75" s="16" cm="1">
        <f t="array" aca="1" ref="N75" ca="1">IFERROR(_FV(StockReportTable[[#This Row],[Ticker]],"52 week low",TRUE),"N/A")</f>
        <v>23.53</v>
      </c>
      <c r="O75" s="21" cm="1">
        <f t="array" aca="1" ref="O75" ca="1">_FV(StockReportTable[[#This Row],[Ticker]],"Change (%)",TRUE)</f>
        <v>-3.1703999999999996E-2</v>
      </c>
      <c r="P75" s="26" cm="1">
        <f t="array" aca="1" ref="P75" ca="1">_FV(StockReportTable[[#This Row],[Ticker]],"Market cap",TRUE)</f>
        <v>123074200000</v>
      </c>
      <c r="Q75" s="27" cm="1">
        <f t="array" aca="1" ref="Q75" ca="1">_FV(StockReportTable[[#This Row],[Ticker]],"Volume average",TRUE)</f>
        <v>8859230</v>
      </c>
    </row>
    <row r="76" spans="1:17" s="1" customFormat="1" ht="15">
      <c r="A76" s="4" t="str" cm="1">
        <f t="array" aca="1" ref="A76" ca="1">_FV(StockReportTable[[#This Row],[Ticker]],"Official name",TRUE)</f>
        <v>Danone SA</v>
      </c>
      <c r="B76" s="4" t="e" vm="77">
        <v>#VALUE!</v>
      </c>
      <c r="C76" s="4" t="str" cm="1">
        <f t="array" aca="1" ref="C76" ca="1">_FV(StockReportTable[[#This Row],[Ticker]],"Exchange")</f>
        <v>Euronext Paris</v>
      </c>
      <c r="D76" s="4" t="str" cm="1">
        <f t="array" aca="1" ref="D76" ca="1">_FV(StockReportTable[[#This Row],[Ticker]],"Currency")</f>
        <v>EUR</v>
      </c>
      <c r="E76" s="5">
        <f t="shared" ca="1" si="4"/>
        <v>46318</v>
      </c>
      <c r="F76" s="36" cm="1">
        <f t="array" aca="1" ref="F76" ca="1">_FV(StockReportTable[[#This Row],[Ticker]],"Price")</f>
        <v>62.24</v>
      </c>
      <c r="G76" s="6">
        <f ca="1">(StockReportTable[[#This Row],[Price @ Date]]-INDEX(_xlfn.STOCKHISTORY(B76,DATE(2025,12,31),E76),2,2))/(INDEX(_xlfn.STOCKHISTORY(B76,DATE(2025,12,31),E76),2,2))</f>
        <v>-0.18937223235217504</v>
      </c>
      <c r="H76" s="6">
        <f ca="1">(StockReportTable[[#This Row],[Price @ Date]]-INDEX(_xlfn.STOCKHISTORY(B76,DATE(2025,12,31),E76),2,2))/(INDEX(_xlfn.STOCKHISTORY(B76,EDATE(StockReportTable[[#This Row],[Date]],-12),E76),2,2))</f>
        <v>-0.18583844580777095</v>
      </c>
      <c r="I76" s="7">
        <f ca="1">(StockReportTable[[#This Row],[Price @ Date]]-INDEX(_xlfn.STOCKHISTORY(B76,DATE(2025,12,31),E76),2,2))/(INDEX(_xlfn.STOCKHISTORY(B76,EDATE(StockReportTable[[#This Row],[Date]],-36),E76),2,2))</f>
        <v>-0.26975881261595547</v>
      </c>
      <c r="J76" s="8" cm="1">
        <f t="array" aca="1" ref="J76" ca="1">IFERROR(_FV(StockReportTable[[#This Row],[Ticker]],"P/E",TRUE),"N/A")</f>
        <v>20.5943</v>
      </c>
      <c r="K76" s="11">
        <f ca="1">IF(ISNUMBER(StockReportTable[[#This Row],[P/E]]),IF(StockReportTable[[#This Row],[P/E]]&lt;35,1,2),3)</f>
        <v>1</v>
      </c>
      <c r="L76" s="4" t="str" cm="1">
        <f t="array" aca="1" ref="L76" ca="1">_FV(StockReportTable[[#This Row],[Ticker]],"Industry")</f>
        <v>Food &amp; Tobacco</v>
      </c>
      <c r="M76" s="16" cm="1">
        <f t="array" aca="1" ref="M76" ca="1">IFERROR(_FV(StockReportTable[[#This Row],[Ticker]],"52 week high",TRUE),"N/A")</f>
        <v>80.14</v>
      </c>
      <c r="N76" s="16" cm="1">
        <f t="array" aca="1" ref="N76" ca="1">IFERROR(_FV(StockReportTable[[#This Row],[Ticker]],"52 week low",TRUE),"N/A")</f>
        <v>57.26</v>
      </c>
      <c r="O76" s="21" cm="1">
        <f t="array" aca="1" ref="O76" ca="1">_FV(StockReportTable[[#This Row],[Ticker]],"Change (%)",TRUE)</f>
        <v>-2.2439999999999999E-3</v>
      </c>
      <c r="P76" s="26" cm="1">
        <f t="array" aca="1" ref="P76" ca="1">_FV(StockReportTable[[#This Row],[Ticker]],"Market cap",TRUE)</f>
        <v>42530910000</v>
      </c>
      <c r="Q76" s="27" cm="1">
        <f t="array" aca="1" ref="Q76" ca="1">_FV(StockReportTable[[#This Row],[Ticker]],"Volume average",TRUE)</f>
        <v>1316500</v>
      </c>
    </row>
    <row r="77" spans="1:17" s="1" customFormat="1" ht="15">
      <c r="A77" s="4" t="str" cm="1">
        <f t="array" aca="1" ref="A77" ca="1">_FV(StockReportTable[[#This Row],[Ticker]],"Official name",TRUE)</f>
        <v>L'Oreal SA</v>
      </c>
      <c r="B77" s="4" t="e" vm="78">
        <v>#VALUE!</v>
      </c>
      <c r="C77" s="4" t="str" cm="1">
        <f t="array" aca="1" ref="C77" ca="1">_FV(StockReportTable[[#This Row],[Ticker]],"Exchange")</f>
        <v>Euronext Paris</v>
      </c>
      <c r="D77" s="4" t="str" cm="1">
        <f t="array" aca="1" ref="D77" ca="1">_FV(StockReportTable[[#This Row],[Ticker]],"Currency")</f>
        <v>EUR</v>
      </c>
      <c r="E77" s="5">
        <f t="shared" ca="1" si="4"/>
        <v>46318</v>
      </c>
      <c r="F77" s="36" cm="1">
        <f t="array" aca="1" ref="F77" ca="1">_FV(StockReportTable[[#This Row],[Ticker]],"Price")</f>
        <v>436.3</v>
      </c>
      <c r="G77" s="6">
        <f ca="1">(StockReportTable[[#This Row],[Price @ Date]]-INDEX(_xlfn.STOCKHISTORY(B77,DATE(2025,12,31),E77),2,2))/(INDEX(_xlfn.STOCKHISTORY(B77,DATE(2025,12,31),E77),2,2))</f>
        <v>0.19012547735951987</v>
      </c>
      <c r="H77" s="6">
        <f ca="1">(StockReportTable[[#This Row],[Price @ Date]]-INDEX(_xlfn.STOCKHISTORY(B77,DATE(2025,12,31),E77),2,2))/(INDEX(_xlfn.STOCKHISTORY(B77,EDATE(StockReportTable[[#This Row],[Date]],-12),E77),2,2))</f>
        <v>0.18574283810792802</v>
      </c>
      <c r="I77" s="7">
        <f ca="1">(StockReportTable[[#This Row],[Price @ Date]]-INDEX(_xlfn.STOCKHISTORY(B77,DATE(2025,12,31),E77),2,2))/(INDEX(_xlfn.STOCKHISTORY(B77,EDATE(StockReportTable[[#This Row],[Date]],-36),E77),2,2))</f>
        <v>0.18017319374434532</v>
      </c>
      <c r="J77" s="8" cm="1">
        <f t="array" aca="1" ref="J77" ca="1">IFERROR(_FV(StockReportTable[[#This Row],[Ticker]],"P/E",TRUE),"N/A")</f>
        <v>34.9343</v>
      </c>
      <c r="K77" s="11">
        <f ca="1">IF(ISNUMBER(StockReportTable[[#This Row],[P/E]]),IF(StockReportTable[[#This Row],[P/E]]&lt;35,1,2),3)</f>
        <v>1</v>
      </c>
      <c r="L77" s="4" t="str" cm="1">
        <f t="array" aca="1" ref="L77" ca="1">_FV(StockReportTable[[#This Row],[Ticker]],"Industry")</f>
        <v>Personal &amp; Household Products &amp; Services</v>
      </c>
      <c r="M77" s="16" cm="1">
        <f t="array" aca="1" ref="M77" ca="1">IFERROR(_FV(StockReportTable[[#This Row],[Ticker]],"52 week high",TRUE),"N/A")</f>
        <v>438.65</v>
      </c>
      <c r="N77" s="16" cm="1">
        <f t="array" aca="1" ref="N77" ca="1">IFERROR(_FV(StockReportTable[[#This Row],[Ticker]],"52 week low",TRUE),"N/A")</f>
        <v>338.85</v>
      </c>
      <c r="O77" s="21" cm="1">
        <f t="array" aca="1" ref="O77" ca="1">_FV(StockReportTable[[#This Row],[Ticker]],"Change (%)",TRUE)</f>
        <v>5.6416000000000001E-2</v>
      </c>
      <c r="P77" s="26" cm="1">
        <f t="array" aca="1" ref="P77" ca="1">_FV(StockReportTable[[#This Row],[Ticker]],"Market cap",TRUE)</f>
        <v>232685300000</v>
      </c>
      <c r="Q77" s="27" cm="1">
        <f t="array" aca="1" ref="Q77" ca="1">_FV(StockReportTable[[#This Row],[Ticker]],"Volume average",TRUE)</f>
        <v>400170</v>
      </c>
    </row>
    <row r="78" spans="1:17" s="1" customFormat="1" ht="15">
      <c r="A78" s="4" t="str" cm="1">
        <f t="array" aca="1" ref="A78" ca="1">_FV(StockReportTable[[#This Row],[Ticker]],"Official name",TRUE)</f>
        <v>UNILEVER PLC</v>
      </c>
      <c r="B78" s="4" t="e" vm="79">
        <v>#VALUE!</v>
      </c>
      <c r="C78" s="4" t="str" cm="1">
        <f t="array" aca="1" ref="C78" ca="1">_FV(StockReportTable[[#This Row],[Ticker]],"Exchange")</f>
        <v>Euronext Amsterdam</v>
      </c>
      <c r="D78" s="4" t="str" cm="1">
        <f t="array" aca="1" ref="D78" ca="1">_FV(StockReportTable[[#This Row],[Ticker]],"Currency")</f>
        <v>EUR</v>
      </c>
      <c r="E78" s="5">
        <f t="shared" ca="1" si="4"/>
        <v>46318</v>
      </c>
      <c r="F78" s="36" cm="1">
        <f t="array" aca="1" ref="F78" ca="1">_FV(StockReportTable[[#This Row],[Ticker]],"Price")</f>
        <v>59.02</v>
      </c>
      <c r="G78" s="6">
        <f ca="1">(StockReportTable[[#This Row],[Price @ Date]]-INDEX(_xlfn.STOCKHISTORY(B78,DATE(2025,12,31),E78),2,2))/(INDEX(_xlfn.STOCKHISTORY(B78,DATE(2025,12,31),E78),2,2))</f>
        <v>5.9605026929982048E-2</v>
      </c>
      <c r="H78" s="6">
        <f ca="1">(StockReportTable[[#This Row],[Price @ Date]]-INDEX(_xlfn.STOCKHISTORY(B78,DATE(2025,12,31),E78),2,2))/(INDEX(_xlfn.STOCKHISTORY(B78,EDATE(StockReportTable[[#This Row],[Date]],-12),E78),2,2))</f>
        <v>5.7351731953206524E-2</v>
      </c>
      <c r="I78" s="7">
        <f ca="1">(StockReportTable[[#This Row],[Price @ Date]]-INDEX(_xlfn.STOCKHISTORY(B78,DATE(2025,12,31),E78),2,2))/(INDEX(_xlfn.STOCKHISTORY(B78,EDATE(StockReportTable[[#This Row],[Date]],-36),E78),2,2))</f>
        <v>6.7625784978520675E-2</v>
      </c>
      <c r="J78" s="8" cm="1">
        <f t="array" aca="1" ref="J78" ca="1">IFERROR(_FV(StockReportTable[[#This Row],[Ticker]],"P/E",TRUE),"N/A")</f>
        <v>24.791</v>
      </c>
      <c r="K78" s="11">
        <f ca="1">IF(ISNUMBER(StockReportTable[[#This Row],[P/E]]),IF(StockReportTable[[#This Row],[P/E]]&lt;35,1,2),3)</f>
        <v>1</v>
      </c>
      <c r="L78" s="4" t="str" cm="1">
        <f t="array" aca="1" ref="L78" ca="1">_FV(StockReportTable[[#This Row],[Ticker]],"Industry")</f>
        <v>Personal &amp; Household Products &amp; Services</v>
      </c>
      <c r="M78" s="16" cm="1">
        <f t="array" aca="1" ref="M78" ca="1">IFERROR(_FV(StockReportTable[[#This Row],[Ticker]],"52 week high",TRUE),"N/A")</f>
        <v>63.39</v>
      </c>
      <c r="N78" s="16" cm="1">
        <f t="array" aca="1" ref="N78" ca="1">IFERROR(_FV(StockReportTable[[#This Row],[Ticker]],"52 week low",TRUE),"N/A")</f>
        <v>46.97</v>
      </c>
      <c r="O78" s="21" cm="1">
        <f t="array" aca="1" ref="O78" ca="1">_FV(StockReportTable[[#This Row],[Ticker]],"Change (%)",TRUE)</f>
        <v>-5.7279999999999996E-3</v>
      </c>
      <c r="P78" s="26" cm="1">
        <f t="array" aca="1" ref="P78" ca="1">_FV(StockReportTable[[#This Row],[Ticker]],"Market cap",TRUE)</f>
        <v>106369900000</v>
      </c>
      <c r="Q78" s="27" cm="1">
        <f t="array" aca="1" ref="Q78" ca="1">_FV(StockReportTable[[#This Row],[Ticker]],"Volume average",TRUE)</f>
        <v>3033260</v>
      </c>
    </row>
    <row r="79" spans="1:17" s="1" customFormat="1" ht="15">
      <c r="A79" s="4" t="str" cm="1">
        <f t="array" aca="1" ref="A79" ca="1">_FV(StockReportTable[[#This Row],[Ticker]],"Official name",TRUE)</f>
        <v>Saipem SpA</v>
      </c>
      <c r="B79" s="4" t="e" vm="80">
        <v>#VALUE!</v>
      </c>
      <c r="C79" s="4" t="str" cm="1">
        <f t="array" aca="1" ref="C79" ca="1">_FV(StockReportTable[[#This Row],[Ticker]],"Exchange")</f>
        <v>Borsa Italiana</v>
      </c>
      <c r="D79" s="4" t="str" cm="1">
        <f t="array" aca="1" ref="D79" ca="1">_FV(StockReportTable[[#This Row],[Ticker]],"Currency")</f>
        <v>EUR</v>
      </c>
      <c r="E79" s="5">
        <f t="shared" ca="1" si="4"/>
        <v>46318</v>
      </c>
      <c r="F79" s="36" cm="1">
        <f t="array" aca="1" ref="F79" ca="1">_FV(StockReportTable[[#This Row],[Ticker]],"Price")</f>
        <v>4.3920000000000003</v>
      </c>
      <c r="G79" s="6">
        <f ca="1">(StockReportTable[[#This Row],[Price @ Date]]-INDEX(_xlfn.STOCKHISTORY(B79,DATE(2025,12,31),E79),2,2))/(INDEX(_xlfn.STOCKHISTORY(B79,DATE(2025,12,31),E79),2,2))</f>
        <v>0.75680000000000014</v>
      </c>
      <c r="H79" s="6">
        <f ca="1">(StockReportTable[[#This Row],[Price @ Date]]-INDEX(_xlfn.STOCKHISTORY(B79,DATE(2025,12,31),E79),2,2))/(INDEX(_xlfn.STOCKHISTORY(B79,EDATE(StockReportTable[[#This Row],[Date]],-12),E79),2,2))</f>
        <v>0.80442176870748316</v>
      </c>
      <c r="I79" s="7">
        <f ca="1">(StockReportTable[[#This Row],[Price @ Date]]-INDEX(_xlfn.STOCKHISTORY(B79,DATE(2025,12,31),E79),2,2))/(INDEX(_xlfn.STOCKHISTORY(B79,EDATE(StockReportTable[[#This Row],[Date]],-36),E79),2,2))</f>
        <v>1.3249299719887959</v>
      </c>
      <c r="J79" s="8" cm="1">
        <f t="array" aca="1" ref="J79" ca="1">IFERROR(_FV(StockReportTable[[#This Row],[Ticker]],"P/E",TRUE),"N/A")</f>
        <v>32.081800000000001</v>
      </c>
      <c r="K79" s="11">
        <f ca="1">IF(ISNUMBER(StockReportTable[[#This Row],[P/E]]),IF(StockReportTable[[#This Row],[P/E]]&lt;35,1,2),3)</f>
        <v>1</v>
      </c>
      <c r="L79" s="4" t="str" cm="1">
        <f t="array" aca="1" ref="L79" ca="1">_FV(StockReportTable[[#This Row],[Ticker]],"Industry")</f>
        <v>Oil &amp; Gas Related Equipment and Services</v>
      </c>
      <c r="M79" s="16" cm="1">
        <f t="array" aca="1" ref="M79" ca="1">IFERROR(_FV(StockReportTable[[#This Row],[Ticker]],"52 week high",TRUE),"N/A")</f>
        <v>4.8499999999999996</v>
      </c>
      <c r="N79" s="16" cm="1">
        <f t="array" aca="1" ref="N79" ca="1">IFERROR(_FV(StockReportTable[[#This Row],[Ticker]],"52 week low",TRUE),"N/A")</f>
        <v>2.17</v>
      </c>
      <c r="O79" s="21" cm="1">
        <f t="array" aca="1" ref="O79" ca="1">_FV(StockReportTable[[#This Row],[Ticker]],"Change (%)",TRUE)</f>
        <v>4.1745999999999998E-2</v>
      </c>
      <c r="P79" s="26" cm="1">
        <f t="array" aca="1" ref="P79" ca="1">_FV(StockReportTable[[#This Row],[Ticker]],"Market cap",TRUE)</f>
        <v>8764815000</v>
      </c>
      <c r="Q79" s="27" cm="1">
        <f t="array" aca="1" ref="Q79" ca="1">_FV(StockReportTable[[#This Row],[Ticker]],"Volume average",TRUE)</f>
        <v>16699220</v>
      </c>
    </row>
    <row r="80" spans="1:17" s="1" customFormat="1" ht="15">
      <c r="A80" s="4" t="str" cm="1">
        <f t="array" aca="1" ref="A80" ca="1">_FV(StockReportTable[[#This Row],[Ticker]],"Official name",TRUE)</f>
        <v>TotalEnergies SE</v>
      </c>
      <c r="B80" s="4" t="e" vm="81">
        <v>#VALUE!</v>
      </c>
      <c r="C80" s="4" t="str" cm="1">
        <f t="array" aca="1" ref="C80" ca="1">_FV(StockReportTable[[#This Row],[Ticker]],"Exchange")</f>
        <v>Euronext Paris</v>
      </c>
      <c r="D80" s="4" t="str" cm="1">
        <f t="array" aca="1" ref="D80" ca="1">_FV(StockReportTable[[#This Row],[Ticker]],"Currency")</f>
        <v>EUR</v>
      </c>
      <c r="E80" s="5">
        <f t="shared" ca="1" si="4"/>
        <v>46318</v>
      </c>
      <c r="F80" s="36" cm="1">
        <f t="array" aca="1" ref="F80" ca="1">_FV(StockReportTable[[#This Row],[Ticker]],"Price")</f>
        <v>83.45</v>
      </c>
      <c r="G80" s="6">
        <f ca="1">(StockReportTable[[#This Row],[Price @ Date]]-INDEX(_xlfn.STOCKHISTORY(B80,DATE(2025,12,31),E80),2,2))/(INDEX(_xlfn.STOCKHISTORY(B80,DATE(2025,12,31),E80),2,2))</f>
        <v>0.50116927504946929</v>
      </c>
      <c r="H80" s="6">
        <f ca="1">(StockReportTable[[#This Row],[Price @ Date]]-INDEX(_xlfn.STOCKHISTORY(B80,DATE(2025,12,31),E80),2,2))/(INDEX(_xlfn.STOCKHISTORY(B80,EDATE(StockReportTable[[#This Row],[Date]],-12),E80),2,2))</f>
        <v>0.51497227356746766</v>
      </c>
      <c r="I80" s="7">
        <f ca="1">(StockReportTable[[#This Row],[Price @ Date]]-INDEX(_xlfn.STOCKHISTORY(B80,DATE(2025,12,31),E80),2,2))/(INDEX(_xlfn.STOCKHISTORY(B80,EDATE(StockReportTable[[#This Row],[Date]],-36),E80),2,2))</f>
        <v>0.44719101123595506</v>
      </c>
      <c r="J80" s="8" cm="1">
        <f t="array" aca="1" ref="J80" ca="1">IFERROR(_FV(StockReportTable[[#This Row],[Ticker]],"P/E",TRUE),"N/A")</f>
        <v>11.8041</v>
      </c>
      <c r="K80" s="11">
        <f ca="1">IF(ISNUMBER(StockReportTable[[#This Row],[P/E]]),IF(StockReportTable[[#This Row],[P/E]]&lt;35,1,2),3)</f>
        <v>1</v>
      </c>
      <c r="L80" s="4" t="str" cm="1">
        <f t="array" aca="1" ref="L80" ca="1">_FV(StockReportTable[[#This Row],[Ticker]],"Industry")</f>
        <v>Oil &amp; Gas</v>
      </c>
      <c r="M80" s="16" cm="1">
        <f t="array" aca="1" ref="M80" ca="1">IFERROR(_FV(StockReportTable[[#This Row],[Ticker]],"52 week high",TRUE),"N/A")</f>
        <v>83.74</v>
      </c>
      <c r="N80" s="16" cm="1">
        <f t="array" aca="1" ref="N80" ca="1">IFERROR(_FV(StockReportTable[[#This Row],[Ticker]],"52 week low",TRUE),"N/A")</f>
        <v>52.24</v>
      </c>
      <c r="O80" s="21" cm="1">
        <f t="array" aca="1" ref="O80" ca="1">_FV(StockReportTable[[#This Row],[Ticker]],"Change (%)",TRUE)</f>
        <v>4.3385999999999994E-2</v>
      </c>
      <c r="P80" s="26" cm="1">
        <f t="array" aca="1" ref="P80" ca="1">_FV(StockReportTable[[#This Row],[Ticker]],"Market cap",TRUE)</f>
        <v>190609200000</v>
      </c>
      <c r="Q80" s="27" cm="1">
        <f t="array" aca="1" ref="Q80" ca="1">_FV(StockReportTable[[#This Row],[Ticker]],"Volume average",TRUE)</f>
        <v>3311260</v>
      </c>
    </row>
    <row r="81" spans="1:17" s="1" customFormat="1" ht="15">
      <c r="A81" s="4" t="str" cm="1">
        <f t="array" aca="1" ref="A81" ca="1">_FV(StockReportTable[[#This Row],[Ticker]],"Official name",TRUE)</f>
        <v>AXA SA</v>
      </c>
      <c r="B81" s="4" t="e" vm="82">
        <v>#VALUE!</v>
      </c>
      <c r="C81" s="4" t="str" cm="1">
        <f t="array" aca="1" ref="C81" ca="1">_FV(StockReportTable[[#This Row],[Ticker]],"Exchange")</f>
        <v>Euronext Paris</v>
      </c>
      <c r="D81" s="4" t="str" cm="1">
        <f t="array" aca="1" ref="D81" ca="1">_FV(StockReportTable[[#This Row],[Ticker]],"Currency")</f>
        <v>EUR</v>
      </c>
      <c r="E81" s="5">
        <f t="shared" ca="1" si="4"/>
        <v>46318</v>
      </c>
      <c r="F81" s="36" cm="1">
        <f t="array" aca="1" ref="F81" ca="1">_FV(StockReportTable[[#This Row],[Ticker]],"Price")</f>
        <v>41.71</v>
      </c>
      <c r="G81" s="6">
        <f ca="1">(StockReportTable[[#This Row],[Price @ Date]]-INDEX(_xlfn.STOCKHISTORY(B81,DATE(2025,12,31),E81),2,2))/(INDEX(_xlfn.STOCKHISTORY(B81,DATE(2025,12,31),E81),2,2))</f>
        <v>1.8310546875E-2</v>
      </c>
      <c r="H81" s="6">
        <f ca="1">(StockReportTable[[#This Row],[Price @ Date]]-INDEX(_xlfn.STOCKHISTORY(B81,DATE(2025,12,31),E81),2,2))/(INDEX(_xlfn.STOCKHISTORY(B81,EDATE(StockReportTable[[#This Row],[Date]],-12),E81),2,2))</f>
        <v>1.9040365575019039E-2</v>
      </c>
      <c r="I81" s="7">
        <f ca="1">(StockReportTable[[#This Row],[Price @ Date]]-INDEX(_xlfn.STOCKHISTORY(B81,DATE(2025,12,31),E81),2,2))/(INDEX(_xlfn.STOCKHISTORY(B81,EDATE(StockReportTable[[#This Row],[Date]],-36),E81),2,2))</f>
        <v>2.7527986786566341E-2</v>
      </c>
      <c r="J81" s="8" cm="1">
        <f t="array" aca="1" ref="J81" ca="1">IFERROR(_FV(StockReportTable[[#This Row],[Ticker]],"P/E",TRUE),"N/A")</f>
        <v>8.7573000000000008</v>
      </c>
      <c r="K81" s="11">
        <f ca="1">IF(ISNUMBER(StockReportTable[[#This Row],[P/E]]),IF(StockReportTable[[#This Row],[P/E]]&lt;35,1,2),3)</f>
        <v>1</v>
      </c>
      <c r="L81" s="4" t="str" cm="1">
        <f t="array" aca="1" ref="L81" ca="1">_FV(StockReportTable[[#This Row],[Ticker]],"Industry")</f>
        <v>Insurance</v>
      </c>
      <c r="M81" s="16" cm="1">
        <f t="array" aca="1" ref="M81" ca="1">IFERROR(_FV(StockReportTable[[#This Row],[Ticker]],"52 week high",TRUE),"N/A")</f>
        <v>45.66</v>
      </c>
      <c r="N81" s="16" cm="1">
        <f t="array" aca="1" ref="N81" ca="1">IFERROR(_FV(StockReportTable[[#This Row],[Ticker]],"52 week low",TRUE),"N/A")</f>
        <v>36.549999999999997</v>
      </c>
      <c r="O81" s="21" cm="1">
        <f t="array" aca="1" ref="O81" ca="1">_FV(StockReportTable[[#This Row],[Ticker]],"Change (%)",TRUE)</f>
        <v>-7.3769999999999999E-3</v>
      </c>
      <c r="P81" s="26" cm="1">
        <f t="array" aca="1" ref="P81" ca="1">_FV(StockReportTable[[#This Row],[Ticker]],"Market cap",TRUE)</f>
        <v>87218410000</v>
      </c>
      <c r="Q81" s="27" cm="1">
        <f t="array" aca="1" ref="Q81" ca="1">_FV(StockReportTable[[#This Row],[Ticker]],"Volume average",TRUE)</f>
        <v>3033600</v>
      </c>
    </row>
    <row r="82" spans="1:17" s="1" customFormat="1" ht="15">
      <c r="A82" s="4" t="str" cm="1">
        <f t="array" aca="1" ref="A82" ca="1">_FV(StockReportTable[[#This Row],[Ticker]],"Official name",TRUE)</f>
        <v>Banco BPM SpA</v>
      </c>
      <c r="B82" s="4" t="e" vm="83">
        <v>#VALUE!</v>
      </c>
      <c r="C82" s="4" t="str" cm="1">
        <f t="array" aca="1" ref="C82" ca="1">_FV(StockReportTable[[#This Row],[Ticker]],"Exchange")</f>
        <v>Borsa Italiana</v>
      </c>
      <c r="D82" s="4" t="str" cm="1">
        <f t="array" aca="1" ref="D82" ca="1">_FV(StockReportTable[[#This Row],[Ticker]],"Currency")</f>
        <v>EUR</v>
      </c>
      <c r="E82" s="5">
        <f t="shared" ca="1" si="4"/>
        <v>46318</v>
      </c>
      <c r="F82" s="36" cm="1">
        <f t="array" aca="1" ref="F82" ca="1">_FV(StockReportTable[[#This Row],[Ticker]],"Price")</f>
        <v>13.085000000000001</v>
      </c>
      <c r="G82" s="6">
        <f ca="1">(StockReportTable[[#This Row],[Price @ Date]]-INDEX(_xlfn.STOCKHISTORY(B82,DATE(2025,12,31),E82),2,2))/(INDEX(_xlfn.STOCKHISTORY(B82,DATE(2025,12,31),E82),2,2))</f>
        <v>-8.3364910951117411E-3</v>
      </c>
      <c r="H82" s="6">
        <f ca="1">(StockReportTable[[#This Row],[Price @ Date]]-INDEX(_xlfn.STOCKHISTORY(B82,DATE(2025,12,31),E82),2,2))/(INDEX(_xlfn.STOCKHISTORY(B82,EDATE(StockReportTable[[#This Row],[Date]],-12),E82),2,2))</f>
        <v>-9.0460526315789009E-3</v>
      </c>
      <c r="I82" s="7">
        <f ca="1">(StockReportTable[[#This Row],[Price @ Date]]-INDEX(_xlfn.STOCKHISTORY(B82,DATE(2025,12,31),E82),2,2))/(INDEX(_xlfn.STOCKHISTORY(B82,EDATE(StockReportTable[[#This Row],[Date]],-36),E82),2,2))</f>
        <v>-2.32067510548522E-2</v>
      </c>
      <c r="J82" s="8" cm="1">
        <f t="array" aca="1" ref="J82" ca="1">IFERROR(_FV(StockReportTable[[#This Row],[Ticker]],"P/E",TRUE),"N/A")</f>
        <v>10.241899999999999</v>
      </c>
      <c r="K82" s="11">
        <f ca="1">IF(ISNUMBER(StockReportTable[[#This Row],[P/E]]),IF(StockReportTable[[#This Row],[P/E]]&lt;35,1,2),3)</f>
        <v>1</v>
      </c>
      <c r="L82" s="4" t="str" cm="1">
        <f t="array" aca="1" ref="L82" ca="1">_FV(StockReportTable[[#This Row],[Ticker]],"Industry")</f>
        <v>Banking Services</v>
      </c>
      <c r="M82" s="16" cm="1">
        <f t="array" aca="1" ref="M82" ca="1">IFERROR(_FV(StockReportTable[[#This Row],[Ticker]],"52 week high",TRUE),"N/A")</f>
        <v>17.45</v>
      </c>
      <c r="N82" s="16" cm="1">
        <f t="array" aca="1" ref="N82" ca="1">IFERROR(_FV(StockReportTable[[#This Row],[Ticker]],"52 week low",TRUE),"N/A")</f>
        <v>10.94</v>
      </c>
      <c r="O82" s="21" cm="1">
        <f t="array" aca="1" ref="O82" ca="1">_FV(StockReportTable[[#This Row],[Ticker]],"Change (%)",TRUE)</f>
        <v>1.0814999999999998E-2</v>
      </c>
      <c r="P82" s="26" cm="1">
        <f t="array" aca="1" ref="P82" ca="1">_FV(StockReportTable[[#This Row],[Ticker]],"Market cap",TRUE)</f>
        <v>19826160000</v>
      </c>
      <c r="Q82" s="27" cm="1">
        <f t="array" aca="1" ref="Q82" ca="1">_FV(StockReportTable[[#This Row],[Ticker]],"Volume average",TRUE)</f>
        <v>4841450</v>
      </c>
    </row>
    <row r="83" spans="1:17" s="1" customFormat="1" ht="15">
      <c r="A83" s="4" t="str" cm="1">
        <f t="array" aca="1" ref="A83" ca="1">_FV(StockReportTable[[#This Row],[Ticker]],"Official name",TRUE)</f>
        <v>Banca Monte dei Paschi di Siena SpA</v>
      </c>
      <c r="B83" s="4" t="e" vm="84">
        <v>#VALUE!</v>
      </c>
      <c r="C83" s="4" t="str" cm="1">
        <f t="array" aca="1" ref="C83" ca="1">_FV(StockReportTable[[#This Row],[Ticker]],"Exchange")</f>
        <v>Borsa Italiana</v>
      </c>
      <c r="D83" s="4" t="str" cm="1">
        <f t="array" aca="1" ref="D83" ca="1">_FV(StockReportTable[[#This Row],[Ticker]],"Currency")</f>
        <v>EUR</v>
      </c>
      <c r="E83" s="5">
        <f t="shared" ca="1" si="4"/>
        <v>46318</v>
      </c>
      <c r="F83" s="36" cm="1">
        <f t="array" aca="1" ref="F83" ca="1">_FV(StockReportTable[[#This Row],[Ticker]],"Price")</f>
        <v>10.65</v>
      </c>
      <c r="G83" s="6">
        <f ca="1">(StockReportTable[[#This Row],[Price @ Date]]-INDEX(_xlfn.STOCKHISTORY(B83,DATE(2025,12,31),E83),2,2))/(INDEX(_xlfn.STOCKHISTORY(B83,DATE(2025,12,31),E83),2,2))</f>
        <v>0.1390374331550803</v>
      </c>
      <c r="H83" s="6">
        <f ca="1">(StockReportTable[[#This Row],[Price @ Date]]-INDEX(_xlfn.STOCKHISTORY(B83,DATE(2025,12,31),E83),2,2))/(INDEX(_xlfn.STOCKHISTORY(B83,EDATE(StockReportTable[[#This Row],[Date]],-12),E83),2,2))</f>
        <v>0.18492176386913239</v>
      </c>
      <c r="I83" s="7">
        <f ca="1">(StockReportTable[[#This Row],[Price @ Date]]-INDEX(_xlfn.STOCKHISTORY(B83,DATE(2025,12,31),E83),2,2))/(INDEX(_xlfn.STOCKHISTORY(B83,EDATE(StockReportTable[[#This Row],[Date]],-36),E83),2,2))</f>
        <v>0.5405405405405409</v>
      </c>
      <c r="J83" s="8" cm="1">
        <f t="array" aca="1" ref="J83" ca="1">IFERROR(_FV(StockReportTable[[#This Row],[Ticker]],"P/E",TRUE),"N/A")</f>
        <v>6.3051000000000004</v>
      </c>
      <c r="K83" s="11">
        <f ca="1">IF(ISNUMBER(StockReportTable[[#This Row],[P/E]]),IF(StockReportTable[[#This Row],[P/E]]&lt;35,1,2),3)</f>
        <v>1</v>
      </c>
      <c r="L83" s="4" t="str" cm="1">
        <f t="array" aca="1" ref="L83" ca="1">_FV(StockReportTable[[#This Row],[Ticker]],"Industry")</f>
        <v>Banking Services</v>
      </c>
      <c r="M83" s="16" cm="1">
        <f t="array" aca="1" ref="M83" ca="1">IFERROR(_FV(StockReportTable[[#This Row],[Ticker]],"52 week high",TRUE),"N/A")</f>
        <v>12.08</v>
      </c>
      <c r="N83" s="16" cm="1">
        <f t="array" aca="1" ref="N83" ca="1">IFERROR(_FV(StockReportTable[[#This Row],[Ticker]],"52 week low",TRUE),"N/A")</f>
        <v>6.85</v>
      </c>
      <c r="O83" s="21" cm="1">
        <f t="array" aca="1" ref="O83" ca="1">_FV(StockReportTable[[#This Row],[Ticker]],"Change (%)",TRUE)</f>
        <v>7.7590000000000003E-3</v>
      </c>
      <c r="P83" s="26" cm="1">
        <f t="array" aca="1" ref="P83" ca="1">_FV(StockReportTable[[#This Row],[Ticker]],"Market cap",TRUE)</f>
        <v>32359150000</v>
      </c>
      <c r="Q83" s="27" cm="1">
        <f t="array" aca="1" ref="Q83" ca="1">_FV(StockReportTable[[#This Row],[Ticker]],"Volume average",TRUE)</f>
        <v>9016950</v>
      </c>
    </row>
    <row r="84" spans="1:17" s="1" customFormat="1" ht="15">
      <c r="A84" s="4" t="str" cm="1">
        <f t="array" aca="1" ref="A84" ca="1">_FV(StockReportTable[[#This Row],[Ticker]],"Official name",TRUE)</f>
        <v>CaixaBank SA</v>
      </c>
      <c r="B84" s="4" t="e" vm="85">
        <v>#VALUE!</v>
      </c>
      <c r="C84" s="4" t="str" cm="1">
        <f t="array" aca="1" ref="C84" ca="1">_FV(StockReportTable[[#This Row],[Ticker]],"Exchange")</f>
        <v>Bolsas y Mercados Espanoles</v>
      </c>
      <c r="D84" s="4" t="str" cm="1">
        <f t="array" aca="1" ref="D84" ca="1">_FV(StockReportTable[[#This Row],[Ticker]],"Currency")</f>
        <v>EUR</v>
      </c>
      <c r="E84" s="5">
        <f t="shared" ca="1" si="4"/>
        <v>46318</v>
      </c>
      <c r="F84" s="36" cm="1">
        <f t="array" aca="1" ref="F84" ca="1">_FV(StockReportTable[[#This Row],[Ticker]],"Price")</f>
        <v>11.195</v>
      </c>
      <c r="G84" s="6">
        <f ca="1">(StockReportTable[[#This Row],[Price @ Date]]-INDEX(_xlfn.STOCKHISTORY(B84,DATE(2025,12,31),E84),2,2))/(INDEX(_xlfn.STOCKHISTORY(B84,DATE(2025,12,31),E84),2,2))</f>
        <v>7.1804691239827662E-2</v>
      </c>
      <c r="H84" s="6">
        <f ca="1">(StockReportTable[[#This Row],[Price @ Date]]-INDEX(_xlfn.STOCKHISTORY(B84,DATE(2025,12,31),E84),2,2))/(INDEX(_xlfn.STOCKHISTORY(B84,EDATE(StockReportTable[[#This Row],[Date]],-12),E84),2,2))</f>
        <v>8.5812356979405036E-2</v>
      </c>
      <c r="I84" s="7">
        <f ca="1">(StockReportTable[[#This Row],[Price @ Date]]-INDEX(_xlfn.STOCKHISTORY(B84,DATE(2025,12,31),E84),2,2))/(INDEX(_xlfn.STOCKHISTORY(B84,EDATE(StockReportTable[[#This Row],[Date]],-36),E84),2,2))</f>
        <v>0.2003205128205128</v>
      </c>
      <c r="J84" s="8" cm="1">
        <f t="array" aca="1" ref="J84" ca="1">IFERROR(_FV(StockReportTable[[#This Row],[Ticker]],"P/E",TRUE),"N/A")</f>
        <v>12.705500000000001</v>
      </c>
      <c r="K84" s="11">
        <f ca="1">IF(ISNUMBER(StockReportTable[[#This Row],[P/E]]),IF(StockReportTable[[#This Row],[P/E]]&lt;35,1,2),3)</f>
        <v>1</v>
      </c>
      <c r="L84" s="4" t="str" cm="1">
        <f t="array" aca="1" ref="L84" ca="1">_FV(StockReportTable[[#This Row],[Ticker]],"Industry")</f>
        <v>Banking Services</v>
      </c>
      <c r="M84" s="16" cm="1">
        <f t="array" aca="1" ref="M84" ca="1">IFERROR(_FV(StockReportTable[[#This Row],[Ticker]],"52 week high",TRUE),"N/A")</f>
        <v>13.555</v>
      </c>
      <c r="N84" s="16" cm="1">
        <f t="array" aca="1" ref="N84" ca="1">IFERROR(_FV(StockReportTable[[#This Row],[Ticker]],"52 week low",TRUE),"N/A")</f>
        <v>8.702</v>
      </c>
      <c r="O84" s="21" cm="1">
        <f t="array" aca="1" ref="O84" ca="1">_FV(StockReportTable[[#This Row],[Ticker]],"Change (%)",TRUE)</f>
        <v>5.8399999999999997E-3</v>
      </c>
      <c r="P84" s="26" cm="1">
        <f t="array" aca="1" ref="P84" ca="1">_FV(StockReportTable[[#This Row],[Ticker]],"Market cap",TRUE)</f>
        <v>78095540000</v>
      </c>
      <c r="Q84" s="27" cm="1">
        <f t="array" aca="1" ref="Q84" ca="1">_FV(StockReportTable[[#This Row],[Ticker]],"Volume average",TRUE)</f>
        <v>6122990</v>
      </c>
    </row>
    <row r="85" spans="1:17" s="1" customFormat="1" ht="15">
      <c r="A85" s="4" t="str" cm="1">
        <f t="array" aca="1" ref="A85" ca="1">_FV(StockReportTable[[#This Row],[Ticker]],"Official name",TRUE)</f>
        <v>Credit Agricole SA</v>
      </c>
      <c r="B85" s="4" t="e" vm="86">
        <v>#VALUE!</v>
      </c>
      <c r="C85" s="4" t="str" cm="1">
        <f t="array" aca="1" ref="C85" ca="1">_FV(StockReportTable[[#This Row],[Ticker]],"Exchange")</f>
        <v>Euronext Paris</v>
      </c>
      <c r="D85" s="4" t="str" cm="1">
        <f t="array" aca="1" ref="D85" ca="1">_FV(StockReportTable[[#This Row],[Ticker]],"Currency")</f>
        <v>EUR</v>
      </c>
      <c r="E85" s="5">
        <f t="shared" ca="1" si="4"/>
        <v>46318</v>
      </c>
      <c r="F85" s="36" cm="1">
        <f t="array" aca="1" ref="F85" ca="1">_FV(StockReportTable[[#This Row],[Ticker]],"Price")</f>
        <v>14.92</v>
      </c>
      <c r="G85" s="6">
        <f ca="1">(StockReportTable[[#This Row],[Price @ Date]]-INDEX(_xlfn.STOCKHISTORY(B85,DATE(2025,12,31),E85),2,2))/(INDEX(_xlfn.STOCKHISTORY(B85,DATE(2025,12,31),E85),2,2))</f>
        <v>-0.1498575498575499</v>
      </c>
      <c r="H85" s="6">
        <f ca="1">(StockReportTable[[#This Row],[Price @ Date]]-INDEX(_xlfn.STOCKHISTORY(B85,DATE(2025,12,31),E85),2,2))/(INDEX(_xlfn.STOCKHISTORY(B85,EDATE(StockReportTable[[#This Row],[Date]],-12),E85),2,2))</f>
        <v>-0.16046369737644908</v>
      </c>
      <c r="I85" s="7">
        <f ca="1">(StockReportTable[[#This Row],[Price @ Date]]-INDEX(_xlfn.STOCKHISTORY(B85,DATE(2025,12,31),E85),2,2))/(INDEX(_xlfn.STOCKHISTORY(B85,EDATE(StockReportTable[[#This Row],[Date]],-36),E85),2,2))</f>
        <v>-0.23241428066454584</v>
      </c>
      <c r="J85" s="8" cm="1">
        <f t="array" aca="1" ref="J85" ca="1">IFERROR(_FV(StockReportTable[[#This Row],[Ticker]],"P/E",TRUE),"N/A")</f>
        <v>7.4828999999999999</v>
      </c>
      <c r="K85" s="11">
        <f ca="1">IF(ISNUMBER(StockReportTable[[#This Row],[P/E]]),IF(StockReportTable[[#This Row],[P/E]]&lt;35,1,2),3)</f>
        <v>1</v>
      </c>
      <c r="L85" s="4" t="str" cm="1">
        <f t="array" aca="1" ref="L85" ca="1">_FV(StockReportTable[[#This Row],[Ticker]],"Industry")</f>
        <v>Banking Services</v>
      </c>
      <c r="M85" s="16" cm="1">
        <f t="array" aca="1" ref="M85" ca="1">IFERROR(_FV(StockReportTable[[#This Row],[Ticker]],"52 week high",TRUE),"N/A")</f>
        <v>20.399999999999999</v>
      </c>
      <c r="N85" s="16" cm="1">
        <f t="array" aca="1" ref="N85" ca="1">IFERROR(_FV(StockReportTable[[#This Row],[Ticker]],"52 week low",TRUE),"N/A")</f>
        <v>14.685</v>
      </c>
      <c r="O85" s="21" cm="1">
        <f t="array" aca="1" ref="O85" ca="1">_FV(StockReportTable[[#This Row],[Ticker]],"Change (%)",TRUE)</f>
        <v>4.3759999999999997E-3</v>
      </c>
      <c r="P85" s="26" cm="1">
        <f t="array" aca="1" ref="P85" ca="1">_FV(StockReportTable[[#This Row],[Ticker]],"Market cap",TRUE)</f>
        <v>45146460000</v>
      </c>
      <c r="Q85" s="27" cm="1">
        <f t="array" aca="1" ref="Q85" ca="1">_FV(StockReportTable[[#This Row],[Ticker]],"Volume average",TRUE)</f>
        <v>6427260</v>
      </c>
    </row>
    <row r="86" spans="1:17" s="1" customFormat="1" ht="15">
      <c r="A86" s="4" t="str" cm="1">
        <f t="array" aca="1" ref="A86" ca="1">_FV(StockReportTable[[#This Row],[Ticker]],"Official name",TRUE)</f>
        <v>Diasorin S.p.A.</v>
      </c>
      <c r="B86" s="4" t="e" vm="87">
        <v>#VALUE!</v>
      </c>
      <c r="C86" s="4" t="str" cm="1">
        <f t="array" aca="1" ref="C86" ca="1">_FV(StockReportTable[[#This Row],[Ticker]],"Exchange")</f>
        <v>Borsa Italiana</v>
      </c>
      <c r="D86" s="4" t="str" cm="1">
        <f t="array" aca="1" ref="D86" ca="1">_FV(StockReportTable[[#This Row],[Ticker]],"Currency")</f>
        <v>EUR</v>
      </c>
      <c r="E86" s="5">
        <f t="shared" ca="1" si="4"/>
        <v>46318</v>
      </c>
      <c r="F86" s="36" cm="1">
        <f t="array" aca="1" ref="F86" ca="1">_FV(StockReportTable[[#This Row],[Ticker]],"Price")</f>
        <v>79.72</v>
      </c>
      <c r="G86" s="6">
        <f ca="1">(StockReportTable[[#This Row],[Price @ Date]]-INDEX(_xlfn.STOCKHISTORY(B86,DATE(2025,12,31),E86),2,2))/(INDEX(_xlfn.STOCKHISTORY(B86,DATE(2025,12,31),E86),2,2))</f>
        <v>0.1654970760233917</v>
      </c>
      <c r="H86" s="6">
        <f ca="1">(StockReportTable[[#This Row],[Price @ Date]]-INDEX(_xlfn.STOCKHISTORY(B86,DATE(2025,12,31),E86),2,2))/(INDEX(_xlfn.STOCKHISTORY(B86,EDATE(StockReportTable[[#This Row],[Date]],-12),E86),2,2))</f>
        <v>0.14457215836526174</v>
      </c>
      <c r="I86" s="7">
        <f ca="1">(StockReportTable[[#This Row],[Price @ Date]]-INDEX(_xlfn.STOCKHISTORY(B86,DATE(2025,12,31),E86),2,2))/(INDEX(_xlfn.STOCKHISTORY(B86,EDATE(StockReportTable[[#This Row],[Date]],-36),E86),2,2))</f>
        <v>0.1352772466539196</v>
      </c>
      <c r="J86" s="8" cm="1">
        <f t="array" aca="1" ref="J86" ca="1">IFERROR(_FV(StockReportTable[[#This Row],[Ticker]],"P/E",TRUE),"N/A")</f>
        <v>29.569700000000001</v>
      </c>
      <c r="K86" s="11">
        <f ca="1">IF(ISNUMBER(StockReportTable[[#This Row],[P/E]]),IF(StockReportTable[[#This Row],[P/E]]&lt;35,1,2),3)</f>
        <v>1</v>
      </c>
      <c r="L86" s="4" t="str" cm="1">
        <f t="array" aca="1" ref="L86" ca="1">_FV(StockReportTable[[#This Row],[Ticker]],"Industry")</f>
        <v>Healthcare Equipment &amp; Supplies</v>
      </c>
      <c r="M86" s="16" cm="1">
        <f t="array" aca="1" ref="M86" ca="1">IFERROR(_FV(StockReportTable[[#This Row],[Ticker]],"52 week high",TRUE),"N/A")</f>
        <v>82.3</v>
      </c>
      <c r="N86" s="16" cm="1">
        <f t="array" aca="1" ref="N86" ca="1">IFERROR(_FV(StockReportTable[[#This Row],[Ticker]],"52 week low",TRUE),"N/A")</f>
        <v>52.34</v>
      </c>
      <c r="O86" s="21" cm="1">
        <f t="array" aca="1" ref="O86" ca="1">_FV(StockReportTable[[#This Row],[Ticker]],"Change (%)",TRUE)</f>
        <v>1.005E-3</v>
      </c>
      <c r="P86" s="26" cm="1">
        <f t="array" aca="1" ref="P86" ca="1">_FV(StockReportTable[[#This Row],[Ticker]],"Market cap",TRUE)</f>
        <v>4460195000</v>
      </c>
      <c r="Q86" s="27" cm="1">
        <f t="array" aca="1" ref="Q86" ca="1">_FV(StockReportTable[[#This Row],[Ticker]],"Volume average",TRUE)</f>
        <v>144530</v>
      </c>
    </row>
    <row r="87" spans="1:17" s="1" customFormat="1" ht="15">
      <c r="A87" s="4" t="str" cm="1">
        <f t="array" aca="1" ref="A87" ca="1">_FV(StockReportTable[[#This Row],[Ticker]],"Official name",TRUE)</f>
        <v>Essilorluxottica SA</v>
      </c>
      <c r="B87" s="4" t="e" vm="88">
        <v>#VALUE!</v>
      </c>
      <c r="C87" s="4" t="str" cm="1">
        <f t="array" aca="1" ref="C87" ca="1">_FV(StockReportTable[[#This Row],[Ticker]],"Exchange")</f>
        <v>Euronext Paris</v>
      </c>
      <c r="D87" s="4" t="str" cm="1">
        <f t="array" aca="1" ref="D87" ca="1">_FV(StockReportTable[[#This Row],[Ticker]],"Currency")</f>
        <v>EUR</v>
      </c>
      <c r="E87" s="5">
        <f t="shared" ca="1" si="4"/>
        <v>46318</v>
      </c>
      <c r="F87" s="36" cm="1">
        <f t="array" aca="1" ref="F87" ca="1">_FV(StockReportTable[[#This Row],[Ticker]],"Price")</f>
        <v>181.2</v>
      </c>
      <c r="G87" s="6">
        <f ca="1">(StockReportTable[[#This Row],[Price @ Date]]-INDEX(_xlfn.STOCKHISTORY(B87,DATE(2025,12,31),E87),2,2))/(INDEX(_xlfn.STOCKHISTORY(B87,DATE(2025,12,31),E87),2,2))</f>
        <v>-0.32864023712486107</v>
      </c>
      <c r="H87" s="6">
        <f ca="1">(StockReportTable[[#This Row],[Price @ Date]]-INDEX(_xlfn.STOCKHISTORY(B87,DATE(2025,12,31),E87),2,2))/(INDEX(_xlfn.STOCKHISTORY(B87,EDATE(StockReportTable[[#This Row],[Date]],-12),E87),2,2))</f>
        <v>-0.28420378083947445</v>
      </c>
      <c r="I87" s="7">
        <f ca="1">(StockReportTable[[#This Row],[Price @ Date]]-INDEX(_xlfn.STOCKHISTORY(B87,DATE(2025,12,31),E87),2,2))/(INDEX(_xlfn.STOCKHISTORY(B87,EDATE(StockReportTable[[#This Row],[Date]],-36),E87),2,2))</f>
        <v>-0.53595166163141983</v>
      </c>
      <c r="J87" s="8" cm="1">
        <f t="array" aca="1" ref="J87" ca="1">IFERROR(_FV(StockReportTable[[#This Row],[Ticker]],"P/E",TRUE),"N/A")</f>
        <v>32.7746</v>
      </c>
      <c r="K87" s="11">
        <f ca="1">IF(ISNUMBER(StockReportTable[[#This Row],[P/E]]),IF(StockReportTable[[#This Row],[P/E]]&lt;35,1,2),3)</f>
        <v>1</v>
      </c>
      <c r="L87" s="4" t="str" cm="1">
        <f t="array" aca="1" ref="L87" ca="1">_FV(StockReportTable[[#This Row],[Ticker]],"Industry")</f>
        <v>Healthcare Equipment &amp; Supplies</v>
      </c>
      <c r="M87" s="16" cm="1">
        <f t="array" aca="1" ref="M87" ca="1">IFERROR(_FV(StockReportTable[[#This Row],[Ticker]],"52 week high",TRUE),"N/A")</f>
        <v>323.8</v>
      </c>
      <c r="N87" s="16" cm="1">
        <f t="array" aca="1" ref="N87" ca="1">IFERROR(_FV(StockReportTable[[#This Row],[Ticker]],"52 week low",TRUE),"N/A")</f>
        <v>138.30000000000001</v>
      </c>
      <c r="O87" s="21" cm="1">
        <f t="array" aca="1" ref="O87" ca="1">_FV(StockReportTable[[#This Row],[Ticker]],"Change (%)",TRUE)</f>
        <v>2.2862E-2</v>
      </c>
      <c r="P87" s="26" cm="1">
        <f t="array" aca="1" ref="P87" ca="1">_FV(StockReportTable[[#This Row],[Ticker]],"Market cap",TRUE)</f>
        <v>84121660000</v>
      </c>
      <c r="Q87" s="27" cm="1">
        <f t="array" aca="1" ref="Q87" ca="1">_FV(StockReportTable[[#This Row],[Ticker]],"Volume average",TRUE)</f>
        <v>978650</v>
      </c>
    </row>
    <row r="88" spans="1:17" s="1" customFormat="1" ht="15">
      <c r="A88" s="4" t="str" cm="1">
        <f t="array" aca="1" ref="A88" ca="1">_FV(StockReportTable[[#This Row],[Ticker]],"Official name",TRUE)</f>
        <v>Sanofi SA</v>
      </c>
      <c r="B88" s="4" t="e" vm="89">
        <v>#VALUE!</v>
      </c>
      <c r="C88" s="4" t="str" cm="1">
        <f t="array" aca="1" ref="C88" ca="1">_FV(StockReportTable[[#This Row],[Ticker]],"Exchange")</f>
        <v>Euronext Paris</v>
      </c>
      <c r="D88" s="4" t="str" cm="1">
        <f t="array" aca="1" ref="D88" ca="1">_FV(StockReportTable[[#This Row],[Ticker]],"Currency")</f>
        <v>EUR</v>
      </c>
      <c r="E88" s="5">
        <f t="shared" ca="1" si="4"/>
        <v>46318</v>
      </c>
      <c r="F88" s="36" cm="1">
        <f t="array" aca="1" ref="F88" ca="1">_FV(StockReportTable[[#This Row],[Ticker]],"Price")</f>
        <v>74.12</v>
      </c>
      <c r="G88" s="6">
        <f ca="1">(StockReportTable[[#This Row],[Price @ Date]]-INDEX(_xlfn.STOCKHISTORY(B88,DATE(2025,12,31),E88),2,2))/(INDEX(_xlfn.STOCKHISTORY(B88,DATE(2025,12,31),E88),2,2))</f>
        <v>-0.10396518375241773</v>
      </c>
      <c r="H88" s="6">
        <f ca="1">(StockReportTable[[#This Row],[Price @ Date]]-INDEX(_xlfn.STOCKHISTORY(B88,DATE(2025,12,31),E88),2,2))/(INDEX(_xlfn.STOCKHISTORY(B88,EDATE(StockReportTable[[#This Row],[Date]],-12),E88),2,2))</f>
        <v>-9.9295693337951671E-2</v>
      </c>
      <c r="I88" s="7">
        <f ca="1">(StockReportTable[[#This Row],[Price @ Date]]-INDEX(_xlfn.STOCKHISTORY(B88,DATE(2025,12,31),E88),2,2))/(INDEX(_xlfn.STOCKHISTORY(B88,EDATE(StockReportTable[[#This Row],[Date]],-36),E88),2,2))</f>
        <v>-8.7478384701454526E-2</v>
      </c>
      <c r="J88" s="8" cm="1">
        <f t="array" aca="1" ref="J88" ca="1">IFERROR(_FV(StockReportTable[[#This Row],[Ticker]],"P/E",TRUE),"N/A")</f>
        <v>22.615500000000001</v>
      </c>
      <c r="K88" s="11">
        <f ca="1">IF(ISNUMBER(StockReportTable[[#This Row],[P/E]]),IF(StockReportTable[[#This Row],[P/E]]&lt;35,1,2),3)</f>
        <v>1</v>
      </c>
      <c r="L88" s="4" t="str" cm="1">
        <f t="array" aca="1" ref="L88" ca="1">_FV(StockReportTable[[#This Row],[Ticker]],"Industry")</f>
        <v>Pharmaceuticals</v>
      </c>
      <c r="M88" s="16" cm="1">
        <f t="array" aca="1" ref="M88" ca="1">IFERROR(_FV(StockReportTable[[#This Row],[Ticker]],"52 week high",TRUE),"N/A")</f>
        <v>91.15</v>
      </c>
      <c r="N88" s="16" cm="1">
        <f t="array" aca="1" ref="N88" ca="1">IFERROR(_FV(StockReportTable[[#This Row],[Ticker]],"52 week low",TRUE),"N/A")</f>
        <v>69.75</v>
      </c>
      <c r="O88" s="21" cm="1">
        <f t="array" aca="1" ref="O88" ca="1">_FV(StockReportTable[[#This Row],[Ticker]],"Change (%)",TRUE)</f>
        <v>-1.1073999999999999E-2</v>
      </c>
      <c r="P88" s="26" cm="1">
        <f t="array" aca="1" ref="P88" ca="1">_FV(StockReportTable[[#This Row],[Ticker]],"Market cap",TRUE)</f>
        <v>89520160000</v>
      </c>
      <c r="Q88" s="27" cm="1">
        <f t="array" aca="1" ref="Q88" ca="1">_FV(StockReportTable[[#This Row],[Ticker]],"Volume average",TRUE)</f>
        <v>2156640</v>
      </c>
    </row>
    <row r="89" spans="1:17" s="1" customFormat="1" ht="15">
      <c r="A89" s="4" t="str" cm="1">
        <f t="array" aca="1" ref="A89" ca="1">_FV(StockReportTable[[#This Row],[Ticker]],"Official name",TRUE)</f>
        <v>Compagnie de Saint Gobain SA</v>
      </c>
      <c r="B89" s="4" t="e" vm="90">
        <v>#VALUE!</v>
      </c>
      <c r="C89" s="4" t="str" cm="1">
        <f t="array" aca="1" ref="C89" ca="1">_FV(StockReportTable[[#This Row],[Ticker]],"Exchange")</f>
        <v>Euronext Paris</v>
      </c>
      <c r="D89" s="4" t="str" cm="1">
        <f t="array" aca="1" ref="D89" ca="1">_FV(StockReportTable[[#This Row],[Ticker]],"Currency")</f>
        <v>EUR</v>
      </c>
      <c r="E89" s="5">
        <f t="shared" ca="1" si="4"/>
        <v>46318</v>
      </c>
      <c r="F89" s="36" cm="1">
        <f t="array" aca="1" ref="F89" ca="1">_FV(StockReportTable[[#This Row],[Ticker]],"Price")</f>
        <v>66.92</v>
      </c>
      <c r="G89" s="6">
        <f ca="1">(StockReportTable[[#This Row],[Price @ Date]]-INDEX(_xlfn.STOCKHISTORY(B89,DATE(2025,12,31),E89),2,2))/(INDEX(_xlfn.STOCKHISTORY(B89,DATE(2025,12,31),E89),2,2))</f>
        <v>-0.23045078196872118</v>
      </c>
      <c r="H89" s="6">
        <f ca="1">(StockReportTable[[#This Row],[Price @ Date]]-INDEX(_xlfn.STOCKHISTORY(B89,DATE(2025,12,31),E89),2,2))/(INDEX(_xlfn.STOCKHISTORY(B89,EDATE(StockReportTable[[#This Row],[Date]],-12),E89),2,2))</f>
        <v>-0.22431161853593007</v>
      </c>
      <c r="I89" s="7">
        <f ca="1">(StockReportTable[[#This Row],[Price @ Date]]-INDEX(_xlfn.STOCKHISTORY(B89,DATE(2025,12,31),E89),2,2))/(INDEX(_xlfn.STOCKHISTORY(B89,EDATE(StockReportTable[[#This Row],[Date]],-36),E89),2,2))</f>
        <v>-0.39944189754833548</v>
      </c>
      <c r="J89" s="8" cm="1">
        <f t="array" aca="1" ref="J89" ca="1">IFERROR(_FV(StockReportTable[[#This Row],[Ticker]],"P/E",TRUE),"N/A")</f>
        <v>12.215299999999999</v>
      </c>
      <c r="K89" s="11">
        <f ca="1">IF(ISNUMBER(StockReportTable[[#This Row],[P/E]]),IF(StockReportTable[[#This Row],[P/E]]&lt;35,1,2),3)</f>
        <v>1</v>
      </c>
      <c r="L89" s="4" t="str" cm="1">
        <f t="array" aca="1" ref="L89" ca="1">_FV(StockReportTable[[#This Row],[Ticker]],"Industry")</f>
        <v>Homebuilding &amp; Construction Supplies</v>
      </c>
      <c r="M89" s="16" cm="1">
        <f t="array" aca="1" ref="M89" ca="1">IFERROR(_FV(StockReportTable[[#This Row],[Ticker]],"52 week high",TRUE),"N/A")</f>
        <v>91.3</v>
      </c>
      <c r="N89" s="16" cm="1">
        <f t="array" aca="1" ref="N89" ca="1">IFERROR(_FV(StockReportTable[[#This Row],[Ticker]],"52 week low",TRUE),"N/A")</f>
        <v>63.52</v>
      </c>
      <c r="O89" s="21" cm="1">
        <f t="array" aca="1" ref="O89" ca="1">_FV(StockReportTable[[#This Row],[Ticker]],"Change (%)",TRUE)</f>
        <v>7.8309999999999994E-3</v>
      </c>
      <c r="P89" s="26" cm="1">
        <f t="array" aca="1" ref="P89" ca="1">_FV(StockReportTable[[#This Row],[Ticker]],"Market cap",TRUE)</f>
        <v>33114290000</v>
      </c>
      <c r="Q89" s="27" cm="1">
        <f t="array" aca="1" ref="Q89" ca="1">_FV(StockReportTable[[#This Row],[Ticker]],"Volume average",TRUE)</f>
        <v>972720</v>
      </c>
    </row>
    <row r="90" spans="1:17" s="1" customFormat="1" ht="15">
      <c r="A90" s="4" t="str" cm="1">
        <f t="array" aca="1" ref="A90" ca="1">_FV(StockReportTable[[#This Row],[Ticker]],"Official name",TRUE)</f>
        <v>Danieli &amp; C Officine Meccaniche SpA</v>
      </c>
      <c r="B90" s="4" t="e" vm="91">
        <v>#VALUE!</v>
      </c>
      <c r="C90" s="4" t="str" cm="1">
        <f t="array" aca="1" ref="C90" ca="1">_FV(StockReportTable[[#This Row],[Ticker]],"Exchange")</f>
        <v>Borsa Italiana</v>
      </c>
      <c r="D90" s="4" t="str" cm="1">
        <f t="array" aca="1" ref="D90" ca="1">_FV(StockReportTable[[#This Row],[Ticker]],"Currency")</f>
        <v>EUR</v>
      </c>
      <c r="E90" s="5">
        <f t="shared" ca="1" si="4"/>
        <v>46318</v>
      </c>
      <c r="F90" s="36" cm="1">
        <f t="array" aca="1" ref="F90" ca="1">_FV(StockReportTable[[#This Row],[Ticker]],"Price")</f>
        <v>33.82</v>
      </c>
      <c r="G90" s="6">
        <f ca="1">(StockReportTable[[#This Row],[Price @ Date]]-INDEX(_xlfn.STOCKHISTORY(B90,DATE(2025,12,31),E90),2,2))/(INDEX(_xlfn.STOCKHISTORY(B90,DATE(2025,12,31),E90),2,2))</f>
        <v>-8.0978260869565138E-2</v>
      </c>
      <c r="H90" s="6">
        <f ca="1">(StockReportTable[[#This Row],[Price @ Date]]-INDEX(_xlfn.STOCKHISTORY(B90,DATE(2025,12,31),E90),2,2))/(INDEX(_xlfn.STOCKHISTORY(B90,EDATE(StockReportTable[[#This Row],[Date]],-12),E90),2,2))</f>
        <v>-8.8743299583085078E-2</v>
      </c>
      <c r="I90" s="7">
        <f ca="1">(StockReportTable[[#This Row],[Price @ Date]]-INDEX(_xlfn.STOCKHISTORY(B90,DATE(2025,12,31),E90),2,2))/(INDEX(_xlfn.STOCKHISTORY(B90,EDATE(StockReportTable[[#This Row],[Date]],-36),E90),2,2))</f>
        <v>-0.15456431535269693</v>
      </c>
      <c r="J90" s="8" cm="1">
        <f t="array" aca="1" ref="J90" ca="1">IFERROR(_FV(StockReportTable[[#This Row],[Ticker]],"P/E",TRUE),"N/A")</f>
        <v>10.6259</v>
      </c>
      <c r="K90" s="11">
        <f ca="1">IF(ISNUMBER(StockReportTable[[#This Row],[P/E]]),IF(StockReportTable[[#This Row],[P/E]]&lt;35,1,2),3)</f>
        <v>1</v>
      </c>
      <c r="L90" s="4" t="str" cm="1">
        <f t="array" aca="1" ref="L90" ca="1">_FV(StockReportTable[[#This Row],[Ticker]],"Industry")</f>
        <v>Machinery, Equipment &amp; Components</v>
      </c>
      <c r="M90" s="16" cm="1">
        <f t="array" aca="1" ref="M90" ca="1">IFERROR(_FV(StockReportTable[[#This Row],[Ticker]],"52 week high",TRUE),"N/A")</f>
        <v>52.45</v>
      </c>
      <c r="N90" s="16" cm="1">
        <f t="array" aca="1" ref="N90" ca="1">IFERROR(_FV(StockReportTable[[#This Row],[Ticker]],"52 week low",TRUE),"N/A")</f>
        <v>31.02</v>
      </c>
      <c r="O90" s="21" cm="1">
        <f t="array" aca="1" ref="O90" ca="1">_FV(StockReportTable[[#This Row],[Ticker]],"Change (%)",TRUE)</f>
        <v>-2.3599999999999997E-3</v>
      </c>
      <c r="P90" s="26" cm="1">
        <f t="array" aca="1" ref="P90" ca="1">_FV(StockReportTable[[#This Row],[Ticker]],"Market cap",TRUE)</f>
        <v>3376813000</v>
      </c>
      <c r="Q90" s="27" cm="1">
        <f t="array" aca="1" ref="Q90" ca="1">_FV(StockReportTable[[#This Row],[Ticker]],"Volume average",TRUE)</f>
        <v>103810</v>
      </c>
    </row>
    <row r="91" spans="1:17" s="1" customFormat="1" ht="15">
      <c r="A91" s="4" t="str" cm="1">
        <f t="array" aca="1" ref="A91" ca="1">_FV(StockReportTable[[#This Row],[Ticker]],"Official name",TRUE)</f>
        <v>DHL AG</v>
      </c>
      <c r="B91" s="4" t="e" vm="92">
        <v>#VALUE!</v>
      </c>
      <c r="C91" s="4" t="str" cm="1">
        <f t="array" aca="1" ref="C91" ca="1">_FV(StockReportTable[[#This Row],[Ticker]],"Exchange")</f>
        <v>Xetra</v>
      </c>
      <c r="D91" s="4" t="str" cm="1">
        <f t="array" aca="1" ref="D91" ca="1">_FV(StockReportTable[[#This Row],[Ticker]],"Currency")</f>
        <v>EUR</v>
      </c>
      <c r="E91" s="5">
        <f t="shared" ca="1" si="4"/>
        <v>46318</v>
      </c>
      <c r="F91" s="36" cm="1">
        <f t="array" aca="1" ref="F91" ca="1">_FV(StockReportTable[[#This Row],[Ticker]],"Price")</f>
        <v>57.28</v>
      </c>
      <c r="G91" s="6">
        <f ca="1">(StockReportTable[[#This Row],[Price @ Date]]-INDEX(_xlfn.STOCKHISTORY(B91,DATE(2025,12,31),E91),2,2))/(INDEX(_xlfn.STOCKHISTORY(B91,DATE(2025,12,31),E91),2,2))</f>
        <v>0.22106160733319133</v>
      </c>
      <c r="H91" s="6">
        <f ca="1">(StockReportTable[[#This Row],[Price @ Date]]-INDEX(_xlfn.STOCKHISTORY(B91,DATE(2025,12,31),E91),2,2))/(INDEX(_xlfn.STOCKHISTORY(B91,EDATE(StockReportTable[[#This Row],[Date]],-12),E91),2,2))</f>
        <v>0.26481103166496439</v>
      </c>
      <c r="I91" s="7">
        <f ca="1">(StockReportTable[[#This Row],[Price @ Date]]-INDEX(_xlfn.STOCKHISTORY(B91,DATE(2025,12,31),E91),2,2))/(INDEX(_xlfn.STOCKHISTORY(B91,EDATE(StockReportTable[[#This Row],[Date]],-36),E91),2,2))</f>
        <v>0.27455652634365907</v>
      </c>
      <c r="J91" s="8" cm="1">
        <f t="array" aca="1" ref="J91" ca="1">IFERROR(_FV(StockReportTable[[#This Row],[Ticker]],"P/E",TRUE),"N/A")</f>
        <v>17.1614</v>
      </c>
      <c r="K91" s="11">
        <f ca="1">IF(ISNUMBER(StockReportTable[[#This Row],[P/E]]),IF(StockReportTable[[#This Row],[P/E]]&lt;35,1,2),3)</f>
        <v>1</v>
      </c>
      <c r="L91" s="4" t="str" cm="1">
        <f t="array" aca="1" ref="L91" ca="1">_FV(StockReportTable[[#This Row],[Ticker]],"Industry")</f>
        <v>Freight &amp; Logistics Services</v>
      </c>
      <c r="M91" s="16" cm="1">
        <f t="array" aca="1" ref="M91" ca="1">IFERROR(_FV(StockReportTable[[#This Row],[Ticker]],"52 week high",TRUE),"N/A")</f>
        <v>58.9</v>
      </c>
      <c r="N91" s="16" cm="1">
        <f t="array" aca="1" ref="N91" ca="1">IFERROR(_FV(StockReportTable[[#This Row],[Ticker]],"52 week low",TRUE),"N/A")</f>
        <v>38.76</v>
      </c>
      <c r="O91" s="21" cm="1">
        <f t="array" aca="1" ref="O91" ca="1">_FV(StockReportTable[[#This Row],[Ticker]],"Change (%)",TRUE)</f>
        <v>2.8010000000000001E-3</v>
      </c>
      <c r="P91" s="26" cm="1">
        <f t="array" aca="1" ref="P91" ca="1">_FV(StockReportTable[[#This Row],[Ticker]],"Market cap",TRUE)</f>
        <v>65942910000</v>
      </c>
      <c r="Q91" s="27" cm="1">
        <f t="array" aca="1" ref="Q91" ca="1">_FV(StockReportTable[[#This Row],[Ticker]],"Volume average",TRUE)</f>
        <v>1472430</v>
      </c>
    </row>
    <row r="92" spans="1:17" s="1" customFormat="1" ht="15">
      <c r="A92" s="4" t="str" cm="1">
        <f t="array" aca="1" ref="A92" ca="1">_FV(StockReportTable[[#This Row],[Ticker]],"Official name",TRUE)</f>
        <v>Prysmian S.p.A.</v>
      </c>
      <c r="B92" s="4" t="e" vm="93">
        <v>#VALUE!</v>
      </c>
      <c r="C92" s="4" t="str" cm="1">
        <f t="array" aca="1" ref="C92" ca="1">_FV(StockReportTable[[#This Row],[Ticker]],"Exchange")</f>
        <v>Borsa Italiana</v>
      </c>
      <c r="D92" s="4" t="str" cm="1">
        <f t="array" aca="1" ref="D92" ca="1">_FV(StockReportTable[[#This Row],[Ticker]],"Currency")</f>
        <v>EUR</v>
      </c>
      <c r="E92" s="5">
        <f t="shared" ca="1" si="4"/>
        <v>46318</v>
      </c>
      <c r="F92" s="36" cm="1">
        <f t="array" aca="1" ref="F92" ca="1">_FV(StockReportTable[[#This Row],[Ticker]],"Price")</f>
        <v>99.08</v>
      </c>
      <c r="G92" s="6">
        <f ca="1">(StockReportTable[[#This Row],[Price @ Date]]-INDEX(_xlfn.STOCKHISTORY(B92,DATE(2025,12,31),E92),2,2))/(INDEX(_xlfn.STOCKHISTORY(B92,DATE(2025,12,31),E92),2,2))</f>
        <v>0.10235870048954165</v>
      </c>
      <c r="H92" s="6">
        <f ca="1">(StockReportTable[[#This Row],[Price @ Date]]-INDEX(_xlfn.STOCKHISTORY(B92,DATE(2025,12,31),E92),2,2))/(INDEX(_xlfn.STOCKHISTORY(B92,EDATE(StockReportTable[[#This Row],[Date]],-12),E92),2,2))</f>
        <v>0.10381403746332658</v>
      </c>
      <c r="I92" s="7">
        <f ca="1">(StockReportTable[[#This Row],[Price @ Date]]-INDEX(_xlfn.STOCKHISTORY(B92,DATE(2025,12,31),E92),2,2))/(INDEX(_xlfn.STOCKHISTORY(B92,EDATE(StockReportTable[[#This Row],[Date]],-36),E92),2,2))</f>
        <v>0.26429187015225514</v>
      </c>
      <c r="J92" s="8" cm="1">
        <f t="array" aca="1" ref="J92" ca="1">IFERROR(_FV(StockReportTable[[#This Row],[Ticker]],"P/E",TRUE),"N/A")</f>
        <v>20.272099999999998</v>
      </c>
      <c r="K92" s="11">
        <f ca="1">IF(ISNUMBER(StockReportTable[[#This Row],[P/E]]),IF(StockReportTable[[#This Row],[P/E]]&lt;35,1,2),3)</f>
        <v>1</v>
      </c>
      <c r="L92" s="4" t="str" cm="1">
        <f t="array" aca="1" ref="L92" ca="1">_FV(StockReportTable[[#This Row],[Ticker]],"Industry")</f>
        <v>Machinery, Equipment &amp; Components</v>
      </c>
      <c r="M92" s="16" cm="1">
        <f t="array" aca="1" ref="M92" ca="1">IFERROR(_FV(StockReportTable[[#This Row],[Ticker]],"52 week high",TRUE),"N/A")</f>
        <v>157.25</v>
      </c>
      <c r="N92" s="16" cm="1">
        <f t="array" aca="1" ref="N92" ca="1">IFERROR(_FV(StockReportTable[[#This Row],[Ticker]],"52 week low",TRUE),"N/A")</f>
        <v>79.16</v>
      </c>
      <c r="O92" s="21" cm="1">
        <f t="array" aca="1" ref="O92" ca="1">_FV(StockReportTable[[#This Row],[Ticker]],"Change (%)",TRUE)</f>
        <v>-1.0189999999999999E-2</v>
      </c>
      <c r="P92" s="26" cm="1">
        <f t="array" aca="1" ref="P92" ca="1">_FV(StockReportTable[[#This Row],[Ticker]],"Market cap",TRUE)</f>
        <v>30602010000</v>
      </c>
      <c r="Q92" s="27" cm="1">
        <f t="array" aca="1" ref="Q92" ca="1">_FV(StockReportTable[[#This Row],[Ticker]],"Volume average",TRUE)</f>
        <v>1453320</v>
      </c>
    </row>
    <row r="93" spans="1:17" s="1" customFormat="1" ht="15">
      <c r="A93" s="4" t="str" cm="1">
        <f t="array" aca="1" ref="A93" ca="1">_FV(StockReportTable[[#This Row],[Ticker]],"Official name",TRUE)</f>
        <v>Schneider Electric SE</v>
      </c>
      <c r="B93" s="4" t="e" vm="94">
        <v>#VALUE!</v>
      </c>
      <c r="C93" s="4" t="str" cm="1">
        <f t="array" aca="1" ref="C93" ca="1">_FV(StockReportTable[[#This Row],[Ticker]],"Exchange")</f>
        <v>Euronext Paris</v>
      </c>
      <c r="D93" s="4" t="str" cm="1">
        <f t="array" aca="1" ref="D93" ca="1">_FV(StockReportTable[[#This Row],[Ticker]],"Currency")</f>
        <v>EUR</v>
      </c>
      <c r="E93" s="5">
        <f t="shared" ca="1" si="4"/>
        <v>46318</v>
      </c>
      <c r="F93" s="36" cm="1">
        <f t="array" aca="1" ref="F93" ca="1">_FV(StockReportTable[[#This Row],[Ticker]],"Price")</f>
        <v>231.4</v>
      </c>
      <c r="G93" s="6">
        <f ca="1">(StockReportTable[[#This Row],[Price @ Date]]-INDEX(_xlfn.STOCKHISTORY(B93,DATE(2025,12,31),E93),2,2))/(INDEX(_xlfn.STOCKHISTORY(B93,DATE(2025,12,31),E93),2,2))</f>
        <v>-1.489995742869306E-2</v>
      </c>
      <c r="H93" s="6">
        <f ca="1">(StockReportTable[[#This Row],[Price @ Date]]-INDEX(_xlfn.STOCKHISTORY(B93,DATE(2025,12,31),E93),2,2))/(INDEX(_xlfn.STOCKHISTORY(B93,EDATE(StockReportTable[[#This Row],[Date]],-12),E93),2,2))</f>
        <v>-1.4050582095543959E-2</v>
      </c>
      <c r="I93" s="7">
        <f ca="1">(StockReportTable[[#This Row],[Price @ Date]]-INDEX(_xlfn.STOCKHISTORY(B93,DATE(2025,12,31),E93),2,2))/(INDEX(_xlfn.STOCKHISTORY(B93,EDATE(StockReportTable[[#This Row],[Date]],-36),E93),2,2))</f>
        <v>-2.4815637538544003E-2</v>
      </c>
      <c r="J93" s="8" cm="1">
        <f t="array" aca="1" ref="J93" ca="1">IFERROR(_FV(StockReportTable[[#This Row],[Ticker]],"P/E",TRUE),"N/A")</f>
        <v>27.502400000000002</v>
      </c>
      <c r="K93" s="11">
        <f ca="1">IF(ISNUMBER(StockReportTable[[#This Row],[P/E]]),IF(StockReportTable[[#This Row],[P/E]]&lt;35,1,2),3)</f>
        <v>1</v>
      </c>
      <c r="L93" s="4" t="str" cm="1">
        <f t="array" aca="1" ref="L93" ca="1">_FV(StockReportTable[[#This Row],[Ticker]],"Industry")</f>
        <v>Machinery, Equipment &amp; Components</v>
      </c>
      <c r="M93" s="16" cm="1">
        <f t="array" aca="1" ref="M93" ca="1">IFERROR(_FV(StockReportTable[[#This Row],[Ticker]],"52 week high",TRUE),"N/A")</f>
        <v>312.3</v>
      </c>
      <c r="N93" s="16" cm="1">
        <f t="array" aca="1" ref="N93" ca="1">IFERROR(_FV(StockReportTable[[#This Row],[Ticker]],"52 week low",TRUE),"N/A")</f>
        <v>220.4</v>
      </c>
      <c r="O93" s="21" cm="1">
        <f t="array" aca="1" ref="O93" ca="1">_FV(StockReportTable[[#This Row],[Ticker]],"Change (%)",TRUE)</f>
        <v>-1.8452E-2</v>
      </c>
      <c r="P93" s="26" cm="1">
        <f t="array" aca="1" ref="P93" ca="1">_FV(StockReportTable[[#This Row],[Ticker]],"Market cap",TRUE)</f>
        <v>139674300000</v>
      </c>
      <c r="Q93" s="27" cm="1">
        <f t="array" aca="1" ref="Q93" ca="1">_FV(StockReportTable[[#This Row],[Ticker]],"Volume average",TRUE)</f>
        <v>1490400</v>
      </c>
    </row>
    <row r="94" spans="1:17" s="1" customFormat="1" ht="15">
      <c r="A94" s="4" t="str" cm="1">
        <f t="array" aca="1" ref="A94" ca="1">_FV(StockReportTable[[#This Row],[Ticker]],"Official name",TRUE)</f>
        <v>Vinci SA</v>
      </c>
      <c r="B94" s="4" t="e" vm="95">
        <v>#VALUE!</v>
      </c>
      <c r="C94" s="4" t="str" cm="1">
        <f t="array" aca="1" ref="C94" ca="1">_FV(StockReportTable[[#This Row],[Ticker]],"Exchange")</f>
        <v>Euronext Paris</v>
      </c>
      <c r="D94" s="4" t="str" cm="1">
        <f t="array" aca="1" ref="D94" ca="1">_FV(StockReportTable[[#This Row],[Ticker]],"Currency")</f>
        <v>EUR</v>
      </c>
      <c r="E94" s="5">
        <f t="shared" ca="1" si="4"/>
        <v>46318</v>
      </c>
      <c r="F94" s="36" cm="1">
        <f t="array" aca="1" ref="F94" ca="1">_FV(StockReportTable[[#This Row],[Ticker]],"Price")</f>
        <v>106.45</v>
      </c>
      <c r="G94" s="6">
        <f ca="1">(StockReportTable[[#This Row],[Price @ Date]]-INDEX(_xlfn.STOCKHISTORY(B94,DATE(2025,12,31),E94),2,2))/(INDEX(_xlfn.STOCKHISTORY(B94,DATE(2025,12,31),E94),2,2))</f>
        <v>-0.1132861307788421</v>
      </c>
      <c r="H94" s="6">
        <f ca="1">(StockReportTable[[#This Row],[Price @ Date]]-INDEX(_xlfn.STOCKHISTORY(B94,DATE(2025,12,31),E94),2,2))/(INDEX(_xlfn.STOCKHISTORY(B94,EDATE(StockReportTable[[#This Row],[Date]],-12),E94),2,2))</f>
        <v>-0.11070411070411067</v>
      </c>
      <c r="I94" s="7">
        <f ca="1">(StockReportTable[[#This Row],[Price @ Date]]-INDEX(_xlfn.STOCKHISTORY(B94,DATE(2025,12,31),E94),2,2))/(INDEX(_xlfn.STOCKHISTORY(B94,EDATE(StockReportTable[[#This Row],[Date]],-36),E94),2,2))</f>
        <v>-0.13613613613613607</v>
      </c>
      <c r="J94" s="8" cm="1">
        <f t="array" aca="1" ref="J94" ca="1">IFERROR(_FV(StockReportTable[[#This Row],[Ticker]],"P/E",TRUE),"N/A")</f>
        <v>11.6654</v>
      </c>
      <c r="K94" s="11">
        <f ca="1">IF(ISNUMBER(StockReportTable[[#This Row],[P/E]]),IF(StockReportTable[[#This Row],[P/E]]&lt;35,1,2),3)</f>
        <v>1</v>
      </c>
      <c r="L94" s="4" t="str" cm="1">
        <f t="array" aca="1" ref="L94" ca="1">_FV(StockReportTable[[#This Row],[Ticker]],"Industry")</f>
        <v>Construction &amp; Engineering</v>
      </c>
      <c r="M94" s="16" cm="1">
        <f t="array" aca="1" ref="M94" ca="1">IFERROR(_FV(StockReportTable[[#This Row],[Ticker]],"52 week high",TRUE),"N/A")</f>
        <v>143.15</v>
      </c>
      <c r="N94" s="16" cm="1">
        <f t="array" aca="1" ref="N94" ca="1">IFERROR(_FV(StockReportTable[[#This Row],[Ticker]],"52 week low",TRUE),"N/A")</f>
        <v>104.25</v>
      </c>
      <c r="O94" s="21" cm="1">
        <f t="array" aca="1" ref="O94" ca="1">_FV(StockReportTable[[#This Row],[Ticker]],"Change (%)",TRUE)</f>
        <v>4.7190000000000001E-3</v>
      </c>
      <c r="P94" s="26" cm="1">
        <f t="array" aca="1" ref="P94" ca="1">_FV(StockReportTable[[#This Row],[Ticker]],"Market cap",TRUE)</f>
        <v>61934400000</v>
      </c>
      <c r="Q94" s="27" cm="1">
        <f t="array" aca="1" ref="Q94" ca="1">_FV(StockReportTable[[#This Row],[Ticker]],"Volume average",TRUE)</f>
        <v>843160</v>
      </c>
    </row>
    <row r="95" spans="1:17" s="1" customFormat="1" ht="15">
      <c r="A95" s="4" t="str" cm="1">
        <f t="array" aca="1" ref="A95" ca="1">_FV(StockReportTable[[#This Row],[Ticker]],"Official name",TRUE)</f>
        <v>ASML Holding N.V.</v>
      </c>
      <c r="B95" s="4" t="e" vm="96">
        <v>#VALUE!</v>
      </c>
      <c r="C95" s="4" t="str" cm="1">
        <f t="array" aca="1" ref="C95" ca="1">_FV(StockReportTable[[#This Row],[Ticker]],"Exchange")</f>
        <v>Euronext Amsterdam</v>
      </c>
      <c r="D95" s="4" t="str" cm="1">
        <f t="array" aca="1" ref="D95" ca="1">_FV(StockReportTable[[#This Row],[Ticker]],"Currency")</f>
        <v>EUR</v>
      </c>
      <c r="E95" s="5">
        <f t="shared" ca="1" si="4"/>
        <v>46318</v>
      </c>
      <c r="F95" s="36" cm="1">
        <f t="array" aca="1" ref="F95" ca="1">_FV(StockReportTable[[#This Row],[Ticker]],"Price")</f>
        <v>1407.2</v>
      </c>
      <c r="G95" s="6">
        <f ca="1">(StockReportTable[[#This Row],[Price @ Date]]-INDEX(_xlfn.STOCKHISTORY(B95,DATE(2025,12,31),E95),2,2))/(INDEX(_xlfn.STOCKHISTORY(B95,DATE(2025,12,31),E95),2,2))</f>
        <v>0.52724115476448896</v>
      </c>
      <c r="H95" s="6">
        <f ca="1">(StockReportTable[[#This Row],[Price @ Date]]-INDEX(_xlfn.STOCKHISTORY(B95,DATE(2025,12,31),E95),2,2))/(INDEX(_xlfn.STOCKHISTORY(B95,EDATE(StockReportTable[[#This Row],[Date]],-12),E95),2,2))</f>
        <v>0.54725695617888936</v>
      </c>
      <c r="I95" s="7">
        <f ca="1">(StockReportTable[[#This Row],[Price @ Date]]-INDEX(_xlfn.STOCKHISTORY(B95,DATE(2025,12,31),E95),2,2))/(INDEX(_xlfn.STOCKHISTORY(B95,EDATE(StockReportTable[[#This Row],[Date]],-36),E95),2,2))</f>
        <v>0.87911690191820491</v>
      </c>
      <c r="J95" s="8" cm="1">
        <f t="array" aca="1" ref="J95" ca="1">IFERROR(_FV(StockReportTable[[#This Row],[Ticker]],"P/E",TRUE),"N/A")</f>
        <v>52.125100000000003</v>
      </c>
      <c r="K95" s="11">
        <f ca="1">IF(ISNUMBER(StockReportTable[[#This Row],[P/E]]),IF(StockReportTable[[#This Row],[P/E]]&lt;35,1,2),3)</f>
        <v>2</v>
      </c>
      <c r="L95" s="4" t="str" cm="1">
        <f t="array" aca="1" ref="L95" ca="1">_FV(StockReportTable[[#This Row],[Ticker]],"Industry")</f>
        <v>Semiconductors &amp; Semiconductor Equipment</v>
      </c>
      <c r="M95" s="16" cm="1">
        <f t="array" aca="1" ref="M95" ca="1">IFERROR(_FV(StockReportTable[[#This Row],[Ticker]],"52 week high",TRUE),"N/A")</f>
        <v>1741</v>
      </c>
      <c r="N95" s="16" cm="1">
        <f t="array" aca="1" ref="N95" ca="1">IFERROR(_FV(StockReportTable[[#This Row],[Ticker]],"52 week low",TRUE),"N/A")</f>
        <v>822.2</v>
      </c>
      <c r="O95" s="21" cm="1">
        <f t="array" aca="1" ref="O95" ca="1">_FV(StockReportTable[[#This Row],[Ticker]],"Change (%)",TRUE)</f>
        <v>-8.7349999999999997E-3</v>
      </c>
      <c r="P95" s="26" cm="1">
        <f t="array" aca="1" ref="P95" ca="1">_FV(StockReportTable[[#This Row],[Ticker]],"Market cap",TRUE)</f>
        <v>546201500000</v>
      </c>
      <c r="Q95" s="27" cm="1">
        <f t="array" aca="1" ref="Q95" ca="1">_FV(StockReportTable[[#This Row],[Ticker]],"Volume average",TRUE)</f>
        <v>598070</v>
      </c>
    </row>
    <row r="96" spans="1:17" s="1" customFormat="1" ht="15">
      <c r="A96" s="4" t="str" cm="1">
        <f t="array" aca="1" ref="A96" ca="1">_FV(StockReportTable[[#This Row],[Ticker]],"Official name",TRUE)</f>
        <v>Capgemini SE</v>
      </c>
      <c r="B96" s="4" t="e" vm="97">
        <v>#VALUE!</v>
      </c>
      <c r="C96" s="4" t="str" cm="1">
        <f t="array" aca="1" ref="C96" ca="1">_FV(StockReportTable[[#This Row],[Ticker]],"Exchange")</f>
        <v>Euronext Paris</v>
      </c>
      <c r="D96" s="4" t="str" cm="1">
        <f t="array" aca="1" ref="D96" ca="1">_FV(StockReportTable[[#This Row],[Ticker]],"Currency")</f>
        <v>EUR</v>
      </c>
      <c r="E96" s="5">
        <f t="shared" ca="1" si="4"/>
        <v>46318</v>
      </c>
      <c r="F96" s="36" cm="1">
        <f t="array" aca="1" ref="F96" ca="1">_FV(StockReportTable[[#This Row],[Ticker]],"Price")</f>
        <v>123.95</v>
      </c>
      <c r="G96" s="6">
        <f ca="1">(StockReportTable[[#This Row],[Price @ Date]]-INDEX(_xlfn.STOCKHISTORY(B96,DATE(2025,12,31),E96),2,2))/(INDEX(_xlfn.STOCKHISTORY(B96,DATE(2025,12,31),E96),2,2))</f>
        <v>-0.12864674868189804</v>
      </c>
      <c r="H96" s="6">
        <f ca="1">(StockReportTable[[#This Row],[Price @ Date]]-INDEX(_xlfn.STOCKHISTORY(B96,DATE(2025,12,31),E96),2,2))/(INDEX(_xlfn.STOCKHISTORY(B96,EDATE(StockReportTable[[#This Row],[Date]],-12),E96),2,2))</f>
        <v>-0.14466403162055333</v>
      </c>
      <c r="I96" s="7">
        <f ca="1">(StockReportTable[[#This Row],[Price @ Date]]-INDEX(_xlfn.STOCKHISTORY(B96,DATE(2025,12,31),E96),2,2))/(INDEX(_xlfn.STOCKHISTORY(B96,EDATE(StockReportTable[[#This Row],[Date]],-36),E96),2,2))</f>
        <v>-0.11151736745886653</v>
      </c>
      <c r="J96" s="8" cm="1">
        <f t="array" aca="1" ref="J96" ca="1">IFERROR(_FV(StockReportTable[[#This Row],[Ticker]],"P/E",TRUE),"N/A")</f>
        <v>15.547599999999999</v>
      </c>
      <c r="K96" s="11">
        <f ca="1">IF(ISNUMBER(StockReportTable[[#This Row],[P/E]]),IF(StockReportTable[[#This Row],[P/E]]&lt;35,1,2),3)</f>
        <v>1</v>
      </c>
      <c r="L96" s="4" t="str" cm="1">
        <f t="array" aca="1" ref="L96" ca="1">_FV(StockReportTable[[#This Row],[Ticker]],"Industry")</f>
        <v>Software &amp; IT Services</v>
      </c>
      <c r="M96" s="16" cm="1">
        <f t="array" aca="1" ref="M96" ca="1">IFERROR(_FV(StockReportTable[[#This Row],[Ticker]],"52 week high",TRUE),"N/A")</f>
        <v>153.05000000000001</v>
      </c>
      <c r="N96" s="16" cm="1">
        <f t="array" aca="1" ref="N96" ca="1">IFERROR(_FV(StockReportTable[[#This Row],[Ticker]],"52 week low",TRUE),"N/A")</f>
        <v>85.62</v>
      </c>
      <c r="O96" s="21" cm="1">
        <f t="array" aca="1" ref="O96" ca="1">_FV(StockReportTable[[#This Row],[Ticker]],"Change (%)",TRUE)</f>
        <v>-2.2475999999999999E-2</v>
      </c>
      <c r="P96" s="26" cm="1">
        <f t="array" aca="1" ref="P96" ca="1">_FV(StockReportTable[[#This Row],[Ticker]],"Market cap",TRUE)</f>
        <v>21062660000</v>
      </c>
      <c r="Q96" s="27" cm="1">
        <f t="array" aca="1" ref="Q96" ca="1">_FV(StockReportTable[[#This Row],[Ticker]],"Volume average",TRUE)</f>
        <v>710370</v>
      </c>
    </row>
    <row r="97" spans="1:17" s="1" customFormat="1" ht="15">
      <c r="A97" s="4" t="str" cm="1">
        <f t="array" aca="1" ref="A97" ca="1">_FV(StockReportTable[[#This Row],[Ticker]],"Official name",TRUE)</f>
        <v>Infineon Technologies AG</v>
      </c>
      <c r="B97" s="4" t="e" vm="98">
        <v>#VALUE!</v>
      </c>
      <c r="C97" s="4" t="str" cm="1">
        <f t="array" aca="1" ref="C97" ca="1">_FV(StockReportTable[[#This Row],[Ticker]],"Exchange")</f>
        <v>Xetra</v>
      </c>
      <c r="D97" s="4" t="str" cm="1">
        <f t="array" aca="1" ref="D97" ca="1">_FV(StockReportTable[[#This Row],[Ticker]],"Currency")</f>
        <v>EUR</v>
      </c>
      <c r="E97" s="5">
        <f t="shared" ca="1" si="4"/>
        <v>46318</v>
      </c>
      <c r="F97" s="36" cm="1">
        <f t="array" aca="1" ref="F97" ca="1">_FV(StockReportTable[[#This Row],[Ticker]],"Price")</f>
        <v>48.67</v>
      </c>
      <c r="G97" s="6">
        <f ca="1">(StockReportTable[[#This Row],[Price @ Date]]-INDEX(_xlfn.STOCKHISTORY(B97,DATE(2025,12,31),E97),2,2))/(INDEX(_xlfn.STOCKHISTORY(B97,DATE(2025,12,31),E97),2,2))</f>
        <v>0.2719195086894029</v>
      </c>
      <c r="H97" s="6">
        <f ca="1">(StockReportTable[[#This Row],[Price @ Date]]-INDEX(_xlfn.STOCKHISTORY(B97,DATE(2025,12,31),E97),2,2))/(INDEX(_xlfn.STOCKHISTORY(B97,EDATE(StockReportTable[[#This Row],[Date]],-12),E97),2,2))</f>
        <v>0.31134051466187912</v>
      </c>
      <c r="I97" s="7">
        <f ca="1">(StockReportTable[[#This Row],[Price @ Date]]-INDEX(_xlfn.STOCKHISTORY(B97,DATE(2025,12,31),E97),2,2))/(INDEX(_xlfn.STOCKHISTORY(B97,EDATE(StockReportTable[[#This Row],[Date]],-36),E97),2,2))</f>
        <v>0.35780605226960116</v>
      </c>
      <c r="J97" s="8" cm="1">
        <f t="array" aca="1" ref="J97" ca="1">IFERROR(_FV(StockReportTable[[#This Row],[Ticker]],"P/E",TRUE),"N/A")</f>
        <v>54.3765</v>
      </c>
      <c r="K97" s="11">
        <f ca="1">IF(ISNUMBER(StockReportTable[[#This Row],[P/E]]),IF(StockReportTable[[#This Row],[P/E]]&lt;35,1,2),3)</f>
        <v>2</v>
      </c>
      <c r="L97" s="4" t="str" cm="1">
        <f t="array" aca="1" ref="L97" ca="1">_FV(StockReportTable[[#This Row],[Ticker]],"Industry")</f>
        <v>Semiconductors &amp; Semiconductor Equipment</v>
      </c>
      <c r="M97" s="16" cm="1">
        <f t="array" aca="1" ref="M97" ca="1">IFERROR(_FV(StockReportTable[[#This Row],[Ticker]],"52 week high",TRUE),"N/A")</f>
        <v>88.83</v>
      </c>
      <c r="N97" s="16" cm="1">
        <f t="array" aca="1" ref="N97" ca="1">IFERROR(_FV(StockReportTable[[#This Row],[Ticker]],"52 week low",TRUE),"N/A")</f>
        <v>31.27</v>
      </c>
      <c r="O97" s="21" cm="1">
        <f t="array" aca="1" ref="O97" ca="1">_FV(StockReportTable[[#This Row],[Ticker]],"Change (%)",TRUE)</f>
        <v>-2.4355999999999999E-2</v>
      </c>
      <c r="P97" s="26" cm="1">
        <f t="array" aca="1" ref="P97" ca="1">_FV(StockReportTable[[#This Row],[Ticker]],"Market cap",TRUE)</f>
        <v>63627610000</v>
      </c>
      <c r="Q97" s="27" cm="1">
        <f t="array" aca="1" ref="Q97" ca="1">_FV(StockReportTable[[#This Row],[Ticker]],"Volume average",TRUE)</f>
        <v>4115910</v>
      </c>
    </row>
    <row r="98" spans="1:17" s="1" customFormat="1" ht="15">
      <c r="A98" s="4" t="str" cm="1">
        <f t="array" aca="1" ref="A98" ca="1">_FV(StockReportTable[[#This Row],[Ticker]],"Official name",TRUE)</f>
        <v>SAP SE</v>
      </c>
      <c r="B98" s="4" t="e" vm="99">
        <v>#VALUE!</v>
      </c>
      <c r="C98" s="4" t="str" cm="1">
        <f t="array" aca="1" ref="C98" ca="1">_FV(StockReportTable[[#This Row],[Ticker]],"Exchange")</f>
        <v>Xetra</v>
      </c>
      <c r="D98" s="4" t="str" cm="1">
        <f t="array" aca="1" ref="D98" ca="1">_FV(StockReportTable[[#This Row],[Ticker]],"Currency")</f>
        <v>EUR</v>
      </c>
      <c r="E98" s="5">
        <f t="shared" ca="1" si="4"/>
        <v>46318</v>
      </c>
      <c r="F98" s="36" cm="1">
        <f t="array" aca="1" ref="F98" ca="1">_FV(StockReportTable[[#This Row],[Ticker]],"Price")</f>
        <v>214.4</v>
      </c>
      <c r="G98" s="6">
        <f ca="1">(StockReportTable[[#This Row],[Price @ Date]]-INDEX(_xlfn.STOCKHISTORY(B98,DATE(2025,12,31),E98),2,2))/(INDEX(_xlfn.STOCKHISTORY(B98,DATE(2025,12,31),E98),2,2))</f>
        <v>6.1648923000742845E-2</v>
      </c>
      <c r="H98" s="6">
        <f ca="1">(StockReportTable[[#This Row],[Price @ Date]]-INDEX(_xlfn.STOCKHISTORY(B98,DATE(2025,12,31),E98),2,2))/(INDEX(_xlfn.STOCKHISTORY(B98,EDATE(StockReportTable[[#This Row],[Date]],-12),E98),2,2))</f>
        <v>5.1446280991735607E-2</v>
      </c>
      <c r="I98" s="7">
        <f ca="1">(StockReportTable[[#This Row],[Price @ Date]]-INDEX(_xlfn.STOCKHISTORY(B98,DATE(2025,12,31),E98),2,2))/(INDEX(_xlfn.STOCKHISTORY(B98,EDATE(StockReportTable[[#This Row],[Date]],-36),E98),2,2))</f>
        <v>0.10046804389929</v>
      </c>
      <c r="J98" s="8" cm="1">
        <f t="array" aca="1" ref="J98" ca="1">IFERROR(_FV(StockReportTable[[#This Row],[Ticker]],"P/E",TRUE),"N/A")</f>
        <v>30.986899999999999</v>
      </c>
      <c r="K98" s="11">
        <f ca="1">IF(ISNUMBER(StockReportTable[[#This Row],[P/E]]),IF(StockReportTable[[#This Row],[P/E]]&lt;35,1,2),3)</f>
        <v>1</v>
      </c>
      <c r="L98" s="4" t="str" cm="1">
        <f t="array" aca="1" ref="L98" ca="1">_FV(StockReportTable[[#This Row],[Ticker]],"Industry")</f>
        <v>Software &amp; IT Services</v>
      </c>
      <c r="M98" s="16" cm="1">
        <f t="array" aca="1" ref="M98" ca="1">IFERROR(_FV(StockReportTable[[#This Row],[Ticker]],"52 week high",TRUE),"N/A")</f>
        <v>244.3</v>
      </c>
      <c r="N98" s="16" cm="1">
        <f t="array" aca="1" ref="N98" ca="1">IFERROR(_FV(StockReportTable[[#This Row],[Ticker]],"52 week low",TRUE),"N/A")</f>
        <v>127.5</v>
      </c>
      <c r="O98" s="21" cm="1">
        <f t="array" aca="1" ref="O98" ca="1">_FV(StockReportTable[[#This Row],[Ticker]],"Change (%)",TRUE)</f>
        <v>-4.411E-3</v>
      </c>
      <c r="P98" s="26" cm="1">
        <f t="array" aca="1" ref="P98" ca="1">_FV(StockReportTable[[#This Row],[Ticker]],"Market cap",TRUE)</f>
        <v>263674900000</v>
      </c>
      <c r="Q98" s="27" cm="1">
        <f t="array" aca="1" ref="Q98" ca="1">_FV(StockReportTable[[#This Row],[Ticker]],"Volume average",TRUE)</f>
        <v>2307530</v>
      </c>
    </row>
    <row r="99" spans="1:17" s="1" customFormat="1" ht="15">
      <c r="A99" s="4" t="str" cm="1">
        <f t="array" aca="1" ref="A99" ca="1">_FV(StockReportTable[[#This Row],[Ticker]],"Official name",TRUE)</f>
        <v>STMicroelectronics N.V.</v>
      </c>
      <c r="B99" s="4" t="e" vm="100">
        <v>#VALUE!</v>
      </c>
      <c r="C99" s="4" t="str" cm="1">
        <f t="array" aca="1" ref="C99" ca="1">_FV(StockReportTable[[#This Row],[Ticker]],"Exchange")</f>
        <v>Borsa Italiana</v>
      </c>
      <c r="D99" s="4" t="str" cm="1">
        <f t="array" aca="1" ref="D99" ca="1">_FV(StockReportTable[[#This Row],[Ticker]],"Currency")</f>
        <v>EUR</v>
      </c>
      <c r="E99" s="5">
        <f t="shared" ca="1" si="4"/>
        <v>46318</v>
      </c>
      <c r="F99" s="36" cm="1">
        <f t="array" aca="1" ref="F99" ca="1">_FV(StockReportTable[[#This Row],[Ticker]],"Price")</f>
        <v>39.450000000000003</v>
      </c>
      <c r="G99" s="6">
        <f ca="1">(StockReportTable[[#This Row],[Price @ Date]]-INDEX(_xlfn.STOCKHISTORY(B99,DATE(2025,12,31),E99),2,2))/(INDEX(_xlfn.STOCKHISTORY(B99,DATE(2025,12,31),E99),2,2))</f>
        <v>0.68373879641485291</v>
      </c>
      <c r="H99" s="6">
        <f ca="1">(StockReportTable[[#This Row],[Price @ Date]]-INDEX(_xlfn.STOCKHISTORY(B99,DATE(2025,12,31),E99),2,2))/(INDEX(_xlfn.STOCKHISTORY(B99,EDATE(StockReportTable[[#This Row],[Date]],-12),E99),2,2))</f>
        <v>0.73150684931506871</v>
      </c>
      <c r="I99" s="7">
        <f ca="1">(StockReportTable[[#This Row],[Price @ Date]]-INDEX(_xlfn.STOCKHISTORY(B99,DATE(2025,12,31),E99),2,2))/(INDEX(_xlfn.STOCKHISTORY(B99,EDATE(StockReportTable[[#This Row],[Date]],-36),E99),2,2))</f>
        <v>0.42358540454785837</v>
      </c>
      <c r="J99" s="8" cm="1">
        <f t="array" aca="1" ref="J99" ca="1">IFERROR(_FV(StockReportTable[[#This Row],[Ticker]],"P/E",TRUE),"N/A")</f>
        <v>490.67160000000001</v>
      </c>
      <c r="K99" s="11">
        <f ca="1">IF(ISNUMBER(StockReportTable[[#This Row],[P/E]]),IF(StockReportTable[[#This Row],[P/E]]&lt;35,1,2),3)</f>
        <v>2</v>
      </c>
      <c r="L99" s="4" t="str" cm="1">
        <f t="array" aca="1" ref="L99" ca="1">_FV(StockReportTable[[#This Row],[Ticker]],"Industry")</f>
        <v>Semiconductors &amp; Semiconductor Equipment</v>
      </c>
      <c r="M99" s="16" cm="1">
        <f t="array" aca="1" ref="M99" ca="1">IFERROR(_FV(StockReportTable[[#This Row],[Ticker]],"52 week high",TRUE),"N/A")</f>
        <v>70.86</v>
      </c>
      <c r="N99" s="16" cm="1">
        <f t="array" aca="1" ref="N99" ca="1">IFERROR(_FV(StockReportTable[[#This Row],[Ticker]],"52 week low",TRUE),"N/A")</f>
        <v>18.21</v>
      </c>
      <c r="O99" s="21" cm="1">
        <f t="array" aca="1" ref="O99" ca="1">_FV(StockReportTable[[#This Row],[Ticker]],"Change (%)",TRUE)</f>
        <v>-1.2145E-2</v>
      </c>
      <c r="P99" s="26" cm="1">
        <f t="array" aca="1" ref="P99" ca="1">_FV(StockReportTable[[#This Row],[Ticker]],"Market cap",TRUE)</f>
        <v>36002460000</v>
      </c>
      <c r="Q99" s="27" cm="1">
        <f t="array" aca="1" ref="Q99" ca="1">_FV(StockReportTable[[#This Row],[Ticker]],"Volume average",TRUE)</f>
        <v>2235830</v>
      </c>
    </row>
    <row r="100" spans="1:17" s="1" customFormat="1" ht="15">
      <c r="A100" s="4" t="str" cm="1">
        <f t="array" aca="1" ref="A100" ca="1">_FV(StockReportTable[[#This Row],[Ticker]],"Official name",TRUE)</f>
        <v>L'Air Liquide Societe Anonyme pour l'Etude et l'Exploitation des Procedes Georges Claude SA</v>
      </c>
      <c r="B100" s="4" t="e" vm="101">
        <v>#VALUE!</v>
      </c>
      <c r="C100" s="4" t="str" cm="1">
        <f t="array" aca="1" ref="C100" ca="1">_FV(StockReportTable[[#This Row],[Ticker]],"Exchange")</f>
        <v>Euronext Paris</v>
      </c>
      <c r="D100" s="4" t="str" cm="1">
        <f t="array" aca="1" ref="D100" ca="1">_FV(StockReportTable[[#This Row],[Ticker]],"Currency")</f>
        <v>EUR</v>
      </c>
      <c r="E100" s="5">
        <f t="shared" ca="1" si="4"/>
        <v>46318</v>
      </c>
      <c r="F100" s="36" cm="1">
        <f t="array" aca="1" ref="F100" ca="1">_FV(StockReportTable[[#This Row],[Ticker]],"Price")</f>
        <v>174.68</v>
      </c>
      <c r="G100" s="6">
        <f ca="1">(StockReportTable[[#This Row],[Price @ Date]]-INDEX(_xlfn.STOCKHISTORY(B100,DATE(2025,12,31),E100),2,2))/(INDEX(_xlfn.STOCKHISTORY(B100,DATE(2025,12,31),E100),2,2))</f>
        <v>0.19897756069703793</v>
      </c>
      <c r="H100" s="6">
        <f ca="1">(StockReportTable[[#This Row],[Price @ Date]]-INDEX(_xlfn.STOCKHISTORY(B100,DATE(2025,12,31),E100),2,2))/(INDEX(_xlfn.STOCKHISTORY(B100,EDATE(StockReportTable[[#This Row],[Date]],-12),E100),2,2))</f>
        <v>0.18445249692199531</v>
      </c>
      <c r="I100" s="7">
        <f ca="1">(StockReportTable[[#This Row],[Price @ Date]]-INDEX(_xlfn.STOCKHISTORY(B100,DATE(2025,12,31),E100),2,2))/(INDEX(_xlfn.STOCKHISTORY(B100,EDATE(StockReportTable[[#This Row],[Date]],-36),E100),2,2))</f>
        <v>0.22938141270882481</v>
      </c>
      <c r="J100" s="8" cm="1">
        <f t="array" aca="1" ref="J100" ca="1">IFERROR(_FV(StockReportTable[[#This Row],[Ticker]],"P/E",TRUE),"N/A")</f>
        <v>31.1751</v>
      </c>
      <c r="K100" s="11">
        <f ca="1">IF(ISNUMBER(StockReportTable[[#This Row],[P/E]]),IF(StockReportTable[[#This Row],[P/E]]&lt;35,1,2),3)</f>
        <v>1</v>
      </c>
      <c r="L100" s="4" t="str" cm="1">
        <f t="array" aca="1" ref="L100" ca="1">_FV(StockReportTable[[#This Row],[Ticker]],"Industry")</f>
        <v>Chemicals</v>
      </c>
      <c r="M100" s="16" cm="1">
        <f t="array" aca="1" ref="M100" ca="1">IFERROR(_FV(StockReportTable[[#This Row],[Ticker]],"52 week high",TRUE),"N/A")</f>
        <v>182.26</v>
      </c>
      <c r="N100" s="16" cm="1">
        <f t="array" aca="1" ref="N100" ca="1">IFERROR(_FV(StockReportTable[[#This Row],[Ticker]],"52 week low",TRUE),"N/A")</f>
        <v>140.78</v>
      </c>
      <c r="O100" s="21" cm="1">
        <f t="array" aca="1" ref="O100" ca="1">_FV(StockReportTable[[#This Row],[Ticker]],"Change (%)",TRUE)</f>
        <v>6.3370000000000006E-3</v>
      </c>
      <c r="P100" s="26" cm="1">
        <f t="array" aca="1" ref="P100" ca="1">_FV(StockReportTable[[#This Row],[Ticker]],"Market cap",TRUE)</f>
        <v>111474600000</v>
      </c>
      <c r="Q100" s="27" cm="1">
        <f t="array" aca="1" ref="Q100" ca="1">_FV(StockReportTable[[#This Row],[Ticker]],"Volume average",TRUE)</f>
        <v>749270</v>
      </c>
    </row>
    <row r="101" spans="1:17" s="1" customFormat="1" ht="15">
      <c r="A101" s="4" t="str" cm="1">
        <f t="array" aca="1" ref="A101" ca="1">_FV(StockReportTable[[#This Row],[Ticker]],"Official name",TRUE)</f>
        <v>BASF SE</v>
      </c>
      <c r="B101" s="4" t="e" vm="102">
        <v>#VALUE!</v>
      </c>
      <c r="C101" s="4" t="str" cm="1">
        <f t="array" aca="1" ref="C101" ca="1">_FV(StockReportTable[[#This Row],[Ticker]],"Exchange")</f>
        <v>Xetra</v>
      </c>
      <c r="D101" s="4" t="str" cm="1">
        <f t="array" aca="1" ref="D101" ca="1">_FV(StockReportTable[[#This Row],[Ticker]],"Currency")</f>
        <v>EUR</v>
      </c>
      <c r="E101" s="5">
        <f t="shared" ca="1" si="4"/>
        <v>46318</v>
      </c>
      <c r="F101" s="36" cm="1">
        <f t="array" aca="1" ref="F101" ca="1">_FV(StockReportTable[[#This Row],[Ticker]],"Price")</f>
        <v>52.45</v>
      </c>
      <c r="G101" s="6">
        <f ca="1">(StockReportTable[[#This Row],[Price @ Date]]-INDEX(_xlfn.STOCKHISTORY(B101,DATE(2025,12,31),E101),2,2))/(INDEX(_xlfn.STOCKHISTORY(B101,DATE(2025,12,31),E101),2,2))</f>
        <v>0.17128182224207239</v>
      </c>
      <c r="H101" s="6">
        <f ca="1">(StockReportTable[[#This Row],[Price @ Date]]-INDEX(_xlfn.STOCKHISTORY(B101,DATE(2025,12,31),E101),2,2))/(INDEX(_xlfn.STOCKHISTORY(B101,EDATE(StockReportTable[[#This Row],[Date]],-12),E101),2,2))</f>
        <v>0.17547471974376577</v>
      </c>
      <c r="I101" s="7">
        <f ca="1">(StockReportTable[[#This Row],[Price @ Date]]-INDEX(_xlfn.STOCKHISTORY(B101,DATE(2025,12,31),E101),2,2))/(INDEX(_xlfn.STOCKHISTORY(B101,EDATE(StockReportTable[[#This Row],[Date]],-36),E101),2,2))</f>
        <v>0.18743890518084069</v>
      </c>
      <c r="J101" s="8" cm="1">
        <f t="array" aca="1" ref="J101" ca="1">IFERROR(_FV(StockReportTable[[#This Row],[Ticker]],"P/E",TRUE),"N/A")</f>
        <v>21.9636</v>
      </c>
      <c r="K101" s="11">
        <f ca="1">IF(ISNUMBER(StockReportTable[[#This Row],[P/E]]),IF(StockReportTable[[#This Row],[P/E]]&lt;35,1,2),3)</f>
        <v>1</v>
      </c>
      <c r="L101" s="4" t="str" cm="1">
        <f t="array" aca="1" ref="L101" ca="1">_FV(StockReportTable[[#This Row],[Ticker]],"Industry")</f>
        <v>Chemicals</v>
      </c>
      <c r="M101" s="16" cm="1">
        <f t="array" aca="1" ref="M101" ca="1">IFERROR(_FV(StockReportTable[[#This Row],[Ticker]],"52 week high",TRUE),"N/A")</f>
        <v>55.05</v>
      </c>
      <c r="N101" s="16" cm="1">
        <f t="array" aca="1" ref="N101" ca="1">IFERROR(_FV(StockReportTable[[#This Row],[Ticker]],"52 week low",TRUE),"N/A")</f>
        <v>41.48</v>
      </c>
      <c r="O101" s="21" cm="1">
        <f t="array" aca="1" ref="O101" ca="1">_FV(StockReportTable[[#This Row],[Ticker]],"Change (%)",TRUE)</f>
        <v>1.5279999999999998E-3</v>
      </c>
      <c r="P101" s="26" cm="1">
        <f t="array" aca="1" ref="P101" ca="1">_FV(StockReportTable[[#This Row],[Ticker]],"Market cap",TRUE)</f>
        <v>46863180000</v>
      </c>
      <c r="Q101" s="27" cm="1">
        <f t="array" aca="1" ref="Q101" ca="1">_FV(StockReportTable[[#This Row],[Ticker]],"Volume average",TRUE)</f>
        <v>1579620</v>
      </c>
    </row>
    <row r="102" spans="1:17" s="1" customFormat="1" ht="15">
      <c r="A102" s="4" t="str" cm="1">
        <f t="array" aca="1" ref="A102" ca="1">_FV(StockReportTable[[#This Row],[Ticker]],"Official name",TRUE)</f>
        <v>Enel SpA</v>
      </c>
      <c r="B102" s="4" t="e" vm="103">
        <v>#VALUE!</v>
      </c>
      <c r="C102" s="4" t="str" cm="1">
        <f t="array" aca="1" ref="C102" ca="1">_FV(StockReportTable[[#This Row],[Ticker]],"Exchange")</f>
        <v>Borsa Italiana</v>
      </c>
      <c r="D102" s="4" t="str" cm="1">
        <f t="array" aca="1" ref="D102" ca="1">_FV(StockReportTable[[#This Row],[Ticker]],"Currency")</f>
        <v>EUR</v>
      </c>
      <c r="E102" s="5">
        <f t="shared" ca="1" si="4"/>
        <v>46318</v>
      </c>
      <c r="F102" s="36" cm="1">
        <f t="array" aca="1" ref="F102" ca="1">_FV(StockReportTable[[#This Row],[Ticker]],"Price")</f>
        <v>9.218</v>
      </c>
      <c r="G102" s="6">
        <f ca="1">(StockReportTable[[#This Row],[Price @ Date]]-INDEX(_xlfn.STOCKHISTORY(B102,DATE(2025,12,31),E102),2,2))/(INDEX(_xlfn.STOCKHISTORY(B102,DATE(2025,12,31),E102),2,2))</f>
        <v>2.4222222222222218E-2</v>
      </c>
      <c r="H102" s="6">
        <f ca="1">(StockReportTable[[#This Row],[Price @ Date]]-INDEX(_xlfn.STOCKHISTORY(B102,DATE(2025,12,31),E102),2,2))/(INDEX(_xlfn.STOCKHISTORY(B102,EDATE(StockReportTable[[#This Row],[Date]],-12),E102),2,2))</f>
        <v>2.5580849565829615E-2</v>
      </c>
      <c r="I102" s="7">
        <f ca="1">(StockReportTable[[#This Row],[Price @ Date]]-INDEX(_xlfn.STOCKHISTORY(B102,DATE(2025,12,31),E102),2,2))/(INDEX(_xlfn.STOCKHISTORY(B102,EDATE(StockReportTable[[#This Row],[Date]],-36),E102),2,2))</f>
        <v>3.8306097346687745E-2</v>
      </c>
      <c r="J102" s="8" cm="1">
        <f t="array" aca="1" ref="J102" ca="1">IFERROR(_FV(StockReportTable[[#This Row],[Ticker]],"P/E",TRUE),"N/A")</f>
        <v>20.2638</v>
      </c>
      <c r="K102" s="11">
        <f ca="1">IF(ISNUMBER(StockReportTable[[#This Row],[P/E]]),IF(StockReportTable[[#This Row],[P/E]]&lt;35,1,2),3)</f>
        <v>1</v>
      </c>
      <c r="L102" s="4" t="str" cm="1">
        <f t="array" aca="1" ref="L102" ca="1">_FV(StockReportTable[[#This Row],[Ticker]],"Industry")</f>
        <v>Electrical Utilities &amp; IPPs</v>
      </c>
      <c r="M102" s="16" cm="1">
        <f t="array" aca="1" ref="M102" ca="1">IFERROR(_FV(StockReportTable[[#This Row],[Ticker]],"52 week high",TRUE),"N/A")</f>
        <v>10.31</v>
      </c>
      <c r="N102" s="16" cm="1">
        <f t="array" aca="1" ref="N102" ca="1">IFERROR(_FV(StockReportTable[[#This Row],[Ticker]],"52 week low",TRUE),"N/A")</f>
        <v>8.41</v>
      </c>
      <c r="O102" s="21" cm="1">
        <f t="array" aca="1" ref="O102" ca="1">_FV(StockReportTable[[#This Row],[Ticker]],"Change (%)",TRUE)</f>
        <v>2.2829999999999999E-3</v>
      </c>
      <c r="P102" s="26" cm="1">
        <f t="array" aca="1" ref="P102" ca="1">_FV(StockReportTable[[#This Row],[Ticker]],"Market cap",TRUE)</f>
        <v>91604330000</v>
      </c>
      <c r="Q102" s="27" cm="1">
        <f t="array" aca="1" ref="Q102" ca="1">_FV(StockReportTable[[#This Row],[Ticker]],"Volume average",TRUE)</f>
        <v>16260150</v>
      </c>
    </row>
    <row r="103" spans="1:17" s="1" customFormat="1" ht="15">
      <c r="A103" s="4" t="str" cm="1">
        <f t="array" aca="1" ref="A103" ca="1">_FV(StockReportTable[[#This Row],[Ticker]],"Official name",TRUE)</f>
        <v>Engie SA</v>
      </c>
      <c r="B103" s="4" t="e" vm="104">
        <v>#VALUE!</v>
      </c>
      <c r="C103" s="4" t="str" cm="1">
        <f t="array" aca="1" ref="C103" ca="1">_FV(StockReportTable[[#This Row],[Ticker]],"Exchange")</f>
        <v>Euronext Paris</v>
      </c>
      <c r="D103" s="4" t="str" cm="1">
        <f t="array" aca="1" ref="D103" ca="1">_FV(StockReportTable[[#This Row],[Ticker]],"Currency")</f>
        <v>EUR</v>
      </c>
      <c r="E103" s="5">
        <f t="shared" ca="1" si="4"/>
        <v>46318</v>
      </c>
      <c r="F103" s="36" cm="1">
        <f t="array" aca="1" ref="F103" ca="1">_FV(StockReportTable[[#This Row],[Ticker]],"Price")</f>
        <v>22.81</v>
      </c>
      <c r="G103" s="6">
        <f ca="1">(StockReportTable[[#This Row],[Price @ Date]]-INDEX(_xlfn.STOCKHISTORY(B103,DATE(2025,12,31),E103),2,2))/(INDEX(_xlfn.STOCKHISTORY(B103,DATE(2025,12,31),E103),2,2))</f>
        <v>2.9536550578634701E-2</v>
      </c>
      <c r="H103" s="6">
        <f ca="1">(StockReportTable[[#This Row],[Price @ Date]]-INDEX(_xlfn.STOCKHISTORY(B103,DATE(2025,12,31),E103),2,2))/(INDEX(_xlfn.STOCKHISTORY(B103,EDATE(StockReportTable[[#This Row],[Date]],-12),E103),2,2))</f>
        <v>3.3429883577773982E-2</v>
      </c>
      <c r="I103" s="7">
        <f ca="1">(StockReportTable[[#This Row],[Price @ Date]]-INDEX(_xlfn.STOCKHISTORY(B103,DATE(2025,12,31),E103),2,2))/(INDEX(_xlfn.STOCKHISTORY(B103,EDATE(StockReportTable[[#This Row],[Date]],-36),E103),2,2))</f>
        <v>4.5642864117622368E-2</v>
      </c>
      <c r="J103" s="8" cm="1">
        <f t="array" aca="1" ref="J103" ca="1">IFERROR(_FV(StockReportTable[[#This Row],[Ticker]],"P/E",TRUE),"N/A")</f>
        <v>13.913600000000001</v>
      </c>
      <c r="K103" s="11">
        <f ca="1">IF(ISNUMBER(StockReportTable[[#This Row],[P/E]]),IF(StockReportTable[[#This Row],[P/E]]&lt;35,1,2),3)</f>
        <v>1</v>
      </c>
      <c r="L103" s="4" t="str" cm="1">
        <f t="array" aca="1" ref="L103" ca="1">_FV(StockReportTable[[#This Row],[Ticker]],"Industry")</f>
        <v>Multiline Utilities</v>
      </c>
      <c r="M103" s="16" cm="1">
        <f t="array" aca="1" ref="M103" ca="1">IFERROR(_FV(StockReportTable[[#This Row],[Ticker]],"52 week high",TRUE),"N/A")</f>
        <v>29.55</v>
      </c>
      <c r="N103" s="16" cm="1">
        <f t="array" aca="1" ref="N103" ca="1">IFERROR(_FV(StockReportTable[[#This Row],[Ticker]],"52 week low",TRUE),"N/A")</f>
        <v>19.2</v>
      </c>
      <c r="O103" s="21" cm="1">
        <f t="array" aca="1" ref="O103" ca="1">_FV(StockReportTable[[#This Row],[Ticker]],"Change (%)",TRUE)</f>
        <v>-1.2980999999999999E-2</v>
      </c>
      <c r="P103" s="26" cm="1">
        <f t="array" aca="1" ref="P103" ca="1">_FV(StockReportTable[[#This Row],[Ticker]],"Market cap",TRUE)</f>
        <v>57992780000</v>
      </c>
      <c r="Q103" s="27" cm="1">
        <f t="array" aca="1" ref="Q103" ca="1">_FV(StockReportTable[[#This Row],[Ticker]],"Volume average",TRUE)</f>
        <v>4524500</v>
      </c>
    </row>
    <row r="104" spans="1:17" s="1" customFormat="1" ht="15">
      <c r="A104" s="4" t="str" cm="1">
        <f t="array" aca="1" ref="A104" ca="1">_FV(StockReportTable[[#This Row],[Ticker]],"Official name",TRUE)</f>
        <v>Veolia Environnement SA</v>
      </c>
      <c r="B104" s="4" t="e" vm="105">
        <v>#VALUE!</v>
      </c>
      <c r="C104" s="4" t="str" cm="1">
        <f t="array" aca="1" ref="C104" ca="1">_FV(StockReportTable[[#This Row],[Ticker]],"Exchange")</f>
        <v>Euronext Paris</v>
      </c>
      <c r="D104" s="4" t="str" cm="1">
        <f t="array" aca="1" ref="D104" ca="1">_FV(StockReportTable[[#This Row],[Ticker]],"Currency")</f>
        <v>EUR</v>
      </c>
      <c r="E104" s="5">
        <f t="shared" ca="1" si="4"/>
        <v>46318</v>
      </c>
      <c r="F104" s="36" cm="1">
        <f t="array" aca="1" ref="F104" ca="1">_FV(StockReportTable[[#This Row],[Ticker]],"Price")</f>
        <v>32.090000000000003</v>
      </c>
      <c r="G104" s="6">
        <f ca="1">(StockReportTable[[#This Row],[Price @ Date]]-INDEX(_xlfn.STOCKHISTORY(B104,DATE(2025,12,31),E104),2,2))/(INDEX(_xlfn.STOCKHISTORY(B104,DATE(2025,12,31),E104),2,2))</f>
        <v>7.9744279946164356E-2</v>
      </c>
      <c r="H104" s="6">
        <f ca="1">(StockReportTable[[#This Row],[Price @ Date]]-INDEX(_xlfn.STOCKHISTORY(B104,DATE(2025,12,31),E104),2,2))/(INDEX(_xlfn.STOCKHISTORY(B104,EDATE(StockReportTable[[#This Row],[Date]],-12),E104),2,2))</f>
        <v>7.993254637436778E-2</v>
      </c>
      <c r="I104" s="7">
        <f ca="1">(StockReportTable[[#This Row],[Price @ Date]]-INDEX(_xlfn.STOCKHISTORY(B104,DATE(2025,12,31),E104),2,2))/(INDEX(_xlfn.STOCKHISTORY(B104,EDATE(StockReportTable[[#This Row],[Date]],-36),E104),2,2))</f>
        <v>9.4047619047619227E-2</v>
      </c>
      <c r="J104" s="8" cm="1">
        <f t="array" aca="1" ref="J104" ca="1">IFERROR(_FV(StockReportTable[[#This Row],[Ticker]],"P/E",TRUE),"N/A")</f>
        <v>18.7</v>
      </c>
      <c r="K104" s="11">
        <f ca="1">IF(ISNUMBER(StockReportTable[[#This Row],[P/E]]),IF(StockReportTable[[#This Row],[P/E]]&lt;35,1,2),3)</f>
        <v>1</v>
      </c>
      <c r="L104" s="4" t="str" cm="1">
        <f t="array" aca="1" ref="L104" ca="1">_FV(StockReportTable[[#This Row],[Ticker]],"Industry")</f>
        <v>Multiline Utilities</v>
      </c>
      <c r="M104" s="16" cm="1">
        <f t="array" aca="1" ref="M104" ca="1">IFERROR(_FV(StockReportTable[[#This Row],[Ticker]],"52 week high",TRUE),"N/A")</f>
        <v>37.659999999999997</v>
      </c>
      <c r="N104" s="16" cm="1">
        <f t="array" aca="1" ref="N104" ca="1">IFERROR(_FV(StockReportTable[[#This Row],[Ticker]],"52 week low",TRUE),"N/A")</f>
        <v>27.85</v>
      </c>
      <c r="O104" s="21" cm="1">
        <f t="array" aca="1" ref="O104" ca="1">_FV(StockReportTable[[#This Row],[Ticker]],"Change (%)",TRUE)</f>
        <v>8.4849999999999995E-3</v>
      </c>
      <c r="P104" s="26" cm="1">
        <f t="array" aca="1" ref="P104" ca="1">_FV(StockReportTable[[#This Row],[Ticker]],"Market cap",TRUE)</f>
        <v>23826720000</v>
      </c>
      <c r="Q104" s="27" cm="1">
        <f t="array" aca="1" ref="Q104" ca="1">_FV(StockReportTable[[#This Row],[Ticker]],"Volume average",TRUE)</f>
        <v>1901530</v>
      </c>
    </row>
    <row r="105" spans="1:17" ht="15">
      <c r="A105" s="4" t="str" cm="1">
        <f t="array" aca="1" ref="A105" ca="1">_FV(StockReportTable[[#This Row],[Ticker]],"Official name",TRUE)</f>
        <v>IREN LIMITED</v>
      </c>
      <c r="B105" s="4" t="e" vm="106">
        <v>#VALUE!</v>
      </c>
      <c r="C105" s="4" t="str" cm="1">
        <f t="array" aca="1" ref="C105" ca="1">_FV(StockReportTable[[#This Row],[Ticker]],"Exchange")</f>
        <v>Nasdaq Stock Market</v>
      </c>
      <c r="D105" s="4" t="str" cm="1">
        <f t="array" aca="1" ref="D105" ca="1">_FV(StockReportTable[[#This Row],[Ticker]],"Currency")</f>
        <v>USD</v>
      </c>
      <c r="E105" s="5">
        <f t="shared" ca="1" si="4"/>
        <v>46318</v>
      </c>
      <c r="F105" s="33" cm="1">
        <f t="array" aca="1" ref="F105" ca="1">_FV(StockReportTable[[#This Row],[Ticker]],"Price")</f>
        <v>24.905000000000001</v>
      </c>
      <c r="G105" s="6">
        <f ca="1">(StockReportTable[[#This Row],[Price @ Date]]-INDEX(_xlfn.STOCKHISTORY(B105,DATE(2025,12,31),E105),2,2))/(INDEX(_xlfn.STOCKHISTORY(B105,DATE(2025,12,31),E105),2,2))</f>
        <v>-0.34061424410908131</v>
      </c>
      <c r="H105" s="6">
        <f ca="1">(StockReportTable[[#This Row],[Price @ Date]]-INDEX(_xlfn.STOCKHISTORY(B105,DATE(2025,12,31),E105),2,2))/(INDEX(_xlfn.STOCKHISTORY(B105,EDATE(StockReportTable[[#This Row],[Date]],-12),E105),2,2))</f>
        <v>-0.23030791263873973</v>
      </c>
      <c r="I105" s="7">
        <f ca="1">(StockReportTable[[#This Row],[Price @ Date]]-INDEX(_xlfn.STOCKHISTORY(B105,DATE(2025,12,31),E105),2,2))/(INDEX(_xlfn.STOCKHISTORY(B105,EDATE(StockReportTable[[#This Row],[Date]],-36),E105),2,2))</f>
        <v>-4.0203125000000002</v>
      </c>
      <c r="J105" s="8" cm="1">
        <f t="array" aca="1" ref="J105" ca="1">IFERROR(_FV(StockReportTable[[#This Row],[Ticker]],"P/E",TRUE),"N/A")</f>
        <v>0</v>
      </c>
      <c r="K105" s="11">
        <f ca="1">IF(ISNUMBER(StockReportTable[[#This Row],[P/E]]),IF(StockReportTable[[#This Row],[P/E]]&lt;35,1,2),3)</f>
        <v>1</v>
      </c>
      <c r="L105" s="4" t="str" cm="1">
        <f t="array" aca="1" ref="L105" ca="1">_FV(StockReportTable[[#This Row],[Ticker]],"Industry")</f>
        <v>Financial Technology (Fintech) &amp; Infrastructure</v>
      </c>
      <c r="M105" s="18" cm="1">
        <f t="array" aca="1" ref="M105" ca="1">IFERROR(_FV(StockReportTable[[#This Row],[Ticker]],"52 week high",TRUE),"N/A")</f>
        <v>76.87</v>
      </c>
      <c r="N105" s="18" cm="1">
        <f t="array" aca="1" ref="N105" ca="1">IFERROR(_FV(StockReportTable[[#This Row],[Ticker]],"52 week low",TRUE),"N/A")</f>
        <v>24.855</v>
      </c>
      <c r="O105" s="21" cm="1">
        <f t="array" aca="1" ref="O105" ca="1">_FV(StockReportTable[[#This Row],[Ticker]],"Change (%)",TRUE)</f>
        <v>-2.3716000000000001E-2</v>
      </c>
      <c r="P105" s="22" t="e" cm="1" vm="2">
        <f t="array" ref="P105">_FV(StockReportTable[[#This Row],[Ticker]],"Market cap",TRUE)</f>
        <v>#VALUE!</v>
      </c>
      <c r="Q105" s="27" cm="1">
        <f t="array" aca="1" ref="Q105" ca="1">_FV(StockReportTable[[#This Row],[Ticker]],"Volume average",TRUE)</f>
        <v>48113819</v>
      </c>
    </row>
  </sheetData>
  <phoneticPr fontId="5" type="noConversion"/>
  <conditionalFormatting sqref="G2:I105">
    <cfRule type="cellIs" dxfId="11" priority="6" operator="lessThan">
      <formula>0</formula>
    </cfRule>
    <cfRule type="cellIs" dxfId="10" priority="7" operator="greaterThan">
      <formula>0</formula>
    </cfRule>
  </conditionalFormatting>
  <conditionalFormatting sqref="K2:K105">
    <cfRule type="colorScale" priority="11">
      <colorScale>
        <cfvo type="min"/>
        <cfvo type="percentile" val="50"/>
        <cfvo type="max"/>
        <color rgb="FF63BE7B"/>
        <color rgb="FFFFEB84"/>
        <color rgb="FFF8696B"/>
      </colorScale>
    </cfRule>
  </conditionalFormatting>
  <conditionalFormatting sqref="O2:O105">
    <cfRule type="cellIs" dxfId="9" priority="1" operator="greaterThan">
      <formula>0</formula>
    </cfRule>
    <cfRule type="cellIs" dxfId="8" priority="2" operator="lessThan">
      <formula>0</formula>
    </cfRule>
  </conditionalFormatting>
  <pageMargins left="0.7" right="0.7" top="0.75" bottom="0.75" header="0.3" footer="0.3"/>
  <ignoredErrors>
    <ignoredError sqref="K10" calculatedColumn="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47183-2D83-A249-B514-45F4C807929A}">
  <dimension ref="A1:Q120"/>
  <sheetViews>
    <sheetView tabSelected="1" zoomScale="134" workbookViewId="0">
      <pane ySplit="1" topLeftCell="A101" activePane="bottomLeft" state="frozen"/>
      <selection activeCell="B1" sqref="B1"/>
      <selection pane="bottomLeft" activeCell="A120" sqref="A120"/>
    </sheetView>
  </sheetViews>
  <sheetFormatPr baseColWidth="10" defaultRowHeight="14"/>
  <cols>
    <col min="1" max="1" width="32.6640625" bestFit="1" customWidth="1"/>
    <col min="2" max="2" width="47.1640625" bestFit="1" customWidth="1"/>
    <col min="3" max="3" width="20" bestFit="1" customWidth="1"/>
    <col min="4" max="4" width="11.83203125" customWidth="1"/>
    <col min="6" max="6" width="17.1640625" customWidth="1"/>
    <col min="7" max="7" width="13.5" style="15" customWidth="1"/>
    <col min="8" max="9" width="10.83203125" style="15"/>
    <col min="10" max="10" width="21.1640625" customWidth="1"/>
    <col min="12" max="12" width="20.5" bestFit="1" customWidth="1"/>
    <col min="13" max="13" width="17.5" bestFit="1" customWidth="1"/>
    <col min="14" max="14" width="17" bestFit="1" customWidth="1"/>
    <col min="15" max="15" width="13.1640625" bestFit="1" customWidth="1"/>
    <col min="16" max="16" width="13.33203125" bestFit="1" customWidth="1"/>
    <col min="17" max="17" width="14" bestFit="1" customWidth="1"/>
  </cols>
  <sheetData>
    <row r="1" spans="1:17" ht="17">
      <c r="A1" s="12" t="s">
        <v>1</v>
      </c>
      <c r="B1" s="12" t="s">
        <v>13</v>
      </c>
      <c r="C1" s="12" t="s">
        <v>2</v>
      </c>
      <c r="D1" s="12" t="s">
        <v>3</v>
      </c>
      <c r="E1" s="13" t="s">
        <v>8</v>
      </c>
      <c r="F1" s="13" t="s">
        <v>7</v>
      </c>
      <c r="G1" s="14" t="s">
        <v>4</v>
      </c>
      <c r="H1" s="14" t="s">
        <v>5</v>
      </c>
      <c r="I1" s="14" t="s">
        <v>11</v>
      </c>
      <c r="J1" s="12" t="s">
        <v>12</v>
      </c>
      <c r="K1" s="28" t="s">
        <v>19</v>
      </c>
      <c r="L1" s="28" t="s">
        <v>20</v>
      </c>
      <c r="M1" s="28" t="s">
        <v>21</v>
      </c>
      <c r="N1" s="28" t="s">
        <v>22</v>
      </c>
      <c r="O1" s="28" t="s">
        <v>23</v>
      </c>
      <c r="P1" s="28" t="s">
        <v>24</v>
      </c>
      <c r="Q1" s="28" t="s">
        <v>57</v>
      </c>
    </row>
    <row r="2" spans="1:17" ht="15">
      <c r="A2" s="4" t="str" cm="1">
        <f t="array" aca="1" ref="A2" ca="1">_FV(B2,"Name")</f>
        <v>VANECK URAN AND NUCLEAR TECHNLGS ETF</v>
      </c>
      <c r="B2" s="4" t="e" vm="107">
        <v>#VALUE!</v>
      </c>
      <c r="C2" s="4" t="str" cm="1">
        <f t="array" aca="1" ref="C2" ca="1">_FV(B2,"Exchange")</f>
        <v>Borsa Italiana</v>
      </c>
      <c r="D2" s="16" t="str" cm="1">
        <f t="array" aca="1" ref="D2" ca="1">_FV(B2,"Currency")</f>
        <v>EUR</v>
      </c>
      <c r="E2" s="10">
        <f ca="1">WORKDAY(TODAY()+1,-1)</f>
        <v>46318</v>
      </c>
      <c r="F2" s="16" cm="1">
        <f t="array" aca="1" ref="F2" ca="1">_FV(B2,"Price")</f>
        <v>38.375</v>
      </c>
      <c r="G2" s="6">
        <f t="shared" ref="G2:G37" ca="1" si="0">(F2-INDEX(_xlfn.STOCKHISTORY(B2,DATE(2025,12,31),E2),2,2))/(INDEX(_xlfn.STOCKHISTORY(B2,DATE(2025,12,31),E2),2,2))</f>
        <v>-0.20704618245686543</v>
      </c>
      <c r="H2" s="6">
        <f t="shared" ref="H2:H37" ca="1" si="1">(F2-INDEX(_xlfn.STOCKHISTORY(B2,EDATE(E2,-12),E2),2,2))/(INDEX(_xlfn.STOCKHISTORY(B2,EDATE(E2,-12),E2),2,2))</f>
        <v>-0.26723314874928389</v>
      </c>
      <c r="I2" s="6">
        <f t="shared" ref="I2:I37" ca="1" si="2">(F2-INDEX(_xlfn.STOCKHISTORY(B2,EDATE(E2,-36),E2),2,2))/(INDEX(_xlfn.STOCKHISTORY(B2,EDATE(E2,-36),E2),2,2))</f>
        <v>0.84672762271414814</v>
      </c>
      <c r="J2" s="17" cm="1">
        <f t="array" aca="1" ref="J2" ca="1">IFERROR(_FV(B2,"Market cap",TRUE),"N/A")</f>
        <v>2094942086.6500001</v>
      </c>
      <c r="K2" s="37" t="s">
        <v>25</v>
      </c>
      <c r="L2" s="6" t="s">
        <v>28</v>
      </c>
      <c r="M2" s="6" t="str" cm="1">
        <f t="array" ref="M2">IFERROR(_FV(Table2[[#This Row],[ETF]],"52 week high",TRUE),"N/A")</f>
        <v>N/A</v>
      </c>
      <c r="N2" s="6" t="str" cm="1">
        <f t="array" ref="N2">IFERROR(_FV(Table2[[#This Row],[ETF]],"52 week low",TRUE),"N/A")</f>
        <v>N/A</v>
      </c>
      <c r="O2" s="6" cm="1">
        <f t="array" aca="1" ref="O2" ca="1">_FV(Table2[[#This Row],[ETF]],"Change (%)",TRUE)</f>
        <v>-5.829E-3</v>
      </c>
      <c r="P2" s="32" cm="1">
        <f t="array" aca="1" ref="P2" ca="1">_FV(Table2[[#This Row],[ETF]],"Volume")</f>
        <v>28301</v>
      </c>
      <c r="Q2" s="6" cm="1">
        <f t="array" aca="1" ref="Q2" ca="1">_FV(Table2[[#This Row],[ETF]],"Expense ratio",TRUE)</f>
        <v>5.5000000000000005E-3</v>
      </c>
    </row>
    <row r="3" spans="1:17" ht="15">
      <c r="A3" s="4" t="str" cm="1">
        <f t="array" aca="1" ref="A3" ca="1">_FV(B3,"Name")</f>
        <v>VANECK HYDRO ETF</v>
      </c>
      <c r="B3" s="4" t="e" vm="108">
        <v>#VALUE!</v>
      </c>
      <c r="C3" s="4" t="str" cm="1">
        <f t="array" aca="1" ref="C3" ca="1">_FV(B3,"Exchange")</f>
        <v>Borsa Italiana</v>
      </c>
      <c r="D3" s="16" t="str" cm="1">
        <f t="array" aca="1" ref="D3" ca="1">_FV(B3,"Currency")</f>
        <v>EUR</v>
      </c>
      <c r="E3" s="10">
        <f t="shared" ref="E3:E23" ca="1" si="3">WORKDAY(TODAY()+1,-1)</f>
        <v>46318</v>
      </c>
      <c r="F3" s="16" cm="1">
        <f t="array" aca="1" ref="F3" ca="1">_FV(B3,"Price")</f>
        <v>6.6639999999999997</v>
      </c>
      <c r="G3" s="6">
        <f t="shared" ca="1" si="0"/>
        <v>0.1424652837304988</v>
      </c>
      <c r="H3" s="6">
        <f t="shared" ca="1" si="1"/>
        <v>-1.0493179433369152E-3</v>
      </c>
      <c r="I3" s="6">
        <f t="shared" ca="1" si="2"/>
        <v>-3.2660763536072078E-2</v>
      </c>
      <c r="J3" s="17" cm="1">
        <f t="array" aca="1" ref="J3" ca="1">IFERROR(_FV(B3,"Market cap",TRUE),"N/A")</f>
        <v>108478738.56999999</v>
      </c>
      <c r="K3" s="37" t="s">
        <v>25</v>
      </c>
      <c r="L3" s="6" t="s">
        <v>29</v>
      </c>
      <c r="M3" s="29" cm="1">
        <f t="array" aca="1" ref="M3" ca="1">IFERROR(_FV(Table2[[#This Row],[ETF]],"52 week high",TRUE),"N/A")</f>
        <v>10.85</v>
      </c>
      <c r="N3" s="29" cm="1">
        <f t="array" aca="1" ref="N3" ca="1">IFERROR(_FV(Table2[[#This Row],[ETF]],"52 week low",TRUE),"N/A")</f>
        <v>5.58</v>
      </c>
      <c r="O3" s="6" cm="1">
        <f t="array" aca="1" ref="O3" ca="1">_FV(Table2[[#This Row],[ETF]],"Change (%)",TRUE)</f>
        <v>-8.480999999999999E-3</v>
      </c>
      <c r="P3" s="32" cm="1">
        <f t="array" aca="1" ref="P3" ca="1">_FV(Table2[[#This Row],[ETF]],"Volume")</f>
        <v>9161</v>
      </c>
      <c r="Q3" s="6" cm="1">
        <f t="array" aca="1" ref="Q3" ca="1">_FV(Table2[[#This Row],[ETF]],"Expense ratio",TRUE)</f>
        <v>5.5000000000000005E-3</v>
      </c>
    </row>
    <row r="4" spans="1:17" ht="15">
      <c r="A4" s="4" t="str" cm="1">
        <f t="array" aca="1" ref="A4" ca="1">_FV(B4,"Name")</f>
        <v>GLB AERODEF $ AC</v>
      </c>
      <c r="B4" s="4" t="e" vm="109">
        <v>#VALUE!</v>
      </c>
      <c r="C4" s="4" t="str" cm="1">
        <f t="array" aca="1" ref="C4" ca="1">_FV(B4,"Exchange")</f>
        <v>Borsa Italiana</v>
      </c>
      <c r="D4" s="16" t="str" cm="1">
        <f t="array" aca="1" ref="D4" ca="1">_FV(B4,"Currency")</f>
        <v>EUR</v>
      </c>
      <c r="E4" s="10">
        <f t="shared" ca="1" si="3"/>
        <v>46318</v>
      </c>
      <c r="F4" s="16" cm="1">
        <f t="array" aca="1" ref="F4" ca="1">_FV(B4,"Price")</f>
        <v>7.6529999999999996</v>
      </c>
      <c r="G4" s="6">
        <f t="shared" ca="1" si="0"/>
        <v>-3.2490518331226369E-2</v>
      </c>
      <c r="H4" s="6">
        <f t="shared" ca="1" si="1"/>
        <v>-3.359009976007072E-2</v>
      </c>
      <c r="I4" s="6">
        <f t="shared" ca="1" si="2"/>
        <v>0.45135596434667175</v>
      </c>
      <c r="J4" s="17" cm="1">
        <f t="array" aca="1" ref="J4" ca="1">IFERROR(_FV(B4,"Market cap",TRUE),"N/A")</f>
        <v>1753177065.49</v>
      </c>
      <c r="K4" s="37" t="s">
        <v>25</v>
      </c>
      <c r="L4" s="6" t="s">
        <v>30</v>
      </c>
      <c r="M4" s="29" cm="1">
        <f t="array" aca="1" ref="M4" ca="1">IFERROR(_FV(Table2[[#This Row],[ETF]],"52 week high",TRUE),"N/A")</f>
        <v>9.2200000000000006</v>
      </c>
      <c r="N4" s="29" cm="1">
        <f t="array" aca="1" ref="N4" ca="1">IFERROR(_FV(Table2[[#This Row],[ETF]],"52 week low",TRUE),"N/A")</f>
        <v>7.23</v>
      </c>
      <c r="O4" s="6" cm="1">
        <f t="array" aca="1" ref="O4" ca="1">_FV(Table2[[#This Row],[ETF]],"Change (%)",TRUE)</f>
        <v>-1.6197E-2</v>
      </c>
      <c r="P4" s="32" cm="1">
        <f t="array" aca="1" ref="P4" ca="1">_FV(Table2[[#This Row],[ETF]],"Volume")</f>
        <v>54903</v>
      </c>
      <c r="Q4" s="6" cm="1">
        <f t="array" aca="1" ref="Q4" ca="1">_FV(Table2[[#This Row],[ETF]],"Expense ratio",TRUE)</f>
        <v>3.4999999999999996E-3</v>
      </c>
    </row>
    <row r="5" spans="1:17" ht="15">
      <c r="A5" s="4" t="str" cm="1">
        <f t="array" aca="1" ref="A5" ca="1">_FV(B5,"Name")</f>
        <v>iShGlb Cln Eng Trns UETFUSD D</v>
      </c>
      <c r="B5" s="4" t="e" vm="110">
        <v>#VALUE!</v>
      </c>
      <c r="C5" s="4" t="str" cm="1">
        <f t="array" aca="1" ref="C5" ca="1">_FV(B5,"Exchange")</f>
        <v>Borsa Italiana</v>
      </c>
      <c r="D5" s="16" t="str" cm="1">
        <f t="array" aca="1" ref="D5" ca="1">_FV(B5,"Currency")</f>
        <v>EUR</v>
      </c>
      <c r="E5" s="10">
        <f t="shared" ca="1" si="3"/>
        <v>46318</v>
      </c>
      <c r="F5" s="16" cm="1">
        <f t="array" aca="1" ref="F5" ca="1">_FV(B5,"Price")</f>
        <v>8.1920000000000002</v>
      </c>
      <c r="G5" s="6">
        <f t="shared" ca="1" si="0"/>
        <v>-2.0095693779904219E-2</v>
      </c>
      <c r="H5" s="6">
        <f t="shared" ca="1" si="1"/>
        <v>1.486620416253729E-2</v>
      </c>
      <c r="I5" s="6">
        <f t="shared" ca="1" si="2"/>
        <v>0.13494042671100032</v>
      </c>
      <c r="J5" s="17" cm="1">
        <f t="array" aca="1" ref="J5" ca="1">IFERROR(_FV(B5,"Market cap",TRUE),"N/A")</f>
        <v>2958630263.6399999</v>
      </c>
      <c r="K5" s="37" t="s">
        <v>25</v>
      </c>
      <c r="L5" s="6" t="s">
        <v>29</v>
      </c>
      <c r="M5" s="29" cm="1">
        <f t="array" aca="1" ref="M5" ca="1">IFERROR(_FV(Table2[[#This Row],[ETF]],"52 week high",TRUE),"N/A")</f>
        <v>11.71</v>
      </c>
      <c r="N5" s="29" cm="1">
        <f t="array" aca="1" ref="N5" ca="1">IFERROR(_FV(Table2[[#This Row],[ETF]],"52 week low",TRUE),"N/A")</f>
        <v>7.78</v>
      </c>
      <c r="O5" s="6" cm="1">
        <f t="array" aca="1" ref="O5" ca="1">_FV(Table2[[#This Row],[ETF]],"Change (%)",TRUE)</f>
        <v>-1.0149999999999999E-2</v>
      </c>
      <c r="P5" s="32" cm="1">
        <f t="array" aca="1" ref="P5" ca="1">_FV(Table2[[#This Row],[ETF]],"Volume")</f>
        <v>38946</v>
      </c>
      <c r="Q5" s="6" cm="1">
        <f t="array" aca="1" ref="Q5" ca="1">_FV(Table2[[#This Row],[ETF]],"Expense ratio",TRUE)</f>
        <v>6.5000000000000006E-3</v>
      </c>
    </row>
    <row r="6" spans="1:17" ht="15">
      <c r="A6" s="4" t="str" cm="1">
        <f t="array" aca="1" ref="A6" ca="1">_FV(B6,"Name")</f>
        <v>VANG.FTSE ALL WORLD UCITS ETF</v>
      </c>
      <c r="B6" s="4" t="e" vm="111">
        <v>#VALUE!</v>
      </c>
      <c r="C6" s="4" t="str" cm="1">
        <f t="array" aca="1" ref="C6" ca="1">_FV(B6,"Exchange")</f>
        <v>Borsa Italiana</v>
      </c>
      <c r="D6" s="16" t="str" cm="1">
        <f t="array" aca="1" ref="D6" ca="1">_FV(B6,"Currency")</f>
        <v>EUR</v>
      </c>
      <c r="E6" s="10">
        <f t="shared" ca="1" si="3"/>
        <v>46318</v>
      </c>
      <c r="F6" s="16" cm="1">
        <f t="array" aca="1" ref="F6" ca="1">_FV(B6,"Price")</f>
        <v>169.34</v>
      </c>
      <c r="G6" s="6">
        <f t="shared" ca="1" si="0"/>
        <v>0.16625344352617091</v>
      </c>
      <c r="H6" s="6">
        <f t="shared" ca="1" si="1"/>
        <v>0.18394742361742294</v>
      </c>
      <c r="I6" s="6">
        <f t="shared" ca="1" si="2"/>
        <v>0.72619775739041803</v>
      </c>
      <c r="J6" s="17" cm="1">
        <f t="array" aca="1" ref="J6" ca="1">IFERROR(_FV(B6,"Market cap",TRUE),"N/A")</f>
        <v>60193582648.599998</v>
      </c>
      <c r="K6" s="37" t="s">
        <v>25</v>
      </c>
      <c r="L6" s="6" t="s">
        <v>31</v>
      </c>
      <c r="M6" s="29" cm="1">
        <f t="array" aca="1" ref="M6" ca="1">IFERROR(_FV(Table2[[#This Row],[ETF]],"52 week high",TRUE),"N/A")</f>
        <v>173.98</v>
      </c>
      <c r="N6" s="29" cm="1">
        <f t="array" aca="1" ref="N6" ca="1">IFERROR(_FV(Table2[[#This Row],[ETF]],"52 week low",TRUE),"N/A")</f>
        <v>139.19</v>
      </c>
      <c r="O6" s="6" cm="1">
        <f t="array" aca="1" ref="O6" ca="1">_FV(Table2[[#This Row],[ETF]],"Change (%)",TRUE)</f>
        <v>5.3180000000000002E-4</v>
      </c>
      <c r="P6" s="32" cm="1">
        <f t="array" aca="1" ref="P6" ca="1">_FV(Table2[[#This Row],[ETF]],"Volume")</f>
        <v>91572</v>
      </c>
      <c r="Q6" s="6" cm="1">
        <f t="array" aca="1" ref="Q6" ca="1">_FV(Table2[[#This Row],[ETF]],"Expense ratio",TRUE)</f>
        <v>1.4000000000000002E-3</v>
      </c>
    </row>
    <row r="7" spans="1:17" ht="15">
      <c r="A7" s="4" t="str" cm="1">
        <f t="array" aca="1" ref="A7" ca="1">_FV(B7,"Name")</f>
        <v>iShs CoreMSCI Wld ETF USD A</v>
      </c>
      <c r="B7" s="4" t="e" vm="112">
        <v>#VALUE!</v>
      </c>
      <c r="C7" s="4" t="str" cm="1">
        <f t="array" aca="1" ref="C7" ca="1">_FV(B7,"Exchange")</f>
        <v>Borsa Italiana</v>
      </c>
      <c r="D7" s="16" t="str" cm="1">
        <f t="array" aca="1" ref="D7" ca="1">_FV(B7,"Currency")</f>
        <v>EUR</v>
      </c>
      <c r="E7" s="10">
        <f t="shared" ca="1" si="3"/>
        <v>46318</v>
      </c>
      <c r="F7" s="16" cm="1">
        <f t="array" aca="1" ref="F7" ca="1">_FV(B7,"Price")</f>
        <v>129.88999999999999</v>
      </c>
      <c r="G7" s="6">
        <f t="shared" ca="1" si="0"/>
        <v>0.16650202065559042</v>
      </c>
      <c r="H7" s="6">
        <f t="shared" ca="1" si="1"/>
        <v>0.18318455092002173</v>
      </c>
      <c r="I7" s="6">
        <f t="shared" ca="1" si="2"/>
        <v>0.73094349680170545</v>
      </c>
      <c r="J7" s="17" cm="1">
        <f t="array" aca="1" ref="J7" ca="1">IFERROR(_FV(B7,"Market cap",TRUE),"N/A")</f>
        <v>147192361726.67001</v>
      </c>
      <c r="K7" s="37" t="s">
        <v>25</v>
      </c>
      <c r="L7" s="6" t="s">
        <v>32</v>
      </c>
      <c r="M7" s="29" cm="1">
        <f t="array" aca="1" ref="M7" ca="1">IFERROR(_FV(Table2[[#This Row],[ETF]],"52 week high",TRUE),"N/A")</f>
        <v>132.4</v>
      </c>
      <c r="N7" s="29" cm="1">
        <f t="array" aca="1" ref="N7" ca="1">IFERROR(_FV(Table2[[#This Row],[ETF]],"52 week low",TRUE),"N/A")</f>
        <v>106.96</v>
      </c>
      <c r="O7" s="6" cm="1">
        <f t="array" aca="1" ref="O7" ca="1">_FV(Table2[[#This Row],[ETF]],"Change (%)",TRUE)</f>
        <v>-3.079E-4</v>
      </c>
      <c r="P7" s="32" cm="1">
        <f t="array" aca="1" ref="P7" ca="1">_FV(Table2[[#This Row],[ETF]],"Volume")</f>
        <v>63547</v>
      </c>
      <c r="Q7" s="6" cm="1">
        <f t="array" aca="1" ref="Q7" ca="1">_FV(Table2[[#This Row],[ETF]],"Expense ratio",TRUE)</f>
        <v>2E-3</v>
      </c>
    </row>
    <row r="8" spans="1:17" ht="15">
      <c r="A8" s="4" t="str" cm="1">
        <f t="array" aca="1" ref="A8" ca="1">_FV(B8,"Name")</f>
        <v>VANECK DEFENSE UCITS USD ETF</v>
      </c>
      <c r="B8" s="4" t="e" vm="113">
        <v>#VALUE!</v>
      </c>
      <c r="C8" s="4" t="str" cm="1">
        <f t="array" aca="1" ref="C8" ca="1">_FV(B8,"Exchange")</f>
        <v>Borsa Italiana</v>
      </c>
      <c r="D8" s="16" t="str" cm="1">
        <f t="array" aca="1" ref="D8" ca="1">_FV(B8,"Currency")</f>
        <v>EUR</v>
      </c>
      <c r="E8" s="10">
        <f t="shared" ca="1" si="3"/>
        <v>46318</v>
      </c>
      <c r="F8" s="16" cm="1">
        <f t="array" aca="1" ref="F8" ca="1">_FV(B8,"Price")</f>
        <v>50.72</v>
      </c>
      <c r="G8" s="6">
        <f t="shared" ca="1" si="0"/>
        <v>-4.048429814604617E-2</v>
      </c>
      <c r="H8" s="6">
        <f t="shared" ca="1" si="1"/>
        <v>-7.6811066618128851E-2</v>
      </c>
      <c r="I8" s="6">
        <f t="shared" ca="1" si="2"/>
        <v>1.319689000686028</v>
      </c>
      <c r="J8" s="17" cm="1">
        <f t="array" aca="1" ref="J8" ca="1">IFERROR(_FV(B8,"Market cap",TRUE),"N/A")</f>
        <v>6854806450.6300001</v>
      </c>
      <c r="K8" s="37" t="s">
        <v>25</v>
      </c>
      <c r="L8" s="6" t="s">
        <v>33</v>
      </c>
      <c r="M8" s="6" t="str" cm="1">
        <f t="array" ref="M8">IFERROR(_FV(Table2[[#This Row],[ETF]],"52 week high",TRUE),"N/A")</f>
        <v>N/A</v>
      </c>
      <c r="N8" s="6" t="str" cm="1">
        <f t="array" ref="N8">IFERROR(_FV(Table2[[#This Row],[ETF]],"52 week low",TRUE),"N/A")</f>
        <v>N/A</v>
      </c>
      <c r="O8" s="6" cm="1">
        <f t="array" aca="1" ref="O8" ca="1">_FV(Table2[[#This Row],[ETF]],"Change (%)",TRUE)</f>
        <v>-2.5569999999999998E-3</v>
      </c>
      <c r="P8" s="32" cm="1">
        <f t="array" aca="1" ref="P8" ca="1">_FV(Table2[[#This Row],[ETF]],"Volume")</f>
        <v>13758</v>
      </c>
      <c r="Q8" s="6" cm="1">
        <f t="array" aca="1" ref="Q8" ca="1">_FV(Table2[[#This Row],[ETF]],"Expense ratio",TRUE)</f>
        <v>5.5000000000000005E-3</v>
      </c>
    </row>
    <row r="9" spans="1:17" ht="15">
      <c r="A9" s="4" t="str" cm="1">
        <f t="array" aca="1" ref="A9" ca="1">_FV(B9,"Name")</f>
        <v>VANECK VECTORS UCITS ETFS PL ETF</v>
      </c>
      <c r="B9" s="4" t="e" vm="114">
        <v>#VALUE!</v>
      </c>
      <c r="C9" s="4" t="str" cm="1">
        <f t="array" aca="1" ref="C9" ca="1">_FV(B9,"Exchange")</f>
        <v>Borsa Italiana</v>
      </c>
      <c r="D9" s="16" t="str" cm="1">
        <f t="array" aca="1" ref="D9" ca="1">_FV(B9,"Currency")</f>
        <v>EUR</v>
      </c>
      <c r="E9" s="10">
        <f t="shared" ca="1" si="3"/>
        <v>46318</v>
      </c>
      <c r="F9" s="16" cm="1">
        <f t="array" aca="1" ref="F9" ca="1">_FV(B9,"Price")</f>
        <v>87.26</v>
      </c>
      <c r="G9" s="6">
        <f t="shared" ca="1" si="0"/>
        <v>0.59553848966904388</v>
      </c>
      <c r="H9" s="6">
        <f t="shared" ca="1" si="1"/>
        <v>0.72008673368815312</v>
      </c>
      <c r="I9" s="6">
        <f t="shared" ca="1" si="2"/>
        <v>2.4876099120703441</v>
      </c>
      <c r="J9" s="17" cm="1">
        <f t="array" aca="1" ref="J9" ca="1">IFERROR(_FV(B9,"Market cap",TRUE),"N/A")</f>
        <v>9589744251.5499992</v>
      </c>
      <c r="K9" s="37" t="s">
        <v>25</v>
      </c>
      <c r="L9" s="6" t="s">
        <v>34</v>
      </c>
      <c r="M9" s="29" cm="1">
        <f t="array" aca="1" ref="M9" ca="1">IFERROR(_FV(Table2[[#This Row],[ETF]],"52 week high",TRUE),"N/A")</f>
        <v>110.9</v>
      </c>
      <c r="N9" s="29" cm="1">
        <f t="array" aca="1" ref="N9" ca="1">IFERROR(_FV(Table2[[#This Row],[ETF]],"52 week low",TRUE),"N/A")</f>
        <v>46.59</v>
      </c>
      <c r="O9" s="6" cm="1">
        <f t="array" aca="1" ref="O9" ca="1">_FV(Table2[[#This Row],[ETF]],"Change (%)",TRUE)</f>
        <v>7.7380000000000001E-3</v>
      </c>
      <c r="P9" s="32" cm="1">
        <f t="array" aca="1" ref="P9" ca="1">_FV(Table2[[#This Row],[ETF]],"Volume")</f>
        <v>35937</v>
      </c>
      <c r="Q9" s="6" cm="1">
        <f t="array" aca="1" ref="Q9" ca="1">_FV(Table2[[#This Row],[ETF]],"Expense ratio",TRUE)</f>
        <v>3.4999999999999996E-3</v>
      </c>
    </row>
    <row r="10" spans="1:17" ht="15">
      <c r="A10" s="4" t="str" cm="1">
        <f t="array" aca="1" ref="A10" ca="1">_FV(B10,"Name")</f>
        <v>iShs € HY Corp Bd ETF EUR D</v>
      </c>
      <c r="B10" s="4" t="e" vm="115">
        <v>#VALUE!</v>
      </c>
      <c r="C10" s="4" t="str" cm="1">
        <f t="array" aca="1" ref="C10" ca="1">_FV(B10,"Exchange")</f>
        <v>Borsa Italiana</v>
      </c>
      <c r="D10" s="16" t="str" cm="1">
        <f t="array" aca="1" ref="D10" ca="1">_FV(B10,"Currency")</f>
        <v>EUR</v>
      </c>
      <c r="E10" s="10">
        <f t="shared" ca="1" si="3"/>
        <v>46318</v>
      </c>
      <c r="F10" s="16" cm="1">
        <f t="array" aca="1" ref="F10" ca="1">_FV(B10,"Price")</f>
        <v>87.21</v>
      </c>
      <c r="G10" s="6">
        <f t="shared" ca="1" si="0"/>
        <v>-6.4972660019298842E-2</v>
      </c>
      <c r="H10" s="6">
        <f t="shared" ca="1" si="1"/>
        <v>-5.6985294117647169E-2</v>
      </c>
      <c r="I10" s="6">
        <f t="shared" ca="1" si="2"/>
        <v>-1.2344280860702191E-2</v>
      </c>
      <c r="J10" s="17" cm="1">
        <f t="array" aca="1" ref="J10" ca="1">IFERROR(_FV(B10,"Market cap",TRUE),"N/A")</f>
        <v>4845468908.4200001</v>
      </c>
      <c r="K10" s="37" t="s">
        <v>26</v>
      </c>
      <c r="L10" s="6" t="s">
        <v>35</v>
      </c>
      <c r="M10" s="29" cm="1">
        <f t="array" aca="1" ref="M10" ca="1">IFERROR(_FV(Table2[[#This Row],[ETF]],"52 week high",TRUE),"N/A")</f>
        <v>93.85</v>
      </c>
      <c r="N10" s="29" cm="1">
        <f t="array" aca="1" ref="N10" ca="1">IFERROR(_FV(Table2[[#This Row],[ETF]],"52 week low",TRUE),"N/A")</f>
        <v>87.12</v>
      </c>
      <c r="O10" s="6" cm="1">
        <f t="array" aca="1" ref="O10" ca="1">_FV(Table2[[#This Row],[ETF]],"Change (%)",TRUE)</f>
        <v>-6.1539999999999997E-3</v>
      </c>
      <c r="P10" s="32" cm="1">
        <f t="array" aca="1" ref="P10" ca="1">_FV(Table2[[#This Row],[ETF]],"Volume")</f>
        <v>20743</v>
      </c>
      <c r="Q10" s="6" cm="1">
        <f t="array" aca="1" ref="Q10" ca="1">_FV(Table2[[#This Row],[ETF]],"Expense ratio",TRUE)</f>
        <v>5.0000000000000001E-3</v>
      </c>
    </row>
    <row r="11" spans="1:17" ht="15">
      <c r="A11" s="4" t="str" cm="1">
        <f t="array" aca="1" ref="A11" ca="1">_FV(B11,"Name")</f>
        <v>iShs € Gvt Bd 3-5yr ETF EUR D</v>
      </c>
      <c r="B11" s="4" t="e" vm="116">
        <v>#VALUE!</v>
      </c>
      <c r="C11" s="4" t="str" cm="1">
        <f t="array" aca="1" ref="C11" ca="1">_FV(B11,"Exchange")</f>
        <v>Borsa Italiana</v>
      </c>
      <c r="D11" s="16" t="str" cm="1">
        <f t="array" aca="1" ref="D11" ca="1">_FV(B11,"Currency")</f>
        <v>EUR</v>
      </c>
      <c r="E11" s="10">
        <f t="shared" ca="1" si="3"/>
        <v>46318</v>
      </c>
      <c r="F11" s="16" cm="1">
        <f t="array" aca="1" ref="F11" ca="1">_FV(B11,"Price")</f>
        <v>156.51</v>
      </c>
      <c r="G11" s="6">
        <f t="shared" ca="1" si="0"/>
        <v>-2.8732778949981358E-2</v>
      </c>
      <c r="H11" s="6">
        <f t="shared" ca="1" si="1"/>
        <v>-4.3512803275682972E-2</v>
      </c>
      <c r="I11" s="6">
        <f t="shared" ca="1" si="2"/>
        <v>-2.4220791637452705E-3</v>
      </c>
      <c r="J11" s="17" cm="1">
        <f t="array" aca="1" ref="J11" ca="1">IFERROR(_FV(B11,"Market cap",TRUE),"N/A")</f>
        <v>2023380506.26</v>
      </c>
      <c r="K11" s="37" t="s">
        <v>26</v>
      </c>
      <c r="L11" s="6" t="s">
        <v>36</v>
      </c>
      <c r="M11" s="29" cm="1">
        <f t="array" aca="1" ref="M11" ca="1">IFERROR(_FV(Table2[[#This Row],[ETF]],"52 week high",TRUE),"N/A")</f>
        <v>163.78</v>
      </c>
      <c r="N11" s="29" cm="1">
        <f t="array" aca="1" ref="N11" ca="1">IFERROR(_FV(Table2[[#This Row],[ETF]],"52 week low",TRUE),"N/A")</f>
        <v>155.87</v>
      </c>
      <c r="O11" s="6" cm="1">
        <f t="array" aca="1" ref="O11" ca="1">_FV(Table2[[#This Row],[ETF]],"Change (%)",TRUE)</f>
        <v>8.3129999999999999E-4</v>
      </c>
      <c r="P11" s="32" cm="1">
        <f t="array" aca="1" ref="P11" ca="1">_FV(Table2[[#This Row],[ETF]],"Volume")</f>
        <v>2569</v>
      </c>
      <c r="Q11" s="6" cm="1">
        <f t="array" aca="1" ref="Q11" ca="1">_FV(Table2[[#This Row],[ETF]],"Expense ratio",TRUE)</f>
        <v>1.5E-3</v>
      </c>
    </row>
    <row r="12" spans="1:17" ht="15">
      <c r="A12" s="4" t="str" cm="1">
        <f t="array" aca="1" ref="A12" ca="1">_FV(B12,"Name")</f>
        <v>ISHRS ITALY GOVT BOND EUR ETF</v>
      </c>
      <c r="B12" s="4" t="e" vm="117">
        <v>#VALUE!</v>
      </c>
      <c r="C12" s="4" t="str" cm="1">
        <f t="array" aca="1" ref="C12" ca="1">_FV(B12,"Exchange")</f>
        <v>Borsa Italiana</v>
      </c>
      <c r="D12" s="16" t="str" cm="1">
        <f t="array" aca="1" ref="D12" ca="1">_FV(B12,"Currency")</f>
        <v>EUR</v>
      </c>
      <c r="E12" s="10">
        <f t="shared" ca="1" si="3"/>
        <v>46318</v>
      </c>
      <c r="F12" s="16" cm="1">
        <f t="array" aca="1" ref="F12" ca="1">_FV(B12,"Price")</f>
        <v>144.88</v>
      </c>
      <c r="G12" s="6">
        <f t="shared" ca="1" si="0"/>
        <v>-4.1798941798941759E-2</v>
      </c>
      <c r="H12" s="6">
        <f t="shared" ca="1" si="1"/>
        <v>-6.2629399585921369E-2</v>
      </c>
      <c r="I12" s="6">
        <f t="shared" ca="1" si="2"/>
        <v>4.0505601838552042E-2</v>
      </c>
      <c r="J12" s="17" cm="1">
        <f t="array" aca="1" ref="J12" ca="1">IFERROR(_FV(B12,"Market cap",TRUE),"N/A")</f>
        <v>498742653.88999999</v>
      </c>
      <c r="K12" s="37" t="s">
        <v>26</v>
      </c>
      <c r="L12" s="6" t="s">
        <v>37</v>
      </c>
      <c r="M12" s="29" cm="1">
        <f t="array" aca="1" ref="M12" ca="1">IFERROR(_FV(Table2[[#This Row],[ETF]],"52 week high",TRUE),"N/A")</f>
        <v>154.82</v>
      </c>
      <c r="N12" s="29" cm="1">
        <f t="array" aca="1" ref="N12" ca="1">IFERROR(_FV(Table2[[#This Row],[ETF]],"52 week low",TRUE),"N/A")</f>
        <v>143.25</v>
      </c>
      <c r="O12" s="6" cm="1">
        <f t="array" aca="1" ref="O12" ca="1">_FV(Table2[[#This Row],[ETF]],"Change (%)",TRUE)</f>
        <v>1.5210000000000002E-3</v>
      </c>
      <c r="P12" s="32" cm="1">
        <f t="array" aca="1" ref="P12" ca="1">_FV(Table2[[#This Row],[ETF]],"Volume")</f>
        <v>2165</v>
      </c>
      <c r="Q12" s="6" cm="1">
        <f t="array" aca="1" ref="Q12" ca="1">_FV(Table2[[#This Row],[ETF]],"Expense ratio",TRUE)</f>
        <v>2E-3</v>
      </c>
    </row>
    <row r="13" spans="1:17" ht="15">
      <c r="A13" s="4" t="str" cm="1">
        <f t="array" aca="1" ref="A13" ca="1">_FV(B13,"Name")</f>
        <v>AMD 1-3Y BTP ETF</v>
      </c>
      <c r="B13" s="4" t="e" vm="118">
        <v>#VALUE!</v>
      </c>
      <c r="C13" s="4" t="str" cm="1">
        <f t="array" aca="1" ref="C13" ca="1">_FV(B13,"Exchange")</f>
        <v>Borsa Italiana</v>
      </c>
      <c r="D13" s="16" t="str" cm="1">
        <f t="array" aca="1" ref="D13" ca="1">_FV(B13,"Currency")</f>
        <v>EUR</v>
      </c>
      <c r="E13" s="10">
        <f t="shared" ca="1" si="3"/>
        <v>46318</v>
      </c>
      <c r="F13" s="16" cm="1">
        <f t="array" aca="1" ref="F13" ca="1">_FV(B13,"Price")</f>
        <v>104.43</v>
      </c>
      <c r="G13" s="6">
        <f t="shared" ca="1" si="0"/>
        <v>4.7901896915128733E-4</v>
      </c>
      <c r="H13" s="6">
        <f t="shared" ca="1" si="1"/>
        <v>-2.3471105292687405E-2</v>
      </c>
      <c r="I13" s="6">
        <f t="shared" ca="1" si="2"/>
        <v>2.896837126810535E-2</v>
      </c>
      <c r="J13" s="17" cm="1">
        <f t="array" aca="1" ref="J13" ca="1">IFERROR(_FV(B13,"Market cap",TRUE),"N/A")</f>
        <v>174866980.39899999</v>
      </c>
      <c r="K13" s="37" t="s">
        <v>26</v>
      </c>
      <c r="L13" s="6" t="s">
        <v>37</v>
      </c>
      <c r="M13" s="29" cm="1">
        <f t="array" aca="1" ref="M13" ca="1">IFERROR(_FV(Table2[[#This Row],[ETF]],"52 week high",TRUE),"N/A")</f>
        <v>107.62</v>
      </c>
      <c r="N13" s="29" cm="1">
        <f t="array" aca="1" ref="N13" ca="1">IFERROR(_FV(Table2[[#This Row],[ETF]],"52 week low",TRUE),"N/A")</f>
        <v>102.06</v>
      </c>
      <c r="O13" s="6" cm="1">
        <f t="array" aca="1" ref="O13" ca="1">_FV(Table2[[#This Row],[ETF]],"Change (%)",TRUE)</f>
        <v>1.3420000000000001E-3</v>
      </c>
      <c r="P13" s="32" cm="1">
        <f t="array" aca="1" ref="P13" ca="1">_FV(Table2[[#This Row],[ETF]],"Volume")</f>
        <v>1575</v>
      </c>
      <c r="Q13" s="6" cm="1">
        <f t="array" aca="1" ref="Q13" ca="1">_FV(Table2[[#This Row],[ETF]],"Expense ratio",TRUE)</f>
        <v>1.7000000000000001E-3</v>
      </c>
    </row>
    <row r="14" spans="1:17" ht="15">
      <c r="A14" s="4" t="str" cm="1">
        <f t="array" aca="1" ref="A14" ca="1">_FV(B14,"Name")</f>
        <v>X-TRACKERS CSI300 INDEX ETF</v>
      </c>
      <c r="B14" s="4" t="e" vm="119">
        <v>#VALUE!</v>
      </c>
      <c r="C14" s="4" t="str" cm="1">
        <f t="array" aca="1" ref="C14" ca="1">_FV(B14,"Exchange")</f>
        <v>Borsa Italiana</v>
      </c>
      <c r="D14" s="16" t="str" cm="1">
        <f t="array" aca="1" ref="D14" ca="1">_FV(B14,"Currency")</f>
        <v>EUR</v>
      </c>
      <c r="E14" s="10">
        <f t="shared" ca="1" si="3"/>
        <v>46318</v>
      </c>
      <c r="F14" s="16" cm="1">
        <f t="array" aca="1" ref="F14" ca="1">_FV(B14,"Price")</f>
        <v>17.033999999999999</v>
      </c>
      <c r="G14" s="6">
        <f t="shared" ca="1" si="0"/>
        <v>1.0200450717589883E-2</v>
      </c>
      <c r="H14" s="6">
        <f t="shared" ca="1" si="1"/>
        <v>4.3238608525232702E-2</v>
      </c>
      <c r="I14" s="6">
        <f t="shared" ca="1" si="2"/>
        <v>0.41926345609065141</v>
      </c>
      <c r="J14" s="17" cm="1">
        <f t="array" aca="1" ref="J14" ca="1">IFERROR(_FV(B14,"Market cap",TRUE),"N/A")</f>
        <v>1972389600</v>
      </c>
      <c r="K14" s="37" t="s">
        <v>25</v>
      </c>
      <c r="L14" s="6" t="s">
        <v>38</v>
      </c>
      <c r="M14" s="29" cm="1">
        <f t="array" aca="1" ref="M14" ca="1">IFERROR(_FV(Table2[[#This Row],[ETF]],"52 week high",TRUE),"N/A")</f>
        <v>19.86</v>
      </c>
      <c r="N14" s="29" cm="1">
        <f t="array" aca="1" ref="N14" ca="1">IFERROR(_FV(Table2[[#This Row],[ETF]],"52 week low",TRUE),"N/A")</f>
        <v>15.86</v>
      </c>
      <c r="O14" s="6" cm="1">
        <f t="array" aca="1" ref="O14" ca="1">_FV(Table2[[#This Row],[ETF]],"Change (%)",TRUE)</f>
        <v>1.1399999999999999E-2</v>
      </c>
      <c r="P14" s="32" cm="1">
        <f t="array" aca="1" ref="P14" ca="1">_FV(Table2[[#This Row],[ETF]],"Volume")</f>
        <v>43633</v>
      </c>
      <c r="Q14" s="6" cm="1">
        <f t="array" aca="1" ref="Q14" ca="1">_FV(Table2[[#This Row],[ETF]],"Expense ratio",TRUE)</f>
        <v>5.0000000000000001E-3</v>
      </c>
    </row>
    <row r="15" spans="1:17" ht="15">
      <c r="A15" s="4" t="str" cm="1">
        <f t="array" aca="1" ref="A15" ca="1">_FV(B15,"Name")</f>
        <v>iShs Core EURO STOXX 50 ETF A</v>
      </c>
      <c r="B15" s="4" t="e" vm="120">
        <v>#VALUE!</v>
      </c>
      <c r="C15" s="4" t="str" cm="1">
        <f t="array" aca="1" ref="C15" ca="1">_FV(B15,"Exchange")</f>
        <v>Euronext Amsterdam</v>
      </c>
      <c r="D15" s="16" t="str" cm="1">
        <f t="array" aca="1" ref="D15" ca="1">_FV(B15,"Currency")</f>
        <v>EUR</v>
      </c>
      <c r="E15" s="10">
        <f t="shared" ca="1" si="3"/>
        <v>46318</v>
      </c>
      <c r="F15" s="16" cm="1">
        <f t="array" aca="1" ref="F15" ca="1">_FV(B15,"Price")</f>
        <v>236.7</v>
      </c>
      <c r="G15" s="6">
        <f t="shared" ca="1" si="0"/>
        <v>6.9588793492995821E-2</v>
      </c>
      <c r="H15" s="6">
        <f t="shared" ca="1" si="1"/>
        <v>9.7357440890125185E-2</v>
      </c>
      <c r="I15" s="6">
        <f t="shared" ca="1" si="2"/>
        <v>0.6315136476426797</v>
      </c>
      <c r="J15" s="17" cm="1">
        <f t="array" aca="1" ref="J15" ca="1">IFERROR(_FV(B15,"Market cap",TRUE),"N/A")</f>
        <v>7679811040.0200005</v>
      </c>
      <c r="K15" s="37" t="s">
        <v>25</v>
      </c>
      <c r="L15" s="6" t="s">
        <v>39</v>
      </c>
      <c r="M15" s="29" cm="1">
        <f t="array" aca="1" ref="M15" ca="1">IFERROR(_FV(Table2[[#This Row],[ETF]],"52 week high",TRUE),"N/A")</f>
        <v>256.5</v>
      </c>
      <c r="N15" s="29" cm="1">
        <f t="array" aca="1" ref="N15" ca="1">IFERROR(_FV(Table2[[#This Row],[ETF]],"52 week low",TRUE),"N/A")</f>
        <v>205.5</v>
      </c>
      <c r="O15" s="6" cm="1">
        <f t="array" aca="1" ref="O15" ca="1">_FV(Table2[[#This Row],[ETF]],"Change (%)",TRUE)</f>
        <v>-3.9969999999999997E-3</v>
      </c>
      <c r="P15" s="32" cm="1">
        <f t="array" aca="1" ref="P15" ca="1">_FV(Table2[[#This Row],[ETF]],"Volume")</f>
        <v>5595</v>
      </c>
      <c r="Q15" s="6" cm="1">
        <f t="array" aca="1" ref="Q15" ca="1">_FV(Table2[[#This Row],[ETF]],"Expense ratio",TRUE)</f>
        <v>1E-3</v>
      </c>
    </row>
    <row r="16" spans="1:17" ht="15">
      <c r="A16" s="4" t="str" cm="1">
        <f t="array" aca="1" ref="A16" ca="1">_FV(B16,"Name")</f>
        <v>X MSCI EUROPE SM CAP TRN INDEX ETF</v>
      </c>
      <c r="B16" s="4" t="e" vm="121">
        <v>#VALUE!</v>
      </c>
      <c r="C16" s="4" t="str" cm="1">
        <f t="array" aca="1" ref="C16" ca="1">_FV(B16,"Exchange")</f>
        <v>Borsa Italiana</v>
      </c>
      <c r="D16" s="16" t="str" cm="1">
        <f t="array" aca="1" ref="D16" ca="1">_FV(B16,"Currency")</f>
        <v>EUR</v>
      </c>
      <c r="E16" s="10">
        <f t="shared" ca="1" si="3"/>
        <v>46318</v>
      </c>
      <c r="F16" s="16" cm="1">
        <f t="array" aca="1" ref="F16" ca="1">_FV(B16,"Price")</f>
        <v>73.69</v>
      </c>
      <c r="G16" s="6">
        <f t="shared" ca="1" si="0"/>
        <v>7.9548784060943331E-2</v>
      </c>
      <c r="H16" s="6">
        <f t="shared" ca="1" si="1"/>
        <v>9.6088055927413263E-2</v>
      </c>
      <c r="I16" s="6">
        <f t="shared" ca="1" si="2"/>
        <v>0.57155043719343135</v>
      </c>
      <c r="J16" s="17" cm="1">
        <f t="array" aca="1" ref="J16" ca="1">IFERROR(_FV(B16,"Market cap",TRUE),"N/A")</f>
        <v>3669944800</v>
      </c>
      <c r="K16" s="37" t="s">
        <v>25</v>
      </c>
      <c r="L16" s="6" t="s">
        <v>40</v>
      </c>
      <c r="M16" s="29" cm="1">
        <f t="array" aca="1" ref="M16" ca="1">IFERROR(_FV(Table2[[#This Row],[ETF]],"52 week high",TRUE),"N/A")</f>
        <v>76.489999999999995</v>
      </c>
      <c r="N16" s="29" cm="1">
        <f t="array" aca="1" ref="N16" ca="1">IFERROR(_FV(Table2[[#This Row],[ETF]],"52 week low",TRUE),"N/A")</f>
        <v>60.77</v>
      </c>
      <c r="O16" s="6" cm="1">
        <f t="array" aca="1" ref="O16" ca="1">_FV(Table2[[#This Row],[ETF]],"Change (%)",TRUE)</f>
        <v>-1.2199999999999999E-3</v>
      </c>
      <c r="P16" s="32" cm="1">
        <f t="array" aca="1" ref="P16" ca="1">_FV(Table2[[#This Row],[ETF]],"Volume")</f>
        <v>4302</v>
      </c>
      <c r="Q16" s="6" cm="1">
        <f t="array" aca="1" ref="Q16" ca="1">_FV(Table2[[#This Row],[ETF]],"Expense ratio",TRUE)</f>
        <v>3.0000000000000001E-3</v>
      </c>
    </row>
    <row r="17" spans="1:17" ht="15">
      <c r="A17" s="4" t="str" cm="1">
        <f t="array" aca="1" ref="A17" ca="1">_FV(B17,"Name")</f>
        <v>iShs Gbl Infrastruct ETF USD D</v>
      </c>
      <c r="B17" s="4" t="e" vm="122">
        <v>#VALUE!</v>
      </c>
      <c r="C17" s="4" t="str" cm="1">
        <f t="array" aca="1" ref="C17" ca="1">_FV(B17,"Exchange")</f>
        <v>Borsa Italiana</v>
      </c>
      <c r="D17" s="16" t="str" cm="1">
        <f t="array" aca="1" ref="D17" ca="1">_FV(B17,"Currency")</f>
        <v>EUR</v>
      </c>
      <c r="E17" s="10">
        <f t="shared" ca="1" si="3"/>
        <v>46318</v>
      </c>
      <c r="F17" s="16" cm="1">
        <f t="array" aca="1" ref="F17" ca="1">_FV(B17,"Price")</f>
        <v>34.6</v>
      </c>
      <c r="G17" s="6">
        <f t="shared" ca="1" si="0"/>
        <v>0.13368283093053743</v>
      </c>
      <c r="H17" s="6">
        <f t="shared" ca="1" si="1"/>
        <v>0.11415231041700215</v>
      </c>
      <c r="I17" s="6">
        <f t="shared" ca="1" si="2"/>
        <v>0.36247292774168149</v>
      </c>
      <c r="J17" s="17" cm="1">
        <f t="array" aca="1" ref="J17" ca="1">IFERROR(_FV(B17,"Market cap",TRUE),"N/A")</f>
        <v>2433789857.5900002</v>
      </c>
      <c r="K17" s="37" t="s">
        <v>25</v>
      </c>
      <c r="L17" s="6" t="s">
        <v>41</v>
      </c>
      <c r="M17" s="29" cm="1">
        <f t="array" aca="1" ref="M17" ca="1">IFERROR(_FV(Table2[[#This Row],[ETF]],"52 week high",TRUE),"N/A")</f>
        <v>35.65</v>
      </c>
      <c r="N17" s="29" cm="1">
        <f t="array" aca="1" ref="N17" ca="1">IFERROR(_FV(Table2[[#This Row],[ETF]],"52 week low",TRUE),"N/A")</f>
        <v>29.59</v>
      </c>
      <c r="O17" s="6" cm="1">
        <f t="array" aca="1" ref="O17" ca="1">_FV(Table2[[#This Row],[ETF]],"Change (%)",TRUE)</f>
        <v>1.0219000000000001E-2</v>
      </c>
      <c r="P17" s="32" cm="1">
        <f t="array" aca="1" ref="P17" ca="1">_FV(Table2[[#This Row],[ETF]],"Volume")</f>
        <v>11834</v>
      </c>
      <c r="Q17" s="6" cm="1">
        <f t="array" aca="1" ref="Q17" ca="1">_FV(Table2[[#This Row],[ETF]],"Expense ratio",TRUE)</f>
        <v>6.5000000000000006E-3</v>
      </c>
    </row>
    <row r="18" spans="1:17" ht="15">
      <c r="A18" s="4" t="str" cm="1">
        <f t="array" aca="1" ref="A18" ca="1">_FV(B18,"Name")</f>
        <v>MULTI UNITS LUX</v>
      </c>
      <c r="B18" s="4" t="e" vm="123">
        <v>#VALUE!</v>
      </c>
      <c r="C18" s="4" t="str" cm="1">
        <f t="array" aca="1" ref="C18" ca="1">_FV(B18,"Exchange")</f>
        <v>Borsa Italiana</v>
      </c>
      <c r="D18" s="16" t="str" cm="1">
        <f t="array" aca="1" ref="D18" ca="1">_FV(B18,"Currency")</f>
        <v>EUR</v>
      </c>
      <c r="E18" s="10">
        <f t="shared" ca="1" si="3"/>
        <v>46318</v>
      </c>
      <c r="F18" s="16" cm="1">
        <f t="array" aca="1" ref="F18" ca="1">_FV(B18,"Price")</f>
        <v>117.2</v>
      </c>
      <c r="G18" s="6">
        <f t="shared" ca="1" si="0"/>
        <v>0.19093588049994925</v>
      </c>
      <c r="H18" s="6">
        <f t="shared" ca="1" si="1"/>
        <v>0.17352558325823569</v>
      </c>
      <c r="I18" s="6">
        <f t="shared" ca="1" si="2"/>
        <v>0.63367716754948444</v>
      </c>
      <c r="J18" s="17" cm="1">
        <f t="array" aca="1" ref="J18" ca="1">IFERROR(_FV(B18,"Market cap",TRUE),"N/A")</f>
        <v>209006282.72</v>
      </c>
      <c r="K18" s="37" t="s">
        <v>25</v>
      </c>
      <c r="L18" s="6" t="s">
        <v>42</v>
      </c>
      <c r="M18" s="29" cm="1">
        <f t="array" aca="1" ref="M18" ca="1">IFERROR(_FV(Table2[[#This Row],[ETF]],"52 week high",TRUE),"N/A")</f>
        <v>125.4</v>
      </c>
      <c r="N18" s="29" cm="1">
        <f t="array" aca="1" ref="N18" ca="1">IFERROR(_FV(Table2[[#This Row],[ETF]],"52 week low",TRUE),"N/A")</f>
        <v>89.55</v>
      </c>
      <c r="O18" s="6" cm="1">
        <f t="array" aca="1" ref="O18" ca="1">_FV(Table2[[#This Row],[ETF]],"Change (%)",TRUE)</f>
        <v>-9.4660000000000005E-3</v>
      </c>
      <c r="P18" s="32" cm="1">
        <f t="array" aca="1" ref="P18" ca="1">_FV(Table2[[#This Row],[ETF]],"Volume")</f>
        <v>1260</v>
      </c>
      <c r="Q18" s="6" cm="1">
        <f t="array" aca="1" ref="Q18" ca="1">_FV(Table2[[#This Row],[ETF]],"Expense ratio",TRUE)</f>
        <v>3.0000000000000001E-3</v>
      </c>
    </row>
    <row r="19" spans="1:17" ht="15">
      <c r="A19" s="4" t="str" cm="1">
        <f t="array" aca="1" ref="A19" ca="1">_FV(B19,"Name")</f>
        <v>iShs MSCI Gbl Smcndt ETF USD A</v>
      </c>
      <c r="B19" s="4" t="e" vm="124">
        <v>#VALUE!</v>
      </c>
      <c r="C19" s="4" t="str" cm="1">
        <f t="array" aca="1" ref="C19" ca="1">_FV(B19,"Exchange")</f>
        <v>Euronext Amsterdam</v>
      </c>
      <c r="D19" s="16" t="str" cm="1">
        <f t="array" aca="1" ref="D19" ca="1">_FV(B19,"Currency")</f>
        <v>USD</v>
      </c>
      <c r="E19" s="10">
        <f t="shared" ca="1" si="3"/>
        <v>46318</v>
      </c>
      <c r="F19" s="16" cm="1">
        <f t="array" aca="1" ref="F19" ca="1">_FV(B19,"Price")</f>
        <v>18.059999999999999</v>
      </c>
      <c r="G19" s="6">
        <f t="shared" ca="1" si="0"/>
        <v>0.61509568950098359</v>
      </c>
      <c r="H19" s="6">
        <f t="shared" ca="1" si="1"/>
        <v>0.72723794950267784</v>
      </c>
      <c r="I19" s="6">
        <f t="shared" ca="1" si="2"/>
        <v>2.5719936708860756</v>
      </c>
      <c r="J19" s="17" cm="1">
        <f t="array" aca="1" ref="J19" ca="1">IFERROR(_FV(B19,"Market cap",TRUE),"N/A")</f>
        <v>6627575929.1899996</v>
      </c>
      <c r="K19" s="37" t="s">
        <v>25</v>
      </c>
      <c r="L19" s="6" t="s">
        <v>34</v>
      </c>
      <c r="M19" s="30" cm="1">
        <f t="array" aca="1" ref="M19" ca="1">IFERROR(_FV(Table2[[#This Row],[ETF]],"52 week high",TRUE),"N/A")</f>
        <v>24.59</v>
      </c>
      <c r="N19" s="30" cm="1">
        <f t="array" aca="1" ref="N19" ca="1">IFERROR(_FV(Table2[[#This Row],[ETF]],"52 week low",TRUE),"N/A")</f>
        <v>9.6</v>
      </c>
      <c r="O19" s="6" cm="1">
        <f t="array" aca="1" ref="O19" ca="1">_FV(Table2[[#This Row],[ETF]],"Change (%)",TRUE)</f>
        <v>8.1499999999999993E-3</v>
      </c>
      <c r="P19" s="32" cm="1">
        <f t="array" aca="1" ref="P19" ca="1">_FV(Table2[[#This Row],[ETF]],"Volume")</f>
        <v>172234</v>
      </c>
      <c r="Q19" s="6" cm="1">
        <f t="array" aca="1" ref="Q19" ca="1">_FV(Table2[[#This Row],[ETF]],"Expense ratio",TRUE)</f>
        <v>3.4999999999999996E-3</v>
      </c>
    </row>
    <row r="20" spans="1:17" ht="15">
      <c r="A20" s="4" t="str" cm="1">
        <f t="array" aca="1" ref="A20" ca="1">_FV(B20,"Name")</f>
        <v>iShs $ HY Crp Bd ETF USD D</v>
      </c>
      <c r="B20" s="4" t="e" vm="125">
        <v>#VALUE!</v>
      </c>
      <c r="C20" s="4" t="str" cm="1">
        <f t="array" aca="1" ref="C20" ca="1">_FV(B20,"Exchange")</f>
        <v>Borsa Italiana</v>
      </c>
      <c r="D20" s="16" t="str" cm="1">
        <f t="array" aca="1" ref="D20" ca="1">_FV(B20,"Currency")</f>
        <v>EUR</v>
      </c>
      <c r="E20" s="10">
        <f t="shared" ca="1" si="3"/>
        <v>46318</v>
      </c>
      <c r="F20" s="16" cm="1">
        <f t="array" aca="1" ref="F20" ca="1">_FV(B20,"Price")</f>
        <v>81.55</v>
      </c>
      <c r="G20" s="6">
        <f t="shared" ca="1" si="0"/>
        <v>-1.9581446579365635E-3</v>
      </c>
      <c r="H20" s="6">
        <f t="shared" ca="1" si="1"/>
        <v>-3.1817642170248212E-2</v>
      </c>
      <c r="I20" s="6">
        <f t="shared" ca="1" si="2"/>
        <v>-2.0420420420420454E-2</v>
      </c>
      <c r="J20" s="17" cm="1">
        <f t="array" aca="1" ref="J20" ca="1">IFERROR(_FV(B20,"Market cap",TRUE),"N/A")</f>
        <v>2130790517.79</v>
      </c>
      <c r="K20" s="37" t="s">
        <v>26</v>
      </c>
      <c r="L20" s="6" t="s">
        <v>35</v>
      </c>
      <c r="M20" s="29" cm="1">
        <f t="array" aca="1" ref="M20" ca="1">IFERROR(_FV(Table2[[#This Row],[ETF]],"52 week high",TRUE),"N/A")</f>
        <v>85.03</v>
      </c>
      <c r="N20" s="29" cm="1">
        <f t="array" aca="1" ref="N20" ca="1">IFERROR(_FV(Table2[[#This Row],[ETF]],"52 week low",TRUE),"N/A")</f>
        <v>79.7</v>
      </c>
      <c r="O20" s="6" cm="1">
        <f t="array" aca="1" ref="O20" ca="1">_FV(Table2[[#This Row],[ETF]],"Change (%)",TRUE)</f>
        <v>3.68E-4</v>
      </c>
      <c r="P20" s="32" cm="1">
        <f t="array" aca="1" ref="P20" ca="1">_FV(Table2[[#This Row],[ETF]],"Volume")</f>
        <v>282</v>
      </c>
      <c r="Q20" s="6" cm="1">
        <f t="array" aca="1" ref="Q20" ca="1">_FV(Table2[[#This Row],[ETF]],"Expense ratio",TRUE)</f>
        <v>5.0000000000000001E-3</v>
      </c>
    </row>
    <row r="21" spans="1:17" ht="15">
      <c r="A21" s="4" t="str" cm="1">
        <f t="array" aca="1" ref="A21" ca="1">_FV(B21,"Name")</f>
        <v>iShs Core € Crp Bd ETF EUR D</v>
      </c>
      <c r="B21" s="4" t="e" vm="126">
        <v>#VALUE!</v>
      </c>
      <c r="C21" s="4" t="str" cm="1">
        <f t="array" aca="1" ref="C21" ca="1">_FV(B21,"Exchange")</f>
        <v>Borsa Italiana</v>
      </c>
      <c r="D21" s="16" t="str" cm="1">
        <f t="array" aca="1" ref="D21" ca="1">_FV(B21,"Currency")</f>
        <v>EUR</v>
      </c>
      <c r="E21" s="10">
        <f t="shared" ca="1" si="3"/>
        <v>46318</v>
      </c>
      <c r="F21" s="16" cm="1">
        <f t="array" aca="1" ref="F21" ca="1">_FV(B21,"Price")</f>
        <v>115.92</v>
      </c>
      <c r="G21" s="6">
        <f t="shared" ca="1" si="0"/>
        <v>-4.1032428855062822E-2</v>
      </c>
      <c r="H21" s="6">
        <f t="shared" ca="1" si="1"/>
        <v>-4.6867291563887539E-2</v>
      </c>
      <c r="I21" s="6">
        <f t="shared" ca="1" si="2"/>
        <v>2.0512369046570986E-2</v>
      </c>
      <c r="J21" s="17" cm="1">
        <f t="array" aca="1" ref="J21" ca="1">IFERROR(_FV(B21,"Market cap",TRUE),"N/A")</f>
        <v>8593788827.6800003</v>
      </c>
      <c r="K21" s="37" t="s">
        <v>26</v>
      </c>
      <c r="L21" s="6" t="s">
        <v>43</v>
      </c>
      <c r="M21" s="29" cm="1">
        <f t="array" aca="1" ref="M21" ca="1">IFERROR(_FV(Table2[[#This Row],[ETF]],"52 week high",TRUE),"N/A")</f>
        <v>121.87</v>
      </c>
      <c r="N21" s="29" cm="1">
        <f t="array" aca="1" ref="N21" ca="1">IFERROR(_FV(Table2[[#This Row],[ETF]],"52 week low",TRUE),"N/A")</f>
        <v>115.1</v>
      </c>
      <c r="O21" s="6" cm="1">
        <f t="array" aca="1" ref="O21" ca="1">_FV(Table2[[#This Row],[ETF]],"Change (%)",TRUE)</f>
        <v>-3.6959999999999996E-3</v>
      </c>
      <c r="P21" s="32" cm="1">
        <f t="array" aca="1" ref="P21" ca="1">_FV(Table2[[#This Row],[ETF]],"Volume")</f>
        <v>5935</v>
      </c>
      <c r="Q21" s="6" cm="1">
        <f t="array" aca="1" ref="Q21" ca="1">_FV(Table2[[#This Row],[ETF]],"Expense ratio",TRUE)</f>
        <v>8.9999999999999998E-4</v>
      </c>
    </row>
    <row r="22" spans="1:17" ht="15">
      <c r="A22" s="4" t="str" cm="1">
        <f t="array" aca="1" ref="A22" ca="1">_FV(B22,"Name")</f>
        <v>X CORP BND ETF</v>
      </c>
      <c r="B22" s="4" t="e" vm="127">
        <v>#VALUE!</v>
      </c>
      <c r="C22" s="4" t="str" cm="1">
        <f t="array" aca="1" ref="C22" ca="1">_FV(B22,"Exchange")</f>
        <v>Borsa Italiana</v>
      </c>
      <c r="D22" s="16" t="str" cm="1">
        <f t="array" aca="1" ref="D22" ca="1">_FV(B22,"Currency")</f>
        <v>EUR</v>
      </c>
      <c r="E22" s="10">
        <f t="shared" ca="1" si="3"/>
        <v>46318</v>
      </c>
      <c r="F22" s="16" cm="1">
        <f t="array" aca="1" ref="F22" ca="1">_FV(B22,"Price")</f>
        <v>160.77000000000001</v>
      </c>
      <c r="G22" s="6">
        <f t="shared" ca="1" si="0"/>
        <v>-9.1827930481941378E-3</v>
      </c>
      <c r="H22" s="6">
        <f t="shared" ca="1" si="1"/>
        <v>-1.3983440662373512E-2</v>
      </c>
      <c r="I22" s="6">
        <f t="shared" ca="1" si="2"/>
        <v>0.12900280898876407</v>
      </c>
      <c r="J22" s="17" cm="1">
        <f t="array" aca="1" ref="J22" ca="1">IFERROR(_FV(B22,"Market cap",TRUE),"N/A")</f>
        <v>4533690700</v>
      </c>
      <c r="K22" s="37" t="s">
        <v>26</v>
      </c>
      <c r="L22" s="6" t="s">
        <v>43</v>
      </c>
      <c r="M22" s="29" cm="1">
        <f t="array" aca="1" ref="M22" ca="1">IFERROR(_FV(Table2[[#This Row],[ETF]],"52 week high",TRUE),"N/A")</f>
        <v>164.86</v>
      </c>
      <c r="N22" s="29" cm="1">
        <f t="array" aca="1" ref="N22" ca="1">IFERROR(_FV(Table2[[#This Row],[ETF]],"52 week low",TRUE),"N/A")</f>
        <v>159.5</v>
      </c>
      <c r="O22" s="6" cm="1">
        <f t="array" aca="1" ref="O22" ca="1">_FV(Table2[[#This Row],[ETF]],"Change (%)",TRUE)</f>
        <v>-6.8369999999999998E-4</v>
      </c>
      <c r="P22" s="32" cm="1">
        <f t="array" aca="1" ref="P22" ca="1">_FV(Table2[[#This Row],[ETF]],"Volume")</f>
        <v>3246</v>
      </c>
      <c r="Q22" s="6" cm="1">
        <f t="array" aca="1" ref="Q22" ca="1">_FV(Table2[[#This Row],[ETF]],"Expense ratio",TRUE)</f>
        <v>8.9999999999999998E-4</v>
      </c>
    </row>
    <row r="23" spans="1:17" ht="15">
      <c r="A23" s="4" t="str" cm="1">
        <f t="array" aca="1" ref="A23" ca="1">_FV(B23,"Name")</f>
        <v>iShs JPM $ EM Bd EUR H ETF D</v>
      </c>
      <c r="B23" s="4" t="e" vm="128">
        <v>#VALUE!</v>
      </c>
      <c r="C23" s="4" t="str" cm="1">
        <f t="array" aca="1" ref="C23" ca="1">_FV(B23,"Exchange")</f>
        <v>Borsa Italiana</v>
      </c>
      <c r="D23" s="16" t="str" cm="1">
        <f t="array" aca="1" ref="D23" ca="1">_FV(B23,"Currency")</f>
        <v>EUR</v>
      </c>
      <c r="E23" s="10">
        <f t="shared" ca="1" si="3"/>
        <v>46318</v>
      </c>
      <c r="F23" s="16" cm="1">
        <f t="array" aca="1" ref="F23" ca="1">_FV(B23,"Price")</f>
        <v>64.56</v>
      </c>
      <c r="G23" s="6">
        <f t="shared" ca="1" si="0"/>
        <v>-7.1346375143843413E-2</v>
      </c>
      <c r="H23" s="6">
        <f t="shared" ca="1" si="1"/>
        <v>-7.0410367170626362E-2</v>
      </c>
      <c r="I23" s="6">
        <f t="shared" ca="1" si="2"/>
        <v>5.5419323197645913E-2</v>
      </c>
      <c r="J23" s="17" cm="1">
        <f t="array" aca="1" ref="J23" ca="1">IFERROR(_FV(B23,"Market cap",TRUE),"N/A")</f>
        <v>2051544974.71</v>
      </c>
      <c r="K23" s="37" t="s">
        <v>26</v>
      </c>
      <c r="L23" s="6" t="s">
        <v>44</v>
      </c>
      <c r="M23" s="29" cm="1">
        <f t="array" aca="1" ref="M23" ca="1">IFERROR(_FV(Table2[[#This Row],[ETF]],"52 week high",TRUE),"N/A")</f>
        <v>70.36</v>
      </c>
      <c r="N23" s="29" cm="1">
        <f t="array" aca="1" ref="N23" ca="1">IFERROR(_FV(Table2[[#This Row],[ETF]],"52 week low",TRUE),"N/A")</f>
        <v>63.44</v>
      </c>
      <c r="O23" s="6" cm="1">
        <f t="array" aca="1" ref="O23" ca="1">_FV(Table2[[#This Row],[ETF]],"Change (%)",TRUE)</f>
        <v>9.3020000000000006E-4</v>
      </c>
      <c r="P23" s="32" cm="1">
        <f t="array" aca="1" ref="P23" ca="1">_FV(Table2[[#This Row],[ETF]],"Volume")</f>
        <v>8302</v>
      </c>
      <c r="Q23" s="6" cm="1">
        <f t="array" aca="1" ref="Q23" ca="1">_FV(Table2[[#This Row],[ETF]],"Expense ratio",TRUE)</f>
        <v>5.0000000000000001E-3</v>
      </c>
    </row>
    <row r="24" spans="1:17" ht="15">
      <c r="A24" s="4" t="str" cm="1">
        <f t="array" aca="1" ref="A24" ca="1">_FV(B24,"Name")</f>
        <v>VANGUARD S&amp;P 500 UCITS ETF</v>
      </c>
      <c r="B24" s="4" t="e" vm="129">
        <v>#VALUE!</v>
      </c>
      <c r="C24" s="4" t="str" cm="1">
        <f t="array" aca="1" ref="C24" ca="1">_FV(B24,"Exchange")</f>
        <v>Borsa Italiana</v>
      </c>
      <c r="D24" s="16" t="str" cm="1">
        <f t="array" aca="1" ref="D24" ca="1">_FV(B24,"Currency")</f>
        <v>EUR</v>
      </c>
      <c r="E24" s="10">
        <f t="shared" ref="E24:E37" ca="1" si="4">WORKDAY(TODAY()+1,-1)</f>
        <v>46318</v>
      </c>
      <c r="F24" s="16" cm="1">
        <f t="array" aca="1" ref="F24" ca="1">_FV(B24,"Price")</f>
        <v>132.34</v>
      </c>
      <c r="G24" s="6">
        <f t="shared" ca="1" si="0"/>
        <v>0.18150165163824655</v>
      </c>
      <c r="H24" s="6">
        <f t="shared" ca="1" si="1"/>
        <v>0.19128634440543701</v>
      </c>
      <c r="I24" s="6">
        <f t="shared" ca="1" si="2"/>
        <v>0.77138267969482022</v>
      </c>
      <c r="J24" s="17" cm="1">
        <f t="array" aca="1" ref="J24" ca="1">IFERROR(_FV(B24,"Market cap",TRUE),"N/A")</f>
        <v>36337087263.57</v>
      </c>
      <c r="K24" s="37" t="s">
        <v>25</v>
      </c>
      <c r="L24" s="6" t="s">
        <v>45</v>
      </c>
      <c r="M24" s="29" cm="1">
        <f t="array" aca="1" ref="M24" ca="1">IFERROR(_FV(Table2[[#This Row],[ETF]],"52 week high",TRUE),"N/A")</f>
        <v>135.46</v>
      </c>
      <c r="N24" s="29" cm="1">
        <f t="array" aca="1" ref="N24" ca="1">IFERROR(_FV(Table2[[#This Row],[ETF]],"52 week low",TRUE),"N/A")</f>
        <v>106.78</v>
      </c>
      <c r="O24" s="6" cm="1">
        <f t="array" aca="1" ref="O24" ca="1">_FV(Table2[[#This Row],[ETF]],"Change (%)",TRUE)</f>
        <v>-3.0220000000000003E-4</v>
      </c>
      <c r="P24" s="32" cm="1">
        <f t="array" aca="1" ref="P24" ca="1">_FV(Table2[[#This Row],[ETF]],"Volume")</f>
        <v>36596</v>
      </c>
      <c r="Q24" s="6" cm="1">
        <f t="array" aca="1" ref="Q24" ca="1">_FV(Table2[[#This Row],[ETF]],"Expense ratio",TRUE)</f>
        <v>7.002E-4</v>
      </c>
    </row>
    <row r="25" spans="1:17" ht="15">
      <c r="A25" s="4" t="str" cm="1">
        <f t="array" aca="1" ref="A25" ca="1">_FV(B25,"Name")</f>
        <v>XtrackersAI andBD UCITS 1C ETF</v>
      </c>
      <c r="B25" s="4" t="e" vm="130">
        <v>#VALUE!</v>
      </c>
      <c r="C25" s="4" t="str" cm="1">
        <f t="array" aca="1" ref="C25" ca="1">_FV(B25,"Exchange")</f>
        <v>Borsa Italiana</v>
      </c>
      <c r="D25" s="16" t="str" cm="1">
        <f t="array" aca="1" ref="D25" ca="1">_FV(B25,"Currency")</f>
        <v>EUR</v>
      </c>
      <c r="E25" s="10">
        <f t="shared" ca="1" si="4"/>
        <v>46318</v>
      </c>
      <c r="F25" s="16" cm="1">
        <f t="array" aca="1" ref="F25" ca="1">_FV(B25,"Price")</f>
        <v>212.43</v>
      </c>
      <c r="G25" s="6">
        <f t="shared" ca="1" si="0"/>
        <v>0.37379551186703752</v>
      </c>
      <c r="H25" s="6">
        <f t="shared" ca="1" si="1"/>
        <v>0.3766444170824963</v>
      </c>
      <c r="I25" s="6">
        <f t="shared" ca="1" si="2"/>
        <v>1.432497423565785</v>
      </c>
      <c r="J25" s="17" cm="1">
        <f t="array" aca="1" ref="J25" ca="1">IFERROR(_FV(B25,"Market cap",TRUE),"N/A")</f>
        <v>9425848100</v>
      </c>
      <c r="K25" s="37" t="s">
        <v>25</v>
      </c>
      <c r="L25" s="6" t="s">
        <v>46</v>
      </c>
      <c r="M25" s="29" cm="1">
        <f t="array" aca="1" ref="M25" ca="1">IFERROR(_FV(Table2[[#This Row],[ETF]],"52 week high",TRUE),"N/A")</f>
        <v>227.41</v>
      </c>
      <c r="N25" s="29" cm="1">
        <f t="array" aca="1" ref="N25" ca="1">IFERROR(_FV(Table2[[#This Row],[ETF]],"52 week low",TRUE),"N/A")</f>
        <v>141.46</v>
      </c>
      <c r="O25" s="6" cm="1">
        <f t="array" aca="1" ref="O25" ca="1">_FV(Table2[[#This Row],[ETF]],"Change (%)",TRUE)</f>
        <v>6.9679999999999994E-3</v>
      </c>
      <c r="P25" s="32" cm="1">
        <f t="array" aca="1" ref="P25" ca="1">_FV(Table2[[#This Row],[ETF]],"Volume")</f>
        <v>5011</v>
      </c>
      <c r="Q25" s="6" cm="1">
        <f t="array" aca="1" ref="Q25" ca="1">_FV(Table2[[#This Row],[ETF]],"Expense ratio",TRUE)</f>
        <v>3.4999999999999996E-3</v>
      </c>
    </row>
    <row r="26" spans="1:17" ht="15">
      <c r="A26" s="4" t="str" cm="1">
        <f t="array" aca="1" ref="A26" ca="1">_FV(B26,"Name")</f>
        <v>iShs Digtl Sec UCITS ETF USD A</v>
      </c>
      <c r="B26" s="4" t="e" vm="131">
        <v>#VALUE!</v>
      </c>
      <c r="C26" s="4" t="str" cm="1">
        <f t="array" aca="1" ref="C26" ca="1">_FV(B26,"Exchange")</f>
        <v>Borsa Italiana</v>
      </c>
      <c r="D26" s="16" t="str" cm="1">
        <f t="array" aca="1" ref="D26" ca="1">_FV(B26,"Currency")</f>
        <v>EUR</v>
      </c>
      <c r="E26" s="10">
        <f t="shared" ca="1" si="4"/>
        <v>46318</v>
      </c>
      <c r="F26" s="16" cm="1">
        <f t="array" aca="1" ref="F26" ca="1">_FV(B26,"Price")</f>
        <v>12.167999999999999</v>
      </c>
      <c r="G26" s="6">
        <f t="shared" ca="1" si="0"/>
        <v>0.42649472450175852</v>
      </c>
      <c r="H26" s="6">
        <f t="shared" ca="1" si="1"/>
        <v>0.35350389321468284</v>
      </c>
      <c r="I26" s="6">
        <f t="shared" ca="1" si="2"/>
        <v>0.99312039312039291</v>
      </c>
      <c r="J26" s="17" cm="1">
        <f t="array" aca="1" ref="J26" ca="1">IFERROR(_FV(B26,"Market cap",TRUE),"N/A")</f>
        <v>2202937868.77</v>
      </c>
      <c r="K26" s="37" t="s">
        <v>25</v>
      </c>
      <c r="L26" s="6" t="s">
        <v>47</v>
      </c>
      <c r="M26" s="29" cm="1">
        <f t="array" aca="1" ref="M26" ca="1">IFERROR(_FV(Table2[[#This Row],[ETF]],"52 week high",TRUE),"N/A")</f>
        <v>12.51</v>
      </c>
      <c r="N26" s="29" cm="1">
        <f t="array" aca="1" ref="N26" ca="1">IFERROR(_FV(Table2[[#This Row],[ETF]],"52 week low",TRUE),"N/A")</f>
        <v>7.93</v>
      </c>
      <c r="O26" s="6" cm="1">
        <f t="array" aca="1" ref="O26" ca="1">_FV(Table2[[#This Row],[ETF]],"Change (%)",TRUE)</f>
        <v>1.7561E-2</v>
      </c>
      <c r="P26" s="32" cm="1">
        <f t="array" aca="1" ref="P26" ca="1">_FV(Table2[[#This Row],[ETF]],"Volume")</f>
        <v>16320</v>
      </c>
      <c r="Q26" s="6" cm="1">
        <f t="array" aca="1" ref="Q26" ca="1">_FV(Table2[[#This Row],[ETF]],"Expense ratio",TRUE)</f>
        <v>4.0000000000000001E-3</v>
      </c>
    </row>
    <row r="27" spans="1:17" ht="15">
      <c r="A27" s="4" t="str" cm="1">
        <f t="array" aca="1" ref="A27" ca="1">_FV(B27,"Name")</f>
        <v>iShs CrMSCI EMIMIUCITS ETFUSDA</v>
      </c>
      <c r="B27" s="4" t="e" vm="132">
        <v>#VALUE!</v>
      </c>
      <c r="C27" s="4" t="str" cm="1">
        <f t="array" aca="1" ref="C27" ca="1">_FV(B27,"Exchange")</f>
        <v>Borsa Italiana</v>
      </c>
      <c r="D27" s="16" t="str" cm="1">
        <f t="array" aca="1" ref="D27" ca="1">_FV(B27,"Currency")</f>
        <v>EUR</v>
      </c>
      <c r="E27" s="10">
        <f t="shared" ca="1" si="4"/>
        <v>46318</v>
      </c>
      <c r="F27" s="16" cm="1">
        <f t="array" aca="1" ref="F27" ca="1">_FV(B27,"Price")</f>
        <v>45.52</v>
      </c>
      <c r="G27" s="6">
        <f t="shared" ca="1" si="0"/>
        <v>0.16330181446460518</v>
      </c>
      <c r="H27" s="6">
        <f t="shared" ca="1" si="1"/>
        <v>0.18944342827279853</v>
      </c>
      <c r="I27" s="6">
        <f t="shared" ca="1" si="2"/>
        <v>0.70295548073325864</v>
      </c>
      <c r="J27" s="17" cm="1">
        <f t="array" aca="1" ref="J27" ca="1">IFERROR(_FV(B27,"Market cap",TRUE),"N/A")</f>
        <v>44993523950.129997</v>
      </c>
      <c r="K27" s="37" t="s">
        <v>25</v>
      </c>
      <c r="L27" s="6" t="s">
        <v>48</v>
      </c>
      <c r="M27" s="29" cm="1">
        <f t="array" aca="1" ref="M27" ca="1">IFERROR(_FV(Table2[[#This Row],[ETF]],"52 week high",TRUE),"N/A")</f>
        <v>51</v>
      </c>
      <c r="N27" s="29" cm="1">
        <f t="array" aca="1" ref="N27" ca="1">IFERROR(_FV(Table2[[#This Row],[ETF]],"52 week low",TRUE),"N/A")</f>
        <v>36.869999999999997</v>
      </c>
      <c r="O27" s="6" cm="1">
        <f t="array" aca="1" ref="O27" ca="1">_FV(Table2[[#This Row],[ETF]],"Change (%)",TRUE)</f>
        <v>3.5270000000000002E-3</v>
      </c>
      <c r="P27" s="32" cm="1">
        <f t="array" aca="1" ref="P27" ca="1">_FV(Table2[[#This Row],[ETF]],"Volume")</f>
        <v>76777</v>
      </c>
      <c r="Q27" s="6" cm="1">
        <f t="array" aca="1" ref="Q27" ca="1">_FV(Table2[[#This Row],[ETF]],"Expense ratio",TRUE)</f>
        <v>1.8E-3</v>
      </c>
    </row>
    <row r="28" spans="1:17" ht="15">
      <c r="A28" s="4" t="str" cm="1">
        <f t="array" aca="1" ref="A28" ca="1">_FV(B28,"Name")</f>
        <v>X-TRACKERS CSI300 INDEX ETF</v>
      </c>
      <c r="B28" s="4" t="e" vm="119">
        <v>#VALUE!</v>
      </c>
      <c r="C28" s="4" t="str" cm="1">
        <f t="array" aca="1" ref="C28" ca="1">_FV(B28,"Exchange")</f>
        <v>Borsa Italiana</v>
      </c>
      <c r="D28" s="16" t="str" cm="1">
        <f t="array" aca="1" ref="D28" ca="1">_FV(B28,"Currency")</f>
        <v>EUR</v>
      </c>
      <c r="E28" s="10">
        <f t="shared" ca="1" si="4"/>
        <v>46318</v>
      </c>
      <c r="F28" s="16" cm="1">
        <f t="array" aca="1" ref="F28" ca="1">_FV(B28,"Price")</f>
        <v>17.033999999999999</v>
      </c>
      <c r="G28" s="6">
        <f t="shared" ca="1" si="0"/>
        <v>1.0200450717589883E-2</v>
      </c>
      <c r="H28" s="6">
        <f t="shared" ca="1" si="1"/>
        <v>4.3238608525232702E-2</v>
      </c>
      <c r="I28" s="6">
        <f t="shared" ca="1" si="2"/>
        <v>0.41926345609065141</v>
      </c>
      <c r="J28" s="17" cm="1">
        <f t="array" aca="1" ref="J28" ca="1">IFERROR(_FV(B28,"Market cap",TRUE),"N/A")</f>
        <v>1972389600</v>
      </c>
      <c r="K28" s="37" t="s">
        <v>25</v>
      </c>
      <c r="L28" s="6" t="s">
        <v>38</v>
      </c>
      <c r="M28" s="29" cm="1">
        <f t="array" aca="1" ref="M28" ca="1">IFERROR(_FV(Table2[[#This Row],[ETF]],"52 week high",TRUE),"N/A")</f>
        <v>19.86</v>
      </c>
      <c r="N28" s="29" cm="1">
        <f t="array" aca="1" ref="N28" ca="1">IFERROR(_FV(Table2[[#This Row],[ETF]],"52 week low",TRUE),"N/A")</f>
        <v>15.86</v>
      </c>
      <c r="O28" s="6" cm="1">
        <f t="array" aca="1" ref="O28" ca="1">_FV(Table2[[#This Row],[ETF]],"Change (%)",TRUE)</f>
        <v>1.1399999999999999E-2</v>
      </c>
      <c r="P28" s="32" cm="1">
        <f t="array" aca="1" ref="P28" ca="1">_FV(Table2[[#This Row],[ETF]],"Volume")</f>
        <v>43633</v>
      </c>
      <c r="Q28" s="6" cm="1">
        <f t="array" aca="1" ref="Q28" ca="1">_FV(Table2[[#This Row],[ETF]],"Expense ratio",TRUE)</f>
        <v>5.0000000000000001E-3</v>
      </c>
    </row>
    <row r="29" spans="1:17" ht="15">
      <c r="A29" s="4" t="str" cm="1">
        <f t="array" aca="1" ref="A29" ca="1">_FV(B29,"Name")</f>
        <v>VEGI  JEDI EUR</v>
      </c>
      <c r="B29" s="4" t="e" vm="133">
        <v>#VALUE!</v>
      </c>
      <c r="C29" s="4" t="str" cm="1">
        <f t="array" aca="1" ref="C29" ca="1">_FV(B29,"Exchange")</f>
        <v>Borsa Italiana</v>
      </c>
      <c r="D29" s="16" t="str" cm="1">
        <f t="array" aca="1" ref="D29" ca="1">_FV(B29,"Currency")</f>
        <v>EUR</v>
      </c>
      <c r="E29" s="10">
        <f t="shared" ca="1" si="4"/>
        <v>46318</v>
      </c>
      <c r="F29" s="16" cm="1">
        <f t="array" aca="1" ref="F29" ca="1">_FV(B29,"Price")</f>
        <v>60.53</v>
      </c>
      <c r="G29" s="6">
        <f t="shared" ca="1" si="0"/>
        <v>2.6802374893977916E-2</v>
      </c>
      <c r="H29" s="6">
        <f t="shared" ca="1" si="1"/>
        <v>9.7950299292581144E-2</v>
      </c>
      <c r="I29" s="6">
        <f t="shared" ca="1" si="2"/>
        <v>2.1421303986710969</v>
      </c>
      <c r="J29" s="17" cm="1">
        <f t="array" aca="1" ref="J29" ca="1">IFERROR(_FV(B29,"Market cap",TRUE),"N/A")</f>
        <v>1726605310.0799999</v>
      </c>
      <c r="K29" s="37" t="s">
        <v>25</v>
      </c>
      <c r="L29" s="6" t="s">
        <v>49</v>
      </c>
      <c r="M29" s="29" cm="1">
        <f t="array" aca="1" ref="M29" ca="1">IFERROR(_FV(Table2[[#This Row],[ETF]],"52 week high",TRUE),"N/A")</f>
        <v>121.26</v>
      </c>
      <c r="N29" s="29" cm="1">
        <f t="array" aca="1" ref="N29" ca="1">IFERROR(_FV(Table2[[#This Row],[ETF]],"52 week low",TRUE),"N/A")</f>
        <v>44.35</v>
      </c>
      <c r="O29" s="6" cm="1">
        <f t="array" aca="1" ref="O29" ca="1">_FV(Table2[[#This Row],[ETF]],"Change (%)",TRUE)</f>
        <v>-1.32E-3</v>
      </c>
      <c r="P29" s="32" cm="1">
        <f t="array" aca="1" ref="P29" ca="1">_FV(Table2[[#This Row],[ETF]],"Volume")</f>
        <v>25450</v>
      </c>
      <c r="Q29" s="6" cm="1">
        <f t="array" aca="1" ref="Q29" ca="1">_FV(Table2[[#This Row],[ETF]],"Expense ratio",TRUE)</f>
        <v>5.5000000000000005E-3</v>
      </c>
    </row>
    <row r="30" spans="1:17" ht="15">
      <c r="A30" s="4" t="str" cm="1">
        <f t="array" aca="1" ref="A30" ca="1">_FV(B30,"Name")</f>
        <v>SPROTT URANIUM MINERS UCITS ETF</v>
      </c>
      <c r="B30" s="4" t="e" vm="134">
        <v>#VALUE!</v>
      </c>
      <c r="C30" s="4" t="str" cm="1">
        <f t="array" aca="1" ref="C30" ca="1">_FV(B30,"Exchange")</f>
        <v>London Stock Exchange</v>
      </c>
      <c r="D30" s="16" t="str" cm="1">
        <f t="array" aca="1" ref="D30" ca="1">_FV(B30,"Currency")</f>
        <v>USD</v>
      </c>
      <c r="E30" s="10">
        <f t="shared" ca="1" si="4"/>
        <v>46318</v>
      </c>
      <c r="F30" s="16" cm="1">
        <f t="array" aca="1" ref="F30" ca="1">_FV(B30,"Price")</f>
        <v>10.481999999999999</v>
      </c>
      <c r="G30" s="6">
        <f t="shared" ca="1" si="0"/>
        <v>-0.19226323495414971</v>
      </c>
      <c r="H30" s="6">
        <f t="shared" ca="1" si="1"/>
        <v>-0.20288973384030426</v>
      </c>
      <c r="I30" s="6">
        <f t="shared" ca="1" si="2"/>
        <v>0.1274604711197159</v>
      </c>
      <c r="J30" s="17" cm="1">
        <f t="array" aca="1" ref="J30" ca="1">IFERROR(_FV(B30,"Market cap",TRUE),"N/A")</f>
        <v>364832370.50999999</v>
      </c>
      <c r="K30" s="37" t="s">
        <v>25</v>
      </c>
      <c r="L30" s="6" t="s">
        <v>50</v>
      </c>
      <c r="M30" s="30" cm="1">
        <f t="array" aca="1" ref="M30" ca="1">IFERROR(_FV(Table2[[#This Row],[ETF]],"52 week high",TRUE),"N/A")</f>
        <v>20.3</v>
      </c>
      <c r="N30" s="30" cm="1">
        <f t="array" aca="1" ref="N30" ca="1">IFERROR(_FV(Table2[[#This Row],[ETF]],"52 week low",TRUE),"N/A")</f>
        <v>10.305999999999999</v>
      </c>
      <c r="O30" s="6" cm="1">
        <f t="array" aca="1" ref="O30" ca="1">_FV(Table2[[#This Row],[ETF]],"Change (%)",TRUE)</f>
        <v>-6.4449999999999993E-3</v>
      </c>
      <c r="P30" s="32" cm="1">
        <f t="array" aca="1" ref="P30" ca="1">_FV(Table2[[#This Row],[ETF]],"Volume")</f>
        <v>20519</v>
      </c>
      <c r="Q30" s="6" cm="1">
        <f t="array" aca="1" ref="Q30" ca="1">_FV(Table2[[#This Row],[ETF]],"Expense ratio",TRUE)</f>
        <v>8.5000000000000006E-3</v>
      </c>
    </row>
    <row r="31" spans="1:17" ht="15">
      <c r="A31" s="4" t="str" cm="1">
        <f t="array" aca="1" ref="A31" ca="1">_FV(B31,"Name")</f>
        <v>iShs Atmtn&amp;Rbtcs ETF USD A</v>
      </c>
      <c r="B31" s="4" t="e" vm="135">
        <v>#VALUE!</v>
      </c>
      <c r="C31" s="4" t="str" cm="1">
        <f t="array" aca="1" ref="C31" ca="1">_FV(B31,"Exchange")</f>
        <v>Borsa Italiana</v>
      </c>
      <c r="D31" s="16" t="str" cm="1">
        <f t="array" aca="1" ref="D31" ca="1">_FV(B31,"Currency")</f>
        <v>EUR</v>
      </c>
      <c r="E31" s="10">
        <f t="shared" ca="1" si="4"/>
        <v>46318</v>
      </c>
      <c r="F31" s="16" cm="1">
        <f t="array" aca="1" ref="F31" ca="1">_FV(B31,"Price")</f>
        <v>18.925999999999998</v>
      </c>
      <c r="G31" s="6">
        <f t="shared" ca="1" si="0"/>
        <v>0.36197466896948743</v>
      </c>
      <c r="H31" s="6">
        <f t="shared" ca="1" si="1"/>
        <v>0.33432036097010714</v>
      </c>
      <c r="I31" s="6">
        <f t="shared" ca="1" si="2"/>
        <v>0.92474321163429252</v>
      </c>
      <c r="J31" s="17" cm="1">
        <f t="array" aca="1" ref="J31" ca="1">IFERROR(_FV(B31,"Market cap",TRUE),"N/A")</f>
        <v>5451291215.3500004</v>
      </c>
      <c r="K31" s="37" t="s">
        <v>25</v>
      </c>
      <c r="L31" s="6" t="s">
        <v>51</v>
      </c>
      <c r="M31" s="29" cm="1">
        <f t="array" aca="1" ref="M31" ca="1">IFERROR(_FV(Table2[[#This Row],[ETF]],"52 week high",TRUE),"N/A")</f>
        <v>20.54</v>
      </c>
      <c r="N31" s="29" cm="1">
        <f t="array" aca="1" ref="N31" ca="1">IFERROR(_FV(Table2[[#This Row],[ETF]],"52 week low",TRUE),"N/A")</f>
        <v>12.83</v>
      </c>
      <c r="O31" s="6" cm="1">
        <f t="array" aca="1" ref="O31" ca="1">_FV(Table2[[#This Row],[ETF]],"Change (%)",TRUE)</f>
        <v>7.8820000000000001E-3</v>
      </c>
      <c r="P31" s="32" cm="1">
        <f t="array" aca="1" ref="P31" ca="1">_FV(Table2[[#This Row],[ETF]],"Volume")</f>
        <v>29224</v>
      </c>
      <c r="Q31" s="6" cm="1">
        <f t="array" aca="1" ref="Q31" ca="1">_FV(Table2[[#This Row],[ETF]],"Expense ratio",TRUE)</f>
        <v>4.0000000000000001E-3</v>
      </c>
    </row>
    <row r="32" spans="1:17" ht="15">
      <c r="A32" s="4" t="str" cm="1">
        <f t="array" aca="1" ref="A32" ca="1">_FV(B32,"Name")</f>
        <v>iShs CoreMSCI Wld ETF USD A</v>
      </c>
      <c r="B32" s="4" t="e" vm="112">
        <v>#VALUE!</v>
      </c>
      <c r="C32" s="4" t="str" cm="1">
        <f t="array" aca="1" ref="C32" ca="1">_FV(B32,"Exchange")</f>
        <v>Borsa Italiana</v>
      </c>
      <c r="D32" s="16" t="str" cm="1">
        <f t="array" aca="1" ref="D32" ca="1">_FV(B32,"Currency")</f>
        <v>EUR</v>
      </c>
      <c r="E32" s="10">
        <f t="shared" ca="1" si="4"/>
        <v>46318</v>
      </c>
      <c r="F32" s="16" cm="1">
        <f t="array" aca="1" ref="F32" ca="1">_FV(B32,"Price")</f>
        <v>129.88999999999999</v>
      </c>
      <c r="G32" s="6">
        <f t="shared" ca="1" si="0"/>
        <v>0.16650202065559042</v>
      </c>
      <c r="H32" s="6">
        <f t="shared" ca="1" si="1"/>
        <v>0.18318455092002173</v>
      </c>
      <c r="I32" s="6">
        <f t="shared" ca="1" si="2"/>
        <v>0.73094349680170545</v>
      </c>
      <c r="J32" s="17" cm="1">
        <f t="array" aca="1" ref="J32" ca="1">IFERROR(_FV(B32,"Market cap",TRUE),"N/A")</f>
        <v>147192361726.67001</v>
      </c>
      <c r="K32" s="37" t="s">
        <v>25</v>
      </c>
      <c r="L32" s="6" t="s">
        <v>32</v>
      </c>
      <c r="M32" s="29" cm="1">
        <f t="array" aca="1" ref="M32" ca="1">IFERROR(_FV(Table2[[#This Row],[ETF]],"52 week high",TRUE),"N/A")</f>
        <v>132.4</v>
      </c>
      <c r="N32" s="29" cm="1">
        <f t="array" aca="1" ref="N32" ca="1">IFERROR(_FV(Table2[[#This Row],[ETF]],"52 week low",TRUE),"N/A")</f>
        <v>106.96</v>
      </c>
      <c r="O32" s="6" cm="1">
        <f t="array" aca="1" ref="O32" ca="1">_FV(Table2[[#This Row],[ETF]],"Change (%)",TRUE)</f>
        <v>-3.079E-4</v>
      </c>
      <c r="P32" s="32" cm="1">
        <f t="array" aca="1" ref="P32" ca="1">_FV(Table2[[#This Row],[ETF]],"Volume")</f>
        <v>63547</v>
      </c>
      <c r="Q32" s="6" cm="1">
        <f t="array" aca="1" ref="Q32" ca="1">_FV(Table2[[#This Row],[ETF]],"Expense ratio",TRUE)</f>
        <v>2E-3</v>
      </c>
    </row>
    <row r="33" spans="1:17" ht="15">
      <c r="A33" s="4" t="str" cm="1">
        <f t="array" aca="1" ref="A33" ca="1">_FV(B33,"Name")</f>
        <v>INVESCO PHYSICAL GOLD ETC</v>
      </c>
      <c r="B33" s="4" t="e" vm="136">
        <v>#VALUE!</v>
      </c>
      <c r="C33" s="4" t="str" cm="1">
        <f t="array" aca="1" ref="C33" ca="1">_FV(B33,"Exchange")</f>
        <v>Borsa Italiana</v>
      </c>
      <c r="D33" s="16" t="str" cm="1">
        <f t="array" aca="1" ref="D33" ca="1">_FV(B33,"Currency")</f>
        <v>EUR</v>
      </c>
      <c r="E33" s="10">
        <f t="shared" ca="1" si="4"/>
        <v>46318</v>
      </c>
      <c r="F33" s="16" cm="1">
        <f t="array" aca="1" ref="F33" ca="1">_FV(B33,"Price")</f>
        <v>343.35</v>
      </c>
      <c r="G33" s="6">
        <f t="shared" ca="1" si="0"/>
        <v>-2.9536461277557911E-2</v>
      </c>
      <c r="H33" s="6">
        <f t="shared" ca="1" si="1"/>
        <v>-6.1124694376522165E-4</v>
      </c>
      <c r="I33" s="6">
        <f t="shared" ca="1" si="2"/>
        <v>0.91281337047353772</v>
      </c>
      <c r="J33" s="17" t="str" cm="1">
        <f t="array" ref="J33">IFERROR(_FV(B33,"Market cap",TRUE),"N/A")</f>
        <v>N/A</v>
      </c>
      <c r="K33" s="37" t="s">
        <v>27</v>
      </c>
      <c r="L33" s="6" t="s">
        <v>52</v>
      </c>
      <c r="M33" s="29" cm="1">
        <f t="array" aca="1" ref="M33" ca="1">IFERROR(_FV(Table2[[#This Row],[ETF]],"52 week high",TRUE),"N/A")</f>
        <v>446.52</v>
      </c>
      <c r="N33" s="29" cm="1">
        <f t="array" aca="1" ref="N33" ca="1">IFERROR(_FV(Table2[[#This Row],[ETF]],"52 week low",TRUE),"N/A")</f>
        <v>321.24</v>
      </c>
      <c r="O33" s="6" cm="1">
        <f t="array" aca="1" ref="O33" ca="1">_FV(Table2[[#This Row],[ETF]],"Change (%)",TRUE)</f>
        <v>-1.3646E-2</v>
      </c>
      <c r="P33" s="32" cm="1">
        <f t="array" aca="1" ref="P33" ca="1">_FV(Table2[[#This Row],[ETF]],"Volume")</f>
        <v>21289</v>
      </c>
      <c r="Q33" s="6" t="e" cm="1" vm="137">
        <f t="array" ref="Q33">_FV(Table2[[#This Row],[ETF]],"Expense ratio",TRUE)</f>
        <v>#VALUE!</v>
      </c>
    </row>
    <row r="34" spans="1:17" ht="15">
      <c r="A34" s="4" t="str" cm="1">
        <f t="array" aca="1" ref="A34" ca="1">_FV(B34,"Name")</f>
        <v>VANECK QUANT COMP ETF</v>
      </c>
      <c r="B34" s="4" t="e" vm="138">
        <v>#VALUE!</v>
      </c>
      <c r="C34" s="4" t="str" cm="1">
        <f t="array" aca="1" ref="C34" ca="1">_FV(B34,"Exchange")</f>
        <v>Borsa Italiana</v>
      </c>
      <c r="D34" s="16" t="str" cm="1">
        <f t="array" aca="1" ref="D34" ca="1">_FV(B34,"Currency")</f>
        <v>EUR</v>
      </c>
      <c r="E34" s="10">
        <f t="shared" ca="1" si="4"/>
        <v>46318</v>
      </c>
      <c r="F34" s="16" cm="1">
        <f t="array" aca="1" ref="F34" ca="1">_FV(B34,"Price")</f>
        <v>22.914999999999999</v>
      </c>
      <c r="G34" s="6">
        <f t="shared" ca="1" si="0"/>
        <v>6.210892236384704E-2</v>
      </c>
      <c r="H34" s="6">
        <f t="shared" ca="1" si="1"/>
        <v>-1.0578583765112306E-2</v>
      </c>
      <c r="I34" s="6">
        <f t="shared" ca="1" si="2"/>
        <v>0.28360967958772121</v>
      </c>
      <c r="J34" s="17" cm="1">
        <f t="array" aca="1" ref="J34" ca="1">IFERROR(_FV(B34,"Market cap",TRUE),"N/A")</f>
        <v>898362556.25999999</v>
      </c>
      <c r="K34" s="37" t="s">
        <v>25</v>
      </c>
      <c r="L34" s="6" t="s">
        <v>53</v>
      </c>
      <c r="M34" s="29" cm="1">
        <f t="array" aca="1" ref="M34" ca="1">IFERROR(_FV(Table2[[#This Row],[ETF]],"52 week high",TRUE),"N/A")</f>
        <v>29.97</v>
      </c>
      <c r="N34" s="29" cm="1">
        <f t="array" aca="1" ref="N34" ca="1">IFERROR(_FV(Table2[[#This Row],[ETF]],"52 week low",TRUE),"N/A")</f>
        <v>18.87</v>
      </c>
      <c r="O34" s="6" cm="1">
        <f t="array" aca="1" ref="O34" ca="1">_FV(Table2[[#This Row],[ETF]],"Change (%)",TRUE)</f>
        <v>-1.5256E-2</v>
      </c>
      <c r="P34" s="32" cm="1">
        <f t="array" aca="1" ref="P34" ca="1">_FV(Table2[[#This Row],[ETF]],"Volume")</f>
        <v>9163</v>
      </c>
      <c r="Q34" s="6" cm="1">
        <f t="array" aca="1" ref="Q34" ca="1">_FV(Table2[[#This Row],[ETF]],"Expense ratio",TRUE)</f>
        <v>5.5000000000000005E-3</v>
      </c>
    </row>
    <row r="35" spans="1:17" ht="15">
      <c r="A35" s="4" t="str" cm="1">
        <f t="array" aca="1" ref="A35" ca="1">_FV(B35,"Name")</f>
        <v>ISHETFSTXQNTXAMC ETF</v>
      </c>
      <c r="B35" s="4" t="e" vm="139">
        <v>#VALUE!</v>
      </c>
      <c r="C35" s="4" t="str" cm="1">
        <f t="array" aca="1" ref="C35" ca="1">_FV(B35,"Exchange")</f>
        <v>London Stock Exchange</v>
      </c>
      <c r="D35" s="16" t="str" cm="1">
        <f t="array" aca="1" ref="D35" ca="1">_FV(B35,"Currency")</f>
        <v>GBP</v>
      </c>
      <c r="E35" s="10">
        <f t="shared" ca="1" si="4"/>
        <v>46318</v>
      </c>
      <c r="F35" s="16" cm="1">
        <f t="array" aca="1" ref="F35" ca="1">_FV(B35,"Price")</f>
        <v>4.1360000000000001</v>
      </c>
      <c r="G35" s="6">
        <f t="shared" ca="1" si="0"/>
        <v>5.7631982102472655E-3</v>
      </c>
      <c r="H35" s="6">
        <f t="shared" ca="1" si="1"/>
        <v>5.7631982102472655E-3</v>
      </c>
      <c r="I35" s="6">
        <f t="shared" ca="1" si="2"/>
        <v>5.7631982102472655E-3</v>
      </c>
      <c r="J35" s="17" cm="1">
        <f t="array" aca="1" ref="J35" ca="1">IFERROR(_FV(B35,"Market cap",TRUE),"N/A")</f>
        <v>76321326.180000007</v>
      </c>
      <c r="K35" s="37" t="s">
        <v>25</v>
      </c>
      <c r="L35" s="6" t="s">
        <v>53</v>
      </c>
      <c r="M35" s="31" cm="1">
        <f t="array" aca="1" ref="M35" ca="1">IFERROR(_FV(Table2[[#This Row],[ETF]],"52 week high",TRUE),"N/A")</f>
        <v>5.468</v>
      </c>
      <c r="N35" s="31" cm="1">
        <f t="array" aca="1" ref="N35" ca="1">IFERROR(_FV(Table2[[#This Row],[ETF]],"52 week low",TRUE),"N/A")</f>
        <v>3.234</v>
      </c>
      <c r="O35" s="6" cm="1">
        <f t="array" aca="1" ref="O35" ca="1">_FV(Table2[[#This Row],[ETF]],"Change (%)",TRUE)</f>
        <v>-4.6930000000000001E-3</v>
      </c>
      <c r="P35" s="32" cm="1">
        <f t="array" aca="1" ref="P35" ca="1">_FV(Table2[[#This Row],[ETF]],"Volume")</f>
        <v>21127</v>
      </c>
      <c r="Q35" s="6" cm="1">
        <f t="array" aca="1" ref="Q35" ca="1">_FV(Table2[[#This Row],[ETF]],"Expense ratio",TRUE)</f>
        <v>5.0000000000000001E-3</v>
      </c>
    </row>
    <row r="36" spans="1:17" ht="15">
      <c r="A36" s="4" t="str" cm="1">
        <f t="array" aca="1" ref="A36" ca="1">_FV(B36,"Name")</f>
        <v>GLOBAL X AI UCITS ETF</v>
      </c>
      <c r="B36" s="4" t="e" vm="140">
        <v>#VALUE!</v>
      </c>
      <c r="C36" s="4" t="str" cm="1">
        <f t="array" aca="1" ref="C36" ca="1">_FV(B36,"Exchange")</f>
        <v>Borsa Italiana</v>
      </c>
      <c r="D36" s="16" t="str" cm="1">
        <f t="array" aca="1" ref="D36" ca="1">_FV(B36,"Currency")</f>
        <v>EUR</v>
      </c>
      <c r="E36" s="10">
        <f t="shared" ca="1" si="4"/>
        <v>46318</v>
      </c>
      <c r="F36" s="16" cm="1">
        <f t="array" aca="1" ref="F36" ca="1">_FV(B36,"Price")</f>
        <v>25</v>
      </c>
      <c r="G36" s="6">
        <f t="shared" ca="1" si="0"/>
        <v>0.27071261563484805</v>
      </c>
      <c r="H36" s="6">
        <f t="shared" ca="1" si="1"/>
        <v>0.27291242362525453</v>
      </c>
      <c r="I36" s="6">
        <f t="shared" ca="1" si="2"/>
        <v>0.77129091682017847</v>
      </c>
      <c r="J36" s="17" cm="1">
        <f t="array" aca="1" ref="J36" ca="1">IFERROR(_FV(B36,"Market cap",TRUE),"N/A")</f>
        <v>96643589.090000004</v>
      </c>
      <c r="K36" s="37" t="s">
        <v>25</v>
      </c>
      <c r="L36" s="6" t="s">
        <v>54</v>
      </c>
      <c r="M36" s="29" cm="1">
        <f t="array" aca="1" ref="M36" ca="1">IFERROR(_FV(Table2[[#This Row],[ETF]],"52 week high",TRUE),"N/A")</f>
        <v>27.26</v>
      </c>
      <c r="N36" s="29" cm="1">
        <f t="array" aca="1" ref="N36" ca="1">IFERROR(_FV(Table2[[#This Row],[ETF]],"52 week low",TRUE),"N/A")</f>
        <v>17</v>
      </c>
      <c r="O36" s="6" cm="1">
        <f t="array" aca="1" ref="O36" ca="1">_FV(Table2[[#This Row],[ETF]],"Change (%)",TRUE)</f>
        <v>-5.1729999999999996E-3</v>
      </c>
      <c r="P36" s="32" cm="1">
        <f t="array" aca="1" ref="P36" ca="1">_FV(Table2[[#This Row],[ETF]],"Volume")</f>
        <v>50</v>
      </c>
      <c r="Q36" s="6" cm="1">
        <f t="array" aca="1" ref="Q36" ca="1">_FV(Table2[[#This Row],[ETF]],"Expense ratio",TRUE)</f>
        <v>4.0000000000000001E-3</v>
      </c>
    </row>
    <row r="37" spans="1:17" ht="15">
      <c r="A37" s="4" t="str" cm="1">
        <f t="array" aca="1" ref="A37" ca="1">_FV(B37,"Name")</f>
        <v>iShares AI Adopters &amp; Applications UCITS ETF</v>
      </c>
      <c r="B37" s="4" t="e" vm="141">
        <v>#VALUE!</v>
      </c>
      <c r="C37" s="4" t="str" cm="1">
        <f t="array" aca="1" ref="C37" ca="1">_FV(B37,"Exchange")</f>
        <v>Borsa Italiana</v>
      </c>
      <c r="D37" s="16" t="str" cm="1">
        <f t="array" aca="1" ref="D37" ca="1">_FV(B37,"Currency")</f>
        <v>EUR</v>
      </c>
      <c r="E37" s="10">
        <f t="shared" ca="1" si="4"/>
        <v>46318</v>
      </c>
      <c r="F37" s="16" cm="1">
        <f t="array" aca="1" ref="F37" ca="1">_FV(B37,"Price")</f>
        <v>5.641</v>
      </c>
      <c r="G37" s="6">
        <f t="shared" ca="1" si="0"/>
        <v>0.14724425462680502</v>
      </c>
      <c r="H37" s="6">
        <f t="shared" ca="1" si="1"/>
        <v>0.16261335531739482</v>
      </c>
      <c r="I37" s="6">
        <f t="shared" ca="1" si="2"/>
        <v>0.17631112501303314</v>
      </c>
      <c r="J37" s="17" cm="1">
        <f t="array" aca="1" ref="J37" ca="1">IFERROR(_FV(B37,"Market cap",TRUE),"N/A")</f>
        <v>243389081.11000001</v>
      </c>
      <c r="K37" s="37" t="s">
        <v>25</v>
      </c>
      <c r="L37" s="6" t="s">
        <v>55</v>
      </c>
      <c r="M37" s="29" cm="1">
        <f t="array" aca="1" ref="M37" ca="1">IFERROR(_FV(Table2[[#This Row],[ETF]],"52 week high",TRUE),"N/A")</f>
        <v>5.66</v>
      </c>
      <c r="N37" s="29" cm="1">
        <f t="array" aca="1" ref="N37" ca="1">IFERROR(_FV(Table2[[#This Row],[ETF]],"52 week low",TRUE),"N/A")</f>
        <v>4.43</v>
      </c>
      <c r="O37" s="6" cm="1">
        <f t="array" aca="1" ref="O37" ca="1">_FV(Table2[[#This Row],[ETF]],"Change (%)",TRUE)</f>
        <v>-2.6519999999999998E-3</v>
      </c>
      <c r="P37" s="32" cm="1">
        <f t="array" aca="1" ref="P37" ca="1">_FV(Table2[[#This Row],[ETF]],"Volume")</f>
        <v>8388</v>
      </c>
      <c r="Q37" s="6" cm="1">
        <f t="array" aca="1" ref="Q37" ca="1">_FV(Table2[[#This Row],[ETF]],"Expense ratio",TRUE)</f>
        <v>3.4999999999999996E-3</v>
      </c>
    </row>
    <row r="38" spans="1:17" ht="15">
      <c r="A38" s="4" t="str" cm="1">
        <f t="array" aca="1" ref="A38" ca="1">_FV(B38,"Name")</f>
        <v>AMND MSCI KOREA ETF</v>
      </c>
      <c r="B38" s="4" t="e" vm="142">
        <v>#VALUE!</v>
      </c>
      <c r="C38" s="4" t="str" cm="1">
        <f t="array" aca="1" ref="C38" ca="1">_FV(B38,"Exchange")</f>
        <v>Borsa Italiana</v>
      </c>
      <c r="D38" s="16" t="str" cm="1">
        <f t="array" aca="1" ref="D38" ca="1">_FV(B38,"Currency")</f>
        <v>EUR</v>
      </c>
      <c r="E38" s="10">
        <f t="shared" ref="E38:E115" ca="1" si="5">WORKDAY(TODAY()+1,-1)</f>
        <v>46318</v>
      </c>
      <c r="F38" s="16" cm="1">
        <f t="array" aca="1" ref="F38" ca="1">_FV(B38,"Price")</f>
        <v>153.04</v>
      </c>
      <c r="G38" s="6">
        <f t="shared" ref="G38:G115" ca="1" si="6">(F38-INDEX(_xlfn.STOCKHISTORY(B38,DATE(2025,12,31),E38),2,2))/(INDEX(_xlfn.STOCKHISTORY(B38,DATE(2025,12,31),E38),2,2))</f>
        <v>0.58148186421411596</v>
      </c>
      <c r="H38" s="6">
        <f t="shared" ref="H38:H115" ca="1" si="7">(F38-INDEX(_xlfn.STOCKHISTORY(B38,EDATE(E38,-12),E38),2,2))/(INDEX(_xlfn.STOCKHISTORY(B38,EDATE(E38,-12),E38),2,2))</f>
        <v>0.83809752582272379</v>
      </c>
      <c r="I38" s="6">
        <f t="shared" ref="I38:I115" ca="1" si="8">(F38-INDEX(_xlfn.STOCKHISTORY(B38,EDATE(E38,-36),E38),2,2))/(INDEX(_xlfn.STOCKHISTORY(B38,EDATE(E38,-36),E38),2,2))</f>
        <v>1.7299322154834105</v>
      </c>
      <c r="J38" s="17" cm="1">
        <f t="array" aca="1" ref="J38" ca="1">IFERROR(_FV(B38,"Market cap",TRUE),"N/A")</f>
        <v>1064693964.05</v>
      </c>
      <c r="K38" s="37" t="s">
        <v>25</v>
      </c>
      <c r="L38" s="6" t="s">
        <v>56</v>
      </c>
      <c r="M38" s="29" cm="1">
        <f t="array" aca="1" ref="M38" ca="1">IFERROR(_FV(Table2[[#This Row],[ETF]],"52 week high",TRUE),"N/A")</f>
        <v>214.79</v>
      </c>
      <c r="N38" s="29" cm="1">
        <f t="array" aca="1" ref="N38" ca="1">IFERROR(_FV(Table2[[#This Row],[ETF]],"52 week low",TRUE),"N/A")</f>
        <v>80.680000000000007</v>
      </c>
      <c r="O38" s="6" cm="1">
        <f t="array" aca="1" ref="O38" ca="1">_FV(Table2[[#This Row],[ETF]],"Change (%)",TRUE)</f>
        <v>1.0364999999999999E-2</v>
      </c>
      <c r="P38" s="32" cm="1">
        <f t="array" aca="1" ref="P38" ca="1">_FV(Table2[[#This Row],[ETF]],"Volume")</f>
        <v>3604</v>
      </c>
      <c r="Q38" s="6" cm="1">
        <f t="array" aca="1" ref="Q38" ca="1">_FV(Table2[[#This Row],[ETF]],"Expense ratio",TRUE)</f>
        <v>4.5000000000000005E-3</v>
      </c>
    </row>
    <row r="39" spans="1:17" ht="15">
      <c r="A39" s="4" t="str" cm="1">
        <f t="array" aca="1" ref="A39" ca="1">_FV(B39,"Name")</f>
        <v>iShares MSCI Korea ETF USD D</v>
      </c>
      <c r="B39" s="4" t="e" vm="143">
        <v>#VALUE!</v>
      </c>
      <c r="C39" s="4" t="str" cm="1">
        <f t="array" aca="1" ref="C39" ca="1">_FV(B39,"Exchange")</f>
        <v>Xetra</v>
      </c>
      <c r="D39" s="16" t="str" cm="1">
        <f t="array" aca="1" ref="D39" ca="1">_FV(B39,"Currency")</f>
        <v>EUR</v>
      </c>
      <c r="E39" s="10">
        <f t="shared" ca="1" si="5"/>
        <v>46318</v>
      </c>
      <c r="F39" s="16" cm="1">
        <f t="array" aca="1" ref="F39" ca="1">_FV(B39,"Price")</f>
        <v>98.33</v>
      </c>
      <c r="G39" s="6">
        <f t="shared" ca="1" si="6"/>
        <v>0.56976372924648777</v>
      </c>
      <c r="H39" s="6">
        <f t="shared" ca="1" si="7"/>
        <v>0.82295142751205053</v>
      </c>
      <c r="I39" s="6">
        <f t="shared" ca="1" si="8"/>
        <v>1.6305510968432315</v>
      </c>
      <c r="J39" s="17" cm="1">
        <f t="array" aca="1" ref="J39" ca="1">IFERROR(_FV(B39,"Market cap",TRUE),"N/A")</f>
        <v>1161644654.7</v>
      </c>
      <c r="K39" s="37" t="s">
        <v>25</v>
      </c>
      <c r="L39" s="6" t="s">
        <v>56</v>
      </c>
      <c r="M39" s="29" cm="1">
        <f t="array" aca="1" ref="M39" ca="1">IFERROR(_FV(Table2[[#This Row],[ETF]],"52 week high",TRUE),"N/A")</f>
        <v>137.97999999999999</v>
      </c>
      <c r="N39" s="29" cm="1">
        <f t="array" aca="1" ref="N39" ca="1">IFERROR(_FV(Table2[[#This Row],[ETF]],"52 week low",TRUE),"N/A")</f>
        <v>52.41</v>
      </c>
      <c r="O39" s="6" cm="1">
        <f t="array" aca="1" ref="O39" ca="1">_FV(Table2[[#This Row],[ETF]],"Change (%)",TRUE)</f>
        <v>1.225E-2</v>
      </c>
      <c r="P39" s="32" cm="1">
        <f t="array" aca="1" ref="P39" ca="1">_FV(Table2[[#This Row],[ETF]],"Volume")</f>
        <v>19974</v>
      </c>
      <c r="Q39" s="6" cm="1">
        <f t="array" aca="1" ref="Q39" ca="1">_FV(Table2[[#This Row],[ETF]],"Expense ratio",TRUE)</f>
        <v>6.5000000000000006E-3</v>
      </c>
    </row>
    <row r="40" spans="1:17" ht="15">
      <c r="A40" s="4" t="str" cm="1">
        <f t="array" aca="1" ref="A40" ca="1">_FV(B40,"Name")</f>
        <v>HSBC JP SCRND EQ UCITS ETF USD</v>
      </c>
      <c r="B40" s="4" t="e" vm="144">
        <v>#VALUE!</v>
      </c>
      <c r="C40" s="4" t="str" cm="1">
        <f t="array" aca="1" ref="C40" ca="1">_FV(B40,"Exchange")</f>
        <v>London Stock Exchange</v>
      </c>
      <c r="D40" s="16" t="str" cm="1">
        <f t="array" aca="1" ref="D40" ca="1">_FV(B40,"Currency")</f>
        <v>USD</v>
      </c>
      <c r="E40" s="10">
        <f t="shared" ca="1" si="5"/>
        <v>46318</v>
      </c>
      <c r="F40" s="16" cm="1">
        <f t="array" aca="1" ref="F40" ca="1">_FV(B40,"Price")</f>
        <v>25.805</v>
      </c>
      <c r="G40" s="6">
        <f t="shared" ca="1" si="6"/>
        <v>0.14765399154992218</v>
      </c>
      <c r="H40" s="6">
        <f t="shared" ca="1" si="7"/>
        <v>0.19703119563956853</v>
      </c>
      <c r="I40" s="6">
        <f t="shared" ca="1" si="8"/>
        <v>0.80051632710019527</v>
      </c>
      <c r="J40" s="17" cm="1">
        <f t="array" aca="1" ref="J40" ca="1">IFERROR(_FV(B40,"Market cap",TRUE),"N/A")</f>
        <v>331372453.39999998</v>
      </c>
      <c r="K40" s="37" t="s">
        <v>25</v>
      </c>
      <c r="L40" s="6" t="s">
        <v>32</v>
      </c>
      <c r="M40" s="38" cm="1">
        <f t="array" aca="1" ref="M40" ca="1">IFERROR(_FV(Table2[[#This Row],[ETF]],"52 week high",TRUE),"N/A")</f>
        <v>27.465</v>
      </c>
      <c r="N40" s="38" cm="1">
        <f t="array" aca="1" ref="N40" ca="1">IFERROR(_FV(Table2[[#This Row],[ETF]],"52 week low",TRUE),"N/A")</f>
        <v>21.39</v>
      </c>
      <c r="O40" s="6" cm="1">
        <f t="array" aca="1" ref="O40" ca="1">_FV(Table2[[#This Row],[ETF]],"Change (%)",TRUE)</f>
        <v>-8.2629999999999995E-3</v>
      </c>
      <c r="P40" s="32" cm="1">
        <f t="array" aca="1" ref="P40" ca="1">_FV(Table2[[#This Row],[ETF]],"Volume")</f>
        <v>31796</v>
      </c>
      <c r="Q40" s="6" cm="1">
        <f t="array" aca="1" ref="Q40" ca="1">_FV(Table2[[#This Row],[ETF]],"Expense ratio",TRUE)</f>
        <v>1.8E-3</v>
      </c>
    </row>
    <row r="41" spans="1:17" ht="15">
      <c r="A41" s="4" t="str" cm="1">
        <f t="array" aca="1" ref="A41" ca="1">_FV(B41,"Name")</f>
        <v>Amundi MSCI ChnESGSelExt UETFA</v>
      </c>
      <c r="B41" s="4" t="e" vm="145">
        <v>#VALUE!</v>
      </c>
      <c r="C41" s="4" t="str" cm="1">
        <f t="array" aca="1" ref="C41" ca="1">_FV(B41,"Exchange")</f>
        <v>Borsa Italiana</v>
      </c>
      <c r="D41" s="16" t="str" cm="1">
        <f t="array" aca="1" ref="D41" ca="1">_FV(B41,"Currency")</f>
        <v>EUR</v>
      </c>
      <c r="E41" s="10">
        <f t="shared" ca="1" si="5"/>
        <v>46318</v>
      </c>
      <c r="F41" s="16" cm="1">
        <f t="array" aca="1" ref="F41" ca="1">_FV(B41,"Price")</f>
        <v>95.66</v>
      </c>
      <c r="G41" s="6">
        <f t="shared" ca="1" si="6"/>
        <v>-0.1486294054823781</v>
      </c>
      <c r="H41" s="6">
        <f t="shared" ca="1" si="7"/>
        <v>-0.17220491519556944</v>
      </c>
      <c r="I41" s="6">
        <f t="shared" ca="1" si="8"/>
        <v>0.22531061867554764</v>
      </c>
      <c r="J41" s="17" cm="1">
        <f t="array" aca="1" ref="J41" ca="1">IFERROR(_FV(B41,"Market cap",TRUE),"N/A")</f>
        <v>400291766.26999998</v>
      </c>
      <c r="K41" s="37" t="s">
        <v>25</v>
      </c>
      <c r="L41" s="6" t="s">
        <v>38</v>
      </c>
      <c r="M41" s="38" cm="1">
        <f t="array" aca="1" ref="M41" ca="1">IFERROR(_FV(Table2[[#This Row],[ETF]],"52 week high",TRUE),"N/A")</f>
        <v>118.67</v>
      </c>
      <c r="N41" s="38" cm="1">
        <f t="array" aca="1" ref="N41" ca="1">IFERROR(_FV(Table2[[#This Row],[ETF]],"52 week low",TRUE),"N/A")</f>
        <v>92.39</v>
      </c>
      <c r="O41" s="6" cm="1">
        <f t="array" aca="1" ref="O41" ca="1">_FV(Table2[[#This Row],[ETF]],"Change (%)",TRUE)</f>
        <v>4.1829999999999998E-4</v>
      </c>
      <c r="P41" s="32" cm="1">
        <f t="array" aca="1" ref="P41" ca="1">_FV(Table2[[#This Row],[ETF]],"Volume")</f>
        <v>1057</v>
      </c>
      <c r="Q41" s="6" cm="1">
        <f t="array" aca="1" ref="Q41" ca="1">_FV(Table2[[#This Row],[ETF]],"Expense ratio",TRUE)</f>
        <v>6.5000000000000006E-3</v>
      </c>
    </row>
    <row r="42" spans="1:17" ht="15">
      <c r="A42" s="4" t="str" cm="1">
        <f t="array" aca="1" ref="A42" ca="1">_FV(B42,"Name")</f>
        <v>AMND EUR GOV INF ETF</v>
      </c>
      <c r="B42" s="4" t="e" vm="146">
        <v>#VALUE!</v>
      </c>
      <c r="C42" s="4" t="str" cm="1">
        <f t="array" aca="1" ref="C42" ca="1">_FV(B42,"Exchange")</f>
        <v>Borsa Italiana</v>
      </c>
      <c r="D42" s="16" t="str" cm="1">
        <f t="array" aca="1" ref="D42" ca="1">_FV(B42,"Currency")</f>
        <v>EUR</v>
      </c>
      <c r="E42" s="10">
        <f t="shared" ca="1" si="5"/>
        <v>46318</v>
      </c>
      <c r="F42" s="16" cm="1">
        <f t="array" aca="1" ref="F42" ca="1">_FV(B42,"Price")</f>
        <v>165.76</v>
      </c>
      <c r="G42" s="6">
        <f t="shared" ca="1" si="6"/>
        <v>-1.0245284155970342E-3</v>
      </c>
      <c r="H42" s="6">
        <f t="shared" ca="1" si="7"/>
        <v>-1.567695961995258E-2</v>
      </c>
      <c r="I42" s="6">
        <f t="shared" ca="1" si="8"/>
        <v>5.5594472393810032E-2</v>
      </c>
      <c r="J42" s="17" cm="1">
        <f t="array" aca="1" ref="J42" ca="1">IFERROR(_FV(B42,"Market cap",TRUE),"N/A")</f>
        <v>1321692736.0350001</v>
      </c>
      <c r="K42" s="37" t="s">
        <v>25</v>
      </c>
      <c r="L42" s="6" t="s">
        <v>36</v>
      </c>
      <c r="M42" s="38" cm="1">
        <f t="array" aca="1" ref="M42" ca="1">IFERROR(_FV(Table2[[#This Row],[ETF]],"52 week high",TRUE),"N/A")</f>
        <v>173.3</v>
      </c>
      <c r="N42" s="38" cm="1">
        <f t="array" aca="1" ref="N42" ca="1">IFERROR(_FV(Table2[[#This Row],[ETF]],"52 week low",TRUE),"N/A")</f>
        <v>164.04</v>
      </c>
      <c r="O42" s="6" cm="1">
        <f t="array" aca="1" ref="O42" ca="1">_FV(Table2[[#This Row],[ETF]],"Change (%)",TRUE)</f>
        <v>2.9649999999999998E-3</v>
      </c>
      <c r="P42" s="32" cm="1">
        <f t="array" aca="1" ref="P42" ca="1">_FV(Table2[[#This Row],[ETF]],"Volume")</f>
        <v>1582</v>
      </c>
      <c r="Q42" s="6" cm="1">
        <f t="array" aca="1" ref="Q42" ca="1">_FV(Table2[[#This Row],[ETF]],"Expense ratio",TRUE)</f>
        <v>8.9999999999999998E-4</v>
      </c>
    </row>
    <row r="43" spans="1:17" ht="15">
      <c r="A43" s="4" t="str" cm="1">
        <f t="array" aca="1" ref="A43" ca="1">_FV(B43,"Name")</f>
        <v>iShs CoreMSCI Wld ETF USD A</v>
      </c>
      <c r="B43" s="4" t="e" vm="112">
        <v>#VALUE!</v>
      </c>
      <c r="C43" s="4" t="str" cm="1">
        <f t="array" aca="1" ref="C43" ca="1">_FV(B43,"Exchange")</f>
        <v>Borsa Italiana</v>
      </c>
      <c r="D43" s="16" t="str" cm="1">
        <f t="array" aca="1" ref="D43" ca="1">_FV(B43,"Currency")</f>
        <v>EUR</v>
      </c>
      <c r="E43" s="10">
        <f t="shared" ca="1" si="5"/>
        <v>46318</v>
      </c>
      <c r="F43" s="16" cm="1">
        <f t="array" aca="1" ref="F43" ca="1">_FV(B43,"Price")</f>
        <v>129.88999999999999</v>
      </c>
      <c r="G43" s="6">
        <f t="shared" ca="1" si="6"/>
        <v>0.16650202065559042</v>
      </c>
      <c r="H43" s="6">
        <f t="shared" ca="1" si="7"/>
        <v>0.18318455092002173</v>
      </c>
      <c r="I43" s="6">
        <f t="shared" ca="1" si="8"/>
        <v>0.73094349680170545</v>
      </c>
      <c r="J43" s="17" cm="1">
        <f t="array" aca="1" ref="J43" ca="1">IFERROR(_FV(B43,"Market cap",TRUE),"N/A")</f>
        <v>147192361726.67001</v>
      </c>
      <c r="K43" s="37" t="s">
        <v>25</v>
      </c>
      <c r="L43" s="6" t="s">
        <v>32</v>
      </c>
      <c r="M43" s="38" cm="1">
        <f t="array" aca="1" ref="M43" ca="1">IFERROR(_FV(Table2[[#This Row],[ETF]],"52 week high",TRUE),"N/A")</f>
        <v>132.4</v>
      </c>
      <c r="N43" s="38" cm="1">
        <f t="array" aca="1" ref="N43" ca="1">IFERROR(_FV(Table2[[#This Row],[ETF]],"52 week low",TRUE),"N/A")</f>
        <v>106.96</v>
      </c>
      <c r="O43" s="6" cm="1">
        <f t="array" aca="1" ref="O43" ca="1">_FV(Table2[[#This Row],[ETF]],"Change (%)",TRUE)</f>
        <v>-3.079E-4</v>
      </c>
      <c r="P43" s="32" cm="1">
        <f t="array" aca="1" ref="P43" ca="1">_FV(Table2[[#This Row],[ETF]],"Volume")</f>
        <v>63547</v>
      </c>
      <c r="Q43" s="6" cm="1">
        <f t="array" aca="1" ref="Q43" ca="1">_FV(Table2[[#This Row],[ETF]],"Expense ratio",TRUE)</f>
        <v>2E-3</v>
      </c>
    </row>
    <row r="44" spans="1:17" ht="15">
      <c r="A44" s="4" t="str" cm="1">
        <f t="array" aca="1" ref="A44" ca="1">_FV(B44,"Name")</f>
        <v>VANG.FTSE ALL WORLD UCITS ETF</v>
      </c>
      <c r="B44" s="4" t="e" vm="111">
        <v>#VALUE!</v>
      </c>
      <c r="C44" s="4" t="str" cm="1">
        <f t="array" aca="1" ref="C44" ca="1">_FV(B44,"Exchange")</f>
        <v>Borsa Italiana</v>
      </c>
      <c r="D44" s="16" t="str" cm="1">
        <f t="array" aca="1" ref="D44" ca="1">_FV(B44,"Currency")</f>
        <v>EUR</v>
      </c>
      <c r="E44" s="10">
        <f t="shared" ca="1" si="5"/>
        <v>46318</v>
      </c>
      <c r="F44" s="16" cm="1">
        <f t="array" aca="1" ref="F44" ca="1">_FV(B44,"Price")</f>
        <v>169.34</v>
      </c>
      <c r="G44" s="6">
        <f t="shared" ca="1" si="6"/>
        <v>0.16625344352617091</v>
      </c>
      <c r="H44" s="6">
        <f t="shared" ca="1" si="7"/>
        <v>0.18394742361742294</v>
      </c>
      <c r="I44" s="6">
        <f t="shared" ca="1" si="8"/>
        <v>0.72619775739041803</v>
      </c>
      <c r="J44" s="17" cm="1">
        <f t="array" aca="1" ref="J44" ca="1">IFERROR(_FV(B44,"Market cap",TRUE),"N/A")</f>
        <v>60193582648.599998</v>
      </c>
      <c r="K44" s="37" t="s">
        <v>25</v>
      </c>
      <c r="L44" s="6" t="s">
        <v>31</v>
      </c>
      <c r="M44" s="38" cm="1">
        <f t="array" aca="1" ref="M44" ca="1">IFERROR(_FV(Table2[[#This Row],[ETF]],"52 week high",TRUE),"N/A")</f>
        <v>173.98</v>
      </c>
      <c r="N44" s="38" cm="1">
        <f t="array" aca="1" ref="N44" ca="1">IFERROR(_FV(Table2[[#This Row],[ETF]],"52 week low",TRUE),"N/A")</f>
        <v>139.19</v>
      </c>
      <c r="O44" s="6" cm="1">
        <f t="array" aca="1" ref="O44" ca="1">_FV(Table2[[#This Row],[ETF]],"Change (%)",TRUE)</f>
        <v>5.3180000000000002E-4</v>
      </c>
      <c r="P44" s="32" cm="1">
        <f t="array" aca="1" ref="P44" ca="1">_FV(Table2[[#This Row],[ETF]],"Volume")</f>
        <v>91572</v>
      </c>
      <c r="Q44" s="6" cm="1">
        <f t="array" aca="1" ref="Q44" ca="1">_FV(Table2[[#This Row],[ETF]],"Expense ratio",TRUE)</f>
        <v>1.4000000000000002E-3</v>
      </c>
    </row>
    <row r="45" spans="1:17" ht="15">
      <c r="A45" s="4" t="str" cm="1">
        <f t="array" aca="1" ref="A45" ca="1">_FV(B45,"Name")</f>
        <v>X MSCI CHINA 1C</v>
      </c>
      <c r="B45" s="4" t="e" vm="147">
        <v>#VALUE!</v>
      </c>
      <c r="C45" s="4" t="str" cm="1">
        <f t="array" aca="1" ref="C45" ca="1">_FV(B45,"Exchange")</f>
        <v>Borsa Italiana</v>
      </c>
      <c r="D45" s="16" t="str" cm="1">
        <f t="array" aca="1" ref="D45" ca="1">_FV(B45,"Currency")</f>
        <v>EUR</v>
      </c>
      <c r="E45" s="10">
        <f t="shared" ca="1" si="5"/>
        <v>46318</v>
      </c>
      <c r="F45" s="16" cm="1">
        <f t="array" aca="1" ref="F45" ca="1">_FV(B45,"Price")</f>
        <v>14.68</v>
      </c>
      <c r="G45" s="6">
        <f t="shared" ca="1" si="6"/>
        <v>-0.16808341833843368</v>
      </c>
      <c r="H45" s="6">
        <f t="shared" ca="1" si="7"/>
        <v>-0.19340659340659339</v>
      </c>
      <c r="I45" s="6">
        <f t="shared" ca="1" si="8"/>
        <v>0.2239453059863265</v>
      </c>
      <c r="J45" s="17" cm="1">
        <f t="array" aca="1" ref="J45" ca="1">IFERROR(_FV(B45,"Market cap",TRUE),"N/A")</f>
        <v>1075561400</v>
      </c>
      <c r="K45" s="37" t="s">
        <v>25</v>
      </c>
      <c r="L45" s="6" t="s">
        <v>38</v>
      </c>
      <c r="M45" s="38" cm="1">
        <f t="array" aca="1" ref="M45" ca="1">IFERROR(_FV(Table2[[#This Row],[ETF]],"52 week high",TRUE),"N/A")</f>
        <v>18.66</v>
      </c>
      <c r="N45" s="38" cm="1">
        <f t="array" aca="1" ref="N45" ca="1">IFERROR(_FV(Table2[[#This Row],[ETF]],"52 week low",TRUE),"N/A")</f>
        <v>14.4</v>
      </c>
      <c r="O45" s="6" cm="1">
        <f t="array" aca="1" ref="O45" ca="1">_FV(Table2[[#This Row],[ETF]],"Change (%)",TRUE)</f>
        <v>3.967E-3</v>
      </c>
      <c r="P45" s="32" cm="1">
        <f t="array" aca="1" ref="P45" ca="1">_FV(Table2[[#This Row],[ETF]],"Volume")</f>
        <v>12468</v>
      </c>
      <c r="Q45" s="6" cm="1">
        <f t="array" aca="1" ref="Q45" ca="1">_FV(Table2[[#This Row],[ETF]],"Expense ratio",TRUE)</f>
        <v>6.5000000000000006E-3</v>
      </c>
    </row>
    <row r="46" spans="1:17" ht="15">
      <c r="A46" s="4" t="str" cm="1">
        <f t="array" aca="1" ref="A46" ca="1">_FV(B46,"Name")</f>
        <v>Amun MSCIIndSwp UCITS ETF EURA</v>
      </c>
      <c r="B46" s="4" t="e" vm="148">
        <v>#VALUE!</v>
      </c>
      <c r="C46" s="4" t="str" cm="1">
        <f t="array" aca="1" ref="C46" ca="1">_FV(B46,"Exchange")</f>
        <v>Borsa Italiana</v>
      </c>
      <c r="D46" s="16" t="str" cm="1">
        <f t="array" aca="1" ref="D46" ca="1">_FV(B46,"Currency")</f>
        <v>EUR</v>
      </c>
      <c r="E46" s="10">
        <f t="shared" ca="1" si="5"/>
        <v>46318</v>
      </c>
      <c r="F46" s="16" cm="1">
        <f t="array" aca="1" ref="F46" ca="1">_FV(B46,"Price")</f>
        <v>24.215</v>
      </c>
      <c r="G46" s="6">
        <f t="shared" ca="1" si="6"/>
        <v>-0.13502411144847298</v>
      </c>
      <c r="H46" s="6">
        <f t="shared" ca="1" si="7"/>
        <v>-0.1522842639593909</v>
      </c>
      <c r="I46" s="6">
        <f t="shared" ca="1" si="8"/>
        <v>-1.2373685295937774E-3</v>
      </c>
      <c r="J46" s="17" cm="1">
        <f t="array" aca="1" ref="J46" ca="1">IFERROR(_FV(B46,"Market cap",TRUE),"N/A")</f>
        <v>726841161.30299997</v>
      </c>
      <c r="K46" s="37" t="s">
        <v>25</v>
      </c>
      <c r="L46" s="6" t="s">
        <v>48</v>
      </c>
      <c r="M46" s="38" cm="1">
        <f t="array" aca="1" ref="M46" ca="1">IFERROR(_FV(Table2[[#This Row],[ETF]],"52 week high",TRUE),"N/A")</f>
        <v>28.98</v>
      </c>
      <c r="N46" s="38" cm="1">
        <f t="array" aca="1" ref="N46" ca="1">IFERROR(_FV(Table2[[#This Row],[ETF]],"52 week low",TRUE),"N/A")</f>
        <v>22.99</v>
      </c>
      <c r="O46" s="6" cm="1">
        <f t="array" aca="1" ref="O46" ca="1">_FV(Table2[[#This Row],[ETF]],"Change (%)",TRUE)</f>
        <v>-1.585E-2</v>
      </c>
      <c r="P46" s="32" cm="1">
        <f t="array" aca="1" ref="P46" ca="1">_FV(Table2[[#This Row],[ETF]],"Volume")</f>
        <v>38371</v>
      </c>
      <c r="Q46" s="6" cm="1">
        <f t="array" aca="1" ref="Q46" ca="1">_FV(Table2[[#This Row],[ETF]],"Expense ratio",TRUE)</f>
        <v>8.5000000000000006E-3</v>
      </c>
    </row>
    <row r="47" spans="1:17" ht="15">
      <c r="A47" s="4" t="str" cm="1">
        <f t="array" aca="1" ref="A47" ca="1">_FV(B47,"Name")</f>
        <v>X WORLD STAPLE UCITS ETF</v>
      </c>
      <c r="B47" s="4" t="e" vm="149">
        <v>#VALUE!</v>
      </c>
      <c r="C47" s="4" t="str" cm="1">
        <f t="array" aca="1" ref="C47" ca="1">_FV(B47,"Exchange")</f>
        <v>Borsa Italiana</v>
      </c>
      <c r="D47" s="16" t="str" cm="1">
        <f t="array" aca="1" ref="D47" ca="1">_FV(B47,"Currency")</f>
        <v>EUR</v>
      </c>
      <c r="E47" s="10">
        <f t="shared" ca="1" si="5"/>
        <v>46318</v>
      </c>
      <c r="F47" s="16" cm="1">
        <f t="array" aca="1" ref="F47" ca="1">_FV(B47,"Price")</f>
        <v>51.99</v>
      </c>
      <c r="G47" s="6">
        <f t="shared" ca="1" si="6"/>
        <v>0.1887504287184178</v>
      </c>
      <c r="H47" s="6">
        <f t="shared" ca="1" si="7"/>
        <v>0.16465053763440862</v>
      </c>
      <c r="I47" s="6">
        <f t="shared" ca="1" si="8"/>
        <v>0.33068850780650122</v>
      </c>
      <c r="J47" s="17" cm="1">
        <f t="array" aca="1" ref="J47" ca="1">IFERROR(_FV(B47,"Market cap",TRUE),"N/A")</f>
        <v>911497300</v>
      </c>
      <c r="K47" s="37" t="s">
        <v>25</v>
      </c>
      <c r="L47" s="6" t="s">
        <v>32</v>
      </c>
      <c r="M47" s="38" cm="1">
        <f t="array" aca="1" ref="M47" ca="1">IFERROR(_FV(Table2[[#This Row],[ETF]],"52 week high",TRUE),"N/A")</f>
        <v>52.56</v>
      </c>
      <c r="N47" s="38" cm="1">
        <f t="array" aca="1" ref="N47" ca="1">IFERROR(_FV(Table2[[#This Row],[ETF]],"52 week low",TRUE),"N/A")</f>
        <v>43.15</v>
      </c>
      <c r="O47" s="6" cm="1">
        <f t="array" aca="1" ref="O47" ca="1">_FV(Table2[[#This Row],[ETF]],"Change (%)",TRUE)</f>
        <v>-6.6869999999999994E-3</v>
      </c>
      <c r="P47" s="32" cm="1">
        <f t="array" aca="1" ref="P47" ca="1">_FV(Table2[[#This Row],[ETF]],"Volume")</f>
        <v>7638</v>
      </c>
      <c r="Q47" s="6" cm="1">
        <f t="array" aca="1" ref="Q47" ca="1">_FV(Table2[[#This Row],[ETF]],"Expense ratio",TRUE)</f>
        <v>2.5000000000000001E-3</v>
      </c>
    </row>
    <row r="48" spans="1:17" ht="15">
      <c r="A48" s="4" t="str" cm="1">
        <f t="array" aca="1" ref="A48" ca="1">_FV(B48,"Name")</f>
        <v>Amundi Stoxx Eu 50 UCITS ETF A</v>
      </c>
      <c r="B48" s="4" t="e" vm="150">
        <v>#VALUE!</v>
      </c>
      <c r="C48" s="4" t="str" cm="1">
        <f t="array" aca="1" ref="C48" ca="1">_FV(B48,"Exchange")</f>
        <v>Euronext Paris</v>
      </c>
      <c r="D48" s="16" t="str" cm="1">
        <f t="array" aca="1" ref="D48" ca="1">_FV(B48,"Currency")</f>
        <v>EUR</v>
      </c>
      <c r="E48" s="10">
        <f t="shared" ca="1" si="5"/>
        <v>46318</v>
      </c>
      <c r="F48" s="16" cm="1">
        <f t="array" aca="1" ref="F48" ca="1">_FV(B48,"Price")</f>
        <v>149.44</v>
      </c>
      <c r="G48" s="6">
        <f t="shared" ca="1" si="6"/>
        <v>0.10352975926746427</v>
      </c>
      <c r="H48" s="6">
        <f t="shared" ca="1" si="7"/>
        <v>0.13642585551330796</v>
      </c>
      <c r="I48" s="6">
        <f t="shared" ca="1" si="8"/>
        <v>0.50827614049253134</v>
      </c>
      <c r="J48" s="17" cm="1">
        <f t="array" aca="1" ref="J48" ca="1">IFERROR(_FV(B48,"Market cap",TRUE),"N/A")</f>
        <v>500668998</v>
      </c>
      <c r="K48" s="37" t="s">
        <v>25</v>
      </c>
      <c r="L48" s="6" t="s">
        <v>39</v>
      </c>
      <c r="M48" s="38" cm="1">
        <f t="array" aca="1" ref="M48" ca="1">IFERROR(_FV(Table2[[#This Row],[ETF]],"52 week high",TRUE),"N/A")</f>
        <v>156.32</v>
      </c>
      <c r="N48" s="38" cm="1">
        <f t="array" aca="1" ref="N48" ca="1">IFERROR(_FV(Table2[[#This Row],[ETF]],"52 week low",TRUE),"N/A")</f>
        <v>128.69999999999999</v>
      </c>
      <c r="O48" s="6" cm="1">
        <f t="array" aca="1" ref="O48" ca="1">_FV(Table2[[#This Row],[ETF]],"Change (%)",TRUE)</f>
        <v>-8.6239999999999997E-3</v>
      </c>
      <c r="P48" s="32" cm="1">
        <f t="array" aca="1" ref="P48" ca="1">_FV(Table2[[#This Row],[ETF]],"Volume")</f>
        <v>2149</v>
      </c>
      <c r="Q48" s="6" cm="1">
        <f t="array" aca="1" ref="Q48" ca="1">_FV(Table2[[#This Row],[ETF]],"Expense ratio",TRUE)</f>
        <v>1.5E-3</v>
      </c>
    </row>
    <row r="49" spans="1:17" ht="15">
      <c r="A49" s="4" t="str" cm="1">
        <f t="array" aca="1" ref="A49" ca="1">_FV(B49,"Name")</f>
        <v>SPDR MSCI WORLD UCITS USD ETF</v>
      </c>
      <c r="B49" s="4" t="e" vm="151">
        <v>#VALUE!</v>
      </c>
      <c r="C49" s="4" t="str" cm="1">
        <f t="array" aca="1" ref="C49" ca="1">_FV(B49,"Exchange")</f>
        <v>Xetra</v>
      </c>
      <c r="D49" s="16" t="str" cm="1">
        <f t="array" aca="1" ref="D49" ca="1">_FV(B49,"Currency")</f>
        <v>EUR</v>
      </c>
      <c r="E49" s="10">
        <f t="shared" ca="1" si="5"/>
        <v>46318</v>
      </c>
      <c r="F49" s="16" cm="1">
        <f t="array" aca="1" ref="F49" ca="1">_FV(B49,"Price")</f>
        <v>47.491999999999997</v>
      </c>
      <c r="G49" s="6">
        <f t="shared" ca="1" si="6"/>
        <v>0.16722375147463611</v>
      </c>
      <c r="H49" s="6">
        <f t="shared" ca="1" si="7"/>
        <v>0.18469367391738167</v>
      </c>
      <c r="I49" s="6">
        <f t="shared" ca="1" si="8"/>
        <v>0.73518450858604301</v>
      </c>
      <c r="J49" s="17" cm="1">
        <f t="array" aca="1" ref="J49" ca="1">IFERROR(_FV(B49,"Market cap",TRUE),"N/A")</f>
        <v>20709469300.900002</v>
      </c>
      <c r="K49" s="37" t="s">
        <v>25</v>
      </c>
      <c r="L49" s="6" t="s">
        <v>32</v>
      </c>
      <c r="M49" s="38" cm="1">
        <f t="array" aca="1" ref="M49" ca="1">IFERROR(_FV(Table2[[#This Row],[ETF]],"52 week high",TRUE),"N/A")</f>
        <v>48.429000000000002</v>
      </c>
      <c r="N49" s="38" cm="1">
        <f t="array" aca="1" ref="N49" ca="1">IFERROR(_FV(Table2[[#This Row],[ETF]],"52 week low",TRUE),"N/A")</f>
        <v>39.094000000000001</v>
      </c>
      <c r="O49" s="6" cm="1">
        <f t="array" aca="1" ref="O49" ca="1">_FV(Table2[[#This Row],[ETF]],"Change (%)",TRUE)</f>
        <v>-7.5739999999999998E-4</v>
      </c>
      <c r="P49" s="32" cm="1">
        <f t="array" aca="1" ref="P49" ca="1">_FV(Table2[[#This Row],[ETF]],"Volume")</f>
        <v>64657</v>
      </c>
      <c r="Q49" s="6" cm="1">
        <f t="array" aca="1" ref="Q49" ca="1">_FV(Table2[[#This Row],[ETF]],"Expense ratio",TRUE)</f>
        <v>1.1999999999999999E-3</v>
      </c>
    </row>
    <row r="50" spans="1:17" s="1" customFormat="1" ht="15">
      <c r="A50" s="4" t="str" cm="1">
        <f t="array" aca="1" ref="A50" ca="1">_FV(B50,"Name")</f>
        <v>X-TR MSCI JAPAN UCITS (DR) ETF</v>
      </c>
      <c r="B50" s="4" t="e" vm="152">
        <v>#VALUE!</v>
      </c>
      <c r="C50" s="4" t="str" cm="1">
        <f t="array" aca="1" ref="C50" ca="1">_FV(B50,"Exchange")</f>
        <v>Borsa Italiana</v>
      </c>
      <c r="D50" s="16" t="str" cm="1">
        <f t="array" aca="1" ref="D50" ca="1">_FV(B50,"Currency")</f>
        <v>EUR</v>
      </c>
      <c r="E50" s="10">
        <f t="shared" ca="1" si="5"/>
        <v>46318</v>
      </c>
      <c r="F50" s="16" cm="1">
        <f t="array" aca="1" ref="F50" ca="1">_FV(B50,"Price")</f>
        <v>59.36</v>
      </c>
      <c r="G50" s="6">
        <f t="shared" ca="1" si="6"/>
        <v>0.17871326449563146</v>
      </c>
      <c r="H50" s="6">
        <f t="shared" ca="1" si="7"/>
        <v>0.2454888795635754</v>
      </c>
      <c r="I50" s="6">
        <f t="shared" ca="1" si="8"/>
        <v>0.96458712559986759</v>
      </c>
      <c r="J50" s="17" cm="1">
        <f t="array" aca="1" ref="J50" ca="1">IFERROR(_FV(B50,"Market cap",TRUE),"N/A")</f>
        <v>951083000</v>
      </c>
      <c r="K50" s="37" t="s">
        <v>25</v>
      </c>
      <c r="L50" s="6" t="s">
        <v>32</v>
      </c>
      <c r="M50" s="38" cm="1">
        <f t="array" aca="1" ref="M50" ca="1">IFERROR(_FV(Table2[[#This Row],[ETF]],"52 week high",TRUE),"N/A")</f>
        <v>63.51</v>
      </c>
      <c r="N50" s="38" cm="1">
        <f t="array" aca="1" ref="N50" ca="1">IFERROR(_FV(Table2[[#This Row],[ETF]],"52 week low",TRUE),"N/A")</f>
        <v>47.46</v>
      </c>
      <c r="O50" s="6" cm="1">
        <f t="array" aca="1" ref="O50" ca="1">_FV(Table2[[#This Row],[ETF]],"Change (%)",TRUE)</f>
        <v>-3.0230000000000001E-3</v>
      </c>
      <c r="P50" s="32" cm="1">
        <f t="array" aca="1" ref="P50" ca="1">_FV(Table2[[#This Row],[ETF]],"Volume")</f>
        <v>375</v>
      </c>
      <c r="Q50" s="6" cm="1">
        <f t="array" aca="1" ref="Q50" ca="1">_FV(Table2[[#This Row],[ETF]],"Expense ratio",TRUE)</f>
        <v>4.0000000000000001E-3</v>
      </c>
    </row>
    <row r="51" spans="1:17" s="1" customFormat="1" ht="15">
      <c r="A51" s="4" t="str" cm="1">
        <f t="array" aca="1" ref="A51" ca="1">_FV(B51,"Name")</f>
        <v>AmuCoStoxEu600 UCITS ETF A</v>
      </c>
      <c r="B51" s="4" t="e" vm="153">
        <v>#VALUE!</v>
      </c>
      <c r="C51" s="4" t="str" cm="1">
        <f t="array" aca="1" ref="C51" ca="1">_FV(B51,"Exchange")</f>
        <v>Borsa Italiana</v>
      </c>
      <c r="D51" s="16" t="str" cm="1">
        <f t="array" aca="1" ref="D51" ca="1">_FV(B51,"Currency")</f>
        <v>EUR</v>
      </c>
      <c r="E51" s="10">
        <f t="shared" ca="1" si="5"/>
        <v>46318</v>
      </c>
      <c r="F51" s="16" cm="1">
        <f t="array" aca="1" ref="F51" ca="1">_FV(B51,"Price")</f>
        <v>313.5</v>
      </c>
      <c r="G51" s="6">
        <f t="shared" ref="G51:G102" ca="1" si="9">(F51-INDEX(_xlfn.STOCKHISTORY(B51,DATE(2025,12,31),E51),2,2))/(INDEX(_xlfn.STOCKHISTORY(B51,DATE(2025,12,31),E51),2,2))</f>
        <v>9.1193873999303815E-2</v>
      </c>
      <c r="H51" s="6">
        <f t="shared" ref="H51:H102" ca="1" si="10">(F51-INDEX(_xlfn.STOCKHISTORY(B51,EDATE(E51,-12),E51),2,2))/(INDEX(_xlfn.STOCKHISTORY(B51,EDATE(E51,-12),E51),2,2))</f>
        <v>0.13731180845274815</v>
      </c>
      <c r="I51" s="6">
        <f t="shared" ref="I51:I102" ca="1" si="11">(F51-INDEX(_xlfn.STOCKHISTORY(B51,EDATE(E51,-36),E51),2,2))/(INDEX(_xlfn.STOCKHISTORY(B51,EDATE(E51,-36),E51),2,2))</f>
        <v>0.59883720930232553</v>
      </c>
      <c r="J51" s="17" cm="1">
        <f t="array" aca="1" ref="J51" ca="1">IFERROR(_FV(B51,"Market cap",TRUE),"N/A")</f>
        <v>20860223446.18</v>
      </c>
      <c r="K51" s="37" t="s">
        <v>25</v>
      </c>
      <c r="L51" s="6" t="s">
        <v>58</v>
      </c>
      <c r="M51" s="38" cm="1">
        <f t="array" aca="1" ref="M51" ca="1">IFERROR(_FV(Table2[[#This Row],[ETF]],"52 week high",TRUE),"N/A")</f>
        <v>326.7</v>
      </c>
      <c r="N51" s="38" cm="1">
        <f t="array" aca="1" ref="N51" ca="1">IFERROR(_FV(Table2[[#This Row],[ETF]],"52 week low",TRUE),"N/A")</f>
        <v>267.95</v>
      </c>
      <c r="O51" s="6" cm="1">
        <f t="array" aca="1" ref="O51" ca="1">_FV(Table2[[#This Row],[ETF]],"Change (%)",TRUE)</f>
        <v>-4.13E-3</v>
      </c>
      <c r="P51" s="32" cm="1">
        <f t="array" aca="1" ref="P51" ca="1">_FV(Table2[[#This Row],[ETF]],"Volume")</f>
        <v>9280</v>
      </c>
      <c r="Q51" s="6" cm="1">
        <f t="array" aca="1" ref="Q51" ca="1">_FV(Table2[[#This Row],[ETF]],"Expense ratio",TRUE)</f>
        <v>7.000000000000001E-4</v>
      </c>
    </row>
    <row r="52" spans="1:17" s="1" customFormat="1" ht="15">
      <c r="A52" s="4" t="str" cm="1">
        <f t="array" aca="1" ref="A52" ca="1">_FV(B52,"Name")</f>
        <v>iShs Edg MSCIWldMnVlETFUSDA</v>
      </c>
      <c r="B52" s="4" t="e" vm="154">
        <v>#VALUE!</v>
      </c>
      <c r="C52" s="4" t="str" cm="1">
        <f t="array" aca="1" ref="C52" ca="1">_FV(B52,"Exchange")</f>
        <v>Borsa Italiana</v>
      </c>
      <c r="D52" s="16" t="str" cm="1">
        <f t="array" aca="1" ref="D52" ca="1">_FV(B52,"Currency")</f>
        <v>EUR</v>
      </c>
      <c r="E52" s="10">
        <f t="shared" ca="1" si="5"/>
        <v>46318</v>
      </c>
      <c r="F52" s="16" cm="1">
        <f t="array" aca="1" ref="F52" ca="1">_FV(B52,"Price")</f>
        <v>71.319999999999993</v>
      </c>
      <c r="G52" s="6">
        <f t="shared" ca="1" si="9"/>
        <v>0.14773093015770827</v>
      </c>
      <c r="H52" s="6">
        <f t="shared" ca="1" si="10"/>
        <v>0.13080703979705077</v>
      </c>
      <c r="I52" s="6">
        <f t="shared" ca="1" si="11"/>
        <v>0.37603704418290557</v>
      </c>
      <c r="J52" s="17" cm="1">
        <f t="array" aca="1" ref="J52" ca="1">IFERROR(_FV(B52,"Market cap",TRUE),"N/A")</f>
        <v>2584984727.0100002</v>
      </c>
      <c r="K52" s="37" t="s">
        <v>25</v>
      </c>
      <c r="L52" s="6" t="s">
        <v>59</v>
      </c>
      <c r="M52" s="38" cm="1">
        <f t="array" aca="1" ref="M52" ca="1">IFERROR(_FV(Table2[[#This Row],[ETF]],"52 week high",TRUE),"N/A")</f>
        <v>71.38</v>
      </c>
      <c r="N52" s="38" cm="1">
        <f t="array" aca="1" ref="N52" ca="1">IFERROR(_FV(Table2[[#This Row],[ETF]],"52 week low",TRUE),"N/A")</f>
        <v>61.52</v>
      </c>
      <c r="O52" s="6" cm="1">
        <f t="array" aca="1" ref="O52" ca="1">_FV(Table2[[#This Row],[ETF]],"Change (%)",TRUE)</f>
        <v>1.4019999999999999E-4</v>
      </c>
      <c r="P52" s="32" cm="1">
        <f t="array" aca="1" ref="P52" ca="1">_FV(Table2[[#This Row],[ETF]],"Volume")</f>
        <v>18840</v>
      </c>
      <c r="Q52" s="6" cm="1">
        <f t="array" aca="1" ref="Q52" ca="1">_FV(Table2[[#This Row],[ETF]],"Expense ratio",TRUE)</f>
        <v>3.0000000000000001E-3</v>
      </c>
    </row>
    <row r="53" spans="1:17" s="1" customFormat="1" ht="15">
      <c r="A53" s="4" t="str" cm="1">
        <f t="array" aca="1" ref="A53" ca="1">_FV(B53,"Name")</f>
        <v>ISHRS WORLD QUALITY USD ADV DIST</v>
      </c>
      <c r="B53" s="4" t="e" vm="155">
        <v>#VALUE!</v>
      </c>
      <c r="C53" s="4" t="str" cm="1">
        <f t="array" aca="1" ref="C53" ca="1">_FV(B53,"Exchange")</f>
        <v>Xetra</v>
      </c>
      <c r="D53" s="16" t="str" cm="1">
        <f t="array" aca="1" ref="D53" ca="1">_FV(B53,"Currency")</f>
        <v>EUR</v>
      </c>
      <c r="E53" s="10">
        <f t="shared" ca="1" si="5"/>
        <v>46318</v>
      </c>
      <c r="F53" s="16" cm="1">
        <f t="array" aca="1" ref="F53" ca="1">_FV(B53,"Price")</f>
        <v>8.6980000000000004</v>
      </c>
      <c r="G53" s="6">
        <f t="shared" ca="1" si="9"/>
        <v>0.22265954456002257</v>
      </c>
      <c r="H53" s="6">
        <f t="shared" ca="1" si="10"/>
        <v>0.26314260819053154</v>
      </c>
      <c r="I53" s="6">
        <f t="shared" ca="1" si="11"/>
        <v>0.61372912801484247</v>
      </c>
      <c r="J53" s="17" cm="1">
        <f t="array" aca="1" ref="J53" ca="1">IFERROR(_FV(B53,"Market cap",TRUE),"N/A")</f>
        <v>1734250298.51</v>
      </c>
      <c r="K53" s="37" t="s">
        <v>25</v>
      </c>
      <c r="L53" s="6" t="s">
        <v>60</v>
      </c>
      <c r="M53" s="38" cm="1">
        <f t="array" aca="1" ref="M53" ca="1">IFERROR(_FV(Table2[[#This Row],[ETF]],"52 week high",TRUE),"N/A")</f>
        <v>8.7210000000000001</v>
      </c>
      <c r="N53" s="38" cm="1">
        <f t="array" aca="1" ref="N53" ca="1">IFERROR(_FV(Table2[[#This Row],[ETF]],"52 week low",TRUE),"N/A")</f>
        <v>6.7590000000000003</v>
      </c>
      <c r="O53" s="6" cm="1">
        <f t="array" aca="1" ref="O53" ca="1">_FV(Table2[[#This Row],[ETF]],"Change (%)",TRUE)</f>
        <v>-6.893E-4</v>
      </c>
      <c r="P53" s="32" cm="1">
        <f t="array" aca="1" ref="P53" ca="1">_FV(Table2[[#This Row],[ETF]],"Volume")</f>
        <v>159754</v>
      </c>
      <c r="Q53" s="6" cm="1">
        <f t="array" aca="1" ref="Q53" ca="1">_FV(Table2[[#This Row],[ETF]],"Expense ratio",TRUE)</f>
        <v>3.8E-3</v>
      </c>
    </row>
    <row r="54" spans="1:17" s="1" customFormat="1" ht="15">
      <c r="A54" s="4" t="str" cm="1">
        <f t="array" aca="1" ref="A54" ca="1">_FV(B54,"Name")</f>
        <v>iShsEdgMSCIWdMntmFtrETFUSDA</v>
      </c>
      <c r="B54" s="4" t="e" vm="156">
        <v>#VALUE!</v>
      </c>
      <c r="C54" s="4" t="str" cm="1">
        <f t="array" aca="1" ref="C54" ca="1">_FV(B54,"Exchange")</f>
        <v>Borsa Italiana</v>
      </c>
      <c r="D54" s="16" t="str" cm="1">
        <f t="array" aca="1" ref="D54" ca="1">_FV(B54,"Currency")</f>
        <v>EUR</v>
      </c>
      <c r="E54" s="10">
        <f t="shared" ca="1" si="5"/>
        <v>46318</v>
      </c>
      <c r="F54" s="16" cm="1">
        <f t="array" aca="1" ref="F54" ca="1">_FV(B54,"Price")</f>
        <v>98.13</v>
      </c>
      <c r="G54" s="6">
        <f t="shared" ca="1" si="9"/>
        <v>0.1766187050359711</v>
      </c>
      <c r="H54" s="6">
        <f t="shared" ca="1" si="10"/>
        <v>0.20066071210081965</v>
      </c>
      <c r="I54" s="6">
        <f t="shared" ca="1" si="11"/>
        <v>0.91847507331378297</v>
      </c>
      <c r="J54" s="17" cm="1">
        <f t="array" aca="1" ref="J54" ca="1">IFERROR(_FV(B54,"Market cap",TRUE),"N/A")</f>
        <v>6381493358.8599997</v>
      </c>
      <c r="K54" s="37" t="s">
        <v>25</v>
      </c>
      <c r="L54" s="6" t="s">
        <v>61</v>
      </c>
      <c r="M54" s="38" cm="1">
        <f t="array" aca="1" ref="M54" ca="1">IFERROR(_FV(Table2[[#This Row],[ETF]],"52 week high",TRUE),"N/A")</f>
        <v>109.51</v>
      </c>
      <c r="N54" s="38" cm="1">
        <f t="array" aca="1" ref="N54" ca="1">IFERROR(_FV(Table2[[#This Row],[ETF]],"52 week low",TRUE),"N/A")</f>
        <v>78.569999999999993</v>
      </c>
      <c r="O54" s="6" cm="1">
        <f t="array" aca="1" ref="O54" ca="1">_FV(Table2[[#This Row],[ETF]],"Change (%)",TRUE)</f>
        <v>6.5649999999999997E-3</v>
      </c>
      <c r="P54" s="32" cm="1">
        <f t="array" aca="1" ref="P54" ca="1">_FV(Table2[[#This Row],[ETF]],"Volume")</f>
        <v>29246</v>
      </c>
      <c r="Q54" s="6" cm="1">
        <f t="array" aca="1" ref="Q54" ca="1">_FV(Table2[[#This Row],[ETF]],"Expense ratio",TRUE)</f>
        <v>2.5000000000000001E-3</v>
      </c>
    </row>
    <row r="55" spans="1:17" s="1" customFormat="1" ht="15">
      <c r="A55" s="4" t="str" cm="1">
        <f t="array" aca="1" ref="A55" ca="1">_FV(B55,"Name")</f>
        <v>iShsEdgMSCIWldQlFtrETFUSDA</v>
      </c>
      <c r="B55" s="4" t="e" vm="157">
        <v>#VALUE!</v>
      </c>
      <c r="C55" s="4" t="str" cm="1">
        <f t="array" aca="1" ref="C55" ca="1">_FV(B55,"Exchange")</f>
        <v>Borsa Italiana</v>
      </c>
      <c r="D55" s="16" t="str" cm="1">
        <f t="array" aca="1" ref="D55" ca="1">_FV(B55,"Currency")</f>
        <v>EUR</v>
      </c>
      <c r="E55" s="10">
        <f t="shared" ca="1" si="5"/>
        <v>46318</v>
      </c>
      <c r="F55" s="16" cm="1">
        <f t="array" aca="1" ref="F55" ca="1">_FV(B55,"Price")</f>
        <v>80.209999999999994</v>
      </c>
      <c r="G55" s="6">
        <f t="shared" ca="1" si="9"/>
        <v>0.1785189538642373</v>
      </c>
      <c r="H55" s="6">
        <f t="shared" ca="1" si="10"/>
        <v>0.19680692330647565</v>
      </c>
      <c r="I55" s="6">
        <f t="shared" ca="1" si="11"/>
        <v>0.62467085274458167</v>
      </c>
      <c r="J55" s="17" cm="1">
        <f t="array" aca="1" ref="J55" ca="1">IFERROR(_FV(B55,"Market cap",TRUE),"N/A")</f>
        <v>6354452580.1499996</v>
      </c>
      <c r="K55" s="37" t="s">
        <v>25</v>
      </c>
      <c r="L55" s="6" t="s">
        <v>62</v>
      </c>
      <c r="M55" s="38" cm="1">
        <f t="array" aca="1" ref="M55" ca="1">IFERROR(_FV(Table2[[#This Row],[ETF]],"52 week high",TRUE),"N/A")</f>
        <v>81.63</v>
      </c>
      <c r="N55" s="38" cm="1">
        <f t="array" aca="1" ref="N55" ca="1">IFERROR(_FV(Table2[[#This Row],[ETF]],"52 week low",TRUE),"N/A")</f>
        <v>65.430000000000007</v>
      </c>
      <c r="O55" s="6" cm="1">
        <f t="array" aca="1" ref="O55" ca="1">_FV(Table2[[#This Row],[ETF]],"Change (%)",TRUE)</f>
        <v>-2.4870000000000001E-3</v>
      </c>
      <c r="P55" s="32" cm="1">
        <f t="array" aca="1" ref="P55" ca="1">_FV(Table2[[#This Row],[ETF]],"Volume")</f>
        <v>6849</v>
      </c>
      <c r="Q55" s="6" cm="1">
        <f t="array" aca="1" ref="Q55" ca="1">_FV(Table2[[#This Row],[ETF]],"Expense ratio",TRUE)</f>
        <v>2.5000000000000001E-3</v>
      </c>
    </row>
    <row r="56" spans="1:17" s="1" customFormat="1" ht="15">
      <c r="A56" s="4" t="str" cm="1">
        <f t="array" aca="1" ref="A56" ca="1">_FV(B56,"Name")</f>
        <v>iShsEdgMSCIWldValFtrETFUSDA</v>
      </c>
      <c r="B56" s="4" t="e" vm="158">
        <v>#VALUE!</v>
      </c>
      <c r="C56" s="4" t="str" cm="1">
        <f t="array" aca="1" ref="C56" ca="1">_FV(B56,"Exchange")</f>
        <v>Borsa Italiana</v>
      </c>
      <c r="D56" s="16" t="str" cm="1">
        <f t="array" aca="1" ref="D56" ca="1">_FV(B56,"Currency")</f>
        <v>EUR</v>
      </c>
      <c r="E56" s="10">
        <f t="shared" ca="1" si="5"/>
        <v>46318</v>
      </c>
      <c r="F56" s="16" cm="1">
        <f t="array" aca="1" ref="F56" ca="1">_FV(B56,"Price")</f>
        <v>70.08</v>
      </c>
      <c r="G56" s="6">
        <f t="shared" ca="1" si="9"/>
        <v>0.356562137049942</v>
      </c>
      <c r="H56" s="6">
        <f t="shared" ca="1" si="10"/>
        <v>0.46887444980088028</v>
      </c>
      <c r="I56" s="6">
        <f t="shared" ca="1" si="11"/>
        <v>1.0608734009704452</v>
      </c>
      <c r="J56" s="17" cm="1">
        <f t="array" aca="1" ref="J56" ca="1">IFERROR(_FV(B56,"Market cap",TRUE),"N/A")</f>
        <v>7342805253.75</v>
      </c>
      <c r="K56" s="37" t="s">
        <v>25</v>
      </c>
      <c r="L56" s="6" t="s">
        <v>63</v>
      </c>
      <c r="M56" s="38" cm="1">
        <f t="array" aca="1" ref="M56" ca="1">IFERROR(_FV(Table2[[#This Row],[ETF]],"52 week high",TRUE),"N/A")</f>
        <v>72.7</v>
      </c>
      <c r="N56" s="38" cm="1">
        <f t="array" aca="1" ref="N56" ca="1">IFERROR(_FV(Table2[[#This Row],[ETF]],"52 week low",TRUE),"N/A")</f>
        <v>47.35</v>
      </c>
      <c r="O56" s="6" cm="1">
        <f t="array" aca="1" ref="O56" ca="1">_FV(Table2[[#This Row],[ETF]],"Change (%)",TRUE)</f>
        <v>3.006E-3</v>
      </c>
      <c r="P56" s="32" cm="1">
        <f t="array" aca="1" ref="P56" ca="1">_FV(Table2[[#This Row],[ETF]],"Volume")</f>
        <v>19104</v>
      </c>
      <c r="Q56" s="6" cm="1">
        <f t="array" aca="1" ref="Q56" ca="1">_FV(Table2[[#This Row],[ETF]],"Expense ratio",TRUE)</f>
        <v>2.5000000000000001E-3</v>
      </c>
    </row>
    <row r="57" spans="1:17" s="1" customFormat="1" ht="15">
      <c r="A57" s="4" t="str" cm="1">
        <f t="array" aca="1" ref="A57" ca="1">_FV(B57,"Name")</f>
        <v>ISH MSCI WRLD MI ETF</v>
      </c>
      <c r="B57" s="4" t="e" vm="159">
        <v>#VALUE!</v>
      </c>
      <c r="C57" s="4" t="str" cm="1">
        <f t="array" aca="1" ref="C57" ca="1">_FV(B57,"Exchange")</f>
        <v>Xetra</v>
      </c>
      <c r="D57" s="16" t="str" cm="1">
        <f t="array" aca="1" ref="D57" ca="1">_FV(B57,"Currency")</f>
        <v>EUR</v>
      </c>
      <c r="E57" s="10">
        <f t="shared" ca="1" si="5"/>
        <v>46318</v>
      </c>
      <c r="F57" s="16" cm="1">
        <f t="array" aca="1" ref="F57" ca="1">_FV(B57,"Price")</f>
        <v>7.9880000000000004</v>
      </c>
      <c r="G57" s="6">
        <f t="shared" ca="1" si="9"/>
        <v>0.16766554597281103</v>
      </c>
      <c r="H57" s="6">
        <f t="shared" ca="1" si="10"/>
        <v>0.16307513104251603</v>
      </c>
      <c r="I57" s="6">
        <f t="shared" ca="1" si="11"/>
        <v>0.42135231316725985</v>
      </c>
      <c r="J57" s="17" cm="1">
        <f t="array" aca="1" ref="J57" ca="1">IFERROR(_FV(B57,"Market cap",TRUE),"N/A")</f>
        <v>307787462.32999998</v>
      </c>
      <c r="K57" s="37" t="s">
        <v>25</v>
      </c>
      <c r="L57" s="6" t="s">
        <v>59</v>
      </c>
      <c r="M57" s="38" cm="1">
        <f t="array" aca="1" ref="M57" ca="1">IFERROR(_FV(Table2[[#This Row],[ETF]],"52 week high",TRUE),"N/A")</f>
        <v>7.9960000000000004</v>
      </c>
      <c r="N57" s="38" cm="1">
        <f t="array" aca="1" ref="N57" ca="1">IFERROR(_FV(Table2[[#This Row],[ETF]],"52 week low",TRUE),"N/A")</f>
        <v>6.7649999999999997</v>
      </c>
      <c r="O57" s="6" cm="1">
        <f t="array" aca="1" ref="O57" ca="1">_FV(Table2[[#This Row],[ETF]],"Change (%)",TRUE)</f>
        <v>1.8809999999999999E-3</v>
      </c>
      <c r="P57" s="32" cm="1">
        <f t="array" aca="1" ref="P57" ca="1">_FV(Table2[[#This Row],[ETF]],"Volume")</f>
        <v>22729</v>
      </c>
      <c r="Q57" s="6" cm="1">
        <f t="array" aca="1" ref="Q57" ca="1">_FV(Table2[[#This Row],[ETF]],"Expense ratio",TRUE)</f>
        <v>3.0000000000000001E-3</v>
      </c>
    </row>
    <row r="58" spans="1:17" s="1" customFormat="1" ht="15">
      <c r="A58" s="4" t="str" cm="1">
        <f t="array" aca="1" ref="A58" ca="1">_FV(B58,"Name")</f>
        <v>iShs MSCI Wld EUR H UCITS ETFA</v>
      </c>
      <c r="B58" s="4" t="e" vm="160">
        <v>#VALUE!</v>
      </c>
      <c r="C58" s="4" t="str" cm="1">
        <f t="array" aca="1" ref="C58" ca="1">_FV(B58,"Exchange")</f>
        <v>Borsa Italiana</v>
      </c>
      <c r="D58" s="16" t="str" cm="1">
        <f t="array" aca="1" ref="D58" ca="1">_FV(B58,"Currency")</f>
        <v>EUR</v>
      </c>
      <c r="E58" s="10">
        <f t="shared" ca="1" si="5"/>
        <v>46318</v>
      </c>
      <c r="F58" s="16" cm="1">
        <f t="array" aca="1" ref="F58" ca="1">_FV(B58,"Price")</f>
        <v>118.52</v>
      </c>
      <c r="G58" s="6">
        <f t="shared" ca="1" si="9"/>
        <v>0.10292201749488185</v>
      </c>
      <c r="H58" s="6">
        <f t="shared" ca="1" si="10"/>
        <v>0.12650888698792892</v>
      </c>
      <c r="I58" s="6">
        <f t="shared" ca="1" si="11"/>
        <v>0.71271676300578024</v>
      </c>
      <c r="J58" s="17" cm="1">
        <f t="array" aca="1" ref="J58" ca="1">IFERROR(_FV(B58,"Market cap",TRUE),"N/A")</f>
        <v>5355896044.4700003</v>
      </c>
      <c r="K58" s="37" t="s">
        <v>25</v>
      </c>
      <c r="L58" s="6" t="s">
        <v>32</v>
      </c>
      <c r="M58" s="38" cm="1">
        <f t="array" aca="1" ref="M58" ca="1">IFERROR(_FV(Table2[[#This Row],[ETF]],"52 week high",TRUE),"N/A")</f>
        <v>122.1</v>
      </c>
      <c r="N58" s="38" cm="1">
        <f t="array" aca="1" ref="N58" ca="1">IFERROR(_FV(Table2[[#This Row],[ETF]],"52 week low",TRUE),"N/A")</f>
        <v>101.13</v>
      </c>
      <c r="O58" s="6" cm="1">
        <f t="array" aca="1" ref="O58" ca="1">_FV(Table2[[#This Row],[ETF]],"Change (%)",TRUE)</f>
        <v>-5.0599999999999994E-4</v>
      </c>
      <c r="P58" s="32" cm="1">
        <f t="array" aca="1" ref="P58" ca="1">_FV(Table2[[#This Row],[ETF]],"Volume")</f>
        <v>19078</v>
      </c>
      <c r="Q58" s="6" cm="1">
        <f t="array" aca="1" ref="Q58" ca="1">_FV(Table2[[#This Row],[ETF]],"Expense ratio",TRUE)</f>
        <v>5.5000000000000005E-3</v>
      </c>
    </row>
    <row r="59" spans="1:17" s="1" customFormat="1" ht="15">
      <c r="A59" s="4" t="str" cm="1">
        <f t="array" aca="1" ref="A59" ca="1">_FV(B59,"Name")</f>
        <v>AMUNDI MSCI EMERGING EX CHINA SWAP</v>
      </c>
      <c r="B59" s="4" t="e" vm="161">
        <v>#VALUE!</v>
      </c>
      <c r="C59" s="4" t="str" cm="1">
        <f t="array" aca="1" ref="C59" ca="1">_FV(B59,"Exchange")</f>
        <v>Borsa Italiana</v>
      </c>
      <c r="D59" s="16" t="str" cm="1">
        <f t="array" aca="1" ref="D59" ca="1">_FV(B59,"Currency")</f>
        <v>EUR</v>
      </c>
      <c r="E59" s="10">
        <f t="shared" ca="1" si="5"/>
        <v>46318</v>
      </c>
      <c r="F59" s="16" cm="1">
        <f t="array" aca="1" ref="F59" ca="1">_FV(B59,"Price")</f>
        <v>39.255000000000003</v>
      </c>
      <c r="G59" s="6">
        <f t="shared" ca="1" si="9"/>
        <v>0.29426310583580628</v>
      </c>
      <c r="H59" s="6">
        <f t="shared" ca="1" si="10"/>
        <v>0.35877466251298035</v>
      </c>
      <c r="I59" s="6">
        <f t="shared" ca="1" si="11"/>
        <v>0.92568064753495216</v>
      </c>
      <c r="J59" s="17" cm="1">
        <f t="array" aca="1" ref="J59" ca="1">IFERROR(_FV(B59,"Market cap",TRUE),"N/A")</f>
        <v>5344816116.5100002</v>
      </c>
      <c r="K59" s="37" t="s">
        <v>25</v>
      </c>
      <c r="L59" s="6" t="s">
        <v>48</v>
      </c>
      <c r="M59" s="38" cm="1">
        <f t="array" aca="1" ref="M59" ca="1">IFERROR(_FV(Table2[[#This Row],[ETF]],"52 week high",TRUE),"N/A")</f>
        <v>45.13</v>
      </c>
      <c r="N59" s="38" cm="1">
        <f t="array" aca="1" ref="N59" ca="1">IFERROR(_FV(Table2[[#This Row],[ETF]],"52 week low",TRUE),"N/A")</f>
        <v>28.05</v>
      </c>
      <c r="O59" s="6" cm="1">
        <f t="array" aca="1" ref="O59" ca="1">_FV(Table2[[#This Row],[ETF]],"Change (%)",TRUE)</f>
        <v>4.8640000000000003E-3</v>
      </c>
      <c r="P59" s="32" cm="1">
        <f t="array" aca="1" ref="P59" ca="1">_FV(Table2[[#This Row],[ETF]],"Volume")</f>
        <v>6999</v>
      </c>
      <c r="Q59" s="6" cm="1">
        <f t="array" aca="1" ref="Q59" ca="1">_FV(Table2[[#This Row],[ETF]],"Expense ratio",TRUE)</f>
        <v>1.5E-3</v>
      </c>
    </row>
    <row r="60" spans="1:17" s="1" customFormat="1" ht="15">
      <c r="A60" s="4" t="str" cm="1">
        <f t="array" aca="1" ref="A60" ca="1">_FV(B60,"Name")</f>
        <v>FIRST TRUST NASDAQ CLEAN EDG INF ETF</v>
      </c>
      <c r="B60" s="4" t="e" vm="162">
        <v>#VALUE!</v>
      </c>
      <c r="C60" s="4" t="str" cm="1">
        <f t="array" aca="1" ref="C60" ca="1">_FV(B60,"Exchange")</f>
        <v>Borsa Italiana</v>
      </c>
      <c r="D60" s="16" t="str" cm="1">
        <f t="array" aca="1" ref="D60" ca="1">_FV(B60,"Currency")</f>
        <v>EUR</v>
      </c>
      <c r="E60" s="10">
        <f t="shared" ca="1" si="5"/>
        <v>46318</v>
      </c>
      <c r="F60" s="16" cm="1">
        <f t="array" aca="1" ref="F60" ca="1">_FV(B60,"Price")</f>
        <v>50.89</v>
      </c>
      <c r="G60" s="6">
        <f t="shared" ca="1" si="9"/>
        <v>0.10750816104461365</v>
      </c>
      <c r="H60" s="6">
        <f t="shared" ca="1" si="10"/>
        <v>0.11077158135981673</v>
      </c>
      <c r="I60" s="6">
        <f t="shared" ca="1" si="11"/>
        <v>0.83189344852411806</v>
      </c>
      <c r="J60" s="17" cm="1">
        <f t="array" aca="1" ref="J60" ca="1">IFERROR(_FV(B60,"Market cap",TRUE),"N/A")</f>
        <v>2870469805.0900002</v>
      </c>
      <c r="K60" s="37" t="s">
        <v>25</v>
      </c>
      <c r="L60" s="6" t="s">
        <v>64</v>
      </c>
      <c r="M60" s="38" cm="1">
        <f t="array" aca="1" ref="M60" ca="1">IFERROR(_FV(Table2[[#This Row],[ETF]],"52 week high",TRUE),"N/A")</f>
        <v>59.91</v>
      </c>
      <c r="N60" s="38" cm="1">
        <f t="array" aca="1" ref="N60" ca="1">IFERROR(_FV(Table2[[#This Row],[ETF]],"52 week low",TRUE),"N/A")</f>
        <v>43.5</v>
      </c>
      <c r="O60" s="6" cm="1">
        <f t="array" aca="1" ref="O60" ca="1">_FV(Table2[[#This Row],[ETF]],"Change (%)",TRUE)</f>
        <v>1.377E-3</v>
      </c>
      <c r="P60" s="32" cm="1">
        <f t="array" aca="1" ref="P60" ca="1">_FV(Table2[[#This Row],[ETF]],"Volume")</f>
        <v>64226</v>
      </c>
      <c r="Q60" s="6" cm="1">
        <f t="array" aca="1" ref="Q60" ca="1">_FV(Table2[[#This Row],[ETF]],"Expense ratio",TRUE)</f>
        <v>6.3E-3</v>
      </c>
    </row>
    <row r="61" spans="1:17" s="1" customFormat="1" ht="15">
      <c r="A61" s="4" t="str" cm="1">
        <f t="array" aca="1" ref="A61" ca="1">_FV(B61,"Name")</f>
        <v>X MSCI Wld UCITS ETF 1C</v>
      </c>
      <c r="B61" s="4" t="e" vm="163">
        <v>#VALUE!</v>
      </c>
      <c r="C61" s="4" t="str" cm="1">
        <f t="array" aca="1" ref="C61" ca="1">_FV(B61,"Exchange")</f>
        <v>Borsa Italiana</v>
      </c>
      <c r="D61" s="16" t="str" cm="1">
        <f t="array" aca="1" ref="D61" ca="1">_FV(B61,"Currency")</f>
        <v>EUR</v>
      </c>
      <c r="E61" s="10">
        <f t="shared" ca="1" si="5"/>
        <v>46318</v>
      </c>
      <c r="F61" s="16" cm="1">
        <f t="array" aca="1" ref="F61" ca="1">_FV(B61,"Price")</f>
        <v>142.13399999999999</v>
      </c>
      <c r="G61" s="6">
        <f t="shared" ca="1" si="9"/>
        <v>0.16800065740816819</v>
      </c>
      <c r="H61" s="6">
        <f t="shared" ca="1" si="10"/>
        <v>0.18423289063671644</v>
      </c>
      <c r="I61" s="6">
        <f t="shared" ca="1" si="11"/>
        <v>0.73144110123035666</v>
      </c>
      <c r="J61" s="17" cm="1">
        <f t="array" aca="1" ref="J61" ca="1">IFERROR(_FV(B61,"Market cap",TRUE),"N/A")</f>
        <v>24295470600</v>
      </c>
      <c r="K61" s="37" t="s">
        <v>25</v>
      </c>
      <c r="L61" s="6" t="s">
        <v>32</v>
      </c>
      <c r="M61" s="38" cm="1">
        <f t="array" aca="1" ref="M61" ca="1">IFERROR(_FV(Table2[[#This Row],[ETF]],"52 week high",TRUE),"N/A")</f>
        <v>144.88</v>
      </c>
      <c r="N61" s="38" cm="1">
        <f t="array" aca="1" ref="N61" ca="1">IFERROR(_FV(Table2[[#This Row],[ETF]],"52 week low",TRUE),"N/A")</f>
        <v>117</v>
      </c>
      <c r="O61" s="6" cm="1">
        <f t="array" aca="1" ref="O61" ca="1">_FV(Table2[[#This Row],[ETF]],"Change (%)",TRUE)</f>
        <v>-2.9540000000000002E-4</v>
      </c>
      <c r="P61" s="32" cm="1">
        <f t="array" aca="1" ref="P61" ca="1">_FV(Table2[[#This Row],[ETF]],"Volume")</f>
        <v>18015</v>
      </c>
      <c r="Q61" s="6" cm="1">
        <f t="array" aca="1" ref="Q61" ca="1">_FV(Table2[[#This Row],[ETF]],"Expense ratio",TRUE)</f>
        <v>1.1999999999999999E-3</v>
      </c>
    </row>
    <row r="62" spans="1:17" s="1" customFormat="1" ht="15">
      <c r="A62" s="4" t="str" cm="1">
        <f t="array" aca="1" ref="A62" ca="1">_FV(B62,"Name")</f>
        <v>XTRACKERS MSCI WORLD ESG UCITS ETF</v>
      </c>
      <c r="B62" s="4" t="e" vm="164">
        <v>#VALUE!</v>
      </c>
      <c r="C62" s="4" t="str" cm="1">
        <f t="array" aca="1" ref="C62" ca="1">_FV(B62,"Exchange")</f>
        <v>Borsa Italiana</v>
      </c>
      <c r="D62" s="16" t="str" cm="1">
        <f t="array" aca="1" ref="D62" ca="1">_FV(B62,"Currency")</f>
        <v>EUR</v>
      </c>
      <c r="E62" s="10">
        <f t="shared" ca="1" si="5"/>
        <v>46318</v>
      </c>
      <c r="F62" s="16" cm="1">
        <f t="array" aca="1" ref="F62" ca="1">_FV(B62,"Price")</f>
        <v>50.58</v>
      </c>
      <c r="G62" s="6">
        <f t="shared" ca="1" si="9"/>
        <v>0.15046059365404285</v>
      </c>
      <c r="H62" s="6">
        <f t="shared" ca="1" si="10"/>
        <v>0.16409666283083993</v>
      </c>
      <c r="I62" s="6">
        <f t="shared" ca="1" si="11"/>
        <v>0.71225457007447524</v>
      </c>
      <c r="J62" s="17" cm="1">
        <f t="array" aca="1" ref="J62" ca="1">IFERROR(_FV(B62,"Market cap",TRUE),"N/A")</f>
        <v>5836042500</v>
      </c>
      <c r="K62" s="37" t="s">
        <v>25</v>
      </c>
      <c r="L62" s="6" t="s">
        <v>65</v>
      </c>
      <c r="M62" s="38" cm="1">
        <f t="array" aca="1" ref="M62" ca="1">IFERROR(_FV(Table2[[#This Row],[ETF]],"52 week high",TRUE),"N/A")</f>
        <v>51.61</v>
      </c>
      <c r="N62" s="38" cm="1">
        <f t="array" aca="1" ref="N62" ca="1">IFERROR(_FV(Table2[[#This Row],[ETF]],"52 week low",TRUE),"N/A")</f>
        <v>40.57</v>
      </c>
      <c r="O62" s="6" cm="1">
        <f t="array" aca="1" ref="O62" ca="1">_FV(Table2[[#This Row],[ETF]],"Change (%)",TRUE)</f>
        <v>-3.1530000000000004E-3</v>
      </c>
      <c r="P62" s="32" cm="1">
        <f t="array" aca="1" ref="P62" ca="1">_FV(Table2[[#This Row],[ETF]],"Volume")</f>
        <v>8748</v>
      </c>
      <c r="Q62" s="6" cm="1">
        <f t="array" aca="1" ref="Q62" ca="1">_FV(Table2[[#This Row],[ETF]],"Expense ratio",TRUE)</f>
        <v>2E-3</v>
      </c>
    </row>
    <row r="63" spans="1:17" s="1" customFormat="1" ht="15">
      <c r="A63" s="4" t="str" cm="1">
        <f t="array" aca="1" ref="A63" ca="1">_FV(B63,"Name")</f>
        <v>Xtrackers MSCI World ex USA UCITS ETF</v>
      </c>
      <c r="B63" s="4" t="e" vm="165">
        <v>#VALUE!</v>
      </c>
      <c r="C63" s="4" t="str" cm="1">
        <f t="array" aca="1" ref="C63" ca="1">_FV(B63,"Exchange")</f>
        <v>Borsa Italiana</v>
      </c>
      <c r="D63" s="16" t="str" cm="1">
        <f t="array" aca="1" ref="D63" ca="1">_FV(B63,"Currency")</f>
        <v>EUR</v>
      </c>
      <c r="E63" s="10">
        <f t="shared" ca="1" si="5"/>
        <v>46318</v>
      </c>
      <c r="F63" s="16" cm="1">
        <f t="array" aca="1" ref="F63" ca="1">_FV(B63,"Price")</f>
        <v>40.06</v>
      </c>
      <c r="G63" s="6">
        <f t="shared" ca="1" si="9"/>
        <v>0.13597050900326108</v>
      </c>
      <c r="H63" s="6">
        <f t="shared" ca="1" si="10"/>
        <v>0.17391941391941398</v>
      </c>
      <c r="I63" s="6">
        <f t="shared" ca="1" si="11"/>
        <v>0.36537150647580102</v>
      </c>
      <c r="J63" s="17" cm="1">
        <f t="array" aca="1" ref="J63" ca="1">IFERROR(_FV(B63,"Market cap",TRUE),"N/A")</f>
        <v>7888803185.4300003</v>
      </c>
      <c r="K63" s="37" t="s">
        <v>25</v>
      </c>
      <c r="L63" s="6" t="s">
        <v>32</v>
      </c>
      <c r="M63" s="38" cm="1">
        <f t="array" aca="1" ref="M63" ca="1">IFERROR(_FV(Table2[[#This Row],[ETF]],"52 week high",TRUE),"N/A")</f>
        <v>41.11</v>
      </c>
      <c r="N63" s="38" cm="1">
        <f t="array" aca="1" ref="N63" ca="1">IFERROR(_FV(Table2[[#This Row],[ETF]],"52 week low",TRUE),"N/A")</f>
        <v>33.24</v>
      </c>
      <c r="O63" s="6" cm="1">
        <f t="array" aca="1" ref="O63" ca="1">_FV(Table2[[#This Row],[ETF]],"Change (%)",TRUE)</f>
        <v>-2.2420000000000001E-3</v>
      </c>
      <c r="P63" s="32" cm="1">
        <f t="array" aca="1" ref="P63" ca="1">_FV(Table2[[#This Row],[ETF]],"Volume")</f>
        <v>22823</v>
      </c>
      <c r="Q63" s="6" cm="1">
        <f t="array" aca="1" ref="Q63" ca="1">_FV(Table2[[#This Row],[ETF]],"Expense ratio",TRUE)</f>
        <v>1.5E-3</v>
      </c>
    </row>
    <row r="64" spans="1:17" s="1" customFormat="1" ht="15">
      <c r="A64" s="4" t="str" cm="1">
        <f t="array" aca="1" ref="A64" ca="1">_FV(B64,"Name")</f>
        <v>X WLD TECHNO UCITS ETF</v>
      </c>
      <c r="B64" s="4" t="e" vm="166">
        <v>#VALUE!</v>
      </c>
      <c r="C64" s="4" t="str" cm="1">
        <f t="array" aca="1" ref="C64" ca="1">_FV(B64,"Exchange")</f>
        <v>Borsa Italiana</v>
      </c>
      <c r="D64" s="16" t="str" cm="1">
        <f t="array" aca="1" ref="D64" ca="1">_FV(B64,"Currency")</f>
        <v>EUR</v>
      </c>
      <c r="E64" s="10">
        <f t="shared" ca="1" si="5"/>
        <v>46318</v>
      </c>
      <c r="F64" s="16" cm="1">
        <f t="array" aca="1" ref="F64" ca="1">_FV(B64,"Price")</f>
        <v>128.41</v>
      </c>
      <c r="G64" s="6">
        <f t="shared" ca="1" si="9"/>
        <v>0.28179277300858441</v>
      </c>
      <c r="H64" s="6">
        <f t="shared" ca="1" si="10"/>
        <v>0.26487391646966119</v>
      </c>
      <c r="I64" s="6">
        <f t="shared" ca="1" si="11"/>
        <v>1.2465010496850946</v>
      </c>
      <c r="J64" s="17" cm="1">
        <f t="array" aca="1" ref="J64" ca="1">IFERROR(_FV(B64,"Market cap",TRUE),"N/A")</f>
        <v>6780795500</v>
      </c>
      <c r="K64" s="37" t="s">
        <v>25</v>
      </c>
      <c r="L64" s="6" t="s">
        <v>66</v>
      </c>
      <c r="M64" s="38" cm="1">
        <f t="array" aca="1" ref="M64" ca="1">IFERROR(_FV(Table2[[#This Row],[ETF]],"52 week high",TRUE),"N/A")</f>
        <v>139.85</v>
      </c>
      <c r="N64" s="38" cm="1">
        <f t="array" aca="1" ref="N64" ca="1">IFERROR(_FV(Table2[[#This Row],[ETF]],"52 week low",TRUE),"N/A")</f>
        <v>89.81</v>
      </c>
      <c r="O64" s="6" cm="1">
        <f t="array" aca="1" ref="O64" ca="1">_FV(Table2[[#This Row],[ETF]],"Change (%)",TRUE)</f>
        <v>6.6639999999999998E-3</v>
      </c>
      <c r="P64" s="32" cm="1">
        <f t="array" aca="1" ref="P64" ca="1">_FV(Table2[[#This Row],[ETF]],"Volume")</f>
        <v>13345</v>
      </c>
      <c r="Q64" s="6" cm="1">
        <f t="array" aca="1" ref="Q64" ca="1">_FV(Table2[[#This Row],[ETF]],"Expense ratio",TRUE)</f>
        <v>2.5000000000000001E-3</v>
      </c>
    </row>
    <row r="65" spans="1:17" s="1" customFormat="1" ht="15">
      <c r="A65" s="4" t="str" cm="1">
        <f t="array" aca="1" ref="A65" ca="1">_FV(B65,"Name")</f>
        <v>X MSCI WLD MIN 1C ETF</v>
      </c>
      <c r="B65" s="4" t="e" vm="167">
        <v>#VALUE!</v>
      </c>
      <c r="C65" s="4" t="str" cm="1">
        <f t="array" aca="1" ref="C65" ca="1">_FV(B65,"Exchange")</f>
        <v>Borsa Italiana</v>
      </c>
      <c r="D65" s="16" t="str" cm="1">
        <f t="array" aca="1" ref="D65" ca="1">_FV(B65,"Currency")</f>
        <v>EUR</v>
      </c>
      <c r="E65" s="10">
        <f t="shared" ca="1" si="5"/>
        <v>46318</v>
      </c>
      <c r="F65" s="16" cm="1">
        <f t="array" aca="1" ref="F65" ca="1">_FV(B65,"Price")</f>
        <v>47.805</v>
      </c>
      <c r="G65" s="6">
        <f t="shared" ca="1" si="9"/>
        <v>0.14791691679673422</v>
      </c>
      <c r="H65" s="6">
        <f t="shared" ca="1" si="10"/>
        <v>0.13094393186657194</v>
      </c>
      <c r="I65" s="6">
        <f t="shared" ca="1" si="11"/>
        <v>0.37846020761245674</v>
      </c>
      <c r="J65" s="17" cm="1">
        <f t="array" aca="1" ref="J65" ca="1">IFERROR(_FV(B65,"Market cap",TRUE),"N/A")</f>
        <v>1349055800</v>
      </c>
      <c r="K65" s="37" t="s">
        <v>25</v>
      </c>
      <c r="L65" s="6" t="s">
        <v>59</v>
      </c>
      <c r="M65" s="38" cm="1">
        <f t="array" aca="1" ref="M65" ca="1">IFERROR(_FV(Table2[[#This Row],[ETF]],"52 week high",TRUE),"N/A")</f>
        <v>47.86</v>
      </c>
      <c r="N65" s="38" cm="1">
        <f t="array" aca="1" ref="N65" ca="1">IFERROR(_FV(Table2[[#This Row],[ETF]],"52 week low",TRUE),"N/A")</f>
        <v>41.22</v>
      </c>
      <c r="O65" s="6" cm="1">
        <f t="array" aca="1" ref="O65" ca="1">_FV(Table2[[#This Row],[ETF]],"Change (%)",TRUE)</f>
        <v>4.1849999999999998E-4</v>
      </c>
      <c r="P65" s="32" cm="1">
        <f t="array" aca="1" ref="P65" ca="1">_FV(Table2[[#This Row],[ETF]],"Volume")</f>
        <v>1991</v>
      </c>
      <c r="Q65" s="6" cm="1">
        <f t="array" aca="1" ref="Q65" ca="1">_FV(Table2[[#This Row],[ETF]],"Expense ratio",TRUE)</f>
        <v>2.5000000000000001E-3</v>
      </c>
    </row>
    <row r="66" spans="1:17" s="1" customFormat="1" ht="15">
      <c r="A66" s="4" t="str" cm="1">
        <f t="array" aca="1" ref="A66" ca="1">_FV(B66,"Name")</f>
        <v>X S&amp;P GLOBAL INFRA SWAP</v>
      </c>
      <c r="B66" s="4" t="e" vm="168">
        <v>#VALUE!</v>
      </c>
      <c r="C66" s="4" t="str" cm="1">
        <f t="array" aca="1" ref="C66" ca="1">_FV(B66,"Exchange")</f>
        <v>Borsa Italiana</v>
      </c>
      <c r="D66" s="16" t="str" cm="1">
        <f t="array" aca="1" ref="D66" ca="1">_FV(B66,"Currency")</f>
        <v>EUR</v>
      </c>
      <c r="E66" s="10">
        <f t="shared" ca="1" si="5"/>
        <v>46318</v>
      </c>
      <c r="F66" s="16" cm="1">
        <f t="array" aca="1" ref="F66" ca="1">_FV(B66,"Price")</f>
        <v>70.37</v>
      </c>
      <c r="G66" s="6">
        <f t="shared" ca="1" si="9"/>
        <v>0.10453617956364783</v>
      </c>
      <c r="H66" s="6">
        <f t="shared" ca="1" si="10"/>
        <v>0.10801448590773118</v>
      </c>
      <c r="I66" s="6">
        <f t="shared" ca="1" si="11"/>
        <v>0.59442619236433691</v>
      </c>
      <c r="J66" s="17" cm="1">
        <f t="array" aca="1" ref="J66" ca="1">IFERROR(_FV(B66,"Market cap",TRUE),"N/A")</f>
        <v>657535900</v>
      </c>
      <c r="K66" s="37" t="s">
        <v>25</v>
      </c>
      <c r="L66" s="6" t="s">
        <v>41</v>
      </c>
      <c r="M66" s="38" cm="1">
        <f t="array" aca="1" ref="M66" ca="1">IFERROR(_FV(Table2[[#This Row],[ETF]],"52 week high",TRUE),"N/A")</f>
        <v>72.66</v>
      </c>
      <c r="N66" s="38" cm="1">
        <f t="array" aca="1" ref="N66" ca="1">IFERROR(_FV(Table2[[#This Row],[ETF]],"52 week low",TRUE),"N/A")</f>
        <v>62.39</v>
      </c>
      <c r="O66" s="6" cm="1">
        <f t="array" aca="1" ref="O66" ca="1">_FV(Table2[[#This Row],[ETF]],"Change (%)",TRUE)</f>
        <v>9.1779999999999987E-3</v>
      </c>
      <c r="P66" s="32" cm="1">
        <f t="array" aca="1" ref="P66" ca="1">_FV(Table2[[#This Row],[ETF]],"Volume")</f>
        <v>672</v>
      </c>
      <c r="Q66" s="6" cm="1">
        <f t="array" aca="1" ref="Q66" ca="1">_FV(Table2[[#This Row],[ETF]],"Expense ratio",TRUE)</f>
        <v>6.0000000000000001E-3</v>
      </c>
    </row>
    <row r="67" spans="1:17" s="1" customFormat="1" ht="15">
      <c r="A67" s="4" t="str" cm="1">
        <f t="array" aca="1" ref="A67" ca="1">_FV(B67,"Name")</f>
        <v>INVESCO FTSE EM HDLV UCITS ETF</v>
      </c>
      <c r="B67" s="4" t="e" vm="169">
        <v>#VALUE!</v>
      </c>
      <c r="C67" s="4" t="str" cm="1">
        <f t="array" aca="1" ref="C67" ca="1">_FV(B67,"Exchange")</f>
        <v>Borsa Italiana</v>
      </c>
      <c r="D67" s="16" t="str" cm="1">
        <f t="array" aca="1" ref="D67" ca="1">_FV(B67,"Currency")</f>
        <v>EUR</v>
      </c>
      <c r="E67" s="10">
        <f t="shared" ca="1" si="5"/>
        <v>46318</v>
      </c>
      <c r="F67" s="16" cm="1">
        <f t="array" aca="1" ref="F67" ca="1">_FV(B67,"Price")</f>
        <v>26.57</v>
      </c>
      <c r="G67" s="6">
        <f t="shared" ca="1" si="9"/>
        <v>0.13474268631219311</v>
      </c>
      <c r="H67" s="6">
        <f t="shared" ca="1" si="10"/>
        <v>0.16026200873362453</v>
      </c>
      <c r="I67" s="6">
        <f t="shared" ca="1" si="11"/>
        <v>0.34395548811330301</v>
      </c>
      <c r="J67" s="17" cm="1">
        <f t="array" aca="1" ref="J67" ca="1">IFERROR(_FV(B67,"Market cap",TRUE),"N/A")</f>
        <v>291784380.25999999</v>
      </c>
      <c r="K67" s="37" t="s">
        <v>25</v>
      </c>
      <c r="L67" s="6" t="s">
        <v>60</v>
      </c>
      <c r="M67" s="38" cm="1">
        <f t="array" aca="1" ref="M67" ca="1">IFERROR(_FV(Table2[[#This Row],[ETF]],"52 week high",TRUE),"N/A")</f>
        <v>27.3</v>
      </c>
      <c r="N67" s="38" cm="1">
        <f t="array" aca="1" ref="N67" ca="1">IFERROR(_FV(Table2[[#This Row],[ETF]],"52 week low",TRUE),"N/A")</f>
        <v>22.45</v>
      </c>
      <c r="O67" s="6" cm="1">
        <f t="array" aca="1" ref="O67" ca="1">_FV(Table2[[#This Row],[ETF]],"Change (%)",TRUE)</f>
        <v>-1.8809999999999999E-4</v>
      </c>
      <c r="P67" s="32" cm="1">
        <f t="array" aca="1" ref="P67" ca="1">_FV(Table2[[#This Row],[ETF]],"Volume")</f>
        <v>10795</v>
      </c>
      <c r="Q67" s="6" cm="1">
        <f t="array" aca="1" ref="Q67" ca="1">_FV(Table2[[#This Row],[ETF]],"Expense ratio",TRUE)</f>
        <v>4.8999999999999998E-3</v>
      </c>
    </row>
    <row r="68" spans="1:17" s="1" customFormat="1" ht="15">
      <c r="A68" s="4" t="str" cm="1">
        <f t="array" aca="1" ref="A68" ca="1">_FV(B68,"Name")</f>
        <v>STATE S&amp;P GBL DV</v>
      </c>
      <c r="B68" s="4" t="e" vm="170">
        <v>#VALUE!</v>
      </c>
      <c r="C68" s="4" t="str" cm="1">
        <f t="array" aca="1" ref="C68" ca="1">_FV(B68,"Exchange")</f>
        <v>Borsa Italiana</v>
      </c>
      <c r="D68" s="16" t="str" cm="1">
        <f t="array" aca="1" ref="D68" ca="1">_FV(B68,"Currency")</f>
        <v>EUR</v>
      </c>
      <c r="E68" s="10">
        <f t="shared" ca="1" si="5"/>
        <v>46318</v>
      </c>
      <c r="F68" s="16" cm="1">
        <f t="array" aca="1" ref="F68" ca="1">_FV(B68,"Price")</f>
        <v>35.185000000000002</v>
      </c>
      <c r="G68" s="6">
        <f t="shared" ca="1" si="9"/>
        <v>0.11858210141471957</v>
      </c>
      <c r="H68" s="6">
        <f t="shared" ca="1" si="10"/>
        <v>0.12826679493346171</v>
      </c>
      <c r="I68" s="6">
        <f t="shared" ca="1" si="11"/>
        <v>0.37226989079563189</v>
      </c>
      <c r="J68" s="17" cm="1">
        <f t="array" aca="1" ref="J68" ca="1">IFERROR(_FV(B68,"Market cap",TRUE),"N/A")</f>
        <v>1688831323.46</v>
      </c>
      <c r="K68" s="37" t="s">
        <v>25</v>
      </c>
      <c r="L68" s="6" t="s">
        <v>60</v>
      </c>
      <c r="M68" s="38" cm="1">
        <f t="array" aca="1" ref="M68" ca="1">IFERROR(_FV(Table2[[#This Row],[ETF]],"52 week high",TRUE),"N/A")</f>
        <v>36.28</v>
      </c>
      <c r="N68" s="38" cm="1">
        <f t="array" aca="1" ref="N68" ca="1">IFERROR(_FV(Table2[[#This Row],[ETF]],"52 week low",TRUE),"N/A")</f>
        <v>30.38</v>
      </c>
      <c r="O68" s="6" cm="1">
        <f t="array" aca="1" ref="O68" ca="1">_FV(Table2[[#This Row],[ETF]],"Change (%)",TRUE)</f>
        <v>4.1380000000000002E-3</v>
      </c>
      <c r="P68" s="32" cm="1">
        <f t="array" aca="1" ref="P68" ca="1">_FV(Table2[[#This Row],[ETF]],"Volume")</f>
        <v>10077</v>
      </c>
      <c r="Q68" s="6" cm="1">
        <f t="array" aca="1" ref="Q68" ca="1">_FV(Table2[[#This Row],[ETF]],"Expense ratio",TRUE)</f>
        <v>4.5000000000000005E-3</v>
      </c>
    </row>
    <row r="69" spans="1:17" s="1" customFormat="1" ht="15">
      <c r="A69" s="4" t="str" cm="1">
        <f t="array" aca="1" ref="A69" ca="1">_FV(B69,"Name")</f>
        <v>VANECK VDEO GMING AND ESPRT UCTS ETF</v>
      </c>
      <c r="B69" s="4" t="e" vm="171">
        <v>#VALUE!</v>
      </c>
      <c r="C69" s="4" t="str" cm="1">
        <f t="array" aca="1" ref="C69" ca="1">_FV(B69,"Exchange")</f>
        <v>Borsa Italiana</v>
      </c>
      <c r="D69" s="16" t="str" cm="1">
        <f t="array" aca="1" ref="D69" ca="1">_FV(B69,"Currency")</f>
        <v>EUR</v>
      </c>
      <c r="E69" s="10">
        <f t="shared" ca="1" si="5"/>
        <v>46318</v>
      </c>
      <c r="F69" s="16" cm="1">
        <f t="array" aca="1" ref="F69" ca="1">_FV(B69,"Price")</f>
        <v>58.53</v>
      </c>
      <c r="G69" s="6">
        <f t="shared" ca="1" si="9"/>
        <v>-9.6446700507614256E-3</v>
      </c>
      <c r="H69" s="6">
        <f t="shared" ca="1" si="10"/>
        <v>-9.6201358863496039E-2</v>
      </c>
      <c r="I69" s="6">
        <f t="shared" ca="1" si="11"/>
        <v>0.96938088829071345</v>
      </c>
      <c r="J69" s="17" cm="1">
        <f t="array" aca="1" ref="J69" ca="1">IFERROR(_FV(B69,"Market cap",TRUE),"N/A")</f>
        <v>612445226.14999998</v>
      </c>
      <c r="K69" s="37" t="s">
        <v>25</v>
      </c>
      <c r="L69" s="6" t="s">
        <v>67</v>
      </c>
      <c r="M69" s="38" cm="1">
        <f t="array" aca="1" ref="M69" ca="1">IFERROR(_FV(Table2[[#This Row],[ETF]],"52 week high",TRUE),"N/A")</f>
        <v>65.77</v>
      </c>
      <c r="N69" s="38" cm="1">
        <f t="array" aca="1" ref="N69" ca="1">IFERROR(_FV(Table2[[#This Row],[ETF]],"52 week low",TRUE),"N/A")</f>
        <v>49.26</v>
      </c>
      <c r="O69" s="6" cm="1">
        <f t="array" aca="1" ref="O69" ca="1">_FV(Table2[[#This Row],[ETF]],"Change (%)",TRUE)</f>
        <v>-5.0990000000000002E-3</v>
      </c>
      <c r="P69" s="32" cm="1">
        <f t="array" aca="1" ref="P69" ca="1">_FV(Table2[[#This Row],[ETF]],"Volume")</f>
        <v>5268</v>
      </c>
      <c r="Q69" s="6" cm="1">
        <f t="array" aca="1" ref="Q69" ca="1">_FV(Table2[[#This Row],[ETF]],"Expense ratio",TRUE)</f>
        <v>5.5000000000000005E-3</v>
      </c>
    </row>
    <row r="70" spans="1:17" s="1" customFormat="1" ht="15">
      <c r="A70" s="4" t="str" cm="1">
        <f t="array" aca="1" ref="A70" ca="1">_FV(B70,"Name")</f>
        <v>VEOilServicesUCITSETFUSDA</v>
      </c>
      <c r="B70" s="4" t="e" vm="172">
        <v>#VALUE!</v>
      </c>
      <c r="C70" s="4" t="str" cm="1">
        <f t="array" aca="1" ref="C70" ca="1">_FV(B70,"Exchange")</f>
        <v>Borsa Italiana</v>
      </c>
      <c r="D70" s="16" t="str" cm="1">
        <f t="array" aca="1" ref="D70" ca="1">_FV(B70,"Currency")</f>
        <v>EUR</v>
      </c>
      <c r="E70" s="10">
        <f t="shared" ca="1" si="5"/>
        <v>46318</v>
      </c>
      <c r="F70" s="16" cm="1">
        <f t="array" aca="1" ref="F70" ca="1">_FV(B70,"Price")</f>
        <v>28.895</v>
      </c>
      <c r="G70" s="6">
        <f t="shared" ca="1" si="9"/>
        <v>0.43971101145989033</v>
      </c>
      <c r="H70" s="6">
        <f t="shared" ca="1" si="10"/>
        <v>0.5437012501335613</v>
      </c>
      <c r="I70" s="6">
        <f t="shared" ca="1" si="11"/>
        <v>0.23773827372028275</v>
      </c>
      <c r="J70" s="17" cm="1">
        <f t="array" aca="1" ref="J70" ca="1">IFERROR(_FV(B70,"Market cap",TRUE),"N/A")</f>
        <v>286903618.64999998</v>
      </c>
      <c r="K70" s="37" t="s">
        <v>25</v>
      </c>
      <c r="L70" s="6" t="s">
        <v>68</v>
      </c>
      <c r="M70" s="38" t="str" cm="1">
        <f t="array" ref="M70">IFERROR(_FV(Table2[[#This Row],[ETF]],"52 week high",TRUE),"N/A")</f>
        <v>N/A</v>
      </c>
      <c r="N70" s="38" t="str" cm="1">
        <f t="array" ref="N70">IFERROR(_FV(Table2[[#This Row],[ETF]],"52 week low",TRUE),"N/A")</f>
        <v>N/A</v>
      </c>
      <c r="O70" s="6" cm="1">
        <f t="array" aca="1" ref="O70" ca="1">_FV(Table2[[#This Row],[ETF]],"Change (%)",TRUE)</f>
        <v>7.6565000000000008E-2</v>
      </c>
      <c r="P70" s="32" cm="1">
        <f t="array" aca="1" ref="P70" ca="1">_FV(Table2[[#This Row],[ETF]],"Volume")</f>
        <v>4017</v>
      </c>
      <c r="Q70" s="6" cm="1">
        <f t="array" aca="1" ref="Q70" ca="1">_FV(Table2[[#This Row],[ETF]],"Expense ratio",TRUE)</f>
        <v>3.4999999999999996E-3</v>
      </c>
    </row>
    <row r="71" spans="1:17" s="1" customFormat="1" ht="15">
      <c r="A71" s="4" t="str" cm="1">
        <f t="array" aca="1" ref="A71" ca="1">_FV(B71,"Name")</f>
        <v>VANGUARD FTSE ALLWRLD HIDIVYLD ETF</v>
      </c>
      <c r="B71" s="4" t="e" vm="173">
        <v>#VALUE!</v>
      </c>
      <c r="C71" s="4" t="str" cm="1">
        <f t="array" aca="1" ref="C71" ca="1">_FV(B71,"Exchange")</f>
        <v>Xetra</v>
      </c>
      <c r="D71" s="16" t="str" cm="1">
        <f t="array" aca="1" ref="D71" ca="1">_FV(B71,"Currency")</f>
        <v>EUR</v>
      </c>
      <c r="E71" s="10">
        <f t="shared" ca="1" si="5"/>
        <v>46318</v>
      </c>
      <c r="F71" s="16" cm="1">
        <f t="array" aca="1" ref="F71" ca="1">_FV(B71,"Price")</f>
        <v>95.15</v>
      </c>
      <c r="G71" s="6">
        <f t="shared" ca="1" si="9"/>
        <v>0.20078243311458874</v>
      </c>
      <c r="H71" s="6">
        <f t="shared" ca="1" si="10"/>
        <v>0.24590807908864737</v>
      </c>
      <c r="I71" s="6">
        <f t="shared" ca="1" si="11"/>
        <v>0.6915555555555557</v>
      </c>
      <c r="J71" s="17" cm="1">
        <f t="array" aca="1" ref="J71" ca="1">IFERROR(_FV(B71,"Market cap",TRUE),"N/A")</f>
        <v>3429208263.2199998</v>
      </c>
      <c r="K71" s="37" t="s">
        <v>25</v>
      </c>
      <c r="L71" s="6" t="s">
        <v>60</v>
      </c>
      <c r="M71" s="38" cm="1">
        <f t="array" aca="1" ref="M71" ca="1">IFERROR(_FV(Table2[[#This Row],[ETF]],"52 week high",TRUE),"N/A")</f>
        <v>95.34</v>
      </c>
      <c r="N71" s="38" cm="1">
        <f t="array" aca="1" ref="N71" ca="1">IFERROR(_FV(Table2[[#This Row],[ETF]],"52 week low",TRUE),"N/A")</f>
        <v>75.5</v>
      </c>
      <c r="O71" s="6" cm="1">
        <f t="array" aca="1" ref="O71" ca="1">_FV(Table2[[#This Row],[ETF]],"Change (%)",TRUE)</f>
        <v>1.895E-3</v>
      </c>
      <c r="P71" s="32" cm="1">
        <f t="array" aca="1" ref="P71" ca="1">_FV(Table2[[#This Row],[ETF]],"Volume")</f>
        <v>39557</v>
      </c>
      <c r="Q71" s="6" cm="1">
        <f t="array" aca="1" ref="Q71" ca="1">_FV(Table2[[#This Row],[ETF]],"Expense ratio",TRUE)</f>
        <v>2.8999999999999998E-3</v>
      </c>
    </row>
    <row r="72" spans="1:17" s="1" customFormat="1" ht="15">
      <c r="A72" s="4" t="str" cm="1">
        <f t="array" aca="1" ref="A72" ca="1">_FV(B72,"Name")</f>
        <v>BNPP EASY II NASDAQ 100 USD ETF</v>
      </c>
      <c r="B72" s="4" t="e" vm="174">
        <v>#VALUE!</v>
      </c>
      <c r="C72" s="4" t="str" cm="1">
        <f t="array" aca="1" ref="C72" ca="1">_FV(B72,"Exchange")</f>
        <v>Borsa Italiana</v>
      </c>
      <c r="D72" s="16" t="str" cm="1">
        <f t="array" aca="1" ref="D72" ca="1">_FV(B72,"Currency")</f>
        <v>EUR</v>
      </c>
      <c r="E72" s="10">
        <f t="shared" ca="1" si="5"/>
        <v>46318</v>
      </c>
      <c r="F72" s="16" cm="1">
        <f t="array" aca="1" ref="F72" ca="1">_FV(B72,"Price")</f>
        <v>22.66</v>
      </c>
      <c r="G72" s="6">
        <f t="shared" ca="1" si="9"/>
        <v>0.21397192756884173</v>
      </c>
      <c r="H72" s="6">
        <f t="shared" ca="1" si="10"/>
        <v>0.2109876015391193</v>
      </c>
      <c r="I72" s="6">
        <f t="shared" ca="1" si="11"/>
        <v>0.91968824127414428</v>
      </c>
      <c r="J72" s="17" cm="1">
        <f t="array" aca="1" ref="J72" ca="1">IFERROR(_FV(B72,"Market cap",TRUE),"N/A")</f>
        <v>2912378465</v>
      </c>
      <c r="K72" s="37" t="s">
        <v>25</v>
      </c>
      <c r="L72" s="6" t="s">
        <v>69</v>
      </c>
      <c r="M72" s="38" cm="1">
        <f t="array" aca="1" ref="M72" ca="1">IFERROR(_FV(Table2[[#This Row],[ETF]],"52 week high",TRUE),"N/A")</f>
        <v>24.29</v>
      </c>
      <c r="N72" s="38" cm="1">
        <f t="array" aca="1" ref="N72" ca="1">IFERROR(_FV(Table2[[#This Row],[ETF]],"52 week low",TRUE),"N/A")</f>
        <v>17.510000000000002</v>
      </c>
      <c r="O72" s="6" cm="1">
        <f t="array" aca="1" ref="O72" ca="1">_FV(Table2[[#This Row],[ETF]],"Change (%)",TRUE)</f>
        <v>0</v>
      </c>
      <c r="P72" s="32" cm="1">
        <f t="array" aca="1" ref="P72" ca="1">_FV(Table2[[#This Row],[ETF]],"Volume")</f>
        <v>42824</v>
      </c>
      <c r="Q72" s="6" cm="1">
        <f t="array" aca="1" ref="Q72" ca="1">_FV(Table2[[#This Row],[ETF]],"Expense ratio",TRUE)</f>
        <v>1.4000000000000002E-3</v>
      </c>
    </row>
    <row r="73" spans="1:17" s="1" customFormat="1" ht="15">
      <c r="A73" s="4" t="str" cm="1">
        <f t="array" aca="1" ref="A73" ca="1">_FV(B73,"Name")</f>
        <v>iShs S&amp;P 500 EUR H UCITS ETF A</v>
      </c>
      <c r="B73" s="4" t="e" vm="175">
        <v>#VALUE!</v>
      </c>
      <c r="C73" s="4" t="str" cm="1">
        <f t="array" aca="1" ref="C73" ca="1">_FV(B73,"Exchange")</f>
        <v>Borsa Italiana</v>
      </c>
      <c r="D73" s="16" t="str" cm="1">
        <f t="array" aca="1" ref="D73" ca="1">_FV(B73,"Currency")</f>
        <v>EUR</v>
      </c>
      <c r="E73" s="10">
        <f t="shared" ca="1" si="5"/>
        <v>46318</v>
      </c>
      <c r="F73" s="16" cm="1">
        <f t="array" aca="1" ref="F73" ca="1">_FV(B73,"Price")</f>
        <v>156.96</v>
      </c>
      <c r="G73" s="6">
        <f t="shared" ca="1" si="9"/>
        <v>0.10636498202579829</v>
      </c>
      <c r="H73" s="6">
        <f t="shared" ca="1" si="10"/>
        <v>0.1237917949452282</v>
      </c>
      <c r="I73" s="6">
        <f t="shared" ca="1" si="11"/>
        <v>0.75080870050195203</v>
      </c>
      <c r="J73" s="17" cm="1">
        <f t="array" aca="1" ref="J73" ca="1">IFERROR(_FV(B73,"Market cap",TRUE),"N/A")</f>
        <v>8937029629.5599995</v>
      </c>
      <c r="K73" s="37" t="s">
        <v>25</v>
      </c>
      <c r="L73" s="6" t="s">
        <v>45</v>
      </c>
      <c r="M73" s="38" cm="1">
        <f t="array" aca="1" ref="M73" ca="1">IFERROR(_FV(Table2[[#This Row],[ETF]],"52 week high",TRUE),"N/A")</f>
        <v>160.87</v>
      </c>
      <c r="N73" s="38" cm="1">
        <f t="array" aca="1" ref="N73" ca="1">IFERROR(_FV(Table2[[#This Row],[ETF]],"52 week low",TRUE),"N/A")</f>
        <v>131.5</v>
      </c>
      <c r="O73" s="6" cm="1">
        <f t="array" aca="1" ref="O73" ca="1">_FV(Table2[[#This Row],[ETF]],"Change (%)",TRUE)</f>
        <v>-7.6389999999999997E-4</v>
      </c>
      <c r="P73" s="32" cm="1">
        <f t="array" aca="1" ref="P73" ca="1">_FV(Table2[[#This Row],[ETF]],"Volume")</f>
        <v>9014</v>
      </c>
      <c r="Q73" s="6" cm="1">
        <f t="array" aca="1" ref="Q73" ca="1">_FV(Table2[[#This Row],[ETF]],"Expense ratio",TRUE)</f>
        <v>2E-3</v>
      </c>
    </row>
    <row r="74" spans="1:17" s="1" customFormat="1" ht="15">
      <c r="A74" s="4" t="str" cm="1">
        <f t="array" aca="1" ref="A74" ca="1">_FV(B74,"Name")</f>
        <v>iShsS&amp;P500InfTchnlgSctrETFUSDA</v>
      </c>
      <c r="B74" s="4" t="e" vm="176">
        <v>#VALUE!</v>
      </c>
      <c r="C74" s="4" t="str" cm="1">
        <f t="array" aca="1" ref="C74" ca="1">_FV(B74,"Exchange")</f>
        <v>London Stock Exchange</v>
      </c>
      <c r="D74" s="16" t="str" cm="1">
        <f t="array" aca="1" ref="D74" ca="1">_FV(B74,"Currency")</f>
        <v>USD</v>
      </c>
      <c r="E74" s="10">
        <f t="shared" ca="1" si="5"/>
        <v>46318</v>
      </c>
      <c r="F74" s="18" cm="1">
        <f t="array" aca="1" ref="F74" ca="1">_FV(B74,"Price")</f>
        <v>51.15</v>
      </c>
      <c r="G74" s="6">
        <f t="shared" ca="1" si="9"/>
        <v>0.21381110583768387</v>
      </c>
      <c r="H74" s="6">
        <f t="shared" ca="1" si="10"/>
        <v>0.22368421052631585</v>
      </c>
      <c r="I74" s="6">
        <f t="shared" ca="1" si="11"/>
        <v>1.4224484963296236</v>
      </c>
      <c r="J74" s="39" cm="1">
        <f t="array" aca="1" ref="J74" ca="1">IFERROR(_FV(B74,"Market cap",TRUE),"N/A")</f>
        <v>20611657580.580002</v>
      </c>
      <c r="K74" s="37" t="s">
        <v>25</v>
      </c>
      <c r="L74" s="6" t="s">
        <v>69</v>
      </c>
      <c r="M74" s="30" cm="1">
        <f t="array" aca="1" ref="M74" ca="1">IFERROR(_FV(Table2[[#This Row],[ETF]],"52 week high",TRUE),"N/A")</f>
        <v>55.783999999999999</v>
      </c>
      <c r="N74" s="30" cm="1">
        <f t="array" aca="1" ref="N74" ca="1">IFERROR(_FV(Table2[[#This Row],[ETF]],"52 week low",TRUE),"N/A")</f>
        <v>36.57</v>
      </c>
      <c r="O74" s="6" cm="1">
        <f t="array" aca="1" ref="O74" ca="1">_FV(Table2[[#This Row],[ETF]],"Change (%)",TRUE)</f>
        <v>7.2859999999999999E-3</v>
      </c>
      <c r="P74" s="32" cm="1">
        <f t="array" aca="1" ref="P74" ca="1">_FV(Table2[[#This Row],[ETF]],"Volume")</f>
        <v>216373</v>
      </c>
      <c r="Q74" s="6" cm="1">
        <f t="array" aca="1" ref="Q74" ca="1">_FV(Table2[[#This Row],[ETF]],"Expense ratio",TRUE)</f>
        <v>1.5E-3</v>
      </c>
    </row>
    <row r="75" spans="1:17" s="1" customFormat="1" ht="15">
      <c r="A75" s="4" t="str" cm="1">
        <f t="array" aca="1" ref="A75" ca="1">_FV(B75,"Name")</f>
        <v>SRC RUS 2000 ETF</v>
      </c>
      <c r="B75" s="4" t="e" vm="177">
        <v>#VALUE!</v>
      </c>
      <c r="C75" s="4" t="str" cm="1">
        <f t="array" aca="1" ref="C75" ca="1">_FV(B75,"Exchange")</f>
        <v>Borsa Italiana</v>
      </c>
      <c r="D75" s="16" t="str" cm="1">
        <f t="array" aca="1" ref="D75" ca="1">_FV(B75,"Currency")</f>
        <v>EUR</v>
      </c>
      <c r="E75" s="10">
        <f t="shared" ca="1" si="5"/>
        <v>46318</v>
      </c>
      <c r="F75" s="16" cm="1">
        <f t="array" aca="1" ref="F75" ca="1">_FV(B75,"Price")</f>
        <v>126.34</v>
      </c>
      <c r="G75" s="6">
        <f t="shared" ca="1" si="9"/>
        <v>0.16517568938485655</v>
      </c>
      <c r="H75" s="6">
        <f t="shared" ca="1" si="10"/>
        <v>0.16786836753558879</v>
      </c>
      <c r="I75" s="6">
        <f t="shared" ca="1" si="11"/>
        <v>0.60329949238578695</v>
      </c>
      <c r="J75" s="17" cm="1">
        <f t="array" aca="1" ref="J75" ca="1">IFERROR(_FV(B75,"Market cap",TRUE),"N/A")</f>
        <v>336218095</v>
      </c>
      <c r="K75" s="37" t="s">
        <v>25</v>
      </c>
      <c r="L75" s="6" t="s">
        <v>70</v>
      </c>
      <c r="M75" s="38" cm="1">
        <f t="array" aca="1" ref="M75" ca="1">IFERROR(_FV(Table2[[#This Row],[ETF]],"52 week high",TRUE),"N/A")</f>
        <v>136.75</v>
      </c>
      <c r="N75" s="38" cm="1">
        <f t="array" aca="1" ref="N75" ca="1">IFERROR(_FV(Table2[[#This Row],[ETF]],"52 week low",TRUE),"N/A")</f>
        <v>101.5</v>
      </c>
      <c r="O75" s="6" cm="1">
        <f t="array" aca="1" ref="O75" ca="1">_FV(Table2[[#This Row],[ETF]],"Change (%)",TRUE)</f>
        <v>-5.9800000000000001E-3</v>
      </c>
      <c r="P75" s="32" cm="1">
        <f t="array" aca="1" ref="P75" ca="1">_FV(Table2[[#This Row],[ETF]],"Volume")</f>
        <v>51</v>
      </c>
      <c r="Q75" s="6" cm="1">
        <f t="array" aca="1" ref="Q75" ca="1">_FV(Table2[[#This Row],[ETF]],"Expense ratio",TRUE)</f>
        <v>2.5000000000000001E-3</v>
      </c>
    </row>
    <row r="76" spans="1:17" s="1" customFormat="1" ht="15">
      <c r="A76" s="4" t="str" cm="1">
        <f t="array" aca="1" ref="A76" ca="1">_FV(B76,"Name")</f>
        <v>INVS&amp;P500UCITSETFAcc</v>
      </c>
      <c r="B76" s="4" t="e" vm="178">
        <v>#VALUE!</v>
      </c>
      <c r="C76" s="4" t="str" cm="1">
        <f t="array" aca="1" ref="C76" ca="1">_FV(B76,"Exchange")</f>
        <v>Xetra</v>
      </c>
      <c r="D76" s="16" t="str" cm="1">
        <f t="array" aca="1" ref="D76" ca="1">_FV(B76,"Currency")</f>
        <v>EUR</v>
      </c>
      <c r="E76" s="10">
        <f t="shared" ca="1" si="5"/>
        <v>46318</v>
      </c>
      <c r="F76" s="16" cm="1">
        <f t="array" aca="1" ref="F76" ca="1">_FV(B76,"Price")</f>
        <v>13.741</v>
      </c>
      <c r="G76" s="6">
        <f t="shared" ca="1" si="9"/>
        <v>0.18202150537634407</v>
      </c>
      <c r="H76" s="6">
        <f t="shared" ca="1" si="10"/>
        <v>0.19207079031838298</v>
      </c>
      <c r="I76" s="6">
        <f t="shared" ca="1" si="11"/>
        <v>0.7790465832880189</v>
      </c>
      <c r="J76" s="17" cm="1">
        <f t="array" aca="1" ref="J76" ca="1">IFERROR(_FV(B76,"Market cap",TRUE),"N/A")</f>
        <v>58957643529</v>
      </c>
      <c r="K76" s="37" t="s">
        <v>25</v>
      </c>
      <c r="L76" s="6" t="s">
        <v>45</v>
      </c>
      <c r="M76" s="38" cm="1">
        <f t="array" aca="1" ref="M76" ca="1">IFERROR(_FV(Table2[[#This Row],[ETF]],"52 week high",TRUE),"N/A")</f>
        <v>14.07</v>
      </c>
      <c r="N76" s="38" cm="1">
        <f t="array" aca="1" ref="N76" ca="1">IFERROR(_FV(Table2[[#This Row],[ETF]],"52 week low",TRUE),"N/A")</f>
        <v>11.089</v>
      </c>
      <c r="O76" s="6" cm="1">
        <f t="array" aca="1" ref="O76" ca="1">_FV(Table2[[#This Row],[ETF]],"Change (%)",TRUE)</f>
        <v>-7.2720000000000011E-4</v>
      </c>
      <c r="P76" s="32" cm="1">
        <f t="array" aca="1" ref="P76" ca="1">_FV(Table2[[#This Row],[ETF]],"Volume")</f>
        <v>203919</v>
      </c>
      <c r="Q76" s="6" cm="1">
        <f t="array" aca="1" ref="Q76" ca="1">_FV(Table2[[#This Row],[ETF]],"Expense ratio",TRUE)</f>
        <v>5.0000000000000001E-4</v>
      </c>
    </row>
    <row r="77" spans="1:17" s="1" customFormat="1" ht="15">
      <c r="A77" s="4" t="str" cm="1">
        <f t="array" aca="1" ref="A77" ca="1">_FV(B77,"Name")</f>
        <v>STATE 500 LEADER</v>
      </c>
      <c r="B77" s="4" t="e" vm="179">
        <v>#VALUE!</v>
      </c>
      <c r="C77" s="4" t="str" cm="1">
        <f t="array" aca="1" ref="C77" ca="1">_FV(B77,"Exchange")</f>
        <v>Borsa Italiana</v>
      </c>
      <c r="D77" s="16" t="str" cm="1">
        <f t="array" aca="1" ref="D77" ca="1">_FV(B77,"Currency")</f>
        <v>EUR</v>
      </c>
      <c r="E77" s="10">
        <f t="shared" ca="1" si="5"/>
        <v>46318</v>
      </c>
      <c r="F77" s="16" cm="1">
        <f t="array" aca="1" ref="F77" ca="1">_FV(B77,"Price")</f>
        <v>50.01</v>
      </c>
      <c r="G77" s="6">
        <f t="shared" ca="1" si="9"/>
        <v>0.18535197914197679</v>
      </c>
      <c r="H77" s="6">
        <f t="shared" ca="1" si="10"/>
        <v>0.20651387213510239</v>
      </c>
      <c r="I77" s="6">
        <f t="shared" ca="1" si="11"/>
        <v>0.78225231646471849</v>
      </c>
      <c r="J77" s="17" cm="1">
        <f t="array" aca="1" ref="J77" ca="1">IFERROR(_FV(B77,"Market cap",TRUE),"N/A")</f>
        <v>4879622228.4700003</v>
      </c>
      <c r="K77" s="37" t="s">
        <v>25</v>
      </c>
      <c r="L77" s="6" t="s">
        <v>45</v>
      </c>
      <c r="M77" s="38" cm="1">
        <f t="array" aca="1" ref="M77" ca="1">IFERROR(_FV(Table2[[#This Row],[ETF]],"52 week high",TRUE),"N/A")</f>
        <v>51.31</v>
      </c>
      <c r="N77" s="38" cm="1">
        <f t="array" aca="1" ref="N77" ca="1">IFERROR(_FV(Table2[[#This Row],[ETF]],"52 week low",TRUE),"N/A")</f>
        <v>40.31</v>
      </c>
      <c r="O77" s="6" cm="1">
        <f t="array" aca="1" ref="O77" ca="1">_FV(Table2[[#This Row],[ETF]],"Change (%)",TRUE)</f>
        <v>-5.1719999999999995E-3</v>
      </c>
      <c r="P77" s="32" cm="1">
        <f t="array" aca="1" ref="P77" ca="1">_FV(Table2[[#This Row],[ETF]],"Volume")</f>
        <v>11733</v>
      </c>
      <c r="Q77" s="6" cm="1">
        <f t="array" aca="1" ref="Q77" ca="1">_FV(Table2[[#This Row],[ETF]],"Expense ratio",TRUE)</f>
        <v>2.9999999999999997E-4</v>
      </c>
    </row>
    <row r="78" spans="1:17" s="1" customFormat="1" ht="15">
      <c r="A78" s="4" t="str" cm="1">
        <f t="array" aca="1" ref="A78" ca="1">_FV(B78,"Name")</f>
        <v>S&amp;P 500 UCITS ETF USD D</v>
      </c>
      <c r="B78" s="4" t="e" vm="180">
        <v>#VALUE!</v>
      </c>
      <c r="C78" s="4" t="str" cm="1">
        <f t="array" aca="1" ref="C78" ca="1">_FV(B78,"Exchange")</f>
        <v>Borsa Italiana</v>
      </c>
      <c r="D78" s="16" t="str" cm="1">
        <f t="array" aca="1" ref="D78" ca="1">_FV(B78,"Currency")</f>
        <v>EUR</v>
      </c>
      <c r="E78" s="10">
        <f t="shared" ca="1" si="5"/>
        <v>46318</v>
      </c>
      <c r="F78" s="16" cm="1">
        <f t="array" aca="1" ref="F78" ca="1">_FV(B78,"Price")</f>
        <v>129.62</v>
      </c>
      <c r="G78" s="6">
        <f t="shared" ca="1" si="9"/>
        <v>0.17335023083190013</v>
      </c>
      <c r="H78" s="6">
        <f t="shared" ca="1" si="10"/>
        <v>0.18072508653670982</v>
      </c>
      <c r="I78" s="6">
        <f t="shared" ca="1" si="11"/>
        <v>0.71727609962904082</v>
      </c>
      <c r="J78" s="17" cm="1">
        <f t="array" aca="1" ref="J78" ca="1">IFERROR(_FV(B78,"Market cap",TRUE),"N/A")</f>
        <v>52635653459.75</v>
      </c>
      <c r="K78" s="37" t="s">
        <v>25</v>
      </c>
      <c r="L78" s="6" t="s">
        <v>45</v>
      </c>
      <c r="M78" s="38" cm="1">
        <f t="array" aca="1" ref="M78" ca="1">IFERROR(_FV(Table2[[#This Row],[ETF]],"52 week high",TRUE),"N/A")</f>
        <v>132.6</v>
      </c>
      <c r="N78" s="38" cm="1">
        <f t="array" aca="1" ref="N78" ca="1">IFERROR(_FV(Table2[[#This Row],[ETF]],"52 week low",TRUE),"N/A")</f>
        <v>105.03</v>
      </c>
      <c r="O78" s="6" cm="1">
        <f t="array" aca="1" ref="O78" ca="1">_FV(Table2[[#This Row],[ETF]],"Change (%)",TRUE)</f>
        <v>7.7149999999999991E-5</v>
      </c>
      <c r="P78" s="32" cm="1">
        <f t="array" aca="1" ref="P78" ca="1">_FV(Table2[[#This Row],[ETF]],"Volume")</f>
        <v>3156</v>
      </c>
      <c r="Q78" s="6" cm="1">
        <f t="array" aca="1" ref="Q78" ca="1">_FV(Table2[[#This Row],[ETF]],"Expense ratio",TRUE)</f>
        <v>7.002E-4</v>
      </c>
    </row>
    <row r="79" spans="1:17" s="1" customFormat="1" ht="15">
      <c r="A79" s="4" t="str" cm="1">
        <f t="array" aca="1" ref="A79" ca="1">_FV(B79,"Name")</f>
        <v>Invesco FTSE-All World UCITS ETF</v>
      </c>
      <c r="B79" s="4" t="e" vm="181">
        <v>#VALUE!</v>
      </c>
      <c r="C79" s="4" t="str" cm="1">
        <f t="array" aca="1" ref="C79" ca="1">_FV(B79,"Exchange")</f>
        <v>Borsa Italiana</v>
      </c>
      <c r="D79" s="16" t="str" cm="1">
        <f t="array" aca="1" ref="D79" ca="1">_FV(B79,"Currency")</f>
        <v>EUR</v>
      </c>
      <c r="E79" s="10">
        <f t="shared" ca="1" si="5"/>
        <v>46318</v>
      </c>
      <c r="F79" s="16" cm="1">
        <f t="array" aca="1" ref="F79" ca="1">_FV(B79,"Price")</f>
        <v>8.3469999999999995</v>
      </c>
      <c r="G79" s="6">
        <f t="shared" ca="1" si="9"/>
        <v>0.1670861297539149</v>
      </c>
      <c r="H79" s="6">
        <f t="shared" ca="1" si="10"/>
        <v>0.18548501633290712</v>
      </c>
      <c r="I79" s="6">
        <f t="shared" ca="1" si="11"/>
        <v>0.72351848028081756</v>
      </c>
      <c r="J79" s="17" cm="1">
        <f t="array" aca="1" ref="J79" ca="1">IFERROR(_FV(B79,"Market cap",TRUE),"N/A")</f>
        <v>4668146299.8900003</v>
      </c>
      <c r="K79" s="37" t="s">
        <v>25</v>
      </c>
      <c r="L79" s="6" t="s">
        <v>31</v>
      </c>
      <c r="M79" s="38" t="str" cm="1">
        <f t="array" ref="M79">IFERROR(_FV(Table2[[#This Row],[ETF]],"52 week high",TRUE),"N/A")</f>
        <v>N/A</v>
      </c>
      <c r="N79" s="38" t="str" cm="1">
        <f t="array" ref="N79">IFERROR(_FV(Table2[[#This Row],[ETF]],"52 week low",TRUE),"N/A")</f>
        <v>N/A</v>
      </c>
      <c r="O79" s="6" cm="1">
        <f t="array" aca="1" ref="O79" ca="1">_FV(Table2[[#This Row],[ETF]],"Change (%)",TRUE)</f>
        <v>1.198E-4</v>
      </c>
      <c r="P79" s="32" cm="1">
        <f t="array" aca="1" ref="P79" ca="1">_FV(Table2[[#This Row],[ETF]],"Volume")</f>
        <v>68236</v>
      </c>
      <c r="Q79" s="6" cm="1">
        <f t="array" aca="1" ref="Q79" ca="1">_FV(Table2[[#This Row],[ETF]],"Expense ratio",TRUE)</f>
        <v>1.5E-3</v>
      </c>
    </row>
    <row r="80" spans="1:17" s="1" customFormat="1" ht="15">
      <c r="A80" s="4" t="str" cm="1">
        <f t="array" aca="1" ref="A80" ca="1">_FV(B80,"Name")</f>
        <v>X SHORTDAX ETF</v>
      </c>
      <c r="B80" s="4" t="e" vm="182">
        <v>#VALUE!</v>
      </c>
      <c r="C80" s="4" t="str" cm="1">
        <f t="array" aca="1" ref="C80" ca="1">_FV(B80,"Exchange")</f>
        <v>Borsa Italiana</v>
      </c>
      <c r="D80" s="16" t="str" cm="1">
        <f t="array" aca="1" ref="D80" ca="1">_FV(B80,"Currency")</f>
        <v>EUR</v>
      </c>
      <c r="E80" s="10">
        <f t="shared" ca="1" si="5"/>
        <v>46318</v>
      </c>
      <c r="F80" s="16" cm="1">
        <f t="array" aca="1" ref="F80" ca="1">_FV(B80,"Price")</f>
        <v>9.3290000000000006</v>
      </c>
      <c r="G80" s="6">
        <f t="shared" ca="1" si="9"/>
        <v>-8.2916976719463586E-3</v>
      </c>
      <c r="H80" s="6">
        <f t="shared" ca="1" si="10"/>
        <v>-1.4472850200718222E-2</v>
      </c>
      <c r="I80" s="6">
        <f t="shared" ca="1" si="11"/>
        <v>-0.34107924848142385</v>
      </c>
      <c r="J80" s="17" cm="1">
        <f t="array" aca="1" ref="J80" ca="1">IFERROR(_FV(B80,"Market cap",TRUE),"N/A")</f>
        <v>162904100</v>
      </c>
      <c r="K80" s="37" t="s">
        <v>25</v>
      </c>
      <c r="L80" s="6" t="s">
        <v>71</v>
      </c>
      <c r="M80" s="38" cm="1">
        <f t="array" aca="1" ref="M80" ca="1">IFERROR(_FV(Table2[[#This Row],[ETF]],"52 week high",TRUE),"N/A")</f>
        <v>10.56</v>
      </c>
      <c r="N80" s="38" cm="1">
        <f t="array" aca="1" ref="N80" ca="1">IFERROR(_FV(Table2[[#This Row],[ETF]],"52 week low",TRUE),"N/A")</f>
        <v>8.76</v>
      </c>
      <c r="O80" s="6" cm="1">
        <f t="array" aca="1" ref="O80" ca="1">_FV(Table2[[#This Row],[ETF]],"Change (%)",TRUE)</f>
        <v>1.0179000000000001E-2</v>
      </c>
      <c r="P80" s="32" cm="1">
        <f t="array" aca="1" ref="P80" ca="1">_FV(Table2[[#This Row],[ETF]],"Volume")</f>
        <v>40762</v>
      </c>
      <c r="Q80" s="6" cm="1">
        <f t="array" aca="1" ref="Q80" ca="1">_FV(Table2[[#This Row],[ETF]],"Expense ratio",TRUE)</f>
        <v>4.0000000000000001E-3</v>
      </c>
    </row>
    <row r="81" spans="1:17" s="1" customFormat="1" ht="15">
      <c r="A81" s="4" t="str" cm="1">
        <f t="array" aca="1" ref="A81" ca="1">_FV(B81,"Name")</f>
        <v>X S&amp;P500 SH ETF</v>
      </c>
      <c r="B81" s="4" t="e" vm="183">
        <v>#VALUE!</v>
      </c>
      <c r="C81" s="4" t="str" cm="1">
        <f t="array" aca="1" ref="C81" ca="1">_FV(B81,"Exchange")</f>
        <v>Borsa Italiana</v>
      </c>
      <c r="D81" s="16" t="str" cm="1">
        <f t="array" aca="1" ref="D81" ca="1">_FV(B81,"Currency")</f>
        <v>EUR</v>
      </c>
      <c r="E81" s="10">
        <f t="shared" ca="1" si="5"/>
        <v>46318</v>
      </c>
      <c r="F81" s="16" cm="1">
        <f t="array" aca="1" ref="F81" ca="1">_FV(B81,"Price")</f>
        <v>5.0259999999999998</v>
      </c>
      <c r="G81" s="6">
        <f t="shared" ca="1" si="9"/>
        <v>-2.0272904483430818E-2</v>
      </c>
      <c r="H81" s="6">
        <f t="shared" ca="1" si="10"/>
        <v>-3.8270187523918898E-2</v>
      </c>
      <c r="I81" s="6">
        <f t="shared" ca="1" si="11"/>
        <v>-0.36859296482412063</v>
      </c>
      <c r="J81" s="17" cm="1">
        <f t="array" aca="1" ref="J81" ca="1">IFERROR(_FV(B81,"Market cap",TRUE),"N/A")</f>
        <v>180892800</v>
      </c>
      <c r="K81" s="37" t="s">
        <v>25</v>
      </c>
      <c r="L81" s="6" t="s">
        <v>71</v>
      </c>
      <c r="M81" s="38" cm="1">
        <f t="array" aca="1" ref="M81" ca="1">IFERROR(_FV(Table2[[#This Row],[ETF]],"52 week high",TRUE),"N/A")</f>
        <v>5.72</v>
      </c>
      <c r="N81" s="38" cm="1">
        <f t="array" aca="1" ref="N81" ca="1">IFERROR(_FV(Table2[[#This Row],[ETF]],"52 week low",TRUE),"N/A")</f>
        <v>4.7</v>
      </c>
      <c r="O81" s="6" cm="1">
        <f t="array" aca="1" ref="O81" ca="1">_FV(Table2[[#This Row],[ETF]],"Change (%)",TRUE)</f>
        <v>1.794E-3</v>
      </c>
      <c r="P81" s="32" cm="1">
        <f t="array" aca="1" ref="P81" ca="1">_FV(Table2[[#This Row],[ETF]],"Volume")</f>
        <v>170497</v>
      </c>
      <c r="Q81" s="6" cm="1">
        <f t="array" aca="1" ref="Q81" ca="1">_FV(Table2[[#This Row],[ETF]],"Expense ratio",TRUE)</f>
        <v>5.0000000000000001E-3</v>
      </c>
    </row>
    <row r="82" spans="1:17" s="1" customFormat="1" ht="15">
      <c r="A82" s="4" t="str" cm="1">
        <f t="array" aca="1" ref="A82" ca="1">_FV(B82,"Name")</f>
        <v>iShs € Crp Bd Lg Cap ETF EUR D</v>
      </c>
      <c r="B82" s="4" t="e" vm="184">
        <v>#VALUE!</v>
      </c>
      <c r="C82" s="4" t="str" cm="1">
        <f t="array" aca="1" ref="C82" ca="1">_FV(B82,"Exchange")</f>
        <v>Borsa Italiana</v>
      </c>
      <c r="D82" s="16" t="str" cm="1">
        <f t="array" aca="1" ref="D82" ca="1">_FV(B82,"Currency")</f>
        <v>EUR</v>
      </c>
      <c r="E82" s="10">
        <f t="shared" ca="1" si="5"/>
        <v>46318</v>
      </c>
      <c r="F82" s="16" cm="1">
        <f t="array" aca="1" ref="F82" ca="1">_FV(B82,"Price")</f>
        <v>120.66</v>
      </c>
      <c r="G82" s="6">
        <f t="shared" ca="1" si="9"/>
        <v>-3.3018111876903386E-2</v>
      </c>
      <c r="H82" s="6">
        <f t="shared" ca="1" si="10"/>
        <v>-4.6542868431450023E-2</v>
      </c>
      <c r="I82" s="6">
        <f t="shared" ca="1" si="11"/>
        <v>2.7505748105254104E-2</v>
      </c>
      <c r="J82" s="17" cm="1">
        <f t="array" aca="1" ref="J82" ca="1">IFERROR(_FV(B82,"Market cap",TRUE),"N/A")</f>
        <v>1687810274.74</v>
      </c>
      <c r="K82" s="37" t="s">
        <v>26</v>
      </c>
      <c r="L82" s="6" t="s">
        <v>43</v>
      </c>
      <c r="M82" s="38" cm="1">
        <f t="array" aca="1" ref="M82" ca="1">IFERROR(_FV(Table2[[#This Row],[ETF]],"52 week high",TRUE),"N/A")</f>
        <v>126.92</v>
      </c>
      <c r="N82" s="38" cm="1">
        <f t="array" aca="1" ref="N82" ca="1">IFERROR(_FV(Table2[[#This Row],[ETF]],"52 week low",TRUE),"N/A")</f>
        <v>119.8</v>
      </c>
      <c r="O82" s="6" cm="1">
        <f t="array" aca="1" ref="O82" ca="1">_FV(Table2[[#This Row],[ETF]],"Change (%)",TRUE)</f>
        <v>-2.3150000000000002E-3</v>
      </c>
      <c r="P82" s="32" cm="1">
        <f t="array" aca="1" ref="P82" ca="1">_FV(Table2[[#This Row],[ETF]],"Volume")</f>
        <v>461</v>
      </c>
      <c r="Q82" s="6" cm="1">
        <f t="array" aca="1" ref="Q82" ca="1">_FV(Table2[[#This Row],[ETF]],"Expense ratio",TRUE)</f>
        <v>8.9999999999999998E-4</v>
      </c>
    </row>
    <row r="83" spans="1:17" s="1" customFormat="1" ht="15">
      <c r="A83" s="4" t="str" cm="1">
        <f t="array" aca="1" ref="A83" ca="1">_FV(B83,"Name")</f>
        <v>iShs € Crp Bd 1-5yr ETF EUR D</v>
      </c>
      <c r="B83" s="4" t="e" vm="185">
        <v>#VALUE!</v>
      </c>
      <c r="C83" s="4" t="str" cm="1">
        <f t="array" aca="1" ref="C83" ca="1">_FV(B83,"Exchange")</f>
        <v>Borsa Italiana</v>
      </c>
      <c r="D83" s="16" t="str" cm="1">
        <f t="array" aca="1" ref="D83" ca="1">_FV(B83,"Currency")</f>
        <v>EUR</v>
      </c>
      <c r="E83" s="10">
        <f t="shared" ca="1" si="5"/>
        <v>46318</v>
      </c>
      <c r="F83" s="16" cm="1">
        <f t="array" aca="1" ref="F83" ca="1">_FV(B83,"Price")</f>
        <v>105</v>
      </c>
      <c r="G83" s="6">
        <f t="shared" ca="1" si="9"/>
        <v>-3.1365313653136585E-2</v>
      </c>
      <c r="H83" s="6">
        <f t="shared" ca="1" si="10"/>
        <v>-3.3149171270718182E-2</v>
      </c>
      <c r="I83" s="6">
        <f t="shared" ca="1" si="11"/>
        <v>2.7698933150631284E-2</v>
      </c>
      <c r="J83" s="17" cm="1">
        <f t="array" aca="1" ref="J83" ca="1">IFERROR(_FV(B83,"Market cap",TRUE),"N/A")</f>
        <v>2987233339.1999998</v>
      </c>
      <c r="K83" s="37" t="s">
        <v>26</v>
      </c>
      <c r="L83" s="6" t="s">
        <v>43</v>
      </c>
      <c r="M83" s="38" cm="1">
        <f t="array" aca="1" ref="M83" ca="1">IFERROR(_FV(Table2[[#This Row],[ETF]],"52 week high",TRUE),"N/A")</f>
        <v>108.98</v>
      </c>
      <c r="N83" s="38" cm="1">
        <f t="array" aca="1" ref="N83" ca="1">IFERROR(_FV(Table2[[#This Row],[ETF]],"52 week low",TRUE),"N/A")</f>
        <v>104.34</v>
      </c>
      <c r="O83" s="6" cm="1">
        <f t="array" aca="1" ref="O83" ca="1">_FV(Table2[[#This Row],[ETF]],"Change (%)",TRUE)</f>
        <v>-7.6130000000000002E-4</v>
      </c>
      <c r="P83" s="32" cm="1">
        <f t="array" aca="1" ref="P83" ca="1">_FV(Table2[[#This Row],[ETF]],"Volume")</f>
        <v>1634</v>
      </c>
      <c r="Q83" s="6" cm="1">
        <f t="array" aca="1" ref="Q83" ca="1">_FV(Table2[[#This Row],[ETF]],"Expense ratio",TRUE)</f>
        <v>2E-3</v>
      </c>
    </row>
    <row r="84" spans="1:17" s="1" customFormat="1" ht="15">
      <c r="A84" s="4" t="str" cm="1">
        <f t="array" aca="1" ref="A84" ca="1">_FV(B84,"Name")</f>
        <v>iShs € Gvt Bd 7-10yr ETF EUR D</v>
      </c>
      <c r="B84" s="4" t="e" vm="186">
        <v>#VALUE!</v>
      </c>
      <c r="C84" s="4" t="str" cm="1">
        <f t="array" aca="1" ref="C84" ca="1">_FV(B84,"Exchange")</f>
        <v>Borsa Italiana</v>
      </c>
      <c r="D84" s="16" t="str" cm="1">
        <f t="array" aca="1" ref="D84" ca="1">_FV(B84,"Currency")</f>
        <v>EUR</v>
      </c>
      <c r="E84" s="10">
        <f t="shared" ca="1" si="5"/>
        <v>46318</v>
      </c>
      <c r="F84" s="16" cm="1">
        <f t="array" aca="1" ref="F84" ca="1">_FV(B84,"Price")</f>
        <v>177.05</v>
      </c>
      <c r="G84" s="6">
        <f t="shared" ca="1" si="9"/>
        <v>-4.6272355095884378E-2</v>
      </c>
      <c r="H84" s="6">
        <f t="shared" ca="1" si="10"/>
        <v>-7.1724427200754878E-2</v>
      </c>
      <c r="I84" s="6">
        <f t="shared" ca="1" si="11"/>
        <v>-1.2879125780553089E-2</v>
      </c>
      <c r="J84" s="17" cm="1">
        <f t="array" aca="1" ref="J84" ca="1">IFERROR(_FV(B84,"Market cap",TRUE),"N/A")</f>
        <v>901013830.16999996</v>
      </c>
      <c r="K84" s="37" t="s">
        <v>26</v>
      </c>
      <c r="L84" s="6" t="s">
        <v>36</v>
      </c>
      <c r="M84" s="38" cm="1">
        <f t="array" aca="1" ref="M84" ca="1">IFERROR(_FV(Table2[[#This Row],[ETF]],"52 week high",TRUE),"N/A")</f>
        <v>191.22</v>
      </c>
      <c r="N84" s="38" cm="1">
        <f t="array" aca="1" ref="N84" ca="1">IFERROR(_FV(Table2[[#This Row],[ETF]],"52 week low",TRUE),"N/A")</f>
        <v>175.25</v>
      </c>
      <c r="O84" s="6" cm="1">
        <f t="array" aca="1" ref="O84" ca="1">_FV(Table2[[#This Row],[ETF]],"Change (%)",TRUE)</f>
        <v>9.0450000000000003E-4</v>
      </c>
      <c r="P84" s="32" cm="1">
        <f t="array" aca="1" ref="P84" ca="1">_FV(Table2[[#This Row],[ETF]],"Volume")</f>
        <v>3341</v>
      </c>
      <c r="Q84" s="6" cm="1">
        <f t="array" aca="1" ref="Q84" ca="1">_FV(Table2[[#This Row],[ETF]],"Expense ratio",TRUE)</f>
        <v>1.5E-3</v>
      </c>
    </row>
    <row r="85" spans="1:17" s="1" customFormat="1" ht="15">
      <c r="A85" s="4" t="str" cm="1">
        <f t="array" aca="1" ref="A85" ca="1">_FV(B85,"Name")</f>
        <v>iShs € Ultrashort Bd ETF EUR D</v>
      </c>
      <c r="B85" s="4" t="e" vm="187">
        <v>#VALUE!</v>
      </c>
      <c r="C85" s="4" t="str" cm="1">
        <f t="array" aca="1" ref="C85" ca="1">_FV(B85,"Exchange")</f>
        <v>Borsa Italiana</v>
      </c>
      <c r="D85" s="16" t="str" cm="1">
        <f t="array" aca="1" ref="D85" ca="1">_FV(B85,"Currency")</f>
        <v>EUR</v>
      </c>
      <c r="E85" s="10">
        <f t="shared" ca="1" si="5"/>
        <v>46318</v>
      </c>
      <c r="F85" s="16" cm="1">
        <f t="array" aca="1" ref="F85" ca="1">_FV(B85,"Price")</f>
        <v>101.02</v>
      </c>
      <c r="G85" s="6">
        <f t="shared" ca="1" si="9"/>
        <v>1.1892963330028775E-3</v>
      </c>
      <c r="H85" s="6">
        <f t="shared" ca="1" si="10"/>
        <v>-7.0768625909180156E-3</v>
      </c>
      <c r="I85" s="6">
        <f t="shared" ca="1" si="11"/>
        <v>-6.9792588223730259E-3</v>
      </c>
      <c r="J85" s="17" cm="1">
        <f t="array" aca="1" ref="J85" ca="1">IFERROR(_FV(B85,"Market cap",TRUE),"N/A")</f>
        <v>3431634043.0599999</v>
      </c>
      <c r="K85" s="37" t="s">
        <v>26</v>
      </c>
      <c r="L85" s="6" t="s">
        <v>72</v>
      </c>
      <c r="M85" s="38" cm="1">
        <f t="array" aca="1" ref="M85" ca="1">IFERROR(_FV(Table2[[#This Row],[ETF]],"52 week high",TRUE),"N/A")</f>
        <v>102.11</v>
      </c>
      <c r="N85" s="38" cm="1">
        <f t="array" aca="1" ref="N85" ca="1">IFERROR(_FV(Table2[[#This Row],[ETF]],"52 week low",TRUE),"N/A")</f>
        <v>99.91</v>
      </c>
      <c r="O85" s="6" cm="1">
        <f t="array" aca="1" ref="O85" ca="1">_FV(Table2[[#This Row],[ETF]],"Change (%)",TRUE)</f>
        <v>8.9170000000000004E-4</v>
      </c>
      <c r="P85" s="32" cm="1">
        <f t="array" aca="1" ref="P85" ca="1">_FV(Table2[[#This Row],[ETF]],"Volume")</f>
        <v>5679</v>
      </c>
      <c r="Q85" s="6" cm="1">
        <f t="array" aca="1" ref="Q85" ca="1">_FV(Table2[[#This Row],[ETF]],"Expense ratio",TRUE)</f>
        <v>8.9999999999999998E-4</v>
      </c>
    </row>
    <row r="86" spans="1:17" s="1" customFormat="1" ht="15">
      <c r="A86" s="4" t="str" cm="1">
        <f t="array" aca="1" ref="A86" ca="1">_FV(B86,"Name")</f>
        <v>AMND E GBO 10-15 ETF</v>
      </c>
      <c r="B86" s="4" t="e" vm="188">
        <v>#VALUE!</v>
      </c>
      <c r="C86" s="4" t="str" cm="1">
        <f t="array" aca="1" ref="C86" ca="1">_FV(B86,"Exchange")</f>
        <v>Borsa Italiana</v>
      </c>
      <c r="D86" s="16" t="str" cm="1">
        <f t="array" aca="1" ref="D86" ca="1">_FV(B86,"Currency")</f>
        <v>EUR</v>
      </c>
      <c r="E86" s="10">
        <f t="shared" ca="1" si="5"/>
        <v>46318</v>
      </c>
      <c r="F86" s="16" cm="1">
        <f t="array" aca="1" ref="F86" ca="1">_FV(B86,"Price")</f>
        <v>190.58</v>
      </c>
      <c r="G86" s="6">
        <f t="shared" ca="1" si="9"/>
        <v>-4.3992977175821332E-2</v>
      </c>
      <c r="H86" s="6">
        <f t="shared" ca="1" si="10"/>
        <v>-6.2060140754958339E-2</v>
      </c>
      <c r="I86" s="6">
        <f t="shared" ca="1" si="11"/>
        <v>7.4416506934265519E-2</v>
      </c>
      <c r="J86" s="17" cm="1">
        <f t="array" aca="1" ref="J86" ca="1">IFERROR(_FV(B86,"Market cap",TRUE),"N/A")</f>
        <v>1013472958.228</v>
      </c>
      <c r="K86" s="37" t="s">
        <v>26</v>
      </c>
      <c r="L86" s="6" t="s">
        <v>36</v>
      </c>
      <c r="M86" s="38" cm="1">
        <f t="array" aca="1" ref="M86" ca="1">IFERROR(_FV(Table2[[#This Row],[ETF]],"52 week high",TRUE),"N/A")</f>
        <v>206.86</v>
      </c>
      <c r="N86" s="38" cm="1">
        <f t="array" aca="1" ref="N86" ca="1">IFERROR(_FV(Table2[[#This Row],[ETF]],"52 week low",TRUE),"N/A")</f>
        <v>187.73</v>
      </c>
      <c r="O86" s="6" cm="1">
        <f t="array" aca="1" ref="O86" ca="1">_FV(Table2[[#This Row],[ETF]],"Change (%)",TRUE)</f>
        <v>1.4189999999999999E-3</v>
      </c>
      <c r="P86" s="32" cm="1">
        <f t="array" aca="1" ref="P86" ca="1">_FV(Table2[[#This Row],[ETF]],"Volume")</f>
        <v>3470</v>
      </c>
      <c r="Q86" s="6" cm="1">
        <f t="array" aca="1" ref="Q86" ca="1">_FV(Table2[[#This Row],[ETF]],"Expense ratio",TRUE)</f>
        <v>1.5E-3</v>
      </c>
    </row>
    <row r="87" spans="1:17" s="1" customFormat="1" ht="15">
      <c r="A87" s="4" t="str" cm="1">
        <f t="array" aca="1" ref="A87" ca="1">_FV(B87,"Name")</f>
        <v>Amundi Eur Gv Bd 1-3YUCITSETFA</v>
      </c>
      <c r="B87" s="4" t="e" vm="189">
        <v>#VALUE!</v>
      </c>
      <c r="C87" s="4" t="str" cm="1">
        <f t="array" aca="1" ref="C87" ca="1">_FV(B87,"Exchange")</f>
        <v>Borsa Italiana</v>
      </c>
      <c r="D87" s="16" t="str" cm="1">
        <f t="array" aca="1" ref="D87" ca="1">_FV(B87,"Currency")</f>
        <v>EUR</v>
      </c>
      <c r="E87" s="10">
        <f t="shared" ca="1" si="5"/>
        <v>46318</v>
      </c>
      <c r="F87" s="16" cm="1">
        <f t="array" aca="1" ref="F87" ca="1">_FV(B87,"Price")</f>
        <v>127.61</v>
      </c>
      <c r="G87" s="6">
        <f t="shared" ca="1" si="9"/>
        <v>0</v>
      </c>
      <c r="H87" s="6">
        <f t="shared" ca="1" si="10"/>
        <v>3.9197240514265568E-4</v>
      </c>
      <c r="I87" s="6">
        <f t="shared" ca="1" si="11"/>
        <v>7.3977444874600298E-2</v>
      </c>
      <c r="J87" s="17" cm="1">
        <f t="array" aca="1" ref="J87" ca="1">IFERROR(_FV(B87,"Market cap",TRUE),"N/A")</f>
        <v>2235961581.6539998</v>
      </c>
      <c r="K87" s="37" t="s">
        <v>26</v>
      </c>
      <c r="L87" s="6" t="s">
        <v>36</v>
      </c>
      <c r="M87" s="38" cm="1">
        <f t="array" aca="1" ref="M87" ca="1">IFERROR(_FV(Table2[[#This Row],[ETF]],"52 week high",TRUE),"N/A")</f>
        <v>128.49</v>
      </c>
      <c r="N87" s="38" cm="1">
        <f t="array" aca="1" ref="N87" ca="1">IFERROR(_FV(Table2[[#This Row],[ETF]],"52 week low",TRUE),"N/A")</f>
        <v>125.45</v>
      </c>
      <c r="O87" s="6" cm="1">
        <f t="array" aca="1" ref="O87" ca="1">_FV(Table2[[#This Row],[ETF]],"Change (%)",TRUE)</f>
        <v>6.2729999999999991E-4</v>
      </c>
      <c r="P87" s="32" cm="1">
        <f t="array" aca="1" ref="P87" ca="1">_FV(Table2[[#This Row],[ETF]],"Volume")</f>
        <v>19604</v>
      </c>
      <c r="Q87" s="6" cm="1">
        <f t="array" aca="1" ref="Q87" ca="1">_FV(Table2[[#This Row],[ETF]],"Expense ratio",TRUE)</f>
        <v>1.5E-3</v>
      </c>
    </row>
    <row r="88" spans="1:17" s="1" customFormat="1" ht="15">
      <c r="A88" s="4" t="str" cm="1">
        <f t="array" aca="1" ref="A88" ca="1">_FV(B88,"Name")</f>
        <v>AmdiEurInflExpec2-10YUCITSETFA</v>
      </c>
      <c r="B88" s="4" t="e" vm="190">
        <v>#VALUE!</v>
      </c>
      <c r="C88" s="4" t="str" cm="1">
        <f t="array" aca="1" ref="C88" ca="1">_FV(B88,"Exchange")</f>
        <v>Borsa Italiana</v>
      </c>
      <c r="D88" s="16" t="str" cm="1">
        <f t="array" aca="1" ref="D88" ca="1">_FV(B88,"Currency")</f>
        <v>EUR</v>
      </c>
      <c r="E88" s="10">
        <f t="shared" ca="1" si="5"/>
        <v>46318</v>
      </c>
      <c r="F88" s="16" cm="1">
        <f t="array" aca="1" ref="F88" ca="1">_FV(B88,"Price")</f>
        <v>122.52</v>
      </c>
      <c r="G88" s="6">
        <f t="shared" ca="1" si="9"/>
        <v>5.0321474496356537E-2</v>
      </c>
      <c r="H88" s="6">
        <f t="shared" ca="1" si="10"/>
        <v>5.2848672338231428E-2</v>
      </c>
      <c r="I88" s="6">
        <f t="shared" ca="1" si="11"/>
        <v>6.3818702787184114E-2</v>
      </c>
      <c r="J88" s="17" cm="1">
        <f t="array" aca="1" ref="J88" ca="1">IFERROR(_FV(B88,"Market cap",TRUE),"N/A")</f>
        <v>256062023.13999999</v>
      </c>
      <c r="K88" s="37" t="s">
        <v>26</v>
      </c>
      <c r="L88" s="6" t="s">
        <v>73</v>
      </c>
      <c r="M88" s="38" cm="1">
        <f t="array" aca="1" ref="M88" ca="1">IFERROR(_FV(Table2[[#This Row],[ETF]],"52 week high",TRUE),"N/A")</f>
        <v>122.99</v>
      </c>
      <c r="N88" s="38" cm="1">
        <f t="array" aca="1" ref="N88" ca="1">IFERROR(_FV(Table2[[#This Row],[ETF]],"52 week low",TRUE),"N/A")</f>
        <v>116.15</v>
      </c>
      <c r="O88" s="6" cm="1">
        <f t="array" aca="1" ref="O88" ca="1">_FV(Table2[[#This Row],[ETF]],"Change (%)",TRUE)</f>
        <v>1.9629999999999999E-3</v>
      </c>
      <c r="P88" s="32" cm="1">
        <f t="array" aca="1" ref="P88" ca="1">_FV(Table2[[#This Row],[ETF]],"Volume")</f>
        <v>2830</v>
      </c>
      <c r="Q88" s="6" cm="1">
        <f t="array" aca="1" ref="Q88" ca="1">_FV(Table2[[#This Row],[ETF]],"Expense ratio",TRUE)</f>
        <v>2.5000000000000001E-3</v>
      </c>
    </row>
    <row r="89" spans="1:17" s="1" customFormat="1" ht="15">
      <c r="A89" s="4" t="str" cm="1">
        <f t="array" aca="1" ref="A89" ca="1">_FV(B89,"Name")</f>
        <v>X EONIA MM OVNI ETF</v>
      </c>
      <c r="B89" s="4" t="e" vm="191">
        <v>#VALUE!</v>
      </c>
      <c r="C89" s="4" t="str" cm="1">
        <f t="array" aca="1" ref="C89" ca="1">_FV(B89,"Exchange")</f>
        <v>Borsa Italiana</v>
      </c>
      <c r="D89" s="16" t="str" cm="1">
        <f t="array" aca="1" ref="D89" ca="1">_FV(B89,"Currency")</f>
        <v>EUR</v>
      </c>
      <c r="E89" s="10">
        <f t="shared" ca="1" si="5"/>
        <v>46318</v>
      </c>
      <c r="F89" s="16" cm="1">
        <f t="array" aca="1" ref="F89" ca="1">_FV(B89,"Price")</f>
        <v>150.5934</v>
      </c>
      <c r="G89" s="6">
        <f t="shared" ca="1" si="9"/>
        <v>1.6726079559264282E-2</v>
      </c>
      <c r="H89" s="6">
        <f t="shared" ca="1" si="10"/>
        <v>2.0867002180114388E-2</v>
      </c>
      <c r="I89" s="6">
        <f t="shared" ca="1" si="11"/>
        <v>8.6968509734063643E-2</v>
      </c>
      <c r="J89" s="17" cm="1">
        <f t="array" aca="1" ref="J89" ca="1">IFERROR(_FV(B89,"Market cap",TRUE),"N/A")</f>
        <v>22981466000</v>
      </c>
      <c r="K89" s="37" t="s">
        <v>26</v>
      </c>
      <c r="L89" s="6" t="s">
        <v>74</v>
      </c>
      <c r="M89" s="38" cm="1">
        <f t="array" aca="1" ref="M89" ca="1">IFERROR(_FV(Table2[[#This Row],[ETF]],"52 week high",TRUE),"N/A")</f>
        <v>150.62</v>
      </c>
      <c r="N89" s="38" cm="1">
        <f t="array" aca="1" ref="N89" ca="1">IFERROR(_FV(Table2[[#This Row],[ETF]],"52 week low",TRUE),"N/A")</f>
        <v>147.44999999999999</v>
      </c>
      <c r="O89" s="6" cm="1">
        <f t="array" aca="1" ref="O89" ca="1">_FV(Table2[[#This Row],[ETF]],"Change (%)",TRUE)</f>
        <v>1.076E-4</v>
      </c>
      <c r="P89" s="32" cm="1">
        <f t="array" aca="1" ref="P89" ca="1">_FV(Table2[[#This Row],[ETF]],"Volume")</f>
        <v>209867</v>
      </c>
      <c r="Q89" s="6" cm="1">
        <f t="array" aca="1" ref="Q89" ca="1">_FV(Table2[[#This Row],[ETF]],"Expense ratio",TRUE)</f>
        <v>1E-3</v>
      </c>
    </row>
    <row r="90" spans="1:17" s="1" customFormat="1" ht="15">
      <c r="A90" s="4" t="str" cm="1">
        <f t="array" aca="1" ref="A90" ca="1">_FV(B90,"Name")</f>
        <v>XTR.II-EUROZ.G.B.(DR) 1C ETF</v>
      </c>
      <c r="B90" s="4" t="e" vm="192">
        <v>#VALUE!</v>
      </c>
      <c r="C90" s="4" t="str" cm="1">
        <f t="array" aca="1" ref="C90" ca="1">_FV(B90,"Exchange")</f>
        <v>Borsa Italiana</v>
      </c>
      <c r="D90" s="16" t="str" cm="1">
        <f t="array" aca="1" ref="D90" ca="1">_FV(B90,"Currency")</f>
        <v>EUR</v>
      </c>
      <c r="E90" s="10">
        <f t="shared" ca="1" si="5"/>
        <v>46318</v>
      </c>
      <c r="F90" s="16" cm="1">
        <f t="array" aca="1" ref="F90" ca="1">_FV(B90,"Price")</f>
        <v>216.23</v>
      </c>
      <c r="G90" s="6">
        <f t="shared" ca="1" si="9"/>
        <v>-2.4408951452806339E-2</v>
      </c>
      <c r="H90" s="6">
        <f t="shared" ca="1" si="10"/>
        <v>-3.5505597930326989E-2</v>
      </c>
      <c r="I90" s="6">
        <f t="shared" ca="1" si="11"/>
        <v>6.8541213678592491E-2</v>
      </c>
      <c r="J90" s="17" cm="1">
        <f t="array" aca="1" ref="J90" ca="1">IFERROR(_FV(B90,"Market cap",TRUE),"N/A")</f>
        <v>2393977800</v>
      </c>
      <c r="K90" s="37" t="s">
        <v>26</v>
      </c>
      <c r="L90" s="6" t="s">
        <v>36</v>
      </c>
      <c r="M90" s="38" cm="1">
        <f t="array" aca="1" ref="M90" ca="1">IFERROR(_FV(Table2[[#This Row],[ETF]],"52 week high",TRUE),"N/A")</f>
        <v>227.09</v>
      </c>
      <c r="N90" s="38" cm="1">
        <f t="array" aca="1" ref="N90" ca="1">IFERROR(_FV(Table2[[#This Row],[ETF]],"52 week low",TRUE),"N/A")</f>
        <v>213.98</v>
      </c>
      <c r="O90" s="6" cm="1">
        <f t="array" aca="1" ref="O90" ca="1">_FV(Table2[[#This Row],[ETF]],"Change (%)",TRUE)</f>
        <v>1.2970000000000002E-3</v>
      </c>
      <c r="P90" s="32" cm="1">
        <f t="array" aca="1" ref="P90" ca="1">_FV(Table2[[#This Row],[ETF]],"Volume")</f>
        <v>1107</v>
      </c>
      <c r="Q90" s="6" cm="1">
        <f t="array" aca="1" ref="Q90" ca="1">_FV(Table2[[#This Row],[ETF]],"Expense ratio",TRUE)</f>
        <v>7.000000000000001E-4</v>
      </c>
    </row>
    <row r="91" spans="1:17" s="1" customFormat="1" ht="15">
      <c r="A91" s="4" t="str" cm="1">
        <f t="array" aca="1" ref="A91" ca="1">_FV(B91,"Name")</f>
        <v>FRANKLIN TEMPLETON FR EURO SHORT ETF</v>
      </c>
      <c r="B91" s="4" t="e" vm="193">
        <v>#VALUE!</v>
      </c>
      <c r="C91" s="4" t="str" cm="1">
        <f t="array" aca="1" ref="C91" ca="1">_FV(B91,"Exchange")</f>
        <v>Borsa Italiana</v>
      </c>
      <c r="D91" s="16" t="str" cm="1">
        <f t="array" aca="1" ref="D91" ca="1">_FV(B91,"Currency")</f>
        <v>EUR</v>
      </c>
      <c r="E91" s="10">
        <f t="shared" ca="1" si="5"/>
        <v>46318</v>
      </c>
      <c r="F91" s="16" cm="1">
        <f t="array" aca="1" ref="F91" ca="1">_FV(B91,"Price")</f>
        <v>25.622</v>
      </c>
      <c r="G91" s="6">
        <f t="shared" ca="1" si="9"/>
        <v>-9.509819081490593E-3</v>
      </c>
      <c r="H91" s="6">
        <f t="shared" ca="1" si="10"/>
        <v>-7.0146882145487319E-3</v>
      </c>
      <c r="I91" s="6">
        <f t="shared" ca="1" si="11"/>
        <v>1.3087659641769779E-2</v>
      </c>
      <c r="J91" s="17" cm="1">
        <f t="array" aca="1" ref="J91" ca="1">IFERROR(_FV(B91,"Market cap",TRUE),"N/A")</f>
        <v>258747546.88</v>
      </c>
      <c r="K91" s="37" t="s">
        <v>26</v>
      </c>
      <c r="L91" s="6" t="s">
        <v>72</v>
      </c>
      <c r="M91" s="38" cm="1">
        <f t="array" aca="1" ref="M91" ca="1">IFERROR(_FV(Table2[[#This Row],[ETF]],"52 week high",TRUE),"N/A")</f>
        <v>26.17</v>
      </c>
      <c r="N91" s="38" cm="1">
        <f t="array" aca="1" ref="N91" ca="1">IFERROR(_FV(Table2[[#This Row],[ETF]],"52 week low",TRUE),"N/A")</f>
        <v>25.47</v>
      </c>
      <c r="O91" s="6" cm="1">
        <f t="array" aca="1" ref="O91" ca="1">_FV(Table2[[#This Row],[ETF]],"Change (%)",TRUE)</f>
        <v>-2.4139999999999999E-3</v>
      </c>
      <c r="P91" s="32" cm="1">
        <f t="array" aca="1" ref="P91" ca="1">_FV(Table2[[#This Row],[ETF]],"Volume")</f>
        <v>8223</v>
      </c>
      <c r="Q91" s="6" cm="1">
        <f t="array" aca="1" ref="Q91" ca="1">_FV(Table2[[#This Row],[ETF]],"Expense ratio",TRUE)</f>
        <v>1.5E-3</v>
      </c>
    </row>
    <row r="92" spans="1:17" s="1" customFormat="1" ht="15">
      <c r="A92" s="4" t="str" cm="1">
        <f t="array" aca="1" ref="A92" ca="1">_FV(B92,"Name")</f>
        <v>JPM EUR IG CORP ETF</v>
      </c>
      <c r="B92" s="4" t="e" vm="194">
        <v>#VALUE!</v>
      </c>
      <c r="C92" s="4" t="str" cm="1">
        <f t="array" aca="1" ref="C92" ca="1">_FV(B92,"Exchange")</f>
        <v>Borsa Italiana</v>
      </c>
      <c r="D92" s="16" t="str" cm="1">
        <f t="array" aca="1" ref="D92" ca="1">_FV(B92,"Currency")</f>
        <v>EUR</v>
      </c>
      <c r="E92" s="10">
        <f t="shared" ca="1" si="5"/>
        <v>46318</v>
      </c>
      <c r="F92" s="16" cm="1">
        <f t="array" aca="1" ref="F92" ca="1">_FV(B92,"Price")</f>
        <v>107.16</v>
      </c>
      <c r="G92" s="6">
        <f t="shared" ca="1" si="9"/>
        <v>-9.5202883815509853E-3</v>
      </c>
      <c r="H92" s="6">
        <f t="shared" ca="1" si="10"/>
        <v>-1.4258117928433421E-2</v>
      </c>
      <c r="I92" s="6">
        <f t="shared" ca="1" si="11"/>
        <v>0.13157338965153109</v>
      </c>
      <c r="J92" s="17" cm="1">
        <f t="array" aca="1" ref="J92" ca="1">IFERROR(_FV(B92,"Market cap",TRUE),"N/A")</f>
        <v>744238433.32000005</v>
      </c>
      <c r="K92" s="37" t="s">
        <v>26</v>
      </c>
      <c r="L92" s="6" t="s">
        <v>43</v>
      </c>
      <c r="M92" s="38" cm="1">
        <f t="array" aca="1" ref="M92" ca="1">IFERROR(_FV(Table2[[#This Row],[ETF]],"52 week high",TRUE),"N/A")</f>
        <v>109.83</v>
      </c>
      <c r="N92" s="38" cm="1">
        <f t="array" aca="1" ref="N92" ca="1">IFERROR(_FV(Table2[[#This Row],[ETF]],"52 week low",TRUE),"N/A")</f>
        <v>106.39</v>
      </c>
      <c r="O92" s="6" cm="1">
        <f t="array" aca="1" ref="O92" ca="1">_FV(Table2[[#This Row],[ETF]],"Change (%)",TRUE)</f>
        <v>-3.1630000000000004E-3</v>
      </c>
      <c r="P92" s="32" cm="1">
        <f t="array" aca="1" ref="P92" ca="1">_FV(Table2[[#This Row],[ETF]],"Volume")</f>
        <v>4547</v>
      </c>
      <c r="Q92" s="6" cm="1">
        <f t="array" aca="1" ref="Q92" ca="1">_FV(Table2[[#This Row],[ETF]],"Expense ratio",TRUE)</f>
        <v>4.0000000000000002E-4</v>
      </c>
    </row>
    <row r="93" spans="1:17" s="1" customFormat="1" ht="15">
      <c r="A93" s="4" t="str" cm="1">
        <f t="array" aca="1" ref="A93" ca="1">_FV(B93,"Name")</f>
        <v>VANGUARD EUR EUROZONE GOVT BD ETF</v>
      </c>
      <c r="B93" s="4" t="e" vm="195">
        <v>#VALUE!</v>
      </c>
      <c r="C93" s="4" t="str" cm="1">
        <f t="array" aca="1" ref="C93" ca="1">_FV(B93,"Exchange")</f>
        <v>Borsa Italiana</v>
      </c>
      <c r="D93" s="16" t="str" cm="1">
        <f t="array" aca="1" ref="D93" ca="1">_FV(B93,"Currency")</f>
        <v>EUR</v>
      </c>
      <c r="E93" s="10">
        <f t="shared" ca="1" si="5"/>
        <v>46318</v>
      </c>
      <c r="F93" s="16" cm="1">
        <f t="array" aca="1" ref="F93" ca="1">_FV(B93,"Price")</f>
        <v>23.29</v>
      </c>
      <c r="G93" s="6">
        <f t="shared" ca="1" si="9"/>
        <v>-2.429828236279857E-2</v>
      </c>
      <c r="H93" s="6">
        <f t="shared" ca="1" si="10"/>
        <v>-3.6807278742762635E-2</v>
      </c>
      <c r="I93" s="6">
        <f t="shared" ca="1" si="11"/>
        <v>6.7614027045610717E-2</v>
      </c>
      <c r="J93" s="17" cm="1">
        <f t="array" aca="1" ref="J93" ca="1">IFERROR(_FV(B93,"Market cap",TRUE),"N/A")</f>
        <v>4082353266</v>
      </c>
      <c r="K93" s="37" t="s">
        <v>26</v>
      </c>
      <c r="L93" s="6" t="s">
        <v>36</v>
      </c>
      <c r="M93" s="38" cm="1">
        <f t="array" aca="1" ref="M93" ca="1">IFERROR(_FV(Table2[[#This Row],[ETF]],"52 week high",TRUE),"N/A")</f>
        <v>24.49</v>
      </c>
      <c r="N93" s="38" cm="1">
        <f t="array" aca="1" ref="N93" ca="1">IFERROR(_FV(Table2[[#This Row],[ETF]],"52 week low",TRUE),"N/A")</f>
        <v>23.05</v>
      </c>
      <c r="O93" s="6" cm="1">
        <f t="array" aca="1" ref="O93" ca="1">_FV(Table2[[#This Row],[ETF]],"Change (%)",TRUE)</f>
        <v>4.2959999999999998E-4</v>
      </c>
      <c r="P93" s="32" cm="1">
        <f t="array" aca="1" ref="P93" ca="1">_FV(Table2[[#This Row],[ETF]],"Volume")</f>
        <v>71092</v>
      </c>
      <c r="Q93" s="6" cm="1">
        <f t="array" aca="1" ref="Q93" ca="1">_FV(Table2[[#This Row],[ETF]],"Expense ratio",TRUE)</f>
        <v>7.0010000000000005E-4</v>
      </c>
    </row>
    <row r="94" spans="1:17" s="1" customFormat="1" ht="15">
      <c r="A94" s="4" t="str" cm="1">
        <f t="array" aca="1" ref="A94" ca="1">_FV(B94,"Name")</f>
        <v>iShs Cr Gbl Aggrgte BdETFEURHA</v>
      </c>
      <c r="B94" s="4" t="e" vm="196">
        <v>#VALUE!</v>
      </c>
      <c r="C94" s="4" t="str" cm="1">
        <f t="array" aca="1" ref="C94" ca="1">_FV(B94,"Exchange")</f>
        <v>Borsa Italiana</v>
      </c>
      <c r="D94" s="16" t="str" cm="1">
        <f t="array" aca="1" ref="D94" ca="1">_FV(B94,"Currency")</f>
        <v>EUR</v>
      </c>
      <c r="E94" s="10">
        <f t="shared" ca="1" si="5"/>
        <v>46318</v>
      </c>
      <c r="F94" s="16" cm="1">
        <f t="array" aca="1" ref="F94" ca="1">_FV(B94,"Price")</f>
        <v>4.8579999999999997</v>
      </c>
      <c r="G94" s="6">
        <f t="shared" ca="1" si="9"/>
        <v>-1.3103098019299271E-2</v>
      </c>
      <c r="H94" s="6">
        <f t="shared" ca="1" si="10"/>
        <v>-2.0663239592782993E-2</v>
      </c>
      <c r="I94" s="6">
        <f t="shared" ca="1" si="11"/>
        <v>9.2790462265211926E-2</v>
      </c>
      <c r="J94" s="17" cm="1">
        <f t="array" aca="1" ref="J94" ca="1">IFERROR(_FV(B94,"Market cap",TRUE),"N/A")</f>
        <v>2513375004.3299999</v>
      </c>
      <c r="K94" s="37" t="s">
        <v>26</v>
      </c>
      <c r="L94" s="6" t="s">
        <v>75</v>
      </c>
      <c r="M94" s="38" cm="1">
        <f t="array" aca="1" ref="M94" ca="1">IFERROR(_FV(Table2[[#This Row],[ETF]],"52 week high",TRUE),"N/A")</f>
        <v>5.0199999999999996</v>
      </c>
      <c r="N94" s="38" cm="1">
        <f t="array" aca="1" ref="N94" ca="1">IFERROR(_FV(Table2[[#This Row],[ETF]],"52 week low",TRUE),"N/A")</f>
        <v>4.78</v>
      </c>
      <c r="O94" s="6" cm="1">
        <f t="array" aca="1" ref="O94" ca="1">_FV(Table2[[#This Row],[ETF]],"Change (%)",TRUE)</f>
        <v>-2.0580000000000002E-4</v>
      </c>
      <c r="P94" s="32" cm="1">
        <f t="array" aca="1" ref="P94" ca="1">_FV(Table2[[#This Row],[ETF]],"Volume")</f>
        <v>130585</v>
      </c>
      <c r="Q94" s="6" cm="1">
        <f t="array" aca="1" ref="Q94" ca="1">_FV(Table2[[#This Row],[ETF]],"Expense ratio",TRUE)</f>
        <v>1E-3</v>
      </c>
    </row>
    <row r="95" spans="1:17" s="1" customFormat="1" ht="15">
      <c r="A95" s="4" t="str" cm="1">
        <f t="array" aca="1" ref="A95" ca="1">_FV(B95,"Name")</f>
        <v>iShs JPM EM LclGvtBdETFUSDD</v>
      </c>
      <c r="B95" s="4" t="e" vm="197">
        <v>#VALUE!</v>
      </c>
      <c r="C95" s="4" t="str" cm="1">
        <f t="array" aca="1" ref="C95" ca="1">_FV(B95,"Exchange")</f>
        <v>Borsa Italiana</v>
      </c>
      <c r="D95" s="16" t="str" cm="1">
        <f t="array" aca="1" ref="D95" ca="1">_FV(B95,"Currency")</f>
        <v>EUR</v>
      </c>
      <c r="E95" s="10">
        <f t="shared" ca="1" si="5"/>
        <v>46318</v>
      </c>
      <c r="F95" s="16" cm="1">
        <f t="array" aca="1" ref="F95" ca="1">_FV(B95,"Price")</f>
        <v>39.909999999999997</v>
      </c>
      <c r="G95" s="6">
        <f t="shared" ca="1" si="9"/>
        <v>-1.8083405092877512E-2</v>
      </c>
      <c r="H95" s="6">
        <f t="shared" ca="1" si="10"/>
        <v>-2.1252656582072976E-3</v>
      </c>
      <c r="I95" s="6">
        <f t="shared" ca="1" si="11"/>
        <v>1.0124019235636512E-2</v>
      </c>
      <c r="J95" s="17" cm="1">
        <f t="array" aca="1" ref="J95" ca="1">IFERROR(_FV(B95,"Market cap",TRUE),"N/A")</f>
        <v>4781954799.7299995</v>
      </c>
      <c r="K95" s="37" t="s">
        <v>26</v>
      </c>
      <c r="L95" s="6" t="s">
        <v>44</v>
      </c>
      <c r="M95" s="38" cm="1">
        <f t="array" aca="1" ref="M95" ca="1">IFERROR(_FV(Table2[[#This Row],[ETF]],"52 week high",TRUE),"N/A")</f>
        <v>41.15</v>
      </c>
      <c r="N95" s="38" cm="1">
        <f t="array" aca="1" ref="N95" ca="1">IFERROR(_FV(Table2[[#This Row],[ETF]],"52 week low",TRUE),"N/A")</f>
        <v>38.729999999999997</v>
      </c>
      <c r="O95" s="6" cm="1">
        <f t="array" aca="1" ref="O95" ca="1">_FV(Table2[[#This Row],[ETF]],"Change (%)",TRUE)</f>
        <v>0</v>
      </c>
      <c r="P95" s="32" cm="1">
        <f t="array" aca="1" ref="P95" ca="1">_FV(Table2[[#This Row],[ETF]],"Volume")</f>
        <v>7256</v>
      </c>
      <c r="Q95" s="6" cm="1">
        <f t="array" aca="1" ref="Q95" ca="1">_FV(Table2[[#This Row],[ETF]],"Expense ratio",TRUE)</f>
        <v>5.1000000000000004E-3</v>
      </c>
    </row>
    <row r="96" spans="1:17" s="1" customFormat="1" ht="15">
      <c r="A96" s="4" t="str" cm="1">
        <f t="array" aca="1" ref="A96" ca="1">_FV(B96,"Name")</f>
        <v>VANGUARD FD PLC GL AGG BD UCITS ETF</v>
      </c>
      <c r="B96" s="4" t="e" vm="198">
        <v>#VALUE!</v>
      </c>
      <c r="C96" s="4" t="str" cm="1">
        <f t="array" aca="1" ref="C96" ca="1">_FV(B96,"Exchange")</f>
        <v>Borsa Italiana</v>
      </c>
      <c r="D96" s="16" t="str" cm="1">
        <f t="array" aca="1" ref="D96" ca="1">_FV(B96,"Currency")</f>
        <v>EUR</v>
      </c>
      <c r="E96" s="10">
        <f t="shared" ca="1" si="5"/>
        <v>46318</v>
      </c>
      <c r="F96" s="16" cm="1">
        <f t="array" aca="1" ref="F96" ca="1">_FV(B96,"Price")</f>
        <v>23.295000000000002</v>
      </c>
      <c r="G96" s="6">
        <f t="shared" ca="1" si="9"/>
        <v>-1.9570707070707065E-2</v>
      </c>
      <c r="H96" s="6">
        <f t="shared" ca="1" si="10"/>
        <v>-2.6739085021934283E-2</v>
      </c>
      <c r="I96" s="6">
        <f t="shared" ca="1" si="11"/>
        <v>8.9060308555399773E-2</v>
      </c>
      <c r="J96" s="17" cm="1">
        <f t="array" aca="1" ref="J96" ca="1">IFERROR(_FV(B96,"Market cap",TRUE),"N/A")</f>
        <v>2295639040</v>
      </c>
      <c r="K96" s="37" t="s">
        <v>26</v>
      </c>
      <c r="L96" s="6" t="s">
        <v>75</v>
      </c>
      <c r="M96" s="38" cm="1">
        <f t="array" aca="1" ref="M96" ca="1">IFERROR(_FV(Table2[[#This Row],[ETF]],"52 week high",TRUE),"N/A")</f>
        <v>24.38</v>
      </c>
      <c r="N96" s="38" cm="1">
        <f t="array" aca="1" ref="N96" ca="1">IFERROR(_FV(Table2[[#This Row],[ETF]],"52 week low",TRUE),"N/A")</f>
        <v>22.83</v>
      </c>
      <c r="O96" s="6" cm="1">
        <f t="array" aca="1" ref="O96" ca="1">_FV(Table2[[#This Row],[ETF]],"Change (%)",TRUE)</f>
        <v>1.9350000000000001E-3</v>
      </c>
      <c r="P96" s="32" cm="1">
        <f t="array" aca="1" ref="P96" ca="1">_FV(Table2[[#This Row],[ETF]],"Volume")</f>
        <v>21897</v>
      </c>
      <c r="Q96" s="6" cm="1">
        <f t="array" aca="1" ref="Q96" ca="1">_FV(Table2[[#This Row],[ETF]],"Expense ratio",TRUE)</f>
        <v>9.0130000000000006E-4</v>
      </c>
    </row>
    <row r="97" spans="1:17" s="1" customFormat="1" ht="15">
      <c r="A97" s="4" t="str" cm="1">
        <f t="array" aca="1" ref="A97" ca="1">_FV(B97,"Name")</f>
        <v>PIMCO EM ADV LOCAL BOND UCITS USD IN</v>
      </c>
      <c r="B97" s="4" t="e" vm="199">
        <v>#VALUE!</v>
      </c>
      <c r="C97" s="4" t="str" cm="1">
        <f t="array" aca="1" ref="C97" ca="1">_FV(B97,"Exchange")</f>
        <v>Borsa Italiana</v>
      </c>
      <c r="D97" s="16" t="str" cm="1">
        <f t="array" aca="1" ref="D97" ca="1">_FV(B97,"Currency")</f>
        <v>EUR</v>
      </c>
      <c r="E97" s="10">
        <f t="shared" ca="1" si="5"/>
        <v>46318</v>
      </c>
      <c r="F97" s="16" cm="1">
        <f t="array" aca="1" ref="F97" ca="1">_FV(B97,"Price")</f>
        <v>58.28</v>
      </c>
      <c r="G97" s="6">
        <f t="shared" ca="1" si="9"/>
        <v>1.97725284339458E-2</v>
      </c>
      <c r="H97" s="6">
        <f t="shared" ca="1" si="10"/>
        <v>1.7635760433036458E-2</v>
      </c>
      <c r="I97" s="6">
        <f t="shared" ca="1" si="11"/>
        <v>-7.493188010899144E-3</v>
      </c>
      <c r="J97" s="17" cm="1">
        <f t="array" aca="1" ref="J97" ca="1">IFERROR(_FV(B97,"Market cap",TRUE),"N/A")</f>
        <v>80064831.480000004</v>
      </c>
      <c r="K97" s="37" t="s">
        <v>26</v>
      </c>
      <c r="L97" s="6" t="s">
        <v>44</v>
      </c>
      <c r="M97" s="38" cm="1">
        <f t="array" aca="1" ref="M97" ca="1">IFERROR(_FV(Table2[[#This Row],[ETF]],"52 week high",TRUE),"N/A")</f>
        <v>59.15</v>
      </c>
      <c r="N97" s="38" cm="1">
        <f t="array" aca="1" ref="N97" ca="1">IFERROR(_FV(Table2[[#This Row],[ETF]],"52 week low",TRUE),"N/A")</f>
        <v>56.14</v>
      </c>
      <c r="O97" s="6" cm="1">
        <f t="array" aca="1" ref="O97" ca="1">_FV(Table2[[#This Row],[ETF]],"Change (%)",TRUE)</f>
        <v>-1.0280000000000001E-3</v>
      </c>
      <c r="P97" s="32" cm="1">
        <f t="array" aca="1" ref="P97" ca="1">_FV(Table2[[#This Row],[ETF]],"Volume")</f>
        <v>5479</v>
      </c>
      <c r="Q97" s="6" cm="1">
        <f t="array" aca="1" ref="Q97" ca="1">_FV(Table2[[#This Row],[ETF]],"Expense ratio",TRUE)</f>
        <v>3.9000000000000003E-3</v>
      </c>
    </row>
    <row r="98" spans="1:17" s="1" customFormat="1" ht="15">
      <c r="A98" s="4" t="str" cm="1">
        <f t="array" aca="1" ref="A98" ca="1">_FV(B98,"Name")</f>
        <v>AmunCorGlGovBd UCITS ETF A</v>
      </c>
      <c r="B98" s="4" t="e" vm="200">
        <v>#VALUE!</v>
      </c>
      <c r="C98" s="4" t="str" cm="1">
        <f t="array" aca="1" ref="C98" ca="1">_FV(B98,"Exchange")</f>
        <v>Borsa Italiana</v>
      </c>
      <c r="D98" s="16" t="str" cm="1">
        <f t="array" aca="1" ref="D98" ca="1">_FV(B98,"Currency")</f>
        <v>EUR</v>
      </c>
      <c r="E98" s="10">
        <f t="shared" ca="1" si="5"/>
        <v>46318</v>
      </c>
      <c r="F98" s="16" cm="1">
        <f t="array" aca="1" ref="F98" ca="1">_FV(B98,"Price")</f>
        <v>45.66</v>
      </c>
      <c r="G98" s="6">
        <f t="shared" ca="1" si="9"/>
        <v>1.9196428571428559E-2</v>
      </c>
      <c r="H98" s="6">
        <f t="shared" ca="1" si="10"/>
        <v>1.0951702989804956E-4</v>
      </c>
      <c r="I98" s="6">
        <f t="shared" ca="1" si="11"/>
        <v>2.5491297024143697E-2</v>
      </c>
      <c r="J98" s="17" cm="1">
        <f t="array" aca="1" ref="J98" ca="1">IFERROR(_FV(B98,"Market cap",TRUE),"N/A")</f>
        <v>337879516.86000001</v>
      </c>
      <c r="K98" s="37" t="s">
        <v>26</v>
      </c>
      <c r="L98" s="6" t="s">
        <v>36</v>
      </c>
      <c r="M98" s="38" cm="1">
        <f t="array" aca="1" ref="M98" ca="1">IFERROR(_FV(Table2[[#This Row],[ETF]],"52 week high",TRUE),"N/A")</f>
        <v>45.91</v>
      </c>
      <c r="N98" s="38" cm="1">
        <f t="array" aca="1" ref="N98" ca="1">IFERROR(_FV(Table2[[#This Row],[ETF]],"52 week low",TRUE),"N/A")</f>
        <v>44.31</v>
      </c>
      <c r="O98" s="6" cm="1">
        <f t="array" aca="1" ref="O98" ca="1">_FV(Table2[[#This Row],[ETF]],"Change (%)",TRUE)</f>
        <v>2.1909999999999999E-4</v>
      </c>
      <c r="P98" s="32" cm="1">
        <f t="array" aca="1" ref="P98" ca="1">_FV(Table2[[#This Row],[ETF]],"Volume")</f>
        <v>1668</v>
      </c>
      <c r="Q98" s="6" cm="1">
        <f t="array" aca="1" ref="Q98" ca="1">_FV(Table2[[#This Row],[ETF]],"Expense ratio",TRUE)</f>
        <v>2E-3</v>
      </c>
    </row>
    <row r="99" spans="1:17" s="1" customFormat="1" ht="15">
      <c r="A99" s="4" t="str" cm="1">
        <f t="array" aca="1" ref="A99" ca="1">_FV(B99,"Name")</f>
        <v>PIMCO ADV EURO DUR ETF</v>
      </c>
      <c r="B99" s="4" t="e" vm="201">
        <v>#VALUE!</v>
      </c>
      <c r="C99" s="4" t="str" cm="1">
        <f t="array" aca="1" ref="C99" ca="1">_FV(B99,"Exchange")</f>
        <v>Borsa Italiana</v>
      </c>
      <c r="D99" s="16" t="str" cm="1">
        <f t="array" aca="1" ref="D99" ca="1">_FV(B99,"Currency")</f>
        <v>EUR</v>
      </c>
      <c r="E99" s="10">
        <f t="shared" ca="1" si="5"/>
        <v>46318</v>
      </c>
      <c r="F99" s="16" cm="1">
        <f t="array" aca="1" ref="F99" ca="1">_FV(B99,"Price")</f>
        <v>98.9</v>
      </c>
      <c r="G99" s="6">
        <f t="shared" ca="1" si="9"/>
        <v>-3.3896649409006531E-2</v>
      </c>
      <c r="H99" s="6">
        <f t="shared" ca="1" si="10"/>
        <v>-4.008541201591765E-2</v>
      </c>
      <c r="I99" s="6">
        <f t="shared" ca="1" si="11"/>
        <v>2.8387230945201247E-2</v>
      </c>
      <c r="J99" s="17" cm="1">
        <f t="array" aca="1" ref="J99" ca="1">IFERROR(_FV(B99,"Market cap",TRUE),"N/A")</f>
        <v>174087007.78</v>
      </c>
      <c r="K99" s="37" t="s">
        <v>26</v>
      </c>
      <c r="L99" s="6" t="s">
        <v>72</v>
      </c>
      <c r="M99" s="38" cm="1">
        <f t="array" aca="1" ref="M99" ca="1">IFERROR(_FV(Table2[[#This Row],[ETF]],"52 week high",TRUE),"N/A")</f>
        <v>103.8</v>
      </c>
      <c r="N99" s="38" cm="1">
        <f t="array" aca="1" ref="N99" ca="1">IFERROR(_FV(Table2[[#This Row],[ETF]],"52 week low",TRUE),"N/A")</f>
        <v>97.76</v>
      </c>
      <c r="O99" s="6" cm="1">
        <f t="array" aca="1" ref="O99" ca="1">_FV(Table2[[#This Row],[ETF]],"Change (%)",TRUE)</f>
        <v>-7.0730000000000001E-4</v>
      </c>
      <c r="P99" s="32" cm="1">
        <f t="array" aca="1" ref="P99" ca="1">_FV(Table2[[#This Row],[ETF]],"Volume")</f>
        <v>2574</v>
      </c>
      <c r="Q99" s="6" cm="1">
        <f t="array" aca="1" ref="Q99" ca="1">_FV(Table2[[#This Row],[ETF]],"Expense ratio",TRUE)</f>
        <v>2.5000000000000001E-3</v>
      </c>
    </row>
    <row r="100" spans="1:17" s="1" customFormat="1" ht="15">
      <c r="A100" s="4" t="str" cm="1">
        <f t="array" aca="1" ref="A100" ca="1">_FV(B100,"Name")</f>
        <v>iShs$TreasBd 7-10yETFUSD D</v>
      </c>
      <c r="B100" s="4" t="e" vm="202">
        <v>#VALUE!</v>
      </c>
      <c r="C100" s="4" t="str" cm="1">
        <f t="array" aca="1" ref="C100" ca="1">_FV(B100,"Exchange")</f>
        <v>Borsa Italiana</v>
      </c>
      <c r="D100" s="16" t="str" cm="1">
        <f t="array" aca="1" ref="D100" ca="1">_FV(B100,"Currency")</f>
        <v>EUR</v>
      </c>
      <c r="E100" s="10">
        <f t="shared" ca="1" si="5"/>
        <v>46318</v>
      </c>
      <c r="F100" s="16" cm="1">
        <f t="array" aca="1" ref="F100" ca="1">_FV(B100,"Price")</f>
        <v>149.22</v>
      </c>
      <c r="G100" s="6">
        <f t="shared" ca="1" si="9"/>
        <v>2.9573867455302979E-3</v>
      </c>
      <c r="H100" s="6">
        <f t="shared" ca="1" si="10"/>
        <v>-3.3486624781397682E-2</v>
      </c>
      <c r="I100" s="6">
        <f t="shared" ca="1" si="11"/>
        <v>-3.9644741923027395E-2</v>
      </c>
      <c r="J100" s="17" cm="1">
        <f t="array" aca="1" ref="J100" ca="1">IFERROR(_FV(B100,"Market cap",TRUE),"N/A")</f>
        <v>3655630637.1500001</v>
      </c>
      <c r="K100" s="37" t="s">
        <v>26</v>
      </c>
      <c r="L100" s="6" t="s">
        <v>36</v>
      </c>
      <c r="M100" s="38" cm="1">
        <f t="array" aca="1" ref="M100" ca="1">IFERROR(_FV(Table2[[#This Row],[ETF]],"52 week high",TRUE),"N/A")</f>
        <v>155.29</v>
      </c>
      <c r="N100" s="38" cm="1">
        <f t="array" aca="1" ref="N100" ca="1">IFERROR(_FV(Table2[[#This Row],[ETF]],"52 week low",TRUE),"N/A")</f>
        <v>143.61000000000001</v>
      </c>
      <c r="O100" s="6" cm="1">
        <f t="array" aca="1" ref="O100" ca="1">_FV(Table2[[#This Row],[ETF]],"Change (%)",TRUE)</f>
        <v>9.390999999999999E-4</v>
      </c>
      <c r="P100" s="32" cm="1">
        <f t="array" aca="1" ref="P100" ca="1">_FV(Table2[[#This Row],[ETF]],"Volume")</f>
        <v>965</v>
      </c>
      <c r="Q100" s="6" cm="1">
        <f t="array" aca="1" ref="Q100" ca="1">_FV(Table2[[#This Row],[ETF]],"Expense ratio",TRUE)</f>
        <v>7.000000000000001E-4</v>
      </c>
    </row>
    <row r="101" spans="1:17" s="1" customFormat="1" ht="15">
      <c r="A101" s="4" t="str" cm="1">
        <f t="array" aca="1" ref="A101" ca="1">_FV(B101,"Name")</f>
        <v>iShs $ Treas Bd 1-3y USD D</v>
      </c>
      <c r="B101" s="4" t="e" vm="203">
        <v>#VALUE!</v>
      </c>
      <c r="C101" s="4" t="str" cm="1">
        <f t="array" aca="1" ref="C101" ca="1">_FV(B101,"Exchange")</f>
        <v>Borsa Italiana</v>
      </c>
      <c r="D101" s="16" t="str" cm="1">
        <f t="array" aca="1" ref="D101" ca="1">_FV(B101,"Currency")</f>
        <v>EUR</v>
      </c>
      <c r="E101" s="10">
        <f t="shared" ca="1" si="5"/>
        <v>46318</v>
      </c>
      <c r="F101" s="16" cm="1">
        <f t="array" aca="1" ref="F101" ca="1">_FV(B101,"Price")</f>
        <v>112.37</v>
      </c>
      <c r="G101" s="6">
        <f t="shared" ca="1" si="9"/>
        <v>2.0710327913525308E-2</v>
      </c>
      <c r="H101" s="6">
        <f t="shared" ca="1" si="10"/>
        <v>1.5360983102918613E-2</v>
      </c>
      <c r="I101" s="6">
        <f t="shared" ca="1" si="11"/>
        <v>-4.8034564554388356E-2</v>
      </c>
      <c r="J101" s="17" cm="1">
        <f t="array" aca="1" ref="J101" ca="1">IFERROR(_FV(B101,"Market cap",TRUE),"N/A")</f>
        <v>2460049129.77</v>
      </c>
      <c r="K101" s="37" t="s">
        <v>26</v>
      </c>
      <c r="L101" s="6" t="s">
        <v>36</v>
      </c>
      <c r="M101" s="38" cm="1">
        <f t="array" aca="1" ref="M101" ca="1">IFERROR(_FV(Table2[[#This Row],[ETF]],"52 week high",TRUE),"N/A")</f>
        <v>113.34</v>
      </c>
      <c r="N101" s="38" cm="1">
        <f t="array" aca="1" ref="N101" ca="1">IFERROR(_FV(Table2[[#This Row],[ETF]],"52 week low",TRUE),"N/A")</f>
        <v>107.71</v>
      </c>
      <c r="O101" s="6" cm="1">
        <f t="array" aca="1" ref="O101" ca="1">_FV(Table2[[#This Row],[ETF]],"Change (%)",TRUE)</f>
        <v>6.2330000000000003E-4</v>
      </c>
      <c r="P101" s="32" cm="1">
        <f t="array" aca="1" ref="P101" ca="1">_FV(Table2[[#This Row],[ETF]],"Volume")</f>
        <v>794</v>
      </c>
      <c r="Q101" s="6" cm="1">
        <f t="array" aca="1" ref="Q101" ca="1">_FV(Table2[[#This Row],[ETF]],"Expense ratio",TRUE)</f>
        <v>7.000000000000001E-4</v>
      </c>
    </row>
    <row r="102" spans="1:17" s="1" customFormat="1" ht="15">
      <c r="A102" s="4" t="str" cm="1">
        <f t="array" aca="1" ref="A102" ca="1">_FV(B102,"Name")</f>
        <v>OSSIAM SERENITY ETF</v>
      </c>
      <c r="B102" s="4" t="e" vm="204">
        <v>#VALUE!</v>
      </c>
      <c r="C102" s="4" t="str" cm="1">
        <f t="array" aca="1" ref="C102" ca="1">_FV(B102,"Exchange")</f>
        <v>Xetra</v>
      </c>
      <c r="D102" s="16" t="str" cm="1">
        <f t="array" aca="1" ref="D102" ca="1">_FV(B102,"Currency")</f>
        <v>EUR</v>
      </c>
      <c r="E102" s="10">
        <f t="shared" ca="1" si="5"/>
        <v>46318</v>
      </c>
      <c r="F102" s="16" cm="1">
        <f t="array" aca="1" ref="F102" ca="1">_FV(B102,"Price")</f>
        <v>104.9</v>
      </c>
      <c r="G102" s="6">
        <f t="shared" ca="1" si="9"/>
        <v>1.9872443027144856E-2</v>
      </c>
      <c r="H102" s="6">
        <f t="shared" ca="1" si="10"/>
        <v>2.4574152211283066E-2</v>
      </c>
      <c r="I102" s="6">
        <f t="shared" ca="1" si="11"/>
        <v>4.5362139753657341E-2</v>
      </c>
      <c r="J102" s="17" cm="1">
        <f t="array" aca="1" ref="J102" ca="1">IFERROR(_FV(B102,"Market cap",TRUE),"N/A")</f>
        <v>281623381.00999999</v>
      </c>
      <c r="K102" s="37" t="s">
        <v>26</v>
      </c>
      <c r="L102" s="6" t="s">
        <v>76</v>
      </c>
      <c r="M102" s="38" cm="1">
        <f t="array" aca="1" ref="M102" ca="1">IFERROR(_FV(Table2[[#This Row],[ETF]],"52 week high",TRUE),"N/A")</f>
        <v>104.91200000000001</v>
      </c>
      <c r="N102" s="38" cm="1">
        <f t="array" aca="1" ref="N102" ca="1">IFERROR(_FV(Table2[[#This Row],[ETF]],"52 week low",TRUE),"N/A")</f>
        <v>100.85899999999999</v>
      </c>
      <c r="O102" s="6" cm="1">
        <f t="array" aca="1" ref="O102" ca="1">_FV(Table2[[#This Row],[ETF]],"Change (%)",TRUE)</f>
        <v>9.5340000000000005E-5</v>
      </c>
      <c r="P102" s="32" cm="1">
        <f t="array" aca="1" ref="P102" ca="1">_FV(Table2[[#This Row],[ETF]],"Volume")</f>
        <v>570</v>
      </c>
      <c r="Q102" s="6" cm="1">
        <f t="array" aca="1" ref="Q102" ca="1">_FV(Table2[[#This Row],[ETF]],"Expense ratio",TRUE)</f>
        <v>1.5E-3</v>
      </c>
    </row>
    <row r="103" spans="1:17" s="1" customFormat="1" ht="15">
      <c r="A103" s="4" t="str" cm="1">
        <f t="array" aca="1" ref="A103" ca="1">_FV(B103,"Name")</f>
        <v>ETFS D H PH GOEU ETC</v>
      </c>
      <c r="B103" s="4" t="e" vm="205">
        <v>#VALUE!</v>
      </c>
      <c r="C103" s="4" t="str" cm="1">
        <f t="array" aca="1" ref="C103" ca="1">_FV(B103,"Exchange")</f>
        <v>Borsa Italiana</v>
      </c>
      <c r="D103" s="16" t="str" cm="1">
        <f t="array" aca="1" ref="D103" ca="1">_FV(B103,"Currency")</f>
        <v>EUR</v>
      </c>
      <c r="E103" s="10">
        <f t="shared" ca="1" si="5"/>
        <v>46318</v>
      </c>
      <c r="F103" s="16" cm="1">
        <f t="array" aca="1" ref="F103" ca="1">_FV(B103,"Price")</f>
        <v>20.8</v>
      </c>
      <c r="G103" s="6">
        <f t="shared" ref="G103:G114" ca="1" si="12">(F103-INDEX(_xlfn.STOCKHISTORY(B103,DATE(2025,12,31),E103),2,2))/(INDEX(_xlfn.STOCKHISTORY(B103,DATE(2025,12,31),E103),2,2))</f>
        <v>-9.4668117519042458E-2</v>
      </c>
      <c r="H103" s="6">
        <f t="shared" ref="H103:H114" ca="1" si="13">(F103-INDEX(_xlfn.STOCKHISTORY(B103,EDATE(E103,-12),E103),2,2))/(INDEX(_xlfn.STOCKHISTORY(B103,EDATE(E103,-12),E103),2,2))</f>
        <v>-6.1160009027307623E-2</v>
      </c>
      <c r="I103" s="6">
        <f t="shared" ref="I103:I114" ca="1" si="14">(F103-INDEX(_xlfn.STOCKHISTORY(B103,EDATE(E103,-36),E103),2,2))/(INDEX(_xlfn.STOCKHISTORY(B103,EDATE(E103,-36),E103),2,2))</f>
        <v>0.86379928315412191</v>
      </c>
      <c r="J103" s="17" t="str" cm="1">
        <f t="array" ref="J103">IFERROR(_FV(B103,"Market cap",TRUE),"N/A")</f>
        <v>N/A</v>
      </c>
      <c r="K103" s="37" t="s">
        <v>27</v>
      </c>
      <c r="L103" s="6" t="s">
        <v>52</v>
      </c>
      <c r="M103" s="38" cm="1">
        <f t="array" aca="1" ref="M103" ca="1">IFERROR(_FV(Table2[[#This Row],[ETF]],"52 week high",TRUE),"N/A")</f>
        <v>29.45</v>
      </c>
      <c r="N103" s="38" cm="1">
        <f t="array" aca="1" ref="N103" ca="1">IFERROR(_FV(Table2[[#This Row],[ETF]],"52 week low",TRUE),"N/A")</f>
        <v>20.704999999999998</v>
      </c>
      <c r="O103" s="6" cm="1">
        <f t="array" aca="1" ref="O103" ca="1">_FV(Table2[[#This Row],[ETF]],"Change (%)",TRUE)</f>
        <v>-1.3283E-2</v>
      </c>
      <c r="P103" s="32" cm="1">
        <f t="array" aca="1" ref="P103" ca="1">_FV(Table2[[#This Row],[ETF]],"Volume")</f>
        <v>120462</v>
      </c>
      <c r="Q103" s="6" t="e" cm="1" vm="137">
        <f t="array" ref="Q103">_FV(Table2[[#This Row],[ETF]],"Expense ratio",TRUE)</f>
        <v>#VALUE!</v>
      </c>
    </row>
    <row r="104" spans="1:17" s="1" customFormat="1" ht="15">
      <c r="A104" s="4" t="str" cm="1">
        <f t="array" aca="1" ref="A104" ca="1">_FV(B104,"Name")</f>
        <v>WISDOMTREE PHYSICAL SWISS GOLD ETC</v>
      </c>
      <c r="B104" s="4" t="e" vm="206">
        <v>#VALUE!</v>
      </c>
      <c r="C104" s="4" t="str" cm="1">
        <f t="array" aca="1" ref="C104" ca="1">_FV(B104,"Exchange")</f>
        <v>Borsa Italiana</v>
      </c>
      <c r="D104" s="16" t="str" cm="1">
        <f t="array" aca="1" ref="D104" ca="1">_FV(B104,"Currency")</f>
        <v>EUR</v>
      </c>
      <c r="E104" s="10">
        <f t="shared" ca="1" si="5"/>
        <v>46318</v>
      </c>
      <c r="F104" s="16" cm="1">
        <f t="array" aca="1" ref="F104" ca="1">_FV(B104,"Price")</f>
        <v>341.66</v>
      </c>
      <c r="G104" s="6">
        <f t="shared" ca="1" si="12"/>
        <v>-2.9430146014430877E-2</v>
      </c>
      <c r="H104" s="6">
        <f t="shared" ca="1" si="13"/>
        <v>4.3922579133856728E-4</v>
      </c>
      <c r="I104" s="6">
        <f t="shared" ca="1" si="14"/>
        <v>0.91524188575592835</v>
      </c>
      <c r="J104" s="17" cm="1">
        <f t="array" aca="1" ref="J104" ca="1">IFERROR(_FV(B104,"Market cap",TRUE),"N/A")</f>
        <v>5293763534.2299995</v>
      </c>
      <c r="K104" s="37" t="s">
        <v>27</v>
      </c>
      <c r="L104" s="6" t="s">
        <v>52</v>
      </c>
      <c r="M104" s="38" cm="1">
        <f t="array" aca="1" ref="M104" ca="1">IFERROR(_FV(Table2[[#This Row],[ETF]],"52 week high",TRUE),"N/A")</f>
        <v>443.6</v>
      </c>
      <c r="N104" s="38" cm="1">
        <f t="array" aca="1" ref="N104" ca="1">IFERROR(_FV(Table2[[#This Row],[ETF]],"52 week low",TRUE),"N/A")</f>
        <v>318.85000000000002</v>
      </c>
      <c r="O104" s="6" cm="1">
        <f t="array" aca="1" ref="O104" ca="1">_FV(Table2[[#This Row],[ETF]],"Change (%)",TRUE)</f>
        <v>-1.1600999999999998E-2</v>
      </c>
      <c r="P104" s="32" cm="1">
        <f t="array" aca="1" ref="P104" ca="1">_FV(Table2[[#This Row],[ETF]],"Volume")</f>
        <v>580</v>
      </c>
      <c r="Q104" s="6" cm="1">
        <f t="array" aca="1" ref="Q104" ca="1">_FV(Table2[[#This Row],[ETF]],"Expense ratio",TRUE)</f>
        <v>1.5E-3</v>
      </c>
    </row>
    <row r="105" spans="1:17" s="1" customFormat="1" ht="15">
      <c r="A105" s="4" t="str" cm="1">
        <f t="array" aca="1" ref="A105" ca="1">_FV(B105,"Name")</f>
        <v>XTR PHYSICAL GOLD EURO HDGD ETC</v>
      </c>
      <c r="B105" s="4" t="e" vm="207">
        <v>#VALUE!</v>
      </c>
      <c r="C105" s="4" t="str" cm="1">
        <f t="array" aca="1" ref="C105" ca="1">_FV(B105,"Exchange")</f>
        <v>Borsa Italiana</v>
      </c>
      <c r="D105" s="16" t="str" cm="1">
        <f t="array" aca="1" ref="D105" ca="1">_FV(B105,"Currency")</f>
        <v>EUR</v>
      </c>
      <c r="E105" s="10">
        <f t="shared" ca="1" si="5"/>
        <v>46318</v>
      </c>
      <c r="F105" s="16" cm="1">
        <f t="array" aca="1" ref="F105" ca="1">_FV(B105,"Price")</f>
        <v>223.34</v>
      </c>
      <c r="G105" s="6">
        <f t="shared" ca="1" si="12"/>
        <v>-9.8708635996771613E-2</v>
      </c>
      <c r="H105" s="6">
        <f t="shared" ca="1" si="13"/>
        <v>-6.5444807096828136E-2</v>
      </c>
      <c r="I105" s="6">
        <f t="shared" ca="1" si="14"/>
        <v>0.85160006632399265</v>
      </c>
      <c r="J105" s="17" t="str" cm="1">
        <f t="array" ref="J105">IFERROR(_FV(B105,"Market cap",TRUE),"N/A")</f>
        <v>N/A</v>
      </c>
      <c r="K105" s="37" t="s">
        <v>27</v>
      </c>
      <c r="L105" s="6" t="s">
        <v>52</v>
      </c>
      <c r="M105" s="38" cm="1">
        <f t="array" aca="1" ref="M105" ca="1">IFERROR(_FV(Table2[[#This Row],[ETF]],"52 week high",TRUE),"N/A")</f>
        <v>317.89999999999998</v>
      </c>
      <c r="N105" s="38" cm="1">
        <f t="array" aca="1" ref="N105" ca="1">IFERROR(_FV(Table2[[#This Row],[ETF]],"52 week low",TRUE),"N/A")</f>
        <v>222.54</v>
      </c>
      <c r="O105" s="6" cm="1">
        <f t="array" aca="1" ref="O105" ca="1">_FV(Table2[[#This Row],[ETF]],"Change (%)",TRUE)</f>
        <v>-1.3951E-2</v>
      </c>
      <c r="P105" s="32" cm="1">
        <f t="array" aca="1" ref="P105" ca="1">_FV(Table2[[#This Row],[ETF]],"Volume")</f>
        <v>6091</v>
      </c>
      <c r="Q105" s="6" t="e" cm="1" vm="137">
        <f t="array" ref="Q105">_FV(Table2[[#This Row],[ETF]],"Expense ratio",TRUE)</f>
        <v>#VALUE!</v>
      </c>
    </row>
    <row r="106" spans="1:17" s="1" customFormat="1" ht="15">
      <c r="A106" s="4" t="str" cm="1">
        <f t="array" aca="1" ref="A106" ca="1">_FV(B106,"Name")</f>
        <v>WT Physical Precious Metals</v>
      </c>
      <c r="B106" s="4" t="e" vm="208">
        <v>#VALUE!</v>
      </c>
      <c r="C106" s="4" t="str" cm="1">
        <f t="array" aca="1" ref="C106" ca="1">_FV(B106,"Exchange")</f>
        <v>Borsa Italiana</v>
      </c>
      <c r="D106" s="16" t="str" cm="1">
        <f t="array" aca="1" ref="D106" ca="1">_FV(B106,"Currency")</f>
        <v>EUR</v>
      </c>
      <c r="E106" s="10">
        <f t="shared" ca="1" si="5"/>
        <v>46318</v>
      </c>
      <c r="F106" s="16" cm="1">
        <f t="array" aca="1" ref="F106" ca="1">_FV(B106,"Price")</f>
        <v>215.1</v>
      </c>
      <c r="G106" s="6">
        <f t="shared" ca="1" si="12"/>
        <v>-0.12833812862179364</v>
      </c>
      <c r="H106" s="6">
        <f t="shared" ca="1" si="13"/>
        <v>-1.7171764050680121E-3</v>
      </c>
      <c r="I106" s="6">
        <f t="shared" ca="1" si="14"/>
        <v>0.77328936521022262</v>
      </c>
      <c r="J106" s="17" cm="1">
        <f t="array" aca="1" ref="J106" ca="1">IFERROR(_FV(B106,"Market cap",TRUE),"N/A")</f>
        <v>381685481.38</v>
      </c>
      <c r="K106" s="37" t="s">
        <v>27</v>
      </c>
      <c r="L106" s="6" t="s">
        <v>77</v>
      </c>
      <c r="M106" s="38" cm="1">
        <f t="array" aca="1" ref="M106" ca="1">IFERROR(_FV(Table2[[#This Row],[ETF]],"52 week high",TRUE),"N/A")</f>
        <v>337.51</v>
      </c>
      <c r="N106" s="38" cm="1">
        <f t="array" aca="1" ref="N106" ca="1">IFERROR(_FV(Table2[[#This Row],[ETF]],"52 week low",TRUE),"N/A")</f>
        <v>199.61</v>
      </c>
      <c r="O106" s="6" cm="1">
        <f t="array" aca="1" ref="O106" ca="1">_FV(Table2[[#This Row],[ETF]],"Change (%)",TRUE)</f>
        <v>-1.2985999999999999E-2</v>
      </c>
      <c r="P106" s="32" cm="1">
        <f t="array" aca="1" ref="P106" ca="1">_FV(Table2[[#This Row],[ETF]],"Volume")</f>
        <v>753</v>
      </c>
      <c r="Q106" s="6" cm="1">
        <f t="array" aca="1" ref="Q106" ca="1">_FV(Table2[[#This Row],[ETF]],"Expense ratio",TRUE)</f>
        <v>4.4000000000000003E-3</v>
      </c>
    </row>
    <row r="107" spans="1:17" s="1" customFormat="1" ht="15">
      <c r="A107" s="4" t="str" cm="1">
        <f t="array" aca="1" ref="A107" ca="1">_FV(B107,"Name")</f>
        <v>WT Physical Silver</v>
      </c>
      <c r="B107" s="4" t="e" vm="209">
        <v>#VALUE!</v>
      </c>
      <c r="C107" s="4" t="str" cm="1">
        <f t="array" aca="1" ref="C107" ca="1">_FV(B107,"Exchange")</f>
        <v>Borsa Italiana</v>
      </c>
      <c r="D107" s="16" t="str" cm="1">
        <f t="array" aca="1" ref="D107" ca="1">_FV(B107,"Currency")</f>
        <v>EUR</v>
      </c>
      <c r="E107" s="10">
        <f t="shared" ca="1" si="5"/>
        <v>46318</v>
      </c>
      <c r="F107" s="16" cm="1">
        <f t="array" aca="1" ref="F107" ca="1">_FV(B107,"Price")</f>
        <v>43.96</v>
      </c>
      <c r="G107" s="6">
        <f t="shared" ca="1" si="12"/>
        <v>-0.21105527638190952</v>
      </c>
      <c r="H107" s="6">
        <f t="shared" ca="1" si="13"/>
        <v>0.13269775830971395</v>
      </c>
      <c r="I107" s="6">
        <f t="shared" ca="1" si="14"/>
        <v>1.1947079380928607</v>
      </c>
      <c r="J107" s="17" cm="1">
        <f t="array" aca="1" ref="J107" ca="1">IFERROR(_FV(B107,"Market cap",TRUE),"N/A")</f>
        <v>2772630363.23</v>
      </c>
      <c r="K107" s="37" t="s">
        <v>27</v>
      </c>
      <c r="L107" s="6" t="s">
        <v>78</v>
      </c>
      <c r="M107" s="38" cm="1">
        <f t="array" aca="1" ref="M107" ca="1">IFERROR(_FV(Table2[[#This Row],[ETF]],"52 week high",TRUE),"N/A")</f>
        <v>92.68</v>
      </c>
      <c r="N107" s="38" cm="1">
        <f t="array" aca="1" ref="N107" ca="1">IFERROR(_FV(Table2[[#This Row],[ETF]],"52 week low",TRUE),"N/A")</f>
        <v>35.700000000000003</v>
      </c>
      <c r="O107" s="6" cm="1">
        <f t="array" aca="1" ref="O107" ca="1">_FV(Table2[[#This Row],[ETF]],"Change (%)",TRUE)</f>
        <v>-1.8530999999999999E-2</v>
      </c>
      <c r="P107" s="32" cm="1">
        <f t="array" aca="1" ref="P107" ca="1">_FV(Table2[[#This Row],[ETF]],"Volume")</f>
        <v>40456</v>
      </c>
      <c r="Q107" s="6" cm="1">
        <f t="array" aca="1" ref="Q107" ca="1">_FV(Table2[[#This Row],[ETF]],"Expense ratio",TRUE)</f>
        <v>4.8999999999999998E-3</v>
      </c>
    </row>
    <row r="108" spans="1:17" s="1" customFormat="1" ht="15">
      <c r="A108" s="4" t="str" cm="1">
        <f t="array" aca="1" ref="A108" ca="1">_FV(B108,"Name")</f>
        <v>X PHYSICAL SILVER EURO HEDGED ETC</v>
      </c>
      <c r="B108" s="4" t="e" vm="210">
        <v>#VALUE!</v>
      </c>
      <c r="C108" s="4" t="str" cm="1">
        <f t="array" aca="1" ref="C108" ca="1">_FV(B108,"Exchange")</f>
        <v>Borsa Italiana</v>
      </c>
      <c r="D108" s="16" t="str" cm="1">
        <f t="array" aca="1" ref="D108" ca="1">_FV(B108,"Currency")</f>
        <v>EUR</v>
      </c>
      <c r="E108" s="10">
        <f t="shared" ca="1" si="5"/>
        <v>46318</v>
      </c>
      <c r="F108" s="16" cm="1">
        <f t="array" aca="1" ref="F108" ca="1">_FV(B108,"Price")</f>
        <v>275</v>
      </c>
      <c r="G108" s="6">
        <f t="shared" ca="1" si="12"/>
        <v>-0.27557229788467114</v>
      </c>
      <c r="H108" s="6">
        <f t="shared" ca="1" si="13"/>
        <v>5.2954014626488431E-2</v>
      </c>
      <c r="I108" s="6">
        <f t="shared" ca="1" si="14"/>
        <v>1.1092192053996013</v>
      </c>
      <c r="J108" s="17" t="str" cm="1">
        <f t="array" ref="J108">IFERROR(_FV(B108,"Market cap",TRUE),"N/A")</f>
        <v>N/A</v>
      </c>
      <c r="K108" s="37" t="s">
        <v>27</v>
      </c>
      <c r="L108" s="6" t="s">
        <v>78</v>
      </c>
      <c r="M108" s="38" cm="1">
        <f t="array" aca="1" ref="M108" ca="1">IFERROR(_FV(Table2[[#This Row],[ETF]],"52 week high",TRUE),"N/A")</f>
        <v>637.98</v>
      </c>
      <c r="N108" s="38" cm="1">
        <f t="array" aca="1" ref="N108" ca="1">IFERROR(_FV(Table2[[#This Row],[ETF]],"52 week low",TRUE),"N/A")</f>
        <v>241.27</v>
      </c>
      <c r="O108" s="6" cm="1">
        <f t="array" aca="1" ref="O108" ca="1">_FV(Table2[[#This Row],[ETF]],"Change (%)",TRUE)</f>
        <v>-1.9713000000000001E-2</v>
      </c>
      <c r="P108" s="32" cm="1">
        <f t="array" aca="1" ref="P108" ca="1">_FV(Table2[[#This Row],[ETF]],"Volume")</f>
        <v>860</v>
      </c>
      <c r="Q108" s="6" t="e" cm="1" vm="137">
        <f t="array" ref="Q108">_FV(Table2[[#This Row],[ETF]],"Expense ratio",TRUE)</f>
        <v>#VALUE!</v>
      </c>
    </row>
    <row r="109" spans="1:17" s="1" customFormat="1" ht="15">
      <c r="A109" s="4" t="str" cm="1">
        <f t="array" aca="1" ref="A109" ca="1">_FV(B109,"Name")</f>
        <v>WT Agriculture</v>
      </c>
      <c r="B109" s="4" t="e" vm="211">
        <v>#VALUE!</v>
      </c>
      <c r="C109" s="4" t="str" cm="1">
        <f t="array" aca="1" ref="C109" ca="1">_FV(B109,"Exchange")</f>
        <v>Borsa Italiana</v>
      </c>
      <c r="D109" s="16" t="str" cm="1">
        <f t="array" aca="1" ref="D109" ca="1">_FV(B109,"Currency")</f>
        <v>EUR</v>
      </c>
      <c r="E109" s="10">
        <f t="shared" ca="1" si="5"/>
        <v>46318</v>
      </c>
      <c r="F109" s="16" cm="1">
        <f t="array" aca="1" ref="F109" ca="1">_FV(B109,"Price")</f>
        <v>5.976</v>
      </c>
      <c r="G109" s="6">
        <f t="shared" ca="1" si="12"/>
        <v>0.20350417883395439</v>
      </c>
      <c r="H109" s="6">
        <f t="shared" ca="1" si="13"/>
        <v>0.15100154083204925</v>
      </c>
      <c r="I109" s="6">
        <f t="shared" ca="1" si="14"/>
        <v>-4.5367412140575047E-2</v>
      </c>
      <c r="J109" s="17" cm="1">
        <f t="array" aca="1" ref="J109" ca="1">IFERROR(_FV(B109,"Market cap",TRUE),"N/A")</f>
        <v>867707315.11000001</v>
      </c>
      <c r="K109" s="37" t="s">
        <v>27</v>
      </c>
      <c r="L109" s="6" t="s">
        <v>79</v>
      </c>
      <c r="M109" s="38" cm="1">
        <f t="array" aca="1" ref="M109" ca="1">IFERROR(_FV(Table2[[#This Row],[ETF]],"52 week high",TRUE),"N/A")</f>
        <v>6.34</v>
      </c>
      <c r="N109" s="38" cm="1">
        <f t="array" aca="1" ref="N109" ca="1">IFERROR(_FV(Table2[[#This Row],[ETF]],"52 week low",TRUE),"N/A")</f>
        <v>4.88</v>
      </c>
      <c r="O109" s="6" cm="1">
        <f t="array" aca="1" ref="O109" ca="1">_FV(Table2[[#This Row],[ETF]],"Change (%)",TRUE)</f>
        <v>-3.6680000000000003E-3</v>
      </c>
      <c r="P109" s="32" cm="1">
        <f t="array" aca="1" ref="P109" ca="1">_FV(Table2[[#This Row],[ETF]],"Volume")</f>
        <v>70178</v>
      </c>
      <c r="Q109" s="6" cm="1">
        <f t="array" aca="1" ref="Q109" ca="1">_FV(Table2[[#This Row],[ETF]],"Expense ratio",TRUE)</f>
        <v>9.8999999999999991E-3</v>
      </c>
    </row>
    <row r="110" spans="1:17" s="1" customFormat="1" ht="15">
      <c r="A110" s="4" t="str" cm="1">
        <f t="array" aca="1" ref="A110" ca="1">_FV(B110,"Name")</f>
        <v>WT Copper</v>
      </c>
      <c r="B110" s="4" t="e" vm="212">
        <v>#VALUE!</v>
      </c>
      <c r="C110" s="4" t="str" cm="1">
        <f t="array" aca="1" ref="C110" ca="1">_FV(B110,"Exchange")</f>
        <v>Borsa Italiana</v>
      </c>
      <c r="D110" s="16" t="str" cm="1">
        <f t="array" aca="1" ref="D110" ca="1">_FV(B110,"Currency")</f>
        <v>EUR</v>
      </c>
      <c r="E110" s="10">
        <f t="shared" ca="1" si="5"/>
        <v>46318</v>
      </c>
      <c r="F110" s="16" cm="1">
        <f t="array" aca="1" ref="F110" ca="1">_FV(B110,"Price")</f>
        <v>49.674999999999997</v>
      </c>
      <c r="G110" s="6">
        <f t="shared" ca="1" si="12"/>
        <v>0.17227138643067841</v>
      </c>
      <c r="H110" s="6">
        <f t="shared" ca="1" si="13"/>
        <v>0.28028350515463918</v>
      </c>
      <c r="I110" s="6">
        <f t="shared" ca="1" si="14"/>
        <v>0.65473017988007987</v>
      </c>
      <c r="J110" s="17" cm="1">
        <f t="array" aca="1" ref="J110" ca="1">IFERROR(_FV(B110,"Market cap",TRUE),"N/A")</f>
        <v>1981140132.96</v>
      </c>
      <c r="K110" s="37" t="s">
        <v>27</v>
      </c>
      <c r="L110" s="6" t="s">
        <v>80</v>
      </c>
      <c r="M110" s="38" cm="1">
        <f t="array" aca="1" ref="M110" ca="1">IFERROR(_FV(Table2[[#This Row],[ETF]],"52 week high",TRUE),"N/A")</f>
        <v>51.71</v>
      </c>
      <c r="N110" s="38" cm="1">
        <f t="array" aca="1" ref="N110" ca="1">IFERROR(_FV(Table2[[#This Row],[ETF]],"52 week low",TRUE),"N/A")</f>
        <v>37.35</v>
      </c>
      <c r="O110" s="6" cm="1">
        <f t="array" aca="1" ref="O110" ca="1">_FV(Table2[[#This Row],[ETF]],"Change (%)",TRUE)</f>
        <v>1.8035000000000002E-2</v>
      </c>
      <c r="P110" s="32" cm="1">
        <f t="array" aca="1" ref="P110" ca="1">_FV(Table2[[#This Row],[ETF]],"Volume")</f>
        <v>47776</v>
      </c>
      <c r="Q110" s="6" cm="1">
        <f t="array" aca="1" ref="Q110" ca="1">_FV(Table2[[#This Row],[ETF]],"Expense ratio",TRUE)</f>
        <v>9.8999999999999991E-3</v>
      </c>
    </row>
    <row r="111" spans="1:17" s="1" customFormat="1" ht="15">
      <c r="A111" s="4" t="str" cm="1">
        <f t="array" aca="1" ref="A111" ca="1">_FV(B111,"Name")</f>
        <v>WT Industrial Metals</v>
      </c>
      <c r="B111" s="4" t="e" vm="213">
        <v>#VALUE!</v>
      </c>
      <c r="C111" s="4" t="str" cm="1">
        <f t="array" aca="1" ref="C111" ca="1">_FV(B111,"Exchange")</f>
        <v>Borsa Italiana</v>
      </c>
      <c r="D111" s="16" t="str" cm="1">
        <f t="array" aca="1" ref="D111" ca="1">_FV(B111,"Currency")</f>
        <v>EUR</v>
      </c>
      <c r="E111" s="10">
        <f t="shared" ca="1" si="5"/>
        <v>46318</v>
      </c>
      <c r="F111" s="16" cm="1">
        <f t="array" aca="1" ref="F111" ca="1">_FV(B111,"Price")</f>
        <v>17.149999999999999</v>
      </c>
      <c r="G111" s="6">
        <f t="shared" ca="1" si="12"/>
        <v>0.12814103407446378</v>
      </c>
      <c r="H111" s="6">
        <f t="shared" ca="1" si="13"/>
        <v>0.19796032411288053</v>
      </c>
      <c r="I111" s="6">
        <f t="shared" ca="1" si="14"/>
        <v>0.33858882297845766</v>
      </c>
      <c r="J111" s="17" cm="1">
        <f t="array" aca="1" ref="J111" ca="1">IFERROR(_FV(B111,"Market cap",TRUE),"N/A")</f>
        <v>1462676962.1500001</v>
      </c>
      <c r="K111" s="37" t="s">
        <v>27</v>
      </c>
      <c r="L111" s="6" t="s">
        <v>81</v>
      </c>
      <c r="M111" s="38" cm="1">
        <f t="array" aca="1" ref="M111" ca="1">IFERROR(_FV(Table2[[#This Row],[ETF]],"52 week high",TRUE),"N/A")</f>
        <v>18.07</v>
      </c>
      <c r="N111" s="38" cm="1">
        <f t="array" aca="1" ref="N111" ca="1">IFERROR(_FV(Table2[[#This Row],[ETF]],"52 week low",TRUE),"N/A")</f>
        <v>13.88</v>
      </c>
      <c r="O111" s="6" cm="1">
        <f t="array" aca="1" ref="O111" ca="1">_FV(Table2[[#This Row],[ETF]],"Change (%)",TRUE)</f>
        <v>1.1918999999999999E-2</v>
      </c>
      <c r="P111" s="32" cm="1">
        <f t="array" aca="1" ref="P111" ca="1">_FV(Table2[[#This Row],[ETF]],"Volume")</f>
        <v>9554</v>
      </c>
      <c r="Q111" s="6" cm="1">
        <f t="array" aca="1" ref="Q111" ca="1">_FV(Table2[[#This Row],[ETF]],"Expense ratio",TRUE)</f>
        <v>9.8999999999999991E-3</v>
      </c>
    </row>
    <row r="112" spans="1:17" s="1" customFormat="1" ht="15">
      <c r="A112" s="4" t="str" cm="1">
        <f t="array" aca="1" ref="A112" ca="1">_FV(B112,"Name")</f>
        <v>WT Natural Gas</v>
      </c>
      <c r="B112" s="4" t="e" vm="214">
        <v>#VALUE!</v>
      </c>
      <c r="C112" s="4" t="str" cm="1">
        <f t="array" aca="1" ref="C112" ca="1">_FV(B112,"Exchange")</f>
        <v>Borsa Italiana</v>
      </c>
      <c r="D112" s="16" t="str" cm="1">
        <f t="array" aca="1" ref="D112" ca="1">_FV(B112,"Currency")</f>
        <v>EUR</v>
      </c>
      <c r="E112" s="10">
        <f t="shared" ca="1" si="5"/>
        <v>46318</v>
      </c>
      <c r="F112" s="16" cm="1">
        <f t="array" aca="1" ref="F112" ca="1">_FV(B112,"Price")</f>
        <v>3.899</v>
      </c>
      <c r="G112" s="6">
        <f t="shared" ca="1" si="12"/>
        <v>-0.21840232534830112</v>
      </c>
      <c r="H112" s="6">
        <f t="shared" ca="1" si="13"/>
        <v>-0.31560470423029663</v>
      </c>
      <c r="I112" s="6">
        <f t="shared" ca="1" si="14"/>
        <v>-0.72665451486259103</v>
      </c>
      <c r="J112" s="17" cm="1">
        <f t="array" aca="1" ref="J112" ca="1">IFERROR(_FV(B112,"Market cap",TRUE),"N/A")</f>
        <v>148321868.78</v>
      </c>
      <c r="K112" s="37" t="s">
        <v>27</v>
      </c>
      <c r="L112" s="6" t="s">
        <v>82</v>
      </c>
      <c r="M112" s="38" cm="1">
        <f t="array" aca="1" ref="M112" ca="1">IFERROR(_FV(Table2[[#This Row],[ETF]],"52 week high",TRUE),"N/A")</f>
        <v>7.22</v>
      </c>
      <c r="N112" s="38" cm="1">
        <f t="array" aca="1" ref="N112" ca="1">IFERROR(_FV(Table2[[#This Row],[ETF]],"52 week low",TRUE),"N/A")</f>
        <v>3.82</v>
      </c>
      <c r="O112" s="6" cm="1">
        <f t="array" aca="1" ref="O112" ca="1">_FV(Table2[[#This Row],[ETF]],"Change (%)",TRUE)</f>
        <v>-2.7559999999999998E-2</v>
      </c>
      <c r="P112" s="32" cm="1">
        <f t="array" aca="1" ref="P112" ca="1">_FV(Table2[[#This Row],[ETF]],"Volume")</f>
        <v>329402</v>
      </c>
      <c r="Q112" s="6" cm="1">
        <f t="array" aca="1" ref="Q112" ca="1">_FV(Table2[[#This Row],[ETF]],"Expense ratio",TRUE)</f>
        <v>9.8999999999999991E-3</v>
      </c>
    </row>
    <row r="113" spans="1:17" s="1" customFormat="1" ht="15">
      <c r="A113" s="4" t="str" cm="1">
        <f t="array" aca="1" ref="A113" ca="1">_FV(B113,"Name")</f>
        <v>WISDOMTREE BRENT CRUDE ETC</v>
      </c>
      <c r="B113" s="4" t="e" vm="215">
        <v>#VALUE!</v>
      </c>
      <c r="C113" s="4" t="str" cm="1">
        <f t="array" aca="1" ref="C113" ca="1">_FV(B113,"Exchange")</f>
        <v>Borsa Italiana</v>
      </c>
      <c r="D113" s="16" t="str" cm="1">
        <f t="array" aca="1" ref="D113" ca="1">_FV(B113,"Currency")</f>
        <v>EUR</v>
      </c>
      <c r="E113" s="10">
        <f t="shared" ca="1" si="5"/>
        <v>46318</v>
      </c>
      <c r="F113" s="16" cm="1">
        <f t="array" aca="1" ref="F113" ca="1">_FV(B113,"Price")</f>
        <v>102.08</v>
      </c>
      <c r="G113" s="6">
        <f t="shared" ca="1" si="12"/>
        <v>1.6030855539971947</v>
      </c>
      <c r="H113" s="6">
        <f t="shared" ca="1" si="13"/>
        <v>1.4038620040032965</v>
      </c>
      <c r="I113" s="6">
        <f t="shared" ca="1" si="14"/>
        <v>1.0130151843817787</v>
      </c>
      <c r="J113" s="17" t="str" cm="1">
        <f t="array" ref="J113">IFERROR(_FV(B113,"Market cap",TRUE),"N/A")</f>
        <v>N/A</v>
      </c>
      <c r="K113" s="37" t="s">
        <v>27</v>
      </c>
      <c r="L113" s="6" t="s">
        <v>83</v>
      </c>
      <c r="M113" s="38" cm="1">
        <f t="array" aca="1" ref="M113" ca="1">IFERROR(_FV(Table2[[#This Row],[ETF]],"52 week high",TRUE),"N/A")</f>
        <v>102.31</v>
      </c>
      <c r="N113" s="38" cm="1">
        <f t="array" aca="1" ref="N113" ca="1">IFERROR(_FV(Table2[[#This Row],[ETF]],"52 week low",TRUE),"N/A")</f>
        <v>38.11</v>
      </c>
      <c r="O113" s="6" cm="1">
        <f t="array" aca="1" ref="O113" ca="1">_FV(Table2[[#This Row],[ETF]],"Change (%)",TRUE)</f>
        <v>4.2057999999999998E-2</v>
      </c>
      <c r="P113" s="32" cm="1">
        <f t="array" aca="1" ref="P113" ca="1">_FV(Table2[[#This Row],[ETF]],"Volume")</f>
        <v>52376</v>
      </c>
      <c r="Q113" s="6" t="e" cm="1" vm="137">
        <f t="array" ref="Q113">_FV(Table2[[#This Row],[ETF]],"Expense ratio",TRUE)</f>
        <v>#VALUE!</v>
      </c>
    </row>
    <row r="114" spans="1:17" ht="15">
      <c r="A114" s="4" t="str" cm="1">
        <f t="array" aca="1" ref="A114" ca="1">_FV(B114,"Name")</f>
        <v>WISDOMTREE WTI CRUDE OIL ETC</v>
      </c>
      <c r="B114" s="4" t="e" vm="216">
        <v>#VALUE!</v>
      </c>
      <c r="C114" s="4" t="str" cm="1">
        <f t="array" aca="1" ref="C114" ca="1">_FV(B114,"Exchange")</f>
        <v>Borsa Italiana</v>
      </c>
      <c r="D114" s="16" t="str" cm="1">
        <f t="array" aca="1" ref="D114" ca="1">_FV(B114,"Currency")</f>
        <v>EUR</v>
      </c>
      <c r="E114" s="10">
        <f t="shared" ca="1" si="5"/>
        <v>46318</v>
      </c>
      <c r="F114" s="16" cm="1">
        <f t="array" aca="1" ref="F114" ca="1">_FV(B114,"Price")</f>
        <v>17.309999999999999</v>
      </c>
      <c r="G114" s="6">
        <f t="shared" ca="1" si="12"/>
        <v>1.3256751309955663</v>
      </c>
      <c r="H114" s="6">
        <f t="shared" ca="1" si="13"/>
        <v>1.1524496393931856</v>
      </c>
      <c r="I114" s="6">
        <f t="shared" ca="1" si="14"/>
        <v>0.75611240742619457</v>
      </c>
      <c r="J114" s="17" t="str" cm="1">
        <f t="array" ref="J114">IFERROR(_FV(B114,"Market cap",TRUE),"N/A")</f>
        <v>N/A</v>
      </c>
      <c r="K114" s="37" t="s">
        <v>27</v>
      </c>
      <c r="L114" s="6" t="s">
        <v>83</v>
      </c>
      <c r="M114" s="38" cm="1">
        <f t="array" aca="1" ref="M114" ca="1">IFERROR(_FV(Table2[[#This Row],[ETF]],"52 week high",TRUE),"N/A")</f>
        <v>17.329999999999998</v>
      </c>
      <c r="N114" s="38" cm="1">
        <f t="array" aca="1" ref="N114" ca="1">IFERROR(_FV(Table2[[#This Row],[ETF]],"52 week low",TRUE),"N/A")</f>
        <v>7.22</v>
      </c>
      <c r="O114" s="6" cm="1">
        <f t="array" aca="1" ref="O114" ca="1">_FV(Table2[[#This Row],[ETF]],"Change (%)",TRUE)</f>
        <v>3.6402999999999998E-2</v>
      </c>
      <c r="P114" s="32" cm="1">
        <f t="array" aca="1" ref="P114" ca="1">_FV(Table2[[#This Row],[ETF]],"Volume")</f>
        <v>851750</v>
      </c>
      <c r="Q114" s="6" t="e" cm="1" vm="137">
        <f t="array" ref="Q114">_FV(Table2[[#This Row],[ETF]],"Expense ratio",TRUE)</f>
        <v>#VALUE!</v>
      </c>
    </row>
    <row r="115" spans="1:17" ht="15">
      <c r="A115" s="4" t="str" cm="1">
        <f t="array" aca="1" ref="A115" ca="1">_FV(B115,"Name")</f>
        <v>SPDR S&amp;P UK DIVIDEND ARISTOCRATS ETF</v>
      </c>
      <c r="B115" s="4" t="e" vm="217">
        <v>#VALUE!</v>
      </c>
      <c r="C115" s="4" t="str" cm="1">
        <f t="array" aca="1" ref="C115" ca="1">_FV(B115,"Exchange")</f>
        <v>Xetra</v>
      </c>
      <c r="D115" s="16" t="str" cm="1">
        <f t="array" aca="1" ref="D115" ca="1">_FV(B115,"Currency")</f>
        <v>EUR</v>
      </c>
      <c r="E115" s="10">
        <f t="shared" ca="1" si="5"/>
        <v>46318</v>
      </c>
      <c r="F115" s="16" cm="1">
        <f t="array" aca="1" ref="F115" ca="1">_FV(B115,"Price")</f>
        <v>15.958</v>
      </c>
      <c r="G115" s="6">
        <f t="shared" ca="1" si="6"/>
        <v>0.14690240045996841</v>
      </c>
      <c r="H115" s="6">
        <f t="shared" ca="1" si="7"/>
        <v>0.17597641857037583</v>
      </c>
      <c r="I115" s="6">
        <f t="shared" ca="1" si="8"/>
        <v>0.55748584813585789</v>
      </c>
      <c r="J115" s="17" cm="1">
        <f t="array" aca="1" ref="J115" ca="1">IFERROR(_FV(B115,"Market cap",TRUE),"N/A")</f>
        <v>143171036.00999999</v>
      </c>
      <c r="K115" s="37" t="s">
        <v>25</v>
      </c>
      <c r="L115" s="6" t="s">
        <v>32</v>
      </c>
      <c r="M115" s="38" cm="1">
        <f t="array" aca="1" ref="M115" ca="1">IFERROR(_FV(Table2[[#This Row],[ETF]],"52 week high",TRUE),"N/A")</f>
        <v>16.346</v>
      </c>
      <c r="N115" s="38" cm="1">
        <f t="array" aca="1" ref="N115" ca="1">IFERROR(_FV(Table2[[#This Row],[ETF]],"52 week low",TRUE),"N/A")</f>
        <v>13.05</v>
      </c>
      <c r="O115" s="6" cm="1">
        <f t="array" aca="1" ref="O115" ca="1">_FV(Table2[[#This Row],[ETF]],"Change (%)",TRUE)</f>
        <v>-1.7519999999999999E-3</v>
      </c>
      <c r="P115" s="32" cm="1">
        <f t="array" aca="1" ref="P115" ca="1">_FV(Table2[[#This Row],[ETF]],"Volume")</f>
        <v>10200</v>
      </c>
      <c r="Q115" s="6" cm="1">
        <f t="array" aca="1" ref="Q115" ca="1">_FV(Table2[[#This Row],[ETF]],"Expense ratio",TRUE)</f>
        <v>3.0000000000000001E-3</v>
      </c>
    </row>
    <row r="116" spans="1:17" ht="15">
      <c r="A116" s="4" t="str" cm="1">
        <f t="array" aca="1" ref="A116" ca="1">_FV(B116,"Name")</f>
        <v>iShares iBonds Dec 30 EUR Corp UCITS ETF</v>
      </c>
      <c r="B116" s="4" t="e" vm="218">
        <v>#VALUE!</v>
      </c>
      <c r="C116" s="4" t="str" cm="1">
        <f t="array" aca="1" ref="C116" ca="1">_FV(B116,"Exchange")</f>
        <v>Borsa Italiana</v>
      </c>
      <c r="D116" s="16" t="str" cm="1">
        <f t="array" aca="1" ref="D116" ca="1">_FV(B116,"Currency")</f>
        <v>EUR</v>
      </c>
      <c r="E116" s="40">
        <f ca="1">WORKDAY(TODAY()+1,-1)</f>
        <v>46318</v>
      </c>
      <c r="F116" s="16" cm="1">
        <f t="array" aca="1" ref="F116" ca="1">_FV(B116,"Price")</f>
        <v>4.9954999999999998</v>
      </c>
      <c r="G116" s="6">
        <f ca="1">(F116-INDEX(_xlfn.STOCKHISTORY(B116,DATE(2025,12,31),E116),2,2))/(INDEX(_xlfn.STOCKHISTORY(B116,DATE(2025,12,31),E116),2,2))</f>
        <v>-2.943462210996705E-2</v>
      </c>
      <c r="H116" s="6">
        <f ca="1">(F116-INDEX(_xlfn.STOCKHISTORY(B116,EDATE(E116,-12),E116),2,2))/(INDEX(_xlfn.STOCKHISTORY(B116,EDATE(E116,-12),E116),2,2))</f>
        <v>-4.135482632891968E-2</v>
      </c>
      <c r="I116" s="6">
        <f ca="1">(F116-INDEX(_xlfn.STOCKHISTORY(B116,EDATE(E116,-36),E116),2,2))/(INDEX(_xlfn.STOCKHISTORY(B116,EDATE(E116,-36),E116),2,2))</f>
        <v>-1.6633858267716583E-2</v>
      </c>
      <c r="J116" s="17" cm="1">
        <f t="array" aca="1" ref="J116" ca="1">IFERROR(_FV(B116,"Market cap",TRUE),"N/A")</f>
        <v>687367558.58000004</v>
      </c>
      <c r="K116" s="37" t="s">
        <v>26</v>
      </c>
      <c r="L116" s="6" t="s">
        <v>84</v>
      </c>
      <c r="M116" s="41" cm="1">
        <f t="array" aca="1" ref="M116" ca="1">IFERROR(_FV(Table2[[#This Row],[ETF]],"52 week high",TRUE),"N/A")</f>
        <v>5.23</v>
      </c>
      <c r="N116" s="41" cm="1">
        <f t="array" aca="1" ref="N116" ca="1">IFERROR(_FV(Table2[[#This Row],[ETF]],"52 week low",TRUE),"N/A")</f>
        <v>4.96</v>
      </c>
      <c r="O116" s="6" cm="1">
        <f t="array" aca="1" ref="O116" ca="1">_FV(Table2[[#This Row],[ETF]],"Change (%)",TRUE)</f>
        <v>-2.0969999999999999E-3</v>
      </c>
      <c r="P116" s="32" cm="1">
        <f t="array" aca="1" ref="P116" ca="1">_FV(Table2[[#This Row],[ETF]],"Volume")</f>
        <v>21005</v>
      </c>
      <c r="Q116" s="6" cm="1">
        <f t="array" aca="1" ref="Q116" ca="1">_FV(Table2[[#This Row],[ETF]],"Expense ratio",TRUE)</f>
        <v>1.1999999999999999E-3</v>
      </c>
    </row>
    <row r="117" spans="1:17" ht="15">
      <c r="A117" s="4" t="str" cm="1">
        <f t="array" aca="1" ref="A117" ca="1">_FV(B117,"Name")</f>
        <v>VANGUARD TARGET MTRTY 2030 CRP B ETF</v>
      </c>
      <c r="B117" s="4" t="e" vm="219">
        <v>#VALUE!</v>
      </c>
      <c r="C117" s="4" t="str" cm="1">
        <f t="array" aca="1" ref="C117" ca="1">_FV(B117,"Exchange")</f>
        <v>Nasdaq Stock Market</v>
      </c>
      <c r="D117" s="16" t="str" cm="1">
        <f t="array" aca="1" ref="D117" ca="1">_FV(B117,"Currency")</f>
        <v>USD</v>
      </c>
      <c r="E117" s="40">
        <f ca="1">WORKDAY(TODAY()+1,-1)</f>
        <v>46318</v>
      </c>
      <c r="F117" s="18" cm="1">
        <f t="array" aca="1" ref="F117" ca="1">_FV(B117,"Price")</f>
        <v>73.8446</v>
      </c>
      <c r="G117" s="6">
        <f ca="1">(F117-INDEX(_xlfn.STOCKHISTORY(B117,DATE(2025,12,31),E117),2,2))/(INDEX(_xlfn.STOCKHISTORY(B117,DATE(2025,12,31),E117),2,2))</f>
        <v>-1.2376621639695015E-2</v>
      </c>
      <c r="H117" s="6">
        <f ca="1">(F117-INDEX(_xlfn.STOCKHISTORY(B117,EDATE(E117,-12),E117),2,2))/(INDEX(_xlfn.STOCKHISTORY(B117,EDATE(E117,-12),E117),2,2))</f>
        <v>-1.2376621639695015E-2</v>
      </c>
      <c r="I117" s="6">
        <f t="shared" ref="I117:I119" ca="1" si="15">(F117-INDEX(_xlfn.STOCKHISTORY(B117,EDATE(E117,-36),E117),2,2))/(INDEX(_xlfn.STOCKHISTORY(B117,EDATE(E117,-36),E117),2,2))</f>
        <v>-1.2376621639695015E-2</v>
      </c>
      <c r="J117" s="17" cm="1">
        <f t="array" aca="1" ref="J117" ca="1">IFERROR(_FV(B117,"Market cap",TRUE),"N/A")</f>
        <v>60081332</v>
      </c>
      <c r="K117" s="37" t="s">
        <v>26</v>
      </c>
      <c r="L117" s="6" t="s">
        <v>84</v>
      </c>
      <c r="M117" s="41" cm="1">
        <f t="array" aca="1" ref="M117" ca="1">IFERROR(_FV(Table2[[#This Row],[ETF]],"52 week high",TRUE),"N/A")</f>
        <v>76.084999999999994</v>
      </c>
      <c r="N117" s="41" cm="1">
        <f t="array" aca="1" ref="N117" ca="1">IFERROR(_FV(Table2[[#This Row],[ETF]],"52 week low",TRUE),"N/A")</f>
        <v>72.94</v>
      </c>
      <c r="O117" s="6" cm="1">
        <f t="array" aca="1" ref="O117" ca="1">_FV(Table2[[#This Row],[ETF]],"Change (%)",TRUE)</f>
        <v>-1.0249999999999999E-3</v>
      </c>
      <c r="P117" s="32" cm="1">
        <f t="array" aca="1" ref="P117" ca="1">_FV(Table2[[#This Row],[ETF]],"Volume")</f>
        <v>15028</v>
      </c>
      <c r="Q117" s="6" cm="1">
        <f t="array" aca="1" ref="Q117" ca="1">_FV(Table2[[#This Row],[ETF]],"Expense ratio",TRUE)</f>
        <v>8.0000000000000004E-4</v>
      </c>
    </row>
    <row r="118" spans="1:17" ht="15">
      <c r="A118" s="4" t="str" cm="1">
        <f t="array" aca="1" ref="A118" ca="1">_FV(B118,"Name")</f>
        <v>PIMCO EM ADV LOCAL BD SRCE UCITS ETF</v>
      </c>
      <c r="B118" s="4" t="e" vm="220">
        <v>#VALUE!</v>
      </c>
      <c r="C118" s="4" t="str" cm="1">
        <f t="array" aca="1" ref="C118" ca="1">_FV(B118,"Exchange")</f>
        <v>London Stock Exchange</v>
      </c>
      <c r="D118" s="16" t="str" cm="1">
        <f t="array" aca="1" ref="D118" ca="1">_FV(B118,"Currency")</f>
        <v>USD</v>
      </c>
      <c r="E118" s="40">
        <f ca="1">WORKDAY(TODAY()+1,-1)</f>
        <v>46318</v>
      </c>
      <c r="F118" s="18" cm="1">
        <f t="array" aca="1" ref="F118" ca="1">_FV(B118,"Price")</f>
        <v>130.36500000000001</v>
      </c>
      <c r="G118" s="6">
        <f ca="1">(F118-INDEX(_xlfn.STOCKHISTORY(B118,DATE(2025,12,31),E118),2,2))/(INDEX(_xlfn.STOCKHISTORY(B118,DATE(2025,12,31),E118),2,2))</f>
        <v>3.3986357868020393E-2</v>
      </c>
      <c r="H118" s="6">
        <f ca="1">(F118-INDEX(_xlfn.STOCKHISTORY(B118,EDATE(E118,-12),E118),2,2))/(INDEX(_xlfn.STOCKHISTORY(B118,EDATE(E118,-12),E118),2,2))</f>
        <v>5.4434423909087259E-2</v>
      </c>
      <c r="I118" s="6">
        <f t="shared" ca="1" si="15"/>
        <v>0.26353283256602872</v>
      </c>
      <c r="J118" s="17" cm="1">
        <f t="array" aca="1" ref="J118" ca="1">IFERROR(_FV(B118,"Market cap",TRUE),"N/A")</f>
        <v>234689948.68000001</v>
      </c>
      <c r="K118" s="37" t="s">
        <v>26</v>
      </c>
      <c r="L118" s="6" t="s">
        <v>44</v>
      </c>
      <c r="M118" s="41" cm="1">
        <f t="array" aca="1" ref="M118" ca="1">IFERROR(_FV(Table2[[#This Row],[ETF]],"52 week high",TRUE),"N/A")</f>
        <v>133.44</v>
      </c>
      <c r="N118" s="41" cm="1">
        <f t="array" aca="1" ref="N118" ca="1">IFERROR(_FV(Table2[[#This Row],[ETF]],"52 week low",TRUE),"N/A")</f>
        <v>122</v>
      </c>
      <c r="O118" s="6" cm="1">
        <f t="array" aca="1" ref="O118" ca="1">_FV(Table2[[#This Row],[ETF]],"Change (%)",TRUE)</f>
        <v>-2.9449999999999997E-3</v>
      </c>
      <c r="P118" s="32" cm="1">
        <f t="array" aca="1" ref="P118" ca="1">_FV(Table2[[#This Row],[ETF]],"Volume")</f>
        <v>760</v>
      </c>
      <c r="Q118" s="6" cm="1">
        <f t="array" aca="1" ref="Q118" ca="1">_FV(Table2[[#This Row],[ETF]],"Expense ratio",TRUE)</f>
        <v>3.9000000000000003E-3</v>
      </c>
    </row>
    <row r="119" spans="1:17" ht="15">
      <c r="A119" s="4" t="str" cm="1">
        <f t="array" aca="1" ref="A119" ca="1">_FV(B119,"Name")</f>
        <v>JPM EUR IG CORP ETF</v>
      </c>
      <c r="B119" s="4" t="e" vm="194">
        <v>#VALUE!</v>
      </c>
      <c r="C119" s="4" t="str" cm="1">
        <f t="array" aca="1" ref="C119" ca="1">_FV(B119,"Exchange")</f>
        <v>Borsa Italiana</v>
      </c>
      <c r="D119" s="16" t="str" cm="1">
        <f t="array" aca="1" ref="D119" ca="1">_FV(B119,"Currency")</f>
        <v>EUR</v>
      </c>
      <c r="E119" s="40">
        <f ca="1">WORKDAY(TODAY()+1,-1)</f>
        <v>46318</v>
      </c>
      <c r="F119" s="16" cm="1">
        <f t="array" aca="1" ref="F119" ca="1">_FV(B119,"Price")</f>
        <v>107.16</v>
      </c>
      <c r="G119" s="6">
        <f ca="1">(F119-INDEX(_xlfn.STOCKHISTORY(B119,DATE(2025,12,31),E119),2,2))/(INDEX(_xlfn.STOCKHISTORY(B119,DATE(2025,12,31),E119),2,2))</f>
        <v>-9.5202883815509853E-3</v>
      </c>
      <c r="H119" s="6">
        <f ca="1">(F119-INDEX(_xlfn.STOCKHISTORY(B119,EDATE(E119,-12),E119),2,2))/(INDEX(_xlfn.STOCKHISTORY(B119,EDATE(E119,-12),E119),2,2))</f>
        <v>-1.4258117928433421E-2</v>
      </c>
      <c r="I119" s="6">
        <f t="shared" ca="1" si="15"/>
        <v>0.13157338965153109</v>
      </c>
      <c r="J119" s="17" cm="1">
        <f t="array" aca="1" ref="J119" ca="1">IFERROR(_FV(B119,"Market cap",TRUE),"N/A")</f>
        <v>744238433.32000005</v>
      </c>
      <c r="K119" s="37" t="s">
        <v>26</v>
      </c>
      <c r="L119" s="6" t="s">
        <v>43</v>
      </c>
      <c r="M119" s="41" cm="1">
        <f t="array" aca="1" ref="M119" ca="1">IFERROR(_FV(Table2[[#This Row],[ETF]],"52 week high",TRUE),"N/A")</f>
        <v>109.83</v>
      </c>
      <c r="N119" s="41" cm="1">
        <f t="array" aca="1" ref="N119" ca="1">IFERROR(_FV(Table2[[#This Row],[ETF]],"52 week low",TRUE),"N/A")</f>
        <v>106.39</v>
      </c>
      <c r="O119" s="6" cm="1">
        <f t="array" aca="1" ref="O119" ca="1">_FV(Table2[[#This Row],[ETF]],"Change (%)",TRUE)</f>
        <v>-3.1630000000000004E-3</v>
      </c>
      <c r="P119" s="32" cm="1">
        <f t="array" aca="1" ref="P119" ca="1">_FV(Table2[[#This Row],[ETF]],"Volume")</f>
        <v>4547</v>
      </c>
      <c r="Q119" s="6" cm="1">
        <f t="array" aca="1" ref="Q119" ca="1">_FV(Table2[[#This Row],[ETF]],"Expense ratio",TRUE)</f>
        <v>4.0000000000000002E-4</v>
      </c>
    </row>
    <row r="120" spans="1:17" ht="15">
      <c r="A120" s="4" t="str" cm="1">
        <f t="array" aca="1" ref="A120" ca="1">_FV(B120,"Name")</f>
        <v>iShs Fr Gvt Bd UCITS ETF EUR D</v>
      </c>
      <c r="B120" s="4" t="e" vm="221">
        <v>#VALUE!</v>
      </c>
      <c r="C120" s="4" t="str" cm="1">
        <f t="array" aca="1" ref="C120" ca="1">_FV(B120,"Exchange")</f>
        <v>Euronext Amsterdam</v>
      </c>
      <c r="D120" s="16" t="str" cm="1">
        <f t="array" aca="1" ref="D120" ca="1">_FV(B120,"Currency")</f>
        <v>EUR</v>
      </c>
      <c r="E120" s="40">
        <f ca="1">WORKDAY(TODAY()+1,-1)</f>
        <v>46318</v>
      </c>
      <c r="F120" s="16" cm="1">
        <f t="array" aca="1" ref="F120" ca="1">_FV(B120,"Price")</f>
        <v>115.99</v>
      </c>
      <c r="G120" s="6">
        <f ca="1">(F120-INDEX(_xlfn.STOCKHISTORY(B120,DATE(2025,12,31),E120),2,2))/(INDEX(_xlfn.STOCKHISTORY(B120,DATE(2025,12,31),E120),2,2))</f>
        <v>-6.8727418707346472E-2</v>
      </c>
      <c r="H120" s="6">
        <f ca="1">(F120-INDEX(_xlfn.STOCKHISTORY(B120,EDATE(E120,-12),E120),2,2))/(INDEX(_xlfn.STOCKHISTORY(B120,EDATE(E120,-12),E120),2,2))</f>
        <v>-8.9846202134337749E-2</v>
      </c>
      <c r="I120" s="6">
        <f t="shared" ref="I120" ca="1" si="16">(F120-INDEX(_xlfn.STOCKHISTORY(B120,EDATE(E120,-36),E120),2,2))/(INDEX(_xlfn.STOCKHISTORY(B120,EDATE(E120,-36),E120),2,2))</f>
        <v>-6.9474528680304931E-2</v>
      </c>
      <c r="J120" s="17" cm="1">
        <f t="array" aca="1" ref="J120" ca="1">IFERROR(_FV(B120,"Market cap",TRUE),"N/A")</f>
        <v>55702227.719999999</v>
      </c>
      <c r="K120" s="37" t="s">
        <v>26</v>
      </c>
      <c r="L120" s="6" t="s">
        <v>36</v>
      </c>
      <c r="M120" s="41" cm="1">
        <f t="array" aca="1" ref="M120" ca="1">IFERROR(_FV(Table2[[#This Row],[ETF]],"52 week high",TRUE),"N/A")</f>
        <v>127.94</v>
      </c>
      <c r="N120" s="41" cm="1">
        <f t="array" aca="1" ref="N120" ca="1">IFERROR(_FV(Table2[[#This Row],[ETF]],"52 week low",TRUE),"N/A")</f>
        <v>115.35</v>
      </c>
      <c r="O120" s="6" cm="1">
        <f t="array" aca="1" ref="O120" ca="1">_FV(Table2[[#This Row],[ETF]],"Change (%)",TRUE)</f>
        <v>2.4199999999999998E-3</v>
      </c>
      <c r="P120" s="32" cm="1">
        <f t="array" aca="1" ref="P120" ca="1">_FV(Table2[[#This Row],[ETF]],"Volume")</f>
        <v>825</v>
      </c>
      <c r="Q120" s="6" cm="1">
        <f t="array" aca="1" ref="Q120" ca="1">_FV(Table2[[#This Row],[ETF]],"Expense ratio",TRUE)</f>
        <v>2E-3</v>
      </c>
    </row>
  </sheetData>
  <conditionalFormatting sqref="G2:I120">
    <cfRule type="cellIs" dxfId="7" priority="3" operator="lessThan">
      <formula>0</formula>
    </cfRule>
    <cfRule type="cellIs" dxfId="6" priority="4" operator="greaterThan">
      <formula>0</formula>
    </cfRule>
  </conditionalFormatting>
  <conditionalFormatting sqref="O2:O120">
    <cfRule type="cellIs" dxfId="5" priority="1" operator="greaterThan">
      <formula>0</formula>
    </cfRule>
    <cfRule type="cellIs" dxfId="4" priority="2" operator="lessThan">
      <formula>0</formula>
    </cfRule>
  </conditionalFormatting>
  <dataValidations count="1">
    <dataValidation type="list" allowBlank="1" showInputMessage="1" showErrorMessage="1" sqref="K2:K120" xr:uid="{7AAD8045-7BE7-8444-943C-B821FF30EF68}">
      <formula1>"Equity, Bond, ETC"</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ED548-7D5A-E448-9956-081EAC701317}">
  <dimension ref="A1:Q71"/>
  <sheetViews>
    <sheetView zoomScale="75" zoomScaleNormal="75" workbookViewId="0">
      <pane ySplit="1" topLeftCell="A45" activePane="bottomLeft" state="frozen"/>
      <selection pane="bottomLeft" activeCell="B5" sqref="B5"/>
    </sheetView>
  </sheetViews>
  <sheetFormatPr baseColWidth="10" defaultColWidth="8.83203125" defaultRowHeight="14"/>
  <cols>
    <col min="2" max="2" width="64.1640625" bestFit="1" customWidth="1"/>
    <col min="3" max="3" width="40.83203125" bestFit="1" customWidth="1"/>
    <col min="5" max="5" width="21.83203125" bestFit="1" customWidth="1"/>
    <col min="6" max="6" width="16.1640625" bestFit="1" customWidth="1"/>
    <col min="7" max="7" width="12.1640625" customWidth="1"/>
    <col min="8" max="8" width="12.5" style="1" customWidth="1"/>
    <col min="9" max="9" width="18.5" customWidth="1"/>
    <col min="10" max="10" width="16.5" bestFit="1" customWidth="1"/>
    <col min="11" max="12" width="13.33203125" style="2" customWidth="1"/>
    <col min="13" max="13" width="13.33203125" style="3" customWidth="1"/>
    <col min="14" max="14" width="11.83203125" customWidth="1"/>
    <col min="16" max="16" width="18.33203125" bestFit="1" customWidth="1"/>
    <col min="17" max="17" width="19.5" bestFit="1" customWidth="1"/>
    <col min="18" max="18" width="16" bestFit="1" customWidth="1"/>
    <col min="19" max="19" width="20.1640625" bestFit="1" customWidth="1"/>
    <col min="20" max="20" width="18.33203125" bestFit="1" customWidth="1"/>
    <col min="21" max="21" width="21" bestFit="1" customWidth="1"/>
  </cols>
  <sheetData>
    <row r="1" spans="1:17" ht="33" customHeight="1">
      <c r="A1" s="12" t="s">
        <v>9</v>
      </c>
      <c r="B1" s="12" t="s">
        <v>1</v>
      </c>
      <c r="C1" s="12" t="s">
        <v>0</v>
      </c>
      <c r="D1" s="12" t="s">
        <v>10</v>
      </c>
      <c r="E1" s="12" t="s">
        <v>2</v>
      </c>
      <c r="F1" s="12" t="s">
        <v>3</v>
      </c>
      <c r="G1" s="13" t="s">
        <v>8</v>
      </c>
      <c r="H1" s="13" t="s">
        <v>7</v>
      </c>
      <c r="I1" s="12" t="s">
        <v>16</v>
      </c>
      <c r="J1" s="14" t="s">
        <v>4</v>
      </c>
      <c r="K1" s="14" t="s">
        <v>5</v>
      </c>
      <c r="L1" s="14" t="s">
        <v>11</v>
      </c>
      <c r="M1" s="12" t="s">
        <v>6</v>
      </c>
      <c r="N1" s="12" t="s">
        <v>14</v>
      </c>
      <c r="O1" s="12" t="s">
        <v>15</v>
      </c>
      <c r="P1" s="12" t="s">
        <v>17</v>
      </c>
      <c r="Q1" s="12" t="s">
        <v>18</v>
      </c>
    </row>
    <row r="2" spans="1:17" ht="15">
      <c r="A2" s="9">
        <f ca="1">IF(ISNUMBER(StockReportTable4[[#This Row],[P/E]]),IF(StockReportTable4[[#This Row],[P/E]]&lt;35,1,2),3)</f>
        <v>1</v>
      </c>
      <c r="B2" s="4" t="e" vm="1">
        <v>#VALUE!</v>
      </c>
      <c r="C2" s="4" t="str" cm="1">
        <f t="array" aca="1" ref="C2" ca="1">_FV(StockReportTable4[[#This Row],[Ticker]],"Official name",TRUE)</f>
        <v>ALPHABET INC.</v>
      </c>
      <c r="D2" s="4" t="str" cm="1">
        <f t="array" aca="1" ref="D2" ca="1">_FV(StockReportTable4[[#This Row],[Ticker]],"Industry")</f>
        <v>Software &amp; IT Services</v>
      </c>
      <c r="E2" s="4" t="str" cm="1">
        <f t="array" aca="1" ref="E2" ca="1">_FV(StockReportTable4[[#This Row],[Ticker]],"Exchange")</f>
        <v>Nasdaq Stock Market</v>
      </c>
      <c r="F2" s="4" t="str" cm="1">
        <f t="array" aca="1" ref="F2" ca="1">_FV(StockReportTable4[[#This Row],[Ticker]],"Currency")</f>
        <v>USD</v>
      </c>
      <c r="G2" s="5">
        <f ca="1">WORKDAY(TODAY()+1,-1)</f>
        <v>46318</v>
      </c>
      <c r="H2" s="33" cm="1">
        <f t="array" aca="1" ref="H2" ca="1">_FV(StockReportTable4[[#This Row],[Ticker]],"Price")</f>
        <v>320.20999999999998</v>
      </c>
      <c r="I2" s="21" cm="1">
        <f t="array" aca="1" ref="I2" ca="1">_FV(StockReportTable4[[#This Row],[Ticker]],"Change (%)",TRUE)</f>
        <v>-1.2367999999999999E-2</v>
      </c>
      <c r="J2" s="6">
        <f ca="1">(StockReportTable4[[#This Row],[Price @ Date]]-INDEX(_xlfn.STOCKHISTORY(B2,DATE(2025,12,31),G2),2,2))/(INDEX(_xlfn.STOCKHISTORY(B2,DATE(2025,12,31),G2),2,2))</f>
        <v>2.3035143769967986E-2</v>
      </c>
      <c r="K2" s="6">
        <f ca="1">(StockReportTable4[[#This Row],[Price @ Date]]-INDEX(_xlfn.STOCKHISTORY(B2,DATE(2025,12,31),G2),2,2))/(INDEX(_xlfn.STOCKHISTORY(B2,EDATE(StockReportTable4[[#This Row],[Date]],-12),G2),2,2))</f>
        <v>2.8489015331120512E-2</v>
      </c>
      <c r="L2" s="7">
        <f ca="1">(StockReportTable4[[#This Row],[Price @ Date]]-INDEX(_xlfn.STOCKHISTORY(B2,DATE(2025,12,31),G2),2,2))/(INDEX(_xlfn.STOCKHISTORY(B2,EDATE(StockReportTable4[[#This Row],[Date]],-36),G2),2,2))</f>
        <v>5.2820512820512672E-2</v>
      </c>
      <c r="M2" s="8" cm="1">
        <f t="array" aca="1" ref="M2" ca="1">IFERROR(_FV(StockReportTable4[[#This Row],[Ticker]],"P/E",TRUE),"N/A")</f>
        <v>16.267900000000001</v>
      </c>
      <c r="N2" s="18" cm="1">
        <f t="array" aca="1" ref="N2" ca="1">IFERROR(_FV(StockReportTable4[[#This Row],[Ticker]],"52 week high",TRUE),"N/A")</f>
        <v>408.61</v>
      </c>
      <c r="O2" s="18" cm="1">
        <f t="array" aca="1" ref="O2" ca="1">IFERROR(_FV(StockReportTable4[[#This Row],[Ticker]],"52 week low",TRUE),"N/A")</f>
        <v>251.85</v>
      </c>
      <c r="P2" s="22" t="e" cm="1" vm="2">
        <f t="array" ref="P2">_FV(StockReportTable4[[#This Row],[Ticker]],"Market cap",TRUE)</f>
        <v>#VALUE!</v>
      </c>
      <c r="Q2" s="27" cm="1">
        <f t="array" aca="1" ref="Q2" ca="1">_FV(StockReportTable4[[#This Row],[Ticker]],"Volume average",TRUE)</f>
        <v>25810895</v>
      </c>
    </row>
    <row r="3" spans="1:17" ht="15">
      <c r="A3" s="9">
        <f ca="1">IF(ISNUMBER(StockReportTable4[[#This Row],[P/E]]),IF(StockReportTable4[[#This Row],[P/E]]&lt;35,1,2),3)</f>
        <v>1</v>
      </c>
      <c r="B3" s="4" t="e" vm="3">
        <v>#VALUE!</v>
      </c>
      <c r="C3" s="4" t="str" cm="1">
        <f t="array" aca="1" ref="C3" ca="1">_FV(StockReportTable4[[#This Row],[Ticker]],"Official name",TRUE)</f>
        <v>AMAZON.COM, INC.</v>
      </c>
      <c r="D3" s="4" t="str" cm="1">
        <f t="array" aca="1" ref="D3" ca="1">_FV(StockReportTable4[[#This Row],[Ticker]],"Industry")</f>
        <v>Diversified Retail</v>
      </c>
      <c r="E3" s="4" t="str" cm="1">
        <f t="array" aca="1" ref="E3" ca="1">_FV(StockReportTable4[[#This Row],[Ticker]],"Exchange")</f>
        <v>Nasdaq Stock Market</v>
      </c>
      <c r="F3" s="4" t="str" cm="1">
        <f t="array" aca="1" ref="F3" ca="1">_FV(StockReportTable4[[#This Row],[Ticker]],"Currency")</f>
        <v>USD</v>
      </c>
      <c r="G3" s="5">
        <f t="shared" ref="G3:G66" ca="1" si="0">WORKDAY(TODAY()+1,-1)</f>
        <v>46318</v>
      </c>
      <c r="H3" s="33" cm="1">
        <f t="array" aca="1" ref="H3" ca="1">_FV(StockReportTable4[[#This Row],[Ticker]],"Price")</f>
        <v>248</v>
      </c>
      <c r="I3" s="21" cm="1">
        <f t="array" aca="1" ref="I3" ca="1">_FV(StockReportTable4[[#This Row],[Ticker]],"Change (%)",TRUE)</f>
        <v>-9.5060000000000006E-3</v>
      </c>
      <c r="J3" s="6">
        <f ca="1">(StockReportTable4[[#This Row],[Price @ Date]]-INDEX(_xlfn.STOCKHISTORY(B3,DATE(2025,12,31),G3),2,2))/(INDEX(_xlfn.STOCKHISTORY(B3,DATE(2025,12,31),G3),2,2))</f>
        <v>7.4430292002426165E-2</v>
      </c>
      <c r="K3" s="6">
        <f ca="1">(StockReportTable4[[#This Row],[Price @ Date]]-INDEX(_xlfn.STOCKHISTORY(B3,DATE(2025,12,31),G3),2,2))/(INDEX(_xlfn.STOCKHISTORY(B3,EDATE(StockReportTable4[[#This Row],[Date]],-12),G3),2,2))</f>
        <v>7.7705911619702417E-2</v>
      </c>
      <c r="L3" s="7">
        <f ca="1">(StockReportTable4[[#This Row],[Price @ Date]]-INDEX(_xlfn.STOCKHISTORY(B3,DATE(2025,12,31),G3),2,2))/(INDEX(_xlfn.STOCKHISTORY(B3,EDATE(StockReportTable4[[#This Row],[Date]],-36),G3),2,2))</f>
        <v>0.13574589127686479</v>
      </c>
      <c r="M3" s="8" cm="1">
        <f t="array" aca="1" ref="M3" ca="1">IFERROR(_FV(StockReportTable4[[#This Row],[Ticker]],"P/E",TRUE),"N/A")</f>
        <v>20.1389</v>
      </c>
      <c r="N3" s="18" cm="1">
        <f t="array" aca="1" ref="N3" ca="1">IFERROR(_FV(StockReportTable4[[#This Row],[Ticker]],"52 week high",TRUE),"N/A")</f>
        <v>287.2</v>
      </c>
      <c r="O3" s="18" cm="1">
        <f t="array" aca="1" ref="O3" ca="1">IFERROR(_FV(StockReportTable4[[#This Row],[Ticker]],"52 week low",TRUE),"N/A")</f>
        <v>196</v>
      </c>
      <c r="P3" s="22" cm="1">
        <f t="array" aca="1" ref="P3" ca="1">_FV(StockReportTable4[[#This Row],[Ticker]],"Market cap",TRUE)</f>
        <v>2675004880000</v>
      </c>
      <c r="Q3" s="27" cm="1">
        <f t="array" aca="1" ref="Q3" ca="1">_FV(StockReportTable4[[#This Row],[Ticker]],"Volume average",TRUE)</f>
        <v>37581700</v>
      </c>
    </row>
    <row r="4" spans="1:17" ht="16" customHeight="1">
      <c r="A4" s="9">
        <f ca="1">IF(ISNUMBER(StockReportTable4[[#This Row],[P/E]]),IF(StockReportTable4[[#This Row],[P/E]]&lt;35,1,2),3)</f>
        <v>2</v>
      </c>
      <c r="B4" s="4" t="e" vm="4">
        <v>#VALUE!</v>
      </c>
      <c r="C4" s="4" t="str" cm="1">
        <f t="array" aca="1" ref="C4" ca="1">_FV(StockReportTable4[[#This Row],[Ticker]],"Official name",TRUE)</f>
        <v>APPLE INC.</v>
      </c>
      <c r="D4" s="4" t="str" cm="1">
        <f t="array" aca="1" ref="D4" ca="1">_FV(StockReportTable4[[#This Row],[Ticker]],"Industry")</f>
        <v>Computers, Phones &amp; Household Electronics</v>
      </c>
      <c r="E4" s="4" t="str" cm="1">
        <f t="array" aca="1" ref="E4" ca="1">_FV(StockReportTable4[[#This Row],[Ticker]],"Exchange")</f>
        <v>Nasdaq Stock Market</v>
      </c>
      <c r="F4" s="4" t="str" cm="1">
        <f t="array" aca="1" ref="F4" ca="1">_FV(StockReportTable4[[#This Row],[Ticker]],"Currency")</f>
        <v>USD</v>
      </c>
      <c r="G4" s="5">
        <f t="shared" ca="1" si="0"/>
        <v>46318</v>
      </c>
      <c r="H4" s="33" cm="1">
        <f t="array" aca="1" ref="H4" ca="1">_FV(StockReportTable4[[#This Row],[Ticker]],"Price")</f>
        <v>347.72500000000002</v>
      </c>
      <c r="I4" s="21" cm="1">
        <f t="array" aca="1" ref="I4" ca="1">_FV(StockReportTable4[[#This Row],[Ticker]],"Change (%)",TRUE)</f>
        <v>-1.4219999999999999E-3</v>
      </c>
      <c r="J4" s="6">
        <f ca="1">(StockReportTable4[[#This Row],[Price @ Date]]-INDEX(_xlfn.STOCKHISTORY(B4,DATE(2025,12,31),G4),2,2))/(INDEX(_xlfn.STOCKHISTORY(B4,DATE(2025,12,31),G4),2,2))</f>
        <v>0.27905907452365192</v>
      </c>
      <c r="K4" s="6">
        <f ca="1">(StockReportTable4[[#This Row],[Price @ Date]]-INDEX(_xlfn.STOCKHISTORY(B4,DATE(2025,12,31),G4),2,2))/(INDEX(_xlfn.STOCKHISTORY(B4,EDATE(StockReportTable4[[#This Row],[Date]],-12),G4),2,2))</f>
        <v>0.29226057477463602</v>
      </c>
      <c r="L4" s="7">
        <f ca="1">(StockReportTable4[[#This Row],[Price @ Date]]-INDEX(_xlfn.STOCKHISTORY(B4,DATE(2025,12,31),G4),2,2))/(INDEX(_xlfn.STOCKHISTORY(B4,EDATE(StockReportTable4[[#This Row],[Date]],-36),G4),2,2))</f>
        <v>0.43852601156069371</v>
      </c>
      <c r="M4" s="8" cm="1">
        <f t="array" aca="1" ref="M4" ca="1">IFERROR(_FV(StockReportTable4[[#This Row],[Ticker]],"P/E",TRUE),"N/A")</f>
        <v>40.0687</v>
      </c>
      <c r="N4" s="18" cm="1">
        <f t="array" aca="1" ref="N4" ca="1">IFERROR(_FV(StockReportTable4[[#This Row],[Ticker]],"52 week high",TRUE),"N/A")</f>
        <v>351.73</v>
      </c>
      <c r="O4" s="18" cm="1">
        <f t="array" aca="1" ref="O4" ca="1">IFERROR(_FV(StockReportTable4[[#This Row],[Ticker]],"52 week low",TRUE),"N/A")</f>
        <v>243.42</v>
      </c>
      <c r="P4" s="22" t="e" cm="1" vm="2">
        <f t="array" ref="P4">_FV(StockReportTable4[[#This Row],[Ticker]],"Market cap",TRUE)</f>
        <v>#VALUE!</v>
      </c>
      <c r="Q4" s="27" cm="1">
        <f t="array" aca="1" ref="Q4" ca="1">_FV(StockReportTable4[[#This Row],[Ticker]],"Volume average",TRUE)</f>
        <v>39174961</v>
      </c>
    </row>
    <row r="5" spans="1:17" ht="15">
      <c r="A5" s="9">
        <f ca="1">IF(ISNUMBER(StockReportTable4[[#This Row],[P/E]]),IF(StockReportTable4[[#This Row],[P/E]]&lt;35,1,2),3)</f>
        <v>1</v>
      </c>
      <c r="B5" s="4" t="e" vm="5">
        <v>#VALUE!</v>
      </c>
      <c r="C5" s="4" t="str" cm="1">
        <f t="array" aca="1" ref="C5" ca="1">_FV(StockReportTable4[[#This Row],[Ticker]],"Official name",TRUE)</f>
        <v>META PLATFORMS, INC.</v>
      </c>
      <c r="D5" s="4" t="str" cm="1">
        <f t="array" aca="1" ref="D5" ca="1">_FV(StockReportTable4[[#This Row],[Ticker]],"Industry")</f>
        <v>Software &amp; IT Services</v>
      </c>
      <c r="E5" s="4" t="str" cm="1">
        <f t="array" aca="1" ref="E5" ca="1">_FV(StockReportTable4[[#This Row],[Ticker]],"Exchange")</f>
        <v>Nasdaq Stock Market</v>
      </c>
      <c r="F5" s="4" t="str" cm="1">
        <f t="array" aca="1" ref="F5" ca="1">_FV(StockReportTable4[[#This Row],[Ticker]],"Currency")</f>
        <v>USD</v>
      </c>
      <c r="G5" s="5">
        <f t="shared" ca="1" si="0"/>
        <v>46318</v>
      </c>
      <c r="H5" s="33" cm="1">
        <f t="array" aca="1" ref="H5" ca="1">_FV(StockReportTable4[[#This Row],[Ticker]],"Price")</f>
        <v>642.62</v>
      </c>
      <c r="I5" s="21" cm="1">
        <f t="array" aca="1" ref="I5" ca="1">_FV(StockReportTable4[[#This Row],[Ticker]],"Change (%)",TRUE)</f>
        <v>-9.6020000000000012E-3</v>
      </c>
      <c r="J5" s="6">
        <f ca="1">(StockReportTable4[[#This Row],[Price @ Date]]-INDEX(_xlfn.STOCKHISTORY(B5,DATE(2025,12,31),G5),2,2))/(INDEX(_xlfn.STOCKHISTORY(B5,DATE(2025,12,31),G5),2,2))</f>
        <v>-2.6466087957702777E-2</v>
      </c>
      <c r="K5" s="6">
        <f ca="1">(StockReportTable4[[#This Row],[Price @ Date]]-INDEX(_xlfn.STOCKHISTORY(B5,DATE(2025,12,31),G5),2,2))/(INDEX(_xlfn.STOCKHISTORY(B5,EDATE(StockReportTable4[[#This Row],[Date]],-12),G5),2,2))</f>
        <v>-2.3801089918256167E-2</v>
      </c>
      <c r="L5" s="7">
        <f ca="1">(StockReportTable4[[#This Row],[Price @ Date]]-INDEX(_xlfn.STOCKHISTORY(B5,DATE(2025,12,31),G5),2,2))/(INDEX(_xlfn.STOCKHISTORY(B5,EDATE(StockReportTable4[[#This Row],[Date]],-36),G5),2,2))</f>
        <v>-5.5635170854431475E-2</v>
      </c>
      <c r="M5" s="8" cm="1">
        <f t="array" aca="1" ref="M5" ca="1">IFERROR(_FV(StockReportTable4[[#This Row],[Ticker]],"P/E",TRUE),"N/A")</f>
        <v>25.4816</v>
      </c>
      <c r="N5" s="18" cm="1">
        <f t="array" aca="1" ref="N5" ca="1">IFERROR(_FV(StockReportTable4[[#This Row],[Ticker]],"52 week high",TRUE),"N/A")</f>
        <v>779.81920000000002</v>
      </c>
      <c r="O5" s="18" cm="1">
        <f t="array" aca="1" ref="O5" ca="1">IFERROR(_FV(StockReportTable4[[#This Row],[Ticker]],"52 week low",TRUE),"N/A")</f>
        <v>520.26</v>
      </c>
      <c r="P5" s="22" t="e" cm="1" vm="2">
        <f t="array" ref="P5">_FV(StockReportTable4[[#This Row],[Ticker]],"Market cap",TRUE)</f>
        <v>#VALUE!</v>
      </c>
      <c r="Q5" s="27" cm="1">
        <f t="array" aca="1" ref="Q5" ca="1">_FV(StockReportTable4[[#This Row],[Ticker]],"Volume average",TRUE)</f>
        <v>22648770</v>
      </c>
    </row>
    <row r="6" spans="1:17" ht="15">
      <c r="A6" s="9">
        <f ca="1">IF(ISNUMBER(StockReportTable4[[#This Row],[P/E]]),IF(StockReportTable4[[#This Row],[P/E]]&lt;35,1,2),3)</f>
        <v>1</v>
      </c>
      <c r="B6" s="4" t="e" vm="6">
        <v>#VALUE!</v>
      </c>
      <c r="C6" s="4" t="str" cm="1">
        <f t="array" aca="1" ref="C6" ca="1">_FV(StockReportTable4[[#This Row],[Ticker]],"Official name",TRUE)</f>
        <v>MICROSOFT CORPORATION</v>
      </c>
      <c r="D6" s="4" t="str" cm="1">
        <f t="array" aca="1" ref="D6" ca="1">_FV(StockReportTable4[[#This Row],[Ticker]],"Industry")</f>
        <v>Software &amp; IT Services</v>
      </c>
      <c r="E6" s="4" t="str" cm="1">
        <f t="array" aca="1" ref="E6" ca="1">_FV(StockReportTable4[[#This Row],[Ticker]],"Exchange")</f>
        <v>Nasdaq Stock Market</v>
      </c>
      <c r="F6" s="4" t="str" cm="1">
        <f t="array" aca="1" ref="F6" ca="1">_FV(StockReportTable4[[#This Row],[Ticker]],"Currency")</f>
        <v>USD</v>
      </c>
      <c r="G6" s="5">
        <f t="shared" ca="1" si="0"/>
        <v>46318</v>
      </c>
      <c r="H6" s="33" cm="1">
        <f t="array" aca="1" ref="H6" ca="1">_FV(StockReportTable4[[#This Row],[Ticker]],"Price")</f>
        <v>524.51</v>
      </c>
      <c r="I6" s="21" cm="1">
        <f t="array" aca="1" ref="I6" ca="1">_FV(StockReportTable4[[#This Row],[Ticker]],"Change (%)",TRUE)</f>
        <v>6.5820000000000002E-3</v>
      </c>
      <c r="J6" s="6">
        <f ca="1">(StockReportTable4[[#This Row],[Price @ Date]]-INDEX(_xlfn.STOCKHISTORY(B6,DATE(2025,12,31),G6),2,2))/(INDEX(_xlfn.STOCKHISTORY(B6,DATE(2025,12,31),G6),2,2))</f>
        <v>8.4549853190521454E-2</v>
      </c>
      <c r="K6" s="6">
        <f ca="1">(StockReportTable4[[#This Row],[Price @ Date]]-INDEX(_xlfn.STOCKHISTORY(B6,DATE(2025,12,31),G6),2,2))/(INDEX(_xlfn.STOCKHISTORY(B6,EDATE(StockReportTable4[[#This Row],[Date]],-12),G6),2,2))</f>
        <v>7.8550023052097726E-2</v>
      </c>
      <c r="L6" s="7">
        <f ca="1">(StockReportTable4[[#This Row],[Price @ Date]]-INDEX(_xlfn.STOCKHISTORY(B6,DATE(2025,12,31),G6),2,2))/(INDEX(_xlfn.STOCKHISTORY(B6,EDATE(StockReportTable4[[#This Row],[Date]],-36),G6),2,2))</f>
        <v>0.12416494594922868</v>
      </c>
      <c r="M6" s="8" cm="1">
        <f t="array" aca="1" ref="M6" ca="1">IFERROR(_FV(StockReportTable4[[#This Row],[Ticker]],"P/E",TRUE),"N/A")</f>
        <v>29.0349</v>
      </c>
      <c r="N6" s="18" cm="1">
        <f t="array" aca="1" ref="N6" ca="1">IFERROR(_FV(StockReportTable4[[#This Row],[Ticker]],"52 week high",TRUE),"N/A")</f>
        <v>553.72</v>
      </c>
      <c r="O6" s="18" cm="1">
        <f t="array" aca="1" ref="O6" ca="1">IFERROR(_FV(StockReportTable4[[#This Row],[Ticker]],"52 week low",TRUE),"N/A")</f>
        <v>349.2</v>
      </c>
      <c r="P6" s="22" t="e" cm="1" vm="2">
        <f t="array" ref="P6">_FV(StockReportTable4[[#This Row],[Ticker]],"Market cap",TRUE)</f>
        <v>#VALUE!</v>
      </c>
      <c r="Q6" s="27" cm="1">
        <f t="array" aca="1" ref="Q6" ca="1">_FV(StockReportTable4[[#This Row],[Ticker]],"Volume average",TRUE)</f>
        <v>22151003</v>
      </c>
    </row>
    <row r="7" spans="1:17" ht="15">
      <c r="A7" s="9">
        <f ca="1">IF(ISNUMBER(StockReportTable4[[#This Row],[P/E]]),IF(StockReportTable4[[#This Row],[P/E]]&lt;35,1,2),3)</f>
        <v>1</v>
      </c>
      <c r="B7" s="4" t="e" vm="7">
        <v>#VALUE!</v>
      </c>
      <c r="C7" s="4" t="str" cm="1">
        <f t="array" aca="1" ref="C7" ca="1">_FV(StockReportTable4[[#This Row],[Ticker]],"Official name",TRUE)</f>
        <v>NVIDIA CORPORATION</v>
      </c>
      <c r="D7" s="4" t="str" cm="1">
        <f t="array" aca="1" ref="D7" ca="1">_FV(StockReportTable4[[#This Row],[Ticker]],"Industry")</f>
        <v>Semiconductors &amp; Semiconductor Equipment</v>
      </c>
      <c r="E7" s="4" t="str" cm="1">
        <f t="array" aca="1" ref="E7" ca="1">_FV(StockReportTable4[[#This Row],[Ticker]],"Exchange")</f>
        <v>Nasdaq Stock Market</v>
      </c>
      <c r="F7" s="4" t="str" cm="1">
        <f t="array" aca="1" ref="F7" ca="1">_FV(StockReportTable4[[#This Row],[Ticker]],"Currency")</f>
        <v>USD</v>
      </c>
      <c r="G7" s="5">
        <f t="shared" ca="1" si="0"/>
        <v>46318</v>
      </c>
      <c r="H7" s="33" cm="1">
        <f t="array" aca="1" ref="H7" ca="1">_FV(StockReportTable4[[#This Row],[Ticker]],"Price")</f>
        <v>210.96</v>
      </c>
      <c r="I7" s="21" cm="1">
        <f t="array" aca="1" ref="I7" ca="1">_FV(StockReportTable4[[#This Row],[Ticker]],"Change (%)",TRUE)</f>
        <v>-5.8899999999999994E-3</v>
      </c>
      <c r="J7" s="6">
        <f ca="1">(StockReportTable4[[#This Row],[Price @ Date]]-INDEX(_xlfn.STOCKHISTORY(B7,DATE(2025,12,31),G7),2,2))/(INDEX(_xlfn.STOCKHISTORY(B7,DATE(2025,12,31),G7),2,2))</f>
        <v>0.13115281501340487</v>
      </c>
      <c r="K7" s="6">
        <f ca="1">(StockReportTable4[[#This Row],[Price @ Date]]-INDEX(_xlfn.STOCKHISTORY(B7,DATE(2025,12,31),G7),2,2))/(INDEX(_xlfn.STOCKHISTORY(B7,EDATE(StockReportTable4[[#This Row],[Date]],-12),G7),2,2))</f>
        <v>0.13427755819060172</v>
      </c>
      <c r="L7" s="7">
        <f ca="1">(StockReportTable4[[#This Row],[Price @ Date]]-INDEX(_xlfn.STOCKHISTORY(B7,DATE(2025,12,31),G7),2,2))/(INDEX(_xlfn.STOCKHISTORY(B7,EDATE(StockReportTable4[[#This Row],[Date]],-36),G7),2,2))</f>
        <v>0.56916812100058189</v>
      </c>
      <c r="M7" s="8" cm="1">
        <f t="array" aca="1" ref="M7" ca="1">IFERROR(_FV(StockReportTable4[[#This Row],[Ticker]],"P/E",TRUE),"N/A")</f>
        <v>26.825600000000001</v>
      </c>
      <c r="N7" s="18" cm="1">
        <f t="array" aca="1" ref="N7" ca="1">IFERROR(_FV(StockReportTable4[[#This Row],[Ticker]],"52 week high",TRUE),"N/A")</f>
        <v>243.37</v>
      </c>
      <c r="O7" s="18" cm="1">
        <f t="array" aca="1" ref="O7" ca="1">IFERROR(_FV(StockReportTable4[[#This Row],[Ticker]],"52 week low",TRUE),"N/A")</f>
        <v>164.27</v>
      </c>
      <c r="P7" s="22" t="e" cm="1" vm="2">
        <f t="array" ref="P7">_FV(StockReportTable4[[#This Row],[Ticker]],"Market cap",TRUE)</f>
        <v>#VALUE!</v>
      </c>
      <c r="Q7" s="27" cm="1">
        <f t="array" aca="1" ref="Q7" ca="1">_FV(StockReportTable4[[#This Row],[Ticker]],"Volume average",TRUE)</f>
        <v>107148374</v>
      </c>
    </row>
    <row r="8" spans="1:17" ht="15">
      <c r="A8" s="9">
        <f ca="1">IF(ISNUMBER(StockReportTable4[[#This Row],[P/E]]),IF(StockReportTable4[[#This Row],[P/E]]&lt;35,1,2),3)</f>
        <v>2</v>
      </c>
      <c r="B8" s="4" t="e" vm="8">
        <v>#VALUE!</v>
      </c>
      <c r="C8" s="4" t="str" cm="1">
        <f t="array" aca="1" ref="C8" ca="1">_FV(StockReportTable4[[#This Row],[Ticker]],"Official name",TRUE)</f>
        <v>TESLA, INC.</v>
      </c>
      <c r="D8" s="4" t="str" cm="1">
        <f t="array" aca="1" ref="D8" ca="1">_FV(StockReportTable4[[#This Row],[Ticker]],"Industry")</f>
        <v>Automobiles &amp; Auto Parts</v>
      </c>
      <c r="E8" s="4" t="str" cm="1">
        <f t="array" aca="1" ref="E8" ca="1">_FV(StockReportTable4[[#This Row],[Ticker]],"Exchange")</f>
        <v>Nasdaq Stock Market</v>
      </c>
      <c r="F8" s="4" t="str" cm="1">
        <f t="array" aca="1" ref="F8" ca="1">_FV(StockReportTable4[[#This Row],[Ticker]],"Currency")</f>
        <v>USD</v>
      </c>
      <c r="G8" s="5">
        <f t="shared" ca="1" si="0"/>
        <v>46318</v>
      </c>
      <c r="H8" s="33" cm="1">
        <f t="array" aca="1" ref="H8" ca="1">_FV(StockReportTable4[[#This Row],[Ticker]],"Price")</f>
        <v>372.22</v>
      </c>
      <c r="I8" s="21" cm="1">
        <f t="array" aca="1" ref="I8" ca="1">_FV(StockReportTable4[[#This Row],[Ticker]],"Change (%)",TRUE)</f>
        <v>-6.3E-3</v>
      </c>
      <c r="J8" s="6">
        <f ca="1">(StockReportTable4[[#This Row],[Price @ Date]]-INDEX(_xlfn.STOCKHISTORY(B8,DATE(2025,12,31),G8),2,2))/(INDEX(_xlfn.STOCKHISTORY(B8,DATE(2025,12,31),G8),2,2))</f>
        <v>-0.17232944943520412</v>
      </c>
      <c r="K8" s="6">
        <f ca="1">(StockReportTable4[[#This Row],[Price @ Date]]-INDEX(_xlfn.STOCKHISTORY(B8,DATE(2025,12,31),G8),2,2))/(INDEX(_xlfn.STOCKHISTORY(B8,EDATE(StockReportTable4[[#This Row],[Date]],-12),G8),2,2))</f>
        <v>-0.17261347944229141</v>
      </c>
      <c r="L8" s="7">
        <f ca="1">(StockReportTable4[[#This Row],[Price @ Date]]-INDEX(_xlfn.STOCKHISTORY(B8,DATE(2025,12,31),G8),2,2))/(INDEX(_xlfn.STOCKHISTORY(B8,EDATE(StockReportTable4[[#This Row],[Date]],-36),G8),2,2))</f>
        <v>-0.36542814032440585</v>
      </c>
      <c r="M8" s="8" cm="1">
        <f t="array" aca="1" ref="M8" ca="1">IFERROR(_FV(StockReportTable4[[#This Row],[Ticker]],"P/E",TRUE),"N/A")</f>
        <v>450.21089999999998</v>
      </c>
      <c r="N8" s="18" cm="1">
        <f t="array" aca="1" ref="N8" ca="1">IFERROR(_FV(StockReportTable4[[#This Row],[Ticker]],"52 week high",TRUE),"N/A")</f>
        <v>498.83</v>
      </c>
      <c r="O8" s="18" cm="1">
        <f t="array" aca="1" ref="O8" ca="1">IFERROR(_FV(StockReportTable4[[#This Row],[Ticker]],"52 week low",TRUE),"N/A")</f>
        <v>297.38</v>
      </c>
      <c r="P8" s="22" t="e" cm="1" vm="2">
        <f t="array" ref="P8">_FV(StockReportTable4[[#This Row],[Ticker]],"Market cap",TRUE)</f>
        <v>#VALUE!</v>
      </c>
      <c r="Q8" s="27" cm="1">
        <f t="array" aca="1" ref="Q8" ca="1">_FV(StockReportTable4[[#This Row],[Ticker]],"Volume average",TRUE)</f>
        <v>36512155</v>
      </c>
    </row>
    <row r="9" spans="1:17" ht="15">
      <c r="A9" s="9">
        <f ca="1">IF(ISNUMBER(StockReportTable4[[#This Row],[P/E]]),IF(StockReportTable4[[#This Row],[P/E]]&lt;35,1,2),3)</f>
        <v>2</v>
      </c>
      <c r="B9" s="4" t="e" vm="9">
        <v>#VALUE!</v>
      </c>
      <c r="C9" s="4" t="str" cm="1">
        <f t="array" aca="1" ref="C9" ca="1">_FV(StockReportTable4[[#This Row],[Ticker]],"Official name",TRUE)</f>
        <v>ADVANCED MICRO DEVICES, INC.</v>
      </c>
      <c r="D9" s="10" t="str" cm="1">
        <f t="array" aca="1" ref="D9" ca="1">_FV(StockReportTable4[[#This Row],[Ticker]],"Industry")</f>
        <v>Semiconductors &amp; Semiconductor Equipment</v>
      </c>
      <c r="E9" s="4" t="str" cm="1">
        <f t="array" aca="1" ref="E9" ca="1">_FV(StockReportTable4[[#This Row],[Ticker]],"Exchange")</f>
        <v>Nasdaq Stock Market</v>
      </c>
      <c r="F9" s="4" t="str" cm="1">
        <f t="array" aca="1" ref="F9" ca="1">_FV(StockReportTable4[[#This Row],[Ticker]],"Currency")</f>
        <v>USD</v>
      </c>
      <c r="G9" s="5">
        <f t="shared" ca="1" si="0"/>
        <v>46318</v>
      </c>
      <c r="H9" s="33" cm="1">
        <f t="array" aca="1" ref="H9" ca="1">_FV(StockReportTable4[[#This Row],[Ticker]],"Price")</f>
        <v>516.79</v>
      </c>
      <c r="I9" s="21" cm="1">
        <f t="array" aca="1" ref="I9" ca="1">_FV(StockReportTable4[[#This Row],[Ticker]],"Change (%)",TRUE)</f>
        <v>1.7443E-2</v>
      </c>
      <c r="J9" s="6">
        <f ca="1">(StockReportTable4[[#This Row],[Price @ Date]]-INDEX(_xlfn.STOCKHISTORY(B9,DATE(2025,12,31),G9),2,2))/(INDEX(_xlfn.STOCKHISTORY(B9,DATE(2025,12,31),G9),2,2))</f>
        <v>1.4131023533806499</v>
      </c>
      <c r="K9" s="6">
        <f ca="1">(StockReportTable4[[#This Row],[Price @ Date]]-INDEX(_xlfn.STOCKHISTORY(B9,DATE(2025,12,31),G9),2,2))/(INDEX(_xlfn.STOCKHISTORY(B9,EDATE(StockReportTable4[[#This Row],[Date]],-12),G9),2,2))</f>
        <v>1.2878420358313118</v>
      </c>
      <c r="L9" s="7">
        <f ca="1">(StockReportTable4[[#This Row],[Price @ Date]]-INDEX(_xlfn.STOCKHISTORY(B9,DATE(2025,12,31),G9),2,2))/(INDEX(_xlfn.STOCKHISTORY(B9,EDATE(StockReportTable4[[#This Row],[Date]],-36),G9),2,2))</f>
        <v>3.0259974002599739</v>
      </c>
      <c r="M9" s="8" cm="1">
        <f t="array" aca="1" ref="M9" ca="1">IFERROR(_FV(StockReportTable4[[#This Row],[Ticker]],"P/E",TRUE),"N/A")</f>
        <v>131.8981</v>
      </c>
      <c r="N9" s="18" cm="1">
        <f t="array" aca="1" ref="N9" ca="1">IFERROR(_FV(StockReportTable4[[#This Row],[Ticker]],"52 week high",TRUE),"N/A")</f>
        <v>658.52</v>
      </c>
      <c r="O9" s="18" cm="1">
        <f t="array" aca="1" ref="O9" ca="1">IFERROR(_FV(StockReportTable4[[#This Row],[Ticker]],"52 week low",TRUE),"N/A")</f>
        <v>188.22</v>
      </c>
      <c r="P9" s="22" cm="1">
        <f t="array" aca="1" ref="P9" ca="1">_FV(StockReportTable4[[#This Row],[Ticker]],"Market cap",TRUE)</f>
        <v>843646755250</v>
      </c>
      <c r="Q9" s="27" cm="1">
        <f t="array" aca="1" ref="Q9" ca="1">_FV(StockReportTable4[[#This Row],[Ticker]],"Volume average",TRUE)</f>
        <v>21540052</v>
      </c>
    </row>
    <row r="10" spans="1:17" ht="15">
      <c r="A10" s="9">
        <v>3</v>
      </c>
      <c r="B10" s="4" t="e" vm="10">
        <v>#VALUE!</v>
      </c>
      <c r="C10" s="4" t="str" cm="1">
        <f t="array" aca="1" ref="C10" ca="1">_FV(StockReportTable4[[#This Row],[Ticker]],"Official name",TRUE)</f>
        <v>INTEL CORPORATION</v>
      </c>
      <c r="D10" s="4" t="str" cm="1">
        <f t="array" aca="1" ref="D10" ca="1">_FV(StockReportTable4[[#This Row],[Ticker]],"Industry")</f>
        <v>Semiconductors &amp; Semiconductor Equipment</v>
      </c>
      <c r="E10" s="4" t="str" cm="1">
        <f t="array" aca="1" ref="E10" ca="1">_FV(StockReportTable4[[#This Row],[Ticker]],"Exchange")</f>
        <v>Nasdaq Stock Market</v>
      </c>
      <c r="F10" s="4" t="str" cm="1">
        <f t="array" aca="1" ref="F10" ca="1">_FV(StockReportTable4[[#This Row],[Ticker]],"Currency")</f>
        <v>USD</v>
      </c>
      <c r="G10" s="5">
        <f t="shared" ca="1" si="0"/>
        <v>46318</v>
      </c>
      <c r="H10" s="33" cm="1">
        <f t="array" aca="1" ref="H10" ca="1">_FV(StockReportTable4[[#This Row],[Ticker]],"Price")</f>
        <v>86.96</v>
      </c>
      <c r="I10" s="21" cm="1">
        <f t="array" aca="1" ref="I10" ca="1">_FV(StockReportTable4[[#This Row],[Ticker]],"Change (%)",TRUE)</f>
        <v>1.7195000000000002E-2</v>
      </c>
      <c r="J10" s="6">
        <f ca="1">(StockReportTable4[[#This Row],[Price @ Date]]-INDEX(_xlfn.STOCKHISTORY(B10,DATE(2025,12,31),G10),2,2))/(INDEX(_xlfn.STOCKHISTORY(B10,DATE(2025,12,31),G10),2,2))</f>
        <v>1.3566395663956639</v>
      </c>
      <c r="K10" s="6">
        <f ca="1">(StockReportTable4[[#This Row],[Price @ Date]]-INDEX(_xlfn.STOCKHISTORY(B10,DATE(2025,12,31),G10),2,2))/(INDEX(_xlfn.STOCKHISTORY(B10,EDATE(StockReportTable4[[#This Row],[Date]],-12),G10),2,2))</f>
        <v>1.3118448637316562</v>
      </c>
      <c r="L10" s="7">
        <f ca="1">(StockReportTable4[[#This Row],[Price @ Date]]-INDEX(_xlfn.STOCKHISTORY(B10,DATE(2025,12,31),G10),2,2))/(INDEX(_xlfn.STOCKHISTORY(B10,EDATE(StockReportTable4[[#This Row],[Date]],-36),G10),2,2))</f>
        <v>1.4788774002954208</v>
      </c>
      <c r="M10" s="8" cm="1">
        <f t="array" aca="1" ref="M10" ca="1">IFERROR(_FV(StockReportTable4[[#This Row],[Ticker]],"P/E",TRUE),"N/A")</f>
        <v>0</v>
      </c>
      <c r="N10" s="18" cm="1">
        <f t="array" aca="1" ref="N10" ca="1">IFERROR(_FV(StockReportTable4[[#This Row],[Ticker]],"52 week high",TRUE),"N/A")</f>
        <v>142.35</v>
      </c>
      <c r="O10" s="18" cm="1">
        <f t="array" aca="1" ref="O10" ca="1">IFERROR(_FV(StockReportTable4[[#This Row],[Ticker]],"52 week low",TRUE),"N/A")</f>
        <v>32.89</v>
      </c>
      <c r="P10" s="22" cm="1">
        <f t="array" aca="1" ref="P10" ca="1">_FV(StockReportTable4[[#This Row],[Ticker]],"Market cap",TRUE)</f>
        <v>459589600239</v>
      </c>
      <c r="Q10" s="27" cm="1">
        <f t="array" aca="1" ref="Q10" ca="1">_FV(StockReportTable4[[#This Row],[Ticker]],"Volume average",TRUE)</f>
        <v>106664291</v>
      </c>
    </row>
    <row r="11" spans="1:17" ht="15">
      <c r="A11" s="9">
        <f ca="1">IF(ISNUMBER(StockReportTable4[[#This Row],[P/E]]),IF(StockReportTable4[[#This Row],[P/E]]&lt;35,1,2),3)</f>
        <v>2</v>
      </c>
      <c r="B11" s="4" t="e" vm="11">
        <v>#VALUE!</v>
      </c>
      <c r="C11" s="4" t="str" cm="1">
        <f t="array" aca="1" ref="C11" ca="1">_FV(StockReportTable4[[#This Row],[Ticker]],"Official name",TRUE)</f>
        <v>MARVELL TECHNOLOGY, INC.</v>
      </c>
      <c r="D11" s="4" t="str" cm="1">
        <f t="array" aca="1" ref="D11" ca="1">_FV(StockReportTable4[[#This Row],[Ticker]],"Industry")</f>
        <v>Semiconductors &amp; Semiconductor Equipment</v>
      </c>
      <c r="E11" s="4" t="str" cm="1">
        <f t="array" aca="1" ref="E11" ca="1">_FV(StockReportTable4[[#This Row],[Ticker]],"Exchange")</f>
        <v>Nasdaq Stock Market</v>
      </c>
      <c r="F11" s="4" t="str" cm="1">
        <f t="array" aca="1" ref="F11" ca="1">_FV(StockReportTable4[[#This Row],[Ticker]],"Currency")</f>
        <v>USD</v>
      </c>
      <c r="G11" s="5">
        <f t="shared" ca="1" si="0"/>
        <v>46318</v>
      </c>
      <c r="H11" s="33" cm="1">
        <f t="array" aca="1" ref="H11" ca="1">_FV(StockReportTable4[[#This Row],[Ticker]],"Price")</f>
        <v>228.51</v>
      </c>
      <c r="I11" s="21" cm="1">
        <f t="array" aca="1" ref="I11" ca="1">_FV(StockReportTable4[[#This Row],[Ticker]],"Change (%)",TRUE)</f>
        <v>2.2553E-2</v>
      </c>
      <c r="J11" s="6">
        <f ca="1">(StockReportTable4[[#This Row],[Price @ Date]]-INDEX(_xlfn.STOCKHISTORY(B11,DATE(2025,12,31),G11),2,2))/(INDEX(_xlfn.STOCKHISTORY(B11,DATE(2025,12,31),G11),2,2))</f>
        <v>1.6889856436808657</v>
      </c>
      <c r="K11" s="6">
        <f ca="1">(StockReportTable4[[#This Row],[Price @ Date]]-INDEX(_xlfn.STOCKHISTORY(B11,DATE(2025,12,31),G11),2,2))/(INDEX(_xlfn.STOCKHISTORY(B11,EDATE(StockReportTable4[[#This Row],[Date]],-12),G11),2,2))</f>
        <v>1.7340823970037451</v>
      </c>
      <c r="L11" s="7">
        <f ca="1">(StockReportTable4[[#This Row],[Price @ Date]]-INDEX(_xlfn.STOCKHISTORY(B11,DATE(2025,12,31),G11),2,2))/(INDEX(_xlfn.STOCKHISTORY(B11,EDATE(StockReportTable4[[#This Row],[Date]],-36),G11),2,2))</f>
        <v>2.9279885760913906</v>
      </c>
      <c r="M11" s="8" cm="1">
        <f t="array" aca="1" ref="M11" ca="1">IFERROR(_FV(StockReportTable4[[#This Row],[Ticker]],"P/E",TRUE),"N/A")</f>
        <v>73.750799999999998</v>
      </c>
      <c r="N11" s="18" cm="1">
        <f t="array" aca="1" ref="N11" ca="1">IFERROR(_FV(StockReportTable4[[#This Row],[Ticker]],"52 week high",TRUE),"N/A")</f>
        <v>329.88</v>
      </c>
      <c r="O11" s="18" cm="1">
        <f t="array" aca="1" ref="O11" ca="1">IFERROR(_FV(StockReportTable4[[#This Row],[Ticker]],"52 week low",TRUE),"N/A")</f>
        <v>70.685000000000002</v>
      </c>
      <c r="P11" s="22" cm="1">
        <f t="array" aca="1" ref="P11" ca="1">_FV(StockReportTable4[[#This Row],[Ticker]],"Market cap",TRUE)</f>
        <v>200380419000</v>
      </c>
      <c r="Q11" s="27" cm="1">
        <f t="array" aca="1" ref="Q11" ca="1">_FV(StockReportTable4[[#This Row],[Ticker]],"Volume average",TRUE)</f>
        <v>20037053</v>
      </c>
    </row>
    <row r="12" spans="1:17" ht="15">
      <c r="A12" s="9">
        <f ca="1">IF(ISNUMBER(StockReportTable4[[#This Row],[P/E]]),IF(StockReportTable4[[#This Row],[P/E]]&lt;35,1,2),3)</f>
        <v>2</v>
      </c>
      <c r="B12" s="4" t="e" vm="12">
        <v>#VALUE!</v>
      </c>
      <c r="C12" s="4" t="str" cm="1">
        <f t="array" aca="1" ref="C12" ca="1">_FV(StockReportTable4[[#This Row],[Ticker]],"Official name",TRUE)</f>
        <v>ASML Holding N.V.</v>
      </c>
      <c r="D12" s="4" t="str" cm="1">
        <f t="array" aca="1" ref="D12" ca="1">_FV(StockReportTable4[[#This Row],[Ticker]],"Industry")</f>
        <v>Semiconductors &amp; Semiconductor Equipment</v>
      </c>
      <c r="E12" s="4" t="str" cm="1">
        <f t="array" aca="1" ref="E12" ca="1">_FV(StockReportTable4[[#This Row],[Ticker]],"Exchange")</f>
        <v>Nasdaq Stock Market</v>
      </c>
      <c r="F12" s="4" t="str" cm="1">
        <f t="array" aca="1" ref="F12" ca="1">_FV(StockReportTable4[[#This Row],[Ticker]],"Currency")</f>
        <v>USD</v>
      </c>
      <c r="G12" s="5">
        <f t="shared" ca="1" si="0"/>
        <v>46318</v>
      </c>
      <c r="H12" s="33" cm="1">
        <f t="array" aca="1" ref="H12" ca="1">_FV(StockReportTable4[[#This Row],[Ticker]],"Price")</f>
        <v>1571.8</v>
      </c>
      <c r="I12" s="21" cm="1">
        <f t="array" aca="1" ref="I12" ca="1">_FV(StockReportTable4[[#This Row],[Ticker]],"Change (%)",TRUE)</f>
        <v>7.2150000000000001E-3</v>
      </c>
      <c r="J12" s="6">
        <f ca="1">(StockReportTable4[[#This Row],[Price @ Date]]-INDEX(_xlfn.STOCKHISTORY(B12,DATE(2025,12,31),G12),2,2))/(INDEX(_xlfn.STOCKHISTORY(B12,DATE(2025,12,31),G12),2,2))</f>
        <v>0.46916418970706458</v>
      </c>
      <c r="K12" s="6">
        <f ca="1">(StockReportTable4[[#This Row],[Price @ Date]]-INDEX(_xlfn.STOCKHISTORY(B12,DATE(2025,12,31),G12),2,2))/(INDEX(_xlfn.STOCKHISTORY(B12,EDATE(StockReportTable4[[#This Row],[Date]],-12),G12),2,2))</f>
        <v>0.48430640383631962</v>
      </c>
      <c r="L12" s="7">
        <f ca="1">(StockReportTable4[[#This Row],[Price @ Date]]-INDEX(_xlfn.STOCKHISTORY(B12,DATE(2025,12,31),G12),2,2))/(INDEX(_xlfn.STOCKHISTORY(B12,EDATE(StockReportTable4[[#This Row],[Date]],-36),G12),2,2))</f>
        <v>0.85394443593800518</v>
      </c>
      <c r="M12" s="8" cm="1">
        <f t="array" aca="1" ref="M12" ca="1">IFERROR(_FV(StockReportTable4[[#This Row],[Ticker]],"P/E",TRUE),"N/A")</f>
        <v>40.221299999999999</v>
      </c>
      <c r="N12" s="18" cm="1">
        <f t="array" aca="1" ref="N12" ca="1">IFERROR(_FV(StockReportTable4[[#This Row],[Ticker]],"52 week high",TRUE),"N/A")</f>
        <v>1999.96</v>
      </c>
      <c r="O12" s="18" cm="1">
        <f t="array" aca="1" ref="O12" ca="1">IFERROR(_FV(StockReportTable4[[#This Row],[Ticker]],"52 week low",TRUE),"N/A")</f>
        <v>946.11</v>
      </c>
      <c r="P12" s="22" t="e" cm="1" vm="2">
        <f t="array" ref="P12">_FV(StockReportTable4[[#This Row],[Ticker]],"Market cap",TRUE)</f>
        <v>#VALUE!</v>
      </c>
      <c r="Q12" s="27" cm="1">
        <f t="array" aca="1" ref="Q12" ca="1">_FV(StockReportTable4[[#This Row],[Ticker]],"Volume average",TRUE)</f>
        <v>1510018</v>
      </c>
    </row>
    <row r="13" spans="1:17" ht="15">
      <c r="A13" s="9">
        <f ca="1">IF(ISNUMBER(StockReportTable4[[#This Row],[P/E]]),IF(StockReportTable4[[#This Row],[P/E]]&lt;35,1,2),3)</f>
        <v>1</v>
      </c>
      <c r="B13" s="4" t="e" vm="13">
        <v>#VALUE!</v>
      </c>
      <c r="C13" s="4" t="str" cm="1">
        <f t="array" aca="1" ref="C13" ca="1">_FV(StockReportTable4[[#This Row],[Ticker]],"Official name",TRUE)</f>
        <v>MICRON TECHNOLOGY, INC.</v>
      </c>
      <c r="D13" s="4" t="str" cm="1">
        <f t="array" aca="1" ref="D13" ca="1">_FV(StockReportTable4[[#This Row],[Ticker]],"Industry")</f>
        <v>Semiconductors &amp; Semiconductor Equipment</v>
      </c>
      <c r="E13" s="4" t="str" cm="1">
        <f t="array" aca="1" ref="E13" ca="1">_FV(StockReportTable4[[#This Row],[Ticker]],"Exchange")</f>
        <v>Nasdaq Stock Market</v>
      </c>
      <c r="F13" s="4" t="str" cm="1">
        <f t="array" aca="1" ref="F13" ca="1">_FV(StockReportTable4[[#This Row],[Ticker]],"Currency")</f>
        <v>USD</v>
      </c>
      <c r="G13" s="5">
        <f t="shared" ca="1" si="0"/>
        <v>46318</v>
      </c>
      <c r="H13" s="33" cm="1">
        <f t="array" aca="1" ref="H13" ca="1">_FV(StockReportTable4[[#This Row],[Ticker]],"Price")</f>
        <v>877.55</v>
      </c>
      <c r="I13" s="21" cm="1">
        <f t="array" aca="1" ref="I13" ca="1">_FV(StockReportTable4[[#This Row],[Ticker]],"Change (%)",TRUE)</f>
        <v>2.4589E-2</v>
      </c>
      <c r="J13" s="6">
        <f ca="1">(StockReportTable4[[#This Row],[Price @ Date]]-INDEX(_xlfn.STOCKHISTORY(B13,DATE(2025,12,31),G13),2,2))/(INDEX(_xlfn.STOCKHISTORY(B13,DATE(2025,12,31),G13),2,2))</f>
        <v>2.0746995550261023</v>
      </c>
      <c r="K13" s="6">
        <f ca="1">(StockReportTable4[[#This Row],[Price @ Date]]-INDEX(_xlfn.STOCKHISTORY(B13,DATE(2025,12,31),G13),2,2))/(INDEX(_xlfn.STOCKHISTORY(B13,EDATE(StockReportTable4[[#This Row],[Date]],-12),G13),2,2))</f>
        <v>2.8645929079386572</v>
      </c>
      <c r="L13" s="7">
        <f ca="1">(StockReportTable4[[#This Row],[Price @ Date]]-INDEX(_xlfn.STOCKHISTORY(B13,DATE(2025,12,31),G13),2,2))/(INDEX(_xlfn.STOCKHISTORY(B13,EDATE(StockReportTable4[[#This Row],[Date]],-36),G13),2,2))</f>
        <v>8.8537679425837315</v>
      </c>
      <c r="M13" s="8" cm="1">
        <f t="array" aca="1" ref="M13" ca="1">IFERROR(_FV(StockReportTable4[[#This Row],[Ticker]],"P/E",TRUE),"N/A")</f>
        <v>11.536799999999999</v>
      </c>
      <c r="N13" s="18" cm="1">
        <f t="array" aca="1" ref="N13" ca="1">IFERROR(_FV(StockReportTable4[[#This Row],[Ticker]],"52 week high",TRUE),"N/A")</f>
        <v>1255</v>
      </c>
      <c r="O13" s="18" cm="1">
        <f t="array" aca="1" ref="O13" ca="1">IFERROR(_FV(StockReportTable4[[#This Row],[Ticker]],"52 week low",TRUE),"N/A")</f>
        <v>192.59</v>
      </c>
      <c r="P13" s="22" t="e" cm="1" vm="2">
        <f t="array" ref="P13">_FV(StockReportTable4[[#This Row],[Ticker]],"Market cap",TRUE)</f>
        <v>#VALUE!</v>
      </c>
      <c r="Q13" s="27" cm="1">
        <f t="array" aca="1" ref="Q13" ca="1">_FV(StockReportTable4[[#This Row],[Ticker]],"Volume average",TRUE)</f>
        <v>26981467</v>
      </c>
    </row>
    <row r="14" spans="1:17" ht="15">
      <c r="A14" s="9">
        <f ca="1">IF(ISNUMBER(StockReportTable4[[#This Row],[P/E]]),IF(StockReportTable4[[#This Row],[P/E]]&lt;35,1,2),3)</f>
        <v>2</v>
      </c>
      <c r="B14" s="4" t="e" vm="14">
        <v>#VALUE!</v>
      </c>
      <c r="C14" s="4" t="str" cm="1">
        <f t="array" aca="1" ref="C14" ca="1">_FV(StockReportTable4[[#This Row],[Ticker]],"Official name",TRUE)</f>
        <v>ADVANTEST CORPORATION</v>
      </c>
      <c r="D14" s="4" t="str" cm="1">
        <f t="array" aca="1" ref="D14" ca="1">_FV(StockReportTable4[[#This Row],[Ticker]],"Industry")</f>
        <v>Semiconductors &amp; Semiconductor Equipment</v>
      </c>
      <c r="E14" s="4" t="str" cm="1">
        <f t="array" aca="1" ref="E14" ca="1">_FV(StockReportTable4[[#This Row],[Ticker]],"Exchange")</f>
        <v>OTC Markets</v>
      </c>
      <c r="F14" s="4" t="str" cm="1">
        <f t="array" aca="1" ref="F14" ca="1">_FV(StockReportTable4[[#This Row],[Ticker]],"Currency")</f>
        <v>USD</v>
      </c>
      <c r="G14" s="5">
        <f t="shared" ca="1" si="0"/>
        <v>46318</v>
      </c>
      <c r="H14" s="33" cm="1">
        <f t="array" aca="1" ref="H14" ca="1">_FV(StockReportTable4[[#This Row],[Ticker]],"Price")</f>
        <v>205.61</v>
      </c>
      <c r="I14" s="21" cm="1">
        <f t="array" aca="1" ref="I14" ca="1">_FV(StockReportTable4[[#This Row],[Ticker]],"Change (%)",TRUE)</f>
        <v>1.0369E-2</v>
      </c>
      <c r="J14" s="6">
        <f ca="1">(StockReportTable4[[#This Row],[Price @ Date]]-INDEX(_xlfn.STOCKHISTORY(B14,DATE(2025,12,31),G14),2,2))/(INDEX(_xlfn.STOCKHISTORY(B14,DATE(2025,12,31),G14),2,2))</f>
        <v>0.62762715218681975</v>
      </c>
      <c r="K14" s="6">
        <f ca="1">(StockReportTable4[[#This Row],[Price @ Date]]-INDEX(_xlfn.STOCKHISTORY(B14,DATE(2025,12,31),G14),2,2))/(INDEX(_xlfn.STOCKHISTORY(B14,EDATE(StockReportTable4[[#This Row],[Date]],-12),G14),2,2))</f>
        <v>0.72024890988372103</v>
      </c>
      <c r="L14" s="7">
        <f ca="1">(StockReportTable4[[#This Row],[Price @ Date]]-INDEX(_xlfn.STOCKHISTORY(B14,DATE(2025,12,31),G14),2,2))/(INDEX(_xlfn.STOCKHISTORY(B14,EDATE(StockReportTable4[[#This Row],[Date]],-36),G14),2,2))</f>
        <v>2.8489040603665114</v>
      </c>
      <c r="M14" s="8" cm="1">
        <f t="array" aca="1" ref="M14" ca="1">IFERROR(_FV(StockReportTable4[[#This Row],[Ticker]],"P/E",TRUE),"N/A")</f>
        <v>52.420099999999998</v>
      </c>
      <c r="N14" s="18" cm="1">
        <f t="array" aca="1" ref="N14" ca="1">IFERROR(_FV(StockReportTable4[[#This Row],[Ticker]],"52 week high",TRUE),"N/A")</f>
        <v>272.49990000000003</v>
      </c>
      <c r="O14" s="18" cm="1">
        <f t="array" aca="1" ref="O14" ca="1">IFERROR(_FV(StockReportTable4[[#This Row],[Ticker]],"52 week low",TRUE),"N/A")</f>
        <v>107.99</v>
      </c>
      <c r="P14" s="22" t="e" cm="1" vm="2">
        <f t="array" ref="P14">_FV(StockReportTable4[[#This Row],[Ticker]],"Market cap",TRUE)</f>
        <v>#VALUE!</v>
      </c>
      <c r="Q14" s="27" cm="1">
        <f t="array" aca="1" ref="Q14" ca="1">_FV(StockReportTable4[[#This Row],[Ticker]],"Volume average",TRUE)</f>
        <v>425950</v>
      </c>
    </row>
    <row r="15" spans="1:17" ht="15">
      <c r="A15" s="9">
        <v>3</v>
      </c>
      <c r="B15" s="4" t="e" vm="15">
        <v>#VALUE!</v>
      </c>
      <c r="C15" s="4" t="str" cm="1">
        <f t="array" aca="1" ref="C15" ca="1">_FV(StockReportTable4[[#This Row],[Ticker]],"Official name",TRUE)</f>
        <v>NAVITAS SEMICONDUCTOR CORPORATION</v>
      </c>
      <c r="D15" s="4" t="str" cm="1">
        <f t="array" aca="1" ref="D15" ca="1">_FV(StockReportTable4[[#This Row],[Ticker]],"Industry")</f>
        <v>Semiconductors &amp; Semiconductor Equipment</v>
      </c>
      <c r="E15" s="4" t="str" cm="1">
        <f t="array" aca="1" ref="E15" ca="1">_FV(StockReportTable4[[#This Row],[Ticker]],"Exchange")</f>
        <v>Nasdaq Stock Market</v>
      </c>
      <c r="F15" s="4" t="str" cm="1">
        <f t="array" aca="1" ref="F15" ca="1">_FV(StockReportTable4[[#This Row],[Ticker]],"Currency")</f>
        <v>USD</v>
      </c>
      <c r="G15" s="5">
        <f t="shared" ca="1" si="0"/>
        <v>46318</v>
      </c>
      <c r="H15" s="33" cm="1">
        <f t="array" aca="1" ref="H15" ca="1">_FV(StockReportTable4[[#This Row],[Ticker]],"Price")</f>
        <v>8.3800000000000008</v>
      </c>
      <c r="I15" s="21" cm="1">
        <f t="array" aca="1" ref="I15" ca="1">_FV(StockReportTable4[[#This Row],[Ticker]],"Change (%)",TRUE)</f>
        <v>-1.2956000000000001E-2</v>
      </c>
      <c r="J15" s="6">
        <f ca="1">(StockReportTable4[[#This Row],[Price @ Date]]-INDEX(_xlfn.STOCKHISTORY(B15,DATE(2025,12,31),G15),2,2))/(INDEX(_xlfn.STOCKHISTORY(B15,DATE(2025,12,31),G15),2,2))</f>
        <v>0.17366946778711501</v>
      </c>
      <c r="K15" s="6">
        <f ca="1">(StockReportTable4[[#This Row],[Price @ Date]]-INDEX(_xlfn.STOCKHISTORY(B15,DATE(2025,12,31),G15),2,2))/(INDEX(_xlfn.STOCKHISTORY(B15,EDATE(StockReportTable4[[#This Row],[Date]],-12),G15),2,2))</f>
        <v>9.1109478324761295E-2</v>
      </c>
      <c r="L15" s="7">
        <f ca="1">(StockReportTable4[[#This Row],[Price @ Date]]-INDEX(_xlfn.STOCKHISTORY(B15,DATE(2025,12,31),G15),2,2))/(INDEX(_xlfn.STOCKHISTORY(B15,EDATE(StockReportTable4[[#This Row],[Date]],-36),G15),2,2))</f>
        <v>0.2304832713754649</v>
      </c>
      <c r="M15" s="8" cm="1">
        <f t="array" aca="1" ref="M15" ca="1">IFERROR(_FV(StockReportTable4[[#This Row],[Ticker]],"P/E",TRUE),"N/A")</f>
        <v>0</v>
      </c>
      <c r="N15" s="18" cm="1">
        <f t="array" aca="1" ref="N15" ca="1">IFERROR(_FV(StockReportTable4[[#This Row],[Ticker]],"52 week high",TRUE),"N/A")</f>
        <v>34.17</v>
      </c>
      <c r="O15" s="18" cm="1">
        <f t="array" aca="1" ref="O15" ca="1">IFERROR(_FV(StockReportTable4[[#This Row],[Ticker]],"52 week low",TRUE),"N/A")</f>
        <v>6.85</v>
      </c>
      <c r="P15" s="22" cm="1">
        <f t="array" aca="1" ref="P15" ca="1">_FV(StockReportTable4[[#This Row],[Ticker]],"Market cap",TRUE)</f>
        <v>2187963530</v>
      </c>
      <c r="Q15" s="27" cm="1">
        <f t="array" aca="1" ref="Q15" ca="1">_FV(StockReportTable4[[#This Row],[Ticker]],"Volume average",TRUE)</f>
        <v>16495985</v>
      </c>
    </row>
    <row r="16" spans="1:17" ht="15">
      <c r="A16" s="9">
        <v>3</v>
      </c>
      <c r="B16" s="4" t="e" vm="16">
        <v>#VALUE!</v>
      </c>
      <c r="C16" s="4" t="str" cm="1">
        <f t="array" aca="1" ref="C16" ca="1">_FV(StockReportTable4[[#This Row],[Ticker]],"Official name",TRUE)</f>
        <v>ATOMERA INCORPORATED</v>
      </c>
      <c r="D16" s="4" t="str" cm="1">
        <f t="array" aca="1" ref="D16" ca="1">_FV(StockReportTable4[[#This Row],[Ticker]],"Industry")</f>
        <v>Semiconductors &amp; Semiconductor Equipment</v>
      </c>
      <c r="E16" s="4" t="str" cm="1">
        <f t="array" aca="1" ref="E16" ca="1">_FV(StockReportTable4[[#This Row],[Ticker]],"Exchange")</f>
        <v>Nasdaq Stock Market</v>
      </c>
      <c r="F16" s="4" t="str" cm="1">
        <f t="array" aca="1" ref="F16" ca="1">_FV(StockReportTable4[[#This Row],[Ticker]],"Currency")</f>
        <v>USD</v>
      </c>
      <c r="G16" s="5">
        <f t="shared" ca="1" si="0"/>
        <v>46318</v>
      </c>
      <c r="H16" s="33" cm="1">
        <f t="array" aca="1" ref="H16" ca="1">_FV(StockReportTable4[[#This Row],[Ticker]],"Price")</f>
        <v>2.94</v>
      </c>
      <c r="I16" s="21" cm="1">
        <f t="array" aca="1" ref="I16" ca="1">_FV(StockReportTable4[[#This Row],[Ticker]],"Change (%)",TRUE)</f>
        <v>-4.5454999999999995E-2</v>
      </c>
      <c r="J16" s="6">
        <f ca="1">(StockReportTable4[[#This Row],[Price @ Date]]-INDEX(_xlfn.STOCKHISTORY(B16,DATE(2025,12,31),G16),2,2))/(INDEX(_xlfn.STOCKHISTORY(B16,DATE(2025,12,31),G16),2,2))</f>
        <v>0.33031674208144796</v>
      </c>
      <c r="K16" s="6">
        <f ca="1">(StockReportTable4[[#This Row],[Price @ Date]]-INDEX(_xlfn.STOCKHISTORY(B16,DATE(2025,12,31),G16),2,2))/(INDEX(_xlfn.STOCKHISTORY(B16,EDATE(StockReportTable4[[#This Row],[Date]],-12),G16),2,2))</f>
        <v>0.2260061919504644</v>
      </c>
      <c r="L16" s="7">
        <f ca="1">(StockReportTable4[[#This Row],[Price @ Date]]-INDEX(_xlfn.STOCKHISTORY(B16,DATE(2025,12,31),G16),2,2))/(INDEX(_xlfn.STOCKHISTORY(B16,EDATE(StockReportTable4[[#This Row],[Date]],-36),G16),2,2))</f>
        <v>0.10703812316715541</v>
      </c>
      <c r="M16" s="8" cm="1">
        <f t="array" aca="1" ref="M16" ca="1">IFERROR(_FV(StockReportTable4[[#This Row],[Ticker]],"P/E",TRUE),"N/A")</f>
        <v>0</v>
      </c>
      <c r="N16" s="18" cm="1">
        <f t="array" aca="1" ref="N16" ca="1">IFERROR(_FV(StockReportTable4[[#This Row],[Ticker]],"52 week high",TRUE),"N/A")</f>
        <v>12.365</v>
      </c>
      <c r="O16" s="18" cm="1">
        <f t="array" aca="1" ref="O16" ca="1">IFERROR(_FV(StockReportTable4[[#This Row],[Ticker]],"52 week low",TRUE),"N/A")</f>
        <v>1.8915</v>
      </c>
      <c r="P16" s="22" t="e" cm="1" vm="2">
        <f t="array" ref="P16">_FV(StockReportTable4[[#This Row],[Ticker]],"Market cap",TRUE)</f>
        <v>#VALUE!</v>
      </c>
      <c r="Q16" s="27" cm="1">
        <f t="array" aca="1" ref="Q16" ca="1">_FV(StockReportTable4[[#This Row],[Ticker]],"Volume average",TRUE)</f>
        <v>607964</v>
      </c>
    </row>
    <row r="17" spans="1:17" ht="15">
      <c r="A17" s="9">
        <v>3</v>
      </c>
      <c r="B17" s="4" t="e" vm="17">
        <v>#VALUE!</v>
      </c>
      <c r="C17" s="4" t="str" cm="1">
        <f t="array" aca="1" ref="C17" ca="1">_FV(StockReportTable4[[#This Row],[Ticker]],"Official name",TRUE)</f>
        <v>STRATEGY INC</v>
      </c>
      <c r="D17" s="4" t="str" cm="1">
        <f t="array" aca="1" ref="D17" ca="1">_FV(StockReportTable4[[#This Row],[Ticker]],"Industry")</f>
        <v>Software &amp; IT Services</v>
      </c>
      <c r="E17" s="4" t="str" cm="1">
        <f t="array" aca="1" ref="E17" ca="1">_FV(StockReportTable4[[#This Row],[Ticker]],"Exchange")</f>
        <v>Nasdaq Stock Market</v>
      </c>
      <c r="F17" s="4" t="str" cm="1">
        <f t="array" aca="1" ref="F17" ca="1">_FV(StockReportTable4[[#This Row],[Ticker]],"Currency")</f>
        <v>USD</v>
      </c>
      <c r="G17" s="5">
        <f t="shared" ca="1" si="0"/>
        <v>46318</v>
      </c>
      <c r="H17" s="33" cm="1">
        <f t="array" aca="1" ref="H17" ca="1">_FV(StockReportTable4[[#This Row],[Ticker]],"Price")</f>
        <v>146.01</v>
      </c>
      <c r="I17" s="21" cm="1">
        <f t="array" aca="1" ref="I17" ca="1">_FV(StockReportTable4[[#This Row],[Ticker]],"Change (%)",TRUE)</f>
        <v>1.4399999999999999E-3</v>
      </c>
      <c r="J17" s="6">
        <f ca="1">(StockReportTable4[[#This Row],[Price @ Date]]-INDEX(_xlfn.STOCKHISTORY(B17,DATE(2025,12,31),G17),2,2))/(INDEX(_xlfn.STOCKHISTORY(B17,DATE(2025,12,31),G17),2,2))</f>
        <v>-3.9091806515301072E-2</v>
      </c>
      <c r="K17" s="6">
        <f ca="1">(StockReportTable4[[#This Row],[Price @ Date]]-INDEX(_xlfn.STOCKHISTORY(B17,DATE(2025,12,31),G17),2,2))/(INDEX(_xlfn.STOCKHISTORY(B17,EDATE(StockReportTable4[[#This Row],[Date]],-12),G17),2,2))</f>
        <v>-2.0847957321353354E-2</v>
      </c>
      <c r="L17" s="7">
        <f ca="1">(StockReportTable4[[#This Row],[Price @ Date]]-INDEX(_xlfn.STOCKHISTORY(B17,DATE(2025,12,31),G17),2,2))/(INDEX(_xlfn.STOCKHISTORY(B17,EDATE(StockReportTable4[[#This Row],[Date]],-36),G17),2,2))</f>
        <v>-0.15735516172613837</v>
      </c>
      <c r="M17" s="8" cm="1">
        <f t="array" aca="1" ref="M17" ca="1">IFERROR(_FV(StockReportTable4[[#This Row],[Ticker]],"P/E",TRUE),"N/A")</f>
        <v>0</v>
      </c>
      <c r="N17" s="18" cm="1">
        <f t="array" aca="1" ref="N17" ca="1">IFERROR(_FV(StockReportTable4[[#This Row],[Ticker]],"52 week high",TRUE),"N/A")</f>
        <v>299.8</v>
      </c>
      <c r="O17" s="18" cm="1">
        <f t="array" aca="1" ref="O17" ca="1">IFERROR(_FV(StockReportTable4[[#This Row],[Ticker]],"52 week low",TRUE),"N/A")</f>
        <v>81.81</v>
      </c>
      <c r="P17" s="22" cm="1">
        <f t="array" aca="1" ref="P17" ca="1">_FV(StockReportTable4[[#This Row],[Ticker]],"Market cap",TRUE)</f>
        <v>62528344469</v>
      </c>
      <c r="Q17" s="27" cm="1">
        <f t="array" aca="1" ref="Q17" ca="1">_FV(StockReportTable4[[#This Row],[Ticker]],"Volume average",TRUE)</f>
        <v>21826972</v>
      </c>
    </row>
    <row r="18" spans="1:17" ht="15">
      <c r="A18" s="9">
        <v>3</v>
      </c>
      <c r="B18" s="4" t="e" vm="18">
        <v>#VALUE!</v>
      </c>
      <c r="C18" s="4" t="str" cm="1">
        <f t="array" aca="1" ref="C18" ca="1">_FV(StockReportTable4[[#This Row],[Ticker]],"Official name",TRUE)</f>
        <v>MARA HOLDINGS, INC.</v>
      </c>
      <c r="D18" s="4" t="str" cm="1">
        <f t="array" aca="1" ref="D18" ca="1">_FV(StockReportTable4[[#This Row],[Ticker]],"Industry")</f>
        <v>Financial Technology (Fintech) &amp; Infrastructure</v>
      </c>
      <c r="E18" s="4" t="str" cm="1">
        <f t="array" aca="1" ref="E18" ca="1">_FV(StockReportTable4[[#This Row],[Ticker]],"Exchange")</f>
        <v>Nasdaq Stock Market</v>
      </c>
      <c r="F18" s="4" t="str" cm="1">
        <f t="array" aca="1" ref="F18" ca="1">_FV(StockReportTable4[[#This Row],[Ticker]],"Currency")</f>
        <v>USD</v>
      </c>
      <c r="G18" s="5">
        <f t="shared" ca="1" si="0"/>
        <v>46318</v>
      </c>
      <c r="H18" s="33" cm="1">
        <f t="array" aca="1" ref="H18" ca="1">_FV(StockReportTable4[[#This Row],[Ticker]],"Price")</f>
        <v>7.02</v>
      </c>
      <c r="I18" s="21" cm="1">
        <f t="array" aca="1" ref="I18" ca="1">_FV(StockReportTable4[[#This Row],[Ticker]],"Change (%)",TRUE)</f>
        <v>-3.1724000000000002E-2</v>
      </c>
      <c r="J18" s="6">
        <f ca="1">(StockReportTable4[[#This Row],[Price @ Date]]-INDEX(_xlfn.STOCKHISTORY(B18,DATE(2025,12,31),G18),2,2))/(INDEX(_xlfn.STOCKHISTORY(B18,DATE(2025,12,31),G18),2,2))</f>
        <v>-0.21826280623608027</v>
      </c>
      <c r="K18" s="6">
        <f ca="1">(StockReportTable4[[#This Row],[Price @ Date]]-INDEX(_xlfn.STOCKHISTORY(B18,DATE(2025,12,31),G18),2,2))/(INDEX(_xlfn.STOCKHISTORY(B18,EDATE(StockReportTable4[[#This Row],[Date]],-12),G18),2,2))</f>
        <v>-0.10197710718002086</v>
      </c>
      <c r="L18" s="7">
        <f ca="1">(StockReportTable4[[#This Row],[Price @ Date]]-INDEX(_xlfn.STOCKHISTORY(B18,DATE(2025,12,31),G18),2,2))/(INDEX(_xlfn.STOCKHISTORY(B18,EDATE(StockReportTable4[[#This Row],[Date]],-36),G18),2,2))</f>
        <v>-0.22400000000000009</v>
      </c>
      <c r="M18" s="8" cm="1">
        <f t="array" aca="1" ref="M18" ca="1">IFERROR(_FV(StockReportTable4[[#This Row],[Ticker]],"P/E",TRUE),"N/A")</f>
        <v>0</v>
      </c>
      <c r="N18" s="18" cm="1">
        <f t="array" aca="1" ref="N18" ca="1">IFERROR(_FV(StockReportTable4[[#This Row],[Ticker]],"52 week high",TRUE),"N/A")</f>
        <v>20.47</v>
      </c>
      <c r="O18" s="18" cm="1">
        <f t="array" aca="1" ref="O18" ca="1">IFERROR(_FV(StockReportTable4[[#This Row],[Ticker]],"52 week low",TRUE),"N/A")</f>
        <v>6.66</v>
      </c>
      <c r="P18" s="22" t="e" cm="1" vm="2">
        <f t="array" ref="P18">_FV(StockReportTable4[[#This Row],[Ticker]],"Market cap",TRUE)</f>
        <v>#VALUE!</v>
      </c>
      <c r="Q18" s="27" cm="1">
        <f t="array" aca="1" ref="Q18" ca="1">_FV(StockReportTable4[[#This Row],[Ticker]],"Volume average",TRUE)</f>
        <v>38310413</v>
      </c>
    </row>
    <row r="19" spans="1:17" ht="15">
      <c r="A19" s="9">
        <v>3</v>
      </c>
      <c r="B19" s="4" t="e" vm="19">
        <v>#VALUE!</v>
      </c>
      <c r="C19" s="4" t="str" cm="1">
        <f t="array" aca="1" ref="C19" ca="1">_FV(StockReportTable4[[#This Row],[Ticker]],"Official name",TRUE)</f>
        <v>RIOT PLATFORMS, INC.</v>
      </c>
      <c r="D19" s="4" t="str" cm="1">
        <f t="array" aca="1" ref="D19" ca="1">_FV(StockReportTable4[[#This Row],[Ticker]],"Industry")</f>
        <v>Financial Technology (Fintech) &amp; Infrastructure</v>
      </c>
      <c r="E19" s="4" t="str" cm="1">
        <f t="array" aca="1" ref="E19" ca="1">_FV(StockReportTable4[[#This Row],[Ticker]],"Exchange")</f>
        <v>Nasdaq Stock Market</v>
      </c>
      <c r="F19" s="4" t="str" cm="1">
        <f t="array" aca="1" ref="F19" ca="1">_FV(StockReportTable4[[#This Row],[Ticker]],"Currency")</f>
        <v>USD</v>
      </c>
      <c r="G19" s="5">
        <f t="shared" ca="1" si="0"/>
        <v>46318</v>
      </c>
      <c r="H19" s="33" cm="1">
        <f t="array" aca="1" ref="H19" ca="1">_FV(StockReportTable4[[#This Row],[Ticker]],"Price")</f>
        <v>12.53</v>
      </c>
      <c r="I19" s="21" cm="1">
        <f t="array" aca="1" ref="I19" ca="1">_FV(StockReportTable4[[#This Row],[Ticker]],"Change (%)",TRUE)</f>
        <v>-2.7928999999999999E-2</v>
      </c>
      <c r="J19" s="6">
        <f ca="1">(StockReportTable4[[#This Row],[Price @ Date]]-INDEX(_xlfn.STOCKHISTORY(B19,DATE(2025,12,31),G19),2,2))/(INDEX(_xlfn.STOCKHISTORY(B19,DATE(2025,12,31),G19),2,2))</f>
        <v>-1.1049723756906122E-2</v>
      </c>
      <c r="K19" s="6">
        <f ca="1">(StockReportTable4[[#This Row],[Price @ Date]]-INDEX(_xlfn.STOCKHISTORY(B19,DATE(2025,12,31),G19),2,2))/(INDEX(_xlfn.STOCKHISTORY(B19,EDATE(StockReportTable4[[#This Row],[Date]],-12),G19),2,2))</f>
        <v>-6.8326012689116922E-3</v>
      </c>
      <c r="L19" s="7">
        <f ca="1">(StockReportTable4[[#This Row],[Price @ Date]]-INDEX(_xlfn.STOCKHISTORY(B19,DATE(2025,12,31),G19),2,2))/(INDEX(_xlfn.STOCKHISTORY(B19,EDATE(StockReportTable4[[#This Row],[Date]],-36),G19),2,2))</f>
        <v>-1.4477766287487133E-2</v>
      </c>
      <c r="M19" s="8" cm="1">
        <f t="array" aca="1" ref="M19" ca="1">IFERROR(_FV(StockReportTable4[[#This Row],[Ticker]],"P/E",TRUE),"N/A")</f>
        <v>0</v>
      </c>
      <c r="N19" s="18" cm="1">
        <f t="array" aca="1" ref="N19" ca="1">IFERROR(_FV(StockReportTable4[[#This Row],[Ticker]],"52 week high",TRUE),"N/A")</f>
        <v>30.32</v>
      </c>
      <c r="O19" s="18" cm="1">
        <f t="array" aca="1" ref="O19" ca="1">IFERROR(_FV(StockReportTable4[[#This Row],[Ticker]],"52 week low",TRUE),"N/A")</f>
        <v>11.5</v>
      </c>
      <c r="P19" s="22" t="e" cm="1" vm="2">
        <f t="array" ref="P19">_FV(StockReportTable4[[#This Row],[Ticker]],"Market cap",TRUE)</f>
        <v>#VALUE!</v>
      </c>
      <c r="Q19" s="27" cm="1">
        <f t="array" aca="1" ref="Q19" ca="1">_FV(StockReportTable4[[#This Row],[Ticker]],"Volume average",TRUE)</f>
        <v>17426254</v>
      </c>
    </row>
    <row r="20" spans="1:17" ht="15">
      <c r="A20" s="9">
        <v>3</v>
      </c>
      <c r="B20" s="4" t="e" vm="20">
        <v>#VALUE!</v>
      </c>
      <c r="C20" s="4" t="str" cm="1">
        <f t="array" aca="1" ref="C20" ca="1">_FV(StockReportTable4[[#This Row],[Ticker]],"Official name",TRUE)</f>
        <v>HIVE DIGITAL TECHNOLOGIES LTD.</v>
      </c>
      <c r="D20" s="4" t="str" cm="1">
        <f t="array" aca="1" ref="D20" ca="1">_FV(StockReportTable4[[#This Row],[Ticker]],"Industry")</f>
        <v>Financial Technology (Fintech) &amp; Infrastructure</v>
      </c>
      <c r="E20" s="4" t="str" cm="1">
        <f t="array" aca="1" ref="E20" ca="1">_FV(StockReportTable4[[#This Row],[Ticker]],"Exchange")</f>
        <v>Nasdaq Stock Market</v>
      </c>
      <c r="F20" s="4" t="str" cm="1">
        <f t="array" aca="1" ref="F20" ca="1">_FV(StockReportTable4[[#This Row],[Ticker]],"Currency")</f>
        <v>USD</v>
      </c>
      <c r="G20" s="5">
        <f t="shared" ca="1" si="0"/>
        <v>46318</v>
      </c>
      <c r="H20" s="33" cm="1">
        <f t="array" aca="1" ref="H20" ca="1">_FV(StockReportTable4[[#This Row],[Ticker]],"Price")</f>
        <v>1.93</v>
      </c>
      <c r="I20" s="21" cm="1">
        <f t="array" aca="1" ref="I20" ca="1">_FV(StockReportTable4[[#This Row],[Ticker]],"Change (%)",TRUE)</f>
        <v>-1.0256000000000001E-2</v>
      </c>
      <c r="J20" s="6">
        <f ca="1">(StockReportTable4[[#This Row],[Price @ Date]]-INDEX(_xlfn.STOCKHISTORY(B20,DATE(2025,12,31),G20),2,2))/(INDEX(_xlfn.STOCKHISTORY(B20,DATE(2025,12,31),G20),2,2))</f>
        <v>-0.25193798449612409</v>
      </c>
      <c r="K20" s="6">
        <f ca="1">(StockReportTable4[[#This Row],[Price @ Date]]-INDEX(_xlfn.STOCKHISTORY(B20,DATE(2025,12,31),G20),2,2))/(INDEX(_xlfn.STOCKHISTORY(B20,EDATE(StockReportTable4[[#This Row],[Date]],-12),G20),2,2))</f>
        <v>-0.12695312500000003</v>
      </c>
      <c r="L20" s="7">
        <f ca="1">(StockReportTable4[[#This Row],[Price @ Date]]-INDEX(_xlfn.STOCKHISTORY(B20,DATE(2025,12,31),G20),2,2))/(INDEX(_xlfn.STOCKHISTORY(B20,EDATE(StockReportTable4[[#This Row],[Date]],-36),G20),2,2))</f>
        <v>-0.20766773162939303</v>
      </c>
      <c r="M20" s="8" cm="1">
        <f t="array" aca="1" ref="M20" ca="1">IFERROR(_FV(StockReportTable4[[#This Row],[Ticker]],"P/E",TRUE),"N/A")</f>
        <v>0</v>
      </c>
      <c r="N20" s="18" cm="1">
        <f t="array" aca="1" ref="N20" ca="1">IFERROR(_FV(StockReportTable4[[#This Row],[Ticker]],"52 week high",TRUE),"N/A")</f>
        <v>6.3</v>
      </c>
      <c r="O20" s="18" cm="1">
        <f t="array" aca="1" ref="O20" ca="1">IFERROR(_FV(StockReportTable4[[#This Row],[Ticker]],"52 week low",TRUE),"N/A")</f>
        <v>1.73</v>
      </c>
      <c r="P20" s="23" cm="1">
        <f t="array" aca="1" ref="P20" ca="1">_FV(StockReportTable4[[#This Row],[Ticker]],"Market cap",TRUE)</f>
        <v>748353500</v>
      </c>
      <c r="Q20" s="27" cm="1">
        <f t="array" aca="1" ref="Q20" ca="1">_FV(StockReportTable4[[#This Row],[Ticker]],"Volume average",TRUE)</f>
        <v>11219377</v>
      </c>
    </row>
    <row r="21" spans="1:17" ht="15">
      <c r="A21" s="9">
        <f ca="1">IF(ISNUMBER(StockReportTable4[[#This Row],[P/E]]),IF(StockReportTable4[[#This Row],[P/E]]&lt;35,1,2),3)</f>
        <v>1</v>
      </c>
      <c r="B21" s="4" t="e" vm="21">
        <v>#VALUE!</v>
      </c>
      <c r="C21" s="4" t="str" cm="1">
        <f t="array" aca="1" ref="C21" ca="1">_FV(StockReportTable4[[#This Row],[Ticker]],"Official name",TRUE)</f>
        <v>SUPER MICRO COMPUTER, INC.</v>
      </c>
      <c r="D21" s="4" t="str" cm="1">
        <f t="array" aca="1" ref="D21" ca="1">_FV(StockReportTable4[[#This Row],[Ticker]],"Industry")</f>
        <v>Computers, Phones &amp; Household Electronics</v>
      </c>
      <c r="E21" s="4" t="str" cm="1">
        <f t="array" aca="1" ref="E21" ca="1">_FV(StockReportTable4[[#This Row],[Ticker]],"Exchange")</f>
        <v>Nasdaq Stock Market</v>
      </c>
      <c r="F21" s="4" t="str" cm="1">
        <f t="array" aca="1" ref="F21" ca="1">_FV(StockReportTable4[[#This Row],[Ticker]],"Currency")</f>
        <v>USD</v>
      </c>
      <c r="G21" s="5">
        <f t="shared" ca="1" si="0"/>
        <v>46318</v>
      </c>
      <c r="H21" s="33" cm="1">
        <f t="array" aca="1" ref="H21" ca="1">_FV(StockReportTable4[[#This Row],[Ticker]],"Price")</f>
        <v>32.94</v>
      </c>
      <c r="I21" s="21" cm="1">
        <f t="array" aca="1" ref="I21" ca="1">_FV(StockReportTable4[[#This Row],[Ticker]],"Change (%)",TRUE)</f>
        <v>-2.3132E-2</v>
      </c>
      <c r="J21" s="6">
        <f ca="1">(StockReportTable4[[#This Row],[Price @ Date]]-INDEX(_xlfn.STOCKHISTORY(B21,DATE(2025,12,31),G21),2,2))/(INDEX(_xlfn.STOCKHISTORY(B21,DATE(2025,12,31),G21),2,2))</f>
        <v>0.12538435257943281</v>
      </c>
      <c r="K21" s="6">
        <f ca="1">(StockReportTable4[[#This Row],[Price @ Date]]-INDEX(_xlfn.STOCKHISTORY(B21,DATE(2025,12,31),G21),2,2))/(INDEX(_xlfn.STOCKHISTORY(B21,EDATE(StockReportTable4[[#This Row],[Date]],-12),G21),2,2))</f>
        <v>7.6585976627712812E-2</v>
      </c>
      <c r="L21" s="7">
        <f ca="1">(StockReportTable4[[#This Row],[Price @ Date]]-INDEX(_xlfn.STOCKHISTORY(B21,DATE(2025,12,31),G21),2,2))/(INDEX(_xlfn.STOCKHISTORY(B21,EDATE(StockReportTable4[[#This Row],[Date]],-36),G21),2,2))</f>
        <v>0.14398367923417937</v>
      </c>
      <c r="M21" s="8" cm="1">
        <f t="array" aca="1" ref="M21" ca="1">IFERROR(_FV(StockReportTable4[[#This Row],[Ticker]],"P/E",TRUE),"N/A")</f>
        <v>10.7165</v>
      </c>
      <c r="N21" s="18" cm="1">
        <f t="array" aca="1" ref="N21" ca="1">IFERROR(_FV(StockReportTable4[[#This Row],[Ticker]],"52 week high",TRUE),"N/A")</f>
        <v>54.08</v>
      </c>
      <c r="O21" s="18" cm="1">
        <f t="array" aca="1" ref="O21" ca="1">IFERROR(_FV(StockReportTable4[[#This Row],[Ticker]],"52 week low",TRUE),"N/A")</f>
        <v>19.48</v>
      </c>
      <c r="P21" s="22" cm="1">
        <f t="array" aca="1" ref="P21" ca="1">_FV(StockReportTable4[[#This Row],[Ticker]],"Market cap",TRUE)</f>
        <v>21640440276</v>
      </c>
      <c r="Q21" s="27" cm="1">
        <f t="array" aca="1" ref="Q21" ca="1">_FV(StockReportTable4[[#This Row],[Ticker]],"Volume average",TRUE)</f>
        <v>37241363</v>
      </c>
    </row>
    <row r="22" spans="1:17" ht="15">
      <c r="A22" s="9">
        <v>3</v>
      </c>
      <c r="B22" s="4" t="e" vm="22">
        <v>#VALUE!</v>
      </c>
      <c r="C22" s="4" t="str" cm="1">
        <f t="array" aca="1" ref="C22" ca="1">_FV(StockReportTable4[[#This Row],[Ticker]],"Official name",TRUE)</f>
        <v>SOUNDHOUND AI, INC.</v>
      </c>
      <c r="D22" s="4" t="str" cm="1">
        <f t="array" aca="1" ref="D22" ca="1">_FV(StockReportTable4[[#This Row],[Ticker]],"Industry")</f>
        <v>Software &amp; IT Services</v>
      </c>
      <c r="E22" s="4" t="str" cm="1">
        <f t="array" aca="1" ref="E22" ca="1">_FV(StockReportTable4[[#This Row],[Ticker]],"Exchange")</f>
        <v>Nasdaq Stock Market</v>
      </c>
      <c r="F22" s="4" t="str" cm="1">
        <f t="array" aca="1" ref="F22" ca="1">_FV(StockReportTable4[[#This Row],[Ticker]],"Currency")</f>
        <v>USD</v>
      </c>
      <c r="G22" s="5">
        <f t="shared" ca="1" si="0"/>
        <v>46318</v>
      </c>
      <c r="H22" s="33" cm="1">
        <f t="array" aca="1" ref="H22" ca="1">_FV(StockReportTable4[[#This Row],[Ticker]],"Price")</f>
        <v>4.43</v>
      </c>
      <c r="I22" s="21" cm="1">
        <f t="array" aca="1" ref="I22" ca="1">_FV(StockReportTable4[[#This Row],[Ticker]],"Change (%)",TRUE)</f>
        <v>-1.5556E-2</v>
      </c>
      <c r="J22" s="6">
        <f ca="1">(StockReportTable4[[#This Row],[Price @ Date]]-INDEX(_xlfn.STOCKHISTORY(B22,DATE(2025,12,31),G22),2,2))/(INDEX(_xlfn.STOCKHISTORY(B22,DATE(2025,12,31),G22),2,2))</f>
        <v>-0.55566700100300903</v>
      </c>
      <c r="K22" s="6">
        <f ca="1">(StockReportTable4[[#This Row],[Price @ Date]]-INDEX(_xlfn.STOCKHISTORY(B22,DATE(2025,12,31),G22),2,2))/(INDEX(_xlfn.STOCKHISTORY(B22,EDATE(StockReportTable4[[#This Row],[Date]],-12),G22),2,2))</f>
        <v>-0.30372807017543868</v>
      </c>
      <c r="L22" s="7">
        <f ca="1">(StockReportTable4[[#This Row],[Price @ Date]]-INDEX(_xlfn.STOCKHISTORY(B22,DATE(2025,12,31),G22),2,2))/(INDEX(_xlfn.STOCKHISTORY(B22,EDATE(StockReportTable4[[#This Row],[Date]],-36),G22),2,2))</f>
        <v>-3.3780487804878057</v>
      </c>
      <c r="M22" s="8" cm="1">
        <f t="array" aca="1" ref="M22" ca="1">IFERROR(_FV(StockReportTable4[[#This Row],[Ticker]],"P/E",TRUE),"N/A")</f>
        <v>0</v>
      </c>
      <c r="N22" s="18" cm="1">
        <f t="array" aca="1" ref="N22" ca="1">IFERROR(_FV(StockReportTable4[[#This Row],[Ticker]],"52 week high",TRUE),"N/A")</f>
        <v>19.09</v>
      </c>
      <c r="O22" s="18" cm="1">
        <f t="array" aca="1" ref="O22" ca="1">IFERROR(_FV(StockReportTable4[[#This Row],[Ticker]],"52 week low",TRUE),"N/A")</f>
        <v>4.3499999999999996</v>
      </c>
      <c r="P22" s="22" t="e" cm="1" vm="2">
        <f t="array" ref="P22">_FV(StockReportTable4[[#This Row],[Ticker]],"Market cap",TRUE)</f>
        <v>#VALUE!</v>
      </c>
      <c r="Q22" s="27" cm="1">
        <f t="array" aca="1" ref="Q22" ca="1">_FV(StockReportTable4[[#This Row],[Ticker]],"Volume average",TRUE)</f>
        <v>15511427</v>
      </c>
    </row>
    <row r="23" spans="1:17" ht="15">
      <c r="A23" s="9">
        <f>IF(ISNUMBER(StockReportTable4[[#This Row],[P/E]]),IF(StockReportTable4[[#This Row],[P/E]]&lt;35,1,2),3)</f>
        <v>3</v>
      </c>
      <c r="B23" s="4" t="e" vm="23">
        <v>#VALUE!</v>
      </c>
      <c r="C23" s="4" t="str" cm="1">
        <f t="array" aca="1" ref="C23" ca="1">_FV(StockReportTable4[[#This Row],[Ticker]],"Official name",TRUE)</f>
        <v>ZETA GLOBAL HOLDINGS CORP.</v>
      </c>
      <c r="D23" s="4" t="str" cm="1">
        <f t="array" aca="1" ref="D23" ca="1">_FV(StockReportTable4[[#This Row],[Ticker]],"Industry")</f>
        <v>Software &amp; IT Services</v>
      </c>
      <c r="E23" s="4" t="str" cm="1">
        <f t="array" aca="1" ref="E23" ca="1">_FV(StockReportTable4[[#This Row],[Ticker]],"Exchange")</f>
        <v>New York Stock Exchange</v>
      </c>
      <c r="F23" s="4" t="str" cm="1">
        <f t="array" aca="1" ref="F23" ca="1">_FV(StockReportTable4[[#This Row],[Ticker]],"Currency")</f>
        <v>USD</v>
      </c>
      <c r="G23" s="5">
        <f t="shared" ca="1" si="0"/>
        <v>46318</v>
      </c>
      <c r="H23" s="33" cm="1">
        <f t="array" aca="1" ref="H23" ca="1">_FV(StockReportTable4[[#This Row],[Ticker]],"Price")</f>
        <v>33.99</v>
      </c>
      <c r="I23" s="21" cm="1">
        <f t="array" aca="1" ref="I23" ca="1">_FV(StockReportTable4[[#This Row],[Ticker]],"Change (%)",TRUE)</f>
        <v>1.4020999999999999E-2</v>
      </c>
      <c r="J23" s="6">
        <f ca="1">(StockReportTable4[[#This Row],[Price @ Date]]-INDEX(_xlfn.STOCKHISTORY(B23,DATE(2025,12,31),G23),2,2))/(INDEX(_xlfn.STOCKHISTORY(B23,DATE(2025,12,31),G23),2,2))</f>
        <v>0.6702702702702702</v>
      </c>
      <c r="K23" s="6">
        <f ca="1">(StockReportTable4[[#This Row],[Price @ Date]]-INDEX(_xlfn.STOCKHISTORY(B23,DATE(2025,12,31),G23),2,2))/(INDEX(_xlfn.STOCKHISTORY(B23,EDATE(StockReportTable4[[#This Row],[Date]],-12),G23),2,2))</f>
        <v>0.72980203317281966</v>
      </c>
      <c r="L23" s="7">
        <f ca="1">(StockReportTable4[[#This Row],[Price @ Date]]-INDEX(_xlfn.STOCKHISTORY(B23,DATE(2025,12,31),G23),2,2))/(INDEX(_xlfn.STOCKHISTORY(B23,EDATE(StockReportTable4[[#This Row],[Date]],-36),G23),2,2))</f>
        <v>1.7464788732394367</v>
      </c>
      <c r="M23" s="8" t="str" cm="1">
        <f t="array" ref="M23">IFERROR(_FV(StockReportTable4[[#This Row],[Ticker]],"P/E",TRUE),"N/A")</f>
        <v>N/A</v>
      </c>
      <c r="N23" s="18" cm="1">
        <f t="array" aca="1" ref="N23" ca="1">IFERROR(_FV(StockReportTable4[[#This Row],[Ticker]],"52 week high",TRUE),"N/A")</f>
        <v>35.75</v>
      </c>
      <c r="O23" s="18" cm="1">
        <f t="array" aca="1" ref="O23" ca="1">IFERROR(_FV(StockReportTable4[[#This Row],[Ticker]],"52 week low",TRUE),"N/A")</f>
        <v>14.365</v>
      </c>
      <c r="P23" s="22" t="e" cm="1" vm="2">
        <f t="array" ref="P23">_FV(StockReportTable4[[#This Row],[Ticker]],"Market cap",TRUE)</f>
        <v>#VALUE!</v>
      </c>
      <c r="Q23" s="27" cm="1">
        <f t="array" aca="1" ref="Q23" ca="1">_FV(StockReportTable4[[#This Row],[Ticker]],"Volume average",TRUE)</f>
        <v>6243132</v>
      </c>
    </row>
    <row r="24" spans="1:17" ht="15">
      <c r="A24" s="9">
        <v>3</v>
      </c>
      <c r="B24" s="4" t="e" vm="24">
        <v>#VALUE!</v>
      </c>
      <c r="C24" s="4" t="str" cm="1">
        <f t="array" aca="1" ref="C24" ca="1">_FV(StockReportTable4[[#This Row],[Ticker]],"Official name",TRUE)</f>
        <v>TEMPUS AI, INC.</v>
      </c>
      <c r="D24" s="4" t="str" cm="1">
        <f t="array" aca="1" ref="D24" ca="1">_FV(StockReportTable4[[#This Row],[Ticker]],"Industry")</f>
        <v>Biotechnology &amp; Medical Research</v>
      </c>
      <c r="E24" s="4" t="str" cm="1">
        <f t="array" aca="1" ref="E24" ca="1">_FV(StockReportTable4[[#This Row],[Ticker]],"Exchange")</f>
        <v>Nasdaq Stock Market</v>
      </c>
      <c r="F24" s="4" t="str" cm="1">
        <f t="array" aca="1" ref="F24" ca="1">_FV(StockReportTable4[[#This Row],[Ticker]],"Currency")</f>
        <v>USD</v>
      </c>
      <c r="G24" s="5">
        <f t="shared" ca="1" si="0"/>
        <v>46318</v>
      </c>
      <c r="H24" s="33" cm="1">
        <f t="array" aca="1" ref="H24" ca="1">_FV(StockReportTable4[[#This Row],[Ticker]],"Price")</f>
        <v>67.614999999999995</v>
      </c>
      <c r="I24" s="21" cm="1">
        <f t="array" aca="1" ref="I24" ca="1">_FV(StockReportTable4[[#This Row],[Ticker]],"Change (%)",TRUE)</f>
        <v>5.9630000000000002E-2</v>
      </c>
      <c r="J24" s="6">
        <f ca="1">(StockReportTable4[[#This Row],[Price @ Date]]-INDEX(_xlfn.STOCKHISTORY(B24,DATE(2025,12,31),G24),2,2))/(INDEX(_xlfn.STOCKHISTORY(B24,DATE(2025,12,31),G24),2,2))</f>
        <v>0.1450465707027942</v>
      </c>
      <c r="K24" s="6">
        <f ca="1">(StockReportTable4[[#This Row],[Price @ Date]]-INDEX(_xlfn.STOCKHISTORY(B24,DATE(2025,12,31),G24),2,2))/(INDEX(_xlfn.STOCKHISTORY(B24,EDATE(StockReportTable4[[#This Row],[Date]],-12),G24),2,2))</f>
        <v>9.8408686160739917E-2</v>
      </c>
      <c r="L24" s="7" t="e" vm="25">
        <f ca="1">(StockReportTable4[[#This Row],[Price @ Date]]-INDEX(_xlfn.STOCKHISTORY(B24,DATE(2025,12,31),G24),2,2))/(INDEX(_xlfn.STOCKHISTORY(B24,EDATE(StockReportTable4[[#This Row],[Date]],-36),G24),2,2))</f>
        <v>#N/A</v>
      </c>
      <c r="M24" s="8" cm="1">
        <f t="array" aca="1" ref="M24" ca="1">IFERROR(_FV(StockReportTable4[[#This Row],[Ticker]],"P/E",TRUE),"N/A")</f>
        <v>0</v>
      </c>
      <c r="N24" s="18" cm="1">
        <f t="array" aca="1" ref="N24" ca="1">IFERROR(_FV(StockReportTable4[[#This Row],[Ticker]],"52 week high",TRUE),"N/A")</f>
        <v>93.38</v>
      </c>
      <c r="O24" s="18" cm="1">
        <f t="array" aca="1" ref="O24" ca="1">IFERROR(_FV(StockReportTable4[[#This Row],[Ticker]],"52 week low",TRUE),"N/A")</f>
        <v>40.770000000000003</v>
      </c>
      <c r="P24" s="22" t="e" cm="1" vm="2">
        <f t="array" ref="P24">_FV(StockReportTable4[[#This Row],[Ticker]],"Market cap",TRUE)</f>
        <v>#VALUE!</v>
      </c>
      <c r="Q24" s="27" cm="1">
        <f t="array" aca="1" ref="Q24" ca="1">_FV(StockReportTable4[[#This Row],[Ticker]],"Volume average",TRUE)</f>
        <v>6742500</v>
      </c>
    </row>
    <row r="25" spans="1:17" ht="15">
      <c r="A25" s="9">
        <v>3</v>
      </c>
      <c r="B25" s="4" t="e" vm="26">
        <v>#VALUE!</v>
      </c>
      <c r="C25" s="4" t="str" cm="1">
        <f t="array" aca="1" ref="C25" ca="1">_FV(StockReportTable4[[#This Row],[Ticker]],"Official name",TRUE)</f>
        <v>HIMS &amp; HERS HEALTH, INC.</v>
      </c>
      <c r="D25" s="4" t="str" cm="1">
        <f t="array" aca="1" ref="D25" ca="1">_FV(StockReportTable4[[#This Row],[Ticker]],"Industry")</f>
        <v>Healthcare Providers &amp; Services</v>
      </c>
      <c r="E25" s="4" t="str" cm="1">
        <f t="array" aca="1" ref="E25" ca="1">_FV(StockReportTable4[[#This Row],[Ticker]],"Exchange")</f>
        <v>New York Stock Exchange</v>
      </c>
      <c r="F25" s="4" t="str" cm="1">
        <f t="array" aca="1" ref="F25" ca="1">_FV(StockReportTable4[[#This Row],[Ticker]],"Currency")</f>
        <v>USD</v>
      </c>
      <c r="G25" s="5">
        <f t="shared" ca="1" si="0"/>
        <v>46318</v>
      </c>
      <c r="H25" s="33" cm="1">
        <f t="array" aca="1" ref="H25" ca="1">_FV(StockReportTable4[[#This Row],[Ticker]],"Price")</f>
        <v>27.71</v>
      </c>
      <c r="I25" s="21" cm="1">
        <f t="array" aca="1" ref="I25" ca="1">_FV(StockReportTable4[[#This Row],[Ticker]],"Change (%)",TRUE)</f>
        <v>-4.8746999999999999E-2</v>
      </c>
      <c r="J25" s="6">
        <f ca="1">(StockReportTable4[[#This Row],[Price @ Date]]-INDEX(_xlfn.STOCKHISTORY(B25,DATE(2025,12,31),G25),2,2))/(INDEX(_xlfn.STOCKHISTORY(B25,DATE(2025,12,31),G25),2,2))</f>
        <v>-0.14659685863874339</v>
      </c>
      <c r="K25" s="6">
        <f ca="1">(StockReportTable4[[#This Row],[Price @ Date]]-INDEX(_xlfn.STOCKHISTORY(B25,DATE(2025,12,31),G25),2,2))/(INDEX(_xlfn.STOCKHISTORY(B25,EDATE(StockReportTable4[[#This Row],[Date]],-12),G25),2,2))</f>
        <v>-9.8164570014435917E-2</v>
      </c>
      <c r="L25" s="7">
        <f ca="1">(StockReportTable4[[#This Row],[Price @ Date]]-INDEX(_xlfn.STOCKHISTORY(B25,DATE(2025,12,31),G25),2,2))/(INDEX(_xlfn.STOCKHISTORY(B25,EDATE(StockReportTable4[[#This Row],[Date]],-36),G25),2,2))</f>
        <v>-0.76898222940226135</v>
      </c>
      <c r="M25" s="8" t="str" cm="1">
        <f t="array" ref="M25">IFERROR(_FV(StockReportTable4[[#This Row],[Ticker]],"P/E",TRUE),"N/A")</f>
        <v>N/A</v>
      </c>
      <c r="N25" s="18" cm="1">
        <f t="array" aca="1" ref="N25" ca="1">IFERROR(_FV(StockReportTable4[[#This Row],[Ticker]],"52 week high",TRUE),"N/A")</f>
        <v>50.99</v>
      </c>
      <c r="O25" s="18" cm="1">
        <f t="array" aca="1" ref="O25" ca="1">IFERROR(_FV(StockReportTable4[[#This Row],[Ticker]],"52 week low",TRUE),"N/A")</f>
        <v>13.74</v>
      </c>
      <c r="P25" s="22" t="e" cm="1" vm="2">
        <f t="array" ref="P25">_FV(StockReportTable4[[#This Row],[Ticker]],"Market cap",TRUE)</f>
        <v>#VALUE!</v>
      </c>
      <c r="Q25" s="27" cm="1">
        <f t="array" aca="1" ref="Q25" ca="1">_FV(StockReportTable4[[#This Row],[Ticker]],"Volume average",TRUE)</f>
        <v>10396731</v>
      </c>
    </row>
    <row r="26" spans="1:17" ht="15">
      <c r="A26" s="9">
        <f ca="1">IF(ISNUMBER(StockReportTable4[[#This Row],[P/E]]),IF(StockReportTable4[[#This Row],[P/E]]&lt;35,1,2),3)</f>
        <v>2</v>
      </c>
      <c r="B26" s="4" t="e" vm="27">
        <v>#VALUE!</v>
      </c>
      <c r="C26" s="4" t="str" cm="1">
        <f t="array" aca="1" ref="C26" ca="1">_FV(StockReportTable4[[#This Row],[Ticker]],"Official name",TRUE)</f>
        <v>VERTIV HOLDINGS CO</v>
      </c>
      <c r="D26" s="4" t="str" cm="1">
        <f t="array" aca="1" ref="D26" ca="1">_FV(StockReportTable4[[#This Row],[Ticker]],"Industry")</f>
        <v>Machinery, Equipment &amp; Components</v>
      </c>
      <c r="E26" s="4" t="str" cm="1">
        <f t="array" aca="1" ref="E26" ca="1">_FV(StockReportTable4[[#This Row],[Ticker]],"Exchange")</f>
        <v>New York Stock Exchange</v>
      </c>
      <c r="F26" s="4" t="str" cm="1">
        <f t="array" aca="1" ref="F26" ca="1">_FV(StockReportTable4[[#This Row],[Ticker]],"Currency")</f>
        <v>USD</v>
      </c>
      <c r="G26" s="5">
        <f t="shared" ca="1" si="0"/>
        <v>46318</v>
      </c>
      <c r="H26" s="33" cm="1">
        <f t="array" aca="1" ref="H26" ca="1">_FV(StockReportTable4[[#This Row],[Ticker]],"Price")</f>
        <v>194.32</v>
      </c>
      <c r="I26" s="21" cm="1">
        <f t="array" aca="1" ref="I26" ca="1">_FV(StockReportTable4[[#This Row],[Ticker]],"Change (%)",TRUE)</f>
        <v>-6.4929999999999996E-3</v>
      </c>
      <c r="J26" s="6">
        <f ca="1">(StockReportTable4[[#This Row],[Price @ Date]]-INDEX(_xlfn.STOCKHISTORY(B26,DATE(2025,12,31),G26),2,2))/(INDEX(_xlfn.STOCKHISTORY(B26,DATE(2025,12,31),G26),2,2))</f>
        <v>0.1994321338189001</v>
      </c>
      <c r="K26" s="6">
        <f ca="1">(StockReportTable4[[#This Row],[Price @ Date]]-INDEX(_xlfn.STOCKHISTORY(B26,DATE(2025,12,31),G26),2,2))/(INDEX(_xlfn.STOCKHISTORY(B26,EDATE(StockReportTable4[[#This Row],[Date]],-12),G26),2,2))</f>
        <v>0.17636462882096071</v>
      </c>
      <c r="L26" s="7">
        <f ca="1">(StockReportTable4[[#This Row],[Price @ Date]]-INDEX(_xlfn.STOCKHISTORY(B26,DATE(2025,12,31),G26),2,2))/(INDEX(_xlfn.STOCKHISTORY(B26,EDATE(StockReportTable4[[#This Row],[Date]],-36),G26),2,2))</f>
        <v>0.86645213193885773</v>
      </c>
      <c r="M26" s="8" cm="1">
        <f t="array" aca="1" ref="M26" ca="1">IFERROR(_FV(StockReportTable4[[#This Row],[Ticker]],"P/E",TRUE),"N/A")</f>
        <v>44.2622</v>
      </c>
      <c r="N26" s="18" cm="1">
        <f t="array" aca="1" ref="N26" ca="1">IFERROR(_FV(StockReportTable4[[#This Row],[Ticker]],"52 week high",TRUE),"N/A")</f>
        <v>379.935</v>
      </c>
      <c r="O26" s="18" cm="1">
        <f t="array" aca="1" ref="O26" ca="1">IFERROR(_FV(StockReportTable4[[#This Row],[Ticker]],"52 week low",TRUE),"N/A")</f>
        <v>147.82</v>
      </c>
      <c r="P26" s="22" t="e" cm="1" vm="2">
        <f t="array" ref="P26">_FV(StockReportTable4[[#This Row],[Ticker]],"Market cap",TRUE)</f>
        <v>#VALUE!</v>
      </c>
      <c r="Q26" s="27" cm="1">
        <f t="array" aca="1" ref="Q26" ca="1">_FV(StockReportTable4[[#This Row],[Ticker]],"Volume average",TRUE)</f>
        <v>5265947</v>
      </c>
    </row>
    <row r="27" spans="1:17" ht="15">
      <c r="A27" s="9">
        <v>3</v>
      </c>
      <c r="B27" s="4" t="e" vm="28">
        <v>#VALUE!</v>
      </c>
      <c r="C27" s="4" t="str" cm="1">
        <f t="array" aca="1" ref="C27" ca="1">_FV(StockReportTable4[[#This Row],[Ticker]],"Official name",TRUE)</f>
        <v>Jumia Technologies AG</v>
      </c>
      <c r="D27" s="4" t="str" cm="1">
        <f t="array" aca="1" ref="D27" ca="1">_FV(StockReportTable4[[#This Row],[Ticker]],"Industry")</f>
        <v>Software &amp; IT Services</v>
      </c>
      <c r="E27" s="4" t="str" cm="1">
        <f t="array" aca="1" ref="E27" ca="1">_FV(StockReportTable4[[#This Row],[Ticker]],"Exchange")</f>
        <v>New York Stock Exchange</v>
      </c>
      <c r="F27" s="4" t="str" cm="1">
        <f t="array" aca="1" ref="F27" ca="1">_FV(StockReportTable4[[#This Row],[Ticker]],"Currency")</f>
        <v>USD</v>
      </c>
      <c r="G27" s="5">
        <f t="shared" ca="1" si="0"/>
        <v>46318</v>
      </c>
      <c r="H27" s="33" cm="1">
        <f t="array" aca="1" ref="H27" ca="1">_FV(StockReportTable4[[#This Row],[Ticker]],"Price")</f>
        <v>5.7</v>
      </c>
      <c r="I27" s="21" cm="1">
        <f t="array" aca="1" ref="I27" ca="1">_FV(StockReportTable4[[#This Row],[Ticker]],"Change (%)",TRUE)</f>
        <v>-3.5533000000000002E-2</v>
      </c>
      <c r="J27" s="6">
        <f ca="1">(StockReportTable4[[#This Row],[Price @ Date]]-INDEX(_xlfn.STOCKHISTORY(B27,DATE(2025,12,31),G27),2,2))/(INDEX(_xlfn.STOCKHISTORY(B27,DATE(2025,12,31),G27),2,2))</f>
        <v>-0.54363490792634106</v>
      </c>
      <c r="K27" s="6">
        <f ca="1">(StockReportTable4[[#This Row],[Price @ Date]]-INDEX(_xlfn.STOCKHISTORY(B27,DATE(2025,12,31),G27),2,2))/(INDEX(_xlfn.STOCKHISTORY(B27,EDATE(StockReportTable4[[#This Row],[Date]],-12),G27),2,2))</f>
        <v>-0.63517305893358278</v>
      </c>
      <c r="L27" s="7">
        <f ca="1">(StockReportTable4[[#This Row],[Price @ Date]]-INDEX(_xlfn.STOCKHISTORY(B27,DATE(2025,12,31),G27),2,2))/(INDEX(_xlfn.STOCKHISTORY(B27,EDATE(StockReportTable4[[#This Row],[Date]],-36),G27),2,2))</f>
        <v>-2.9521739130434783</v>
      </c>
      <c r="M27" s="8" t="str" cm="1">
        <f t="array" ref="M27">IFERROR(_FV(StockReportTable4[[#This Row],[Ticker]],"P/E",TRUE),"N/A")</f>
        <v>N/A</v>
      </c>
      <c r="N27" s="18" cm="1">
        <f t="array" aca="1" ref="N27" ca="1">IFERROR(_FV(StockReportTable4[[#This Row],[Ticker]],"52 week high",TRUE),"N/A")</f>
        <v>14.72</v>
      </c>
      <c r="O27" s="18" cm="1">
        <f t="array" aca="1" ref="O27" ca="1">IFERROR(_FV(StockReportTable4[[#This Row],[Ticker]],"52 week low",TRUE),"N/A")</f>
        <v>5.585</v>
      </c>
      <c r="P27" s="22" t="e" cm="1" vm="2">
        <f t="array" ref="P27">_FV(StockReportTable4[[#This Row],[Ticker]],"Market cap",TRUE)</f>
        <v>#VALUE!</v>
      </c>
      <c r="Q27" s="27" cm="1">
        <f t="array" aca="1" ref="Q27" ca="1">_FV(StockReportTable4[[#This Row],[Ticker]],"Volume average",TRUE)</f>
        <v>1363079</v>
      </c>
    </row>
    <row r="28" spans="1:17" ht="15">
      <c r="A28" s="9">
        <v>3</v>
      </c>
      <c r="B28" s="4" t="e" vm="29">
        <v>#VALUE!</v>
      </c>
      <c r="C28" s="4" t="str" cm="1">
        <f t="array" aca="1" ref="C28" ca="1">_FV(StockReportTable4[[#This Row],[Ticker]],"Official name",TRUE)</f>
        <v>ESTABLISHMENT LABS HOLDINGS INC.</v>
      </c>
      <c r="D28" s="4" t="str" cm="1">
        <f t="array" aca="1" ref="D28" ca="1">_FV(StockReportTable4[[#This Row],[Ticker]],"Industry")</f>
        <v>Healthcare Equipment &amp; Supplies</v>
      </c>
      <c r="E28" s="4" t="str" cm="1">
        <f t="array" aca="1" ref="E28" ca="1">_FV(StockReportTable4[[#This Row],[Ticker]],"Exchange")</f>
        <v>Nasdaq Stock Market</v>
      </c>
      <c r="F28" s="4" t="str" cm="1">
        <f t="array" aca="1" ref="F28" ca="1">_FV(StockReportTable4[[#This Row],[Ticker]],"Currency")</f>
        <v>USD</v>
      </c>
      <c r="G28" s="5">
        <f t="shared" ca="1" si="0"/>
        <v>46318</v>
      </c>
      <c r="H28" s="33" cm="1">
        <f t="array" aca="1" ref="H28" ca="1">_FV(StockReportTable4[[#This Row],[Ticker]],"Price")</f>
        <v>63.8</v>
      </c>
      <c r="I28" s="21" cm="1">
        <f t="array" aca="1" ref="I28" ca="1">_FV(StockReportTable4[[#This Row],[Ticker]],"Change (%)",TRUE)</f>
        <v>4.4080000000000005E-3</v>
      </c>
      <c r="J28" s="6">
        <f ca="1">(StockReportTable4[[#This Row],[Price @ Date]]-INDEX(_xlfn.STOCKHISTORY(B28,DATE(2025,12,31),G28),2,2))/(INDEX(_xlfn.STOCKHISTORY(B28,DATE(2025,12,31),G28),2,2))</f>
        <v>-0.12458836443468714</v>
      </c>
      <c r="K28" s="6">
        <f ca="1">(StockReportTable4[[#This Row],[Price @ Date]]-INDEX(_xlfn.STOCKHISTORY(B28,DATE(2025,12,31),G28),2,2))/(INDEX(_xlfn.STOCKHISTORY(B28,EDATE(StockReportTable4[[#This Row],[Date]],-12),G28),2,2))</f>
        <v>-0.18310143174027016</v>
      </c>
      <c r="L28" s="7">
        <f ca="1">(StockReportTable4[[#This Row],[Price @ Date]]-INDEX(_xlfn.STOCKHISTORY(B28,DATE(2025,12,31),G28),2,2))/(INDEX(_xlfn.STOCKHISTORY(B28,EDATE(StockReportTable4[[#This Row],[Date]],-36),G28),2,2))</f>
        <v>-0.27023809523809517</v>
      </c>
      <c r="M28" s="8" cm="1">
        <f t="array" aca="1" ref="M28" ca="1">IFERROR(_FV(StockReportTable4[[#This Row],[Ticker]],"P/E",TRUE),"N/A")</f>
        <v>0</v>
      </c>
      <c r="N28" s="18" cm="1">
        <f t="array" aca="1" ref="N28" ca="1">IFERROR(_FV(StockReportTable4[[#This Row],[Ticker]],"52 week high",TRUE),"N/A")</f>
        <v>97.59</v>
      </c>
      <c r="O28" s="18" cm="1">
        <f t="array" aca="1" ref="O28" ca="1">IFERROR(_FV(StockReportTable4[[#This Row],[Ticker]],"52 week low",TRUE),"N/A")</f>
        <v>47</v>
      </c>
      <c r="P28" s="22" t="e" cm="1" vm="2">
        <f t="array" ref="P28">_FV(StockReportTable4[[#This Row],[Ticker]],"Market cap",TRUE)</f>
        <v>#VALUE!</v>
      </c>
      <c r="Q28" s="27" cm="1">
        <f t="array" aca="1" ref="Q28" ca="1">_FV(StockReportTable4[[#This Row],[Ticker]],"Volume average",TRUE)</f>
        <v>399043</v>
      </c>
    </row>
    <row r="29" spans="1:17" ht="15">
      <c r="A29" s="9">
        <f>IF(ISNUMBER(StockReportTable4[[#This Row],[P/E]]),IF(StockReportTable4[[#This Row],[P/E]]&lt;35,1,2),3)</f>
        <v>3</v>
      </c>
      <c r="B29" s="4" t="e" vm="30">
        <v>#VALUE!</v>
      </c>
      <c r="C29" s="4" t="str" cm="1">
        <f t="array" aca="1" ref="C29" ca="1">_FV(StockReportTable4[[#This Row],[Ticker]],"Official name",TRUE)</f>
        <v>IONQ, INC.</v>
      </c>
      <c r="D29" s="4" t="str" cm="1">
        <f t="array" aca="1" ref="D29" ca="1">_FV(StockReportTable4[[#This Row],[Ticker]],"Industry")</f>
        <v>Computers, Phones &amp; Household Electronics</v>
      </c>
      <c r="E29" s="4" t="str" cm="1">
        <f t="array" aca="1" ref="E29" ca="1">_FV(StockReportTable4[[#This Row],[Ticker]],"Exchange")</f>
        <v>New York Stock Exchange</v>
      </c>
      <c r="F29" s="4" t="str" cm="1">
        <f t="array" aca="1" ref="F29" ca="1">_FV(StockReportTable4[[#This Row],[Ticker]],"Currency")</f>
        <v>USD</v>
      </c>
      <c r="G29" s="5">
        <f t="shared" ca="1" si="0"/>
        <v>46318</v>
      </c>
      <c r="H29" s="33" cm="1">
        <f t="array" aca="1" ref="H29" ca="1">_FV(StockReportTable4[[#This Row],[Ticker]],"Price")</f>
        <v>31.27</v>
      </c>
      <c r="I29" s="21" cm="1">
        <f t="array" aca="1" ref="I29" ca="1">_FV(StockReportTable4[[#This Row],[Ticker]],"Change (%)",TRUE)</f>
        <v>3.5299999999999997E-3</v>
      </c>
      <c r="J29" s="6">
        <f ca="1">(StockReportTable4[[#This Row],[Price @ Date]]-INDEX(_xlfn.STOCKHISTORY(B29,DATE(2025,12,31),G29),2,2))/(INDEX(_xlfn.STOCKHISTORY(B29,DATE(2025,12,31),G29),2,2))</f>
        <v>-0.30309783819924224</v>
      </c>
      <c r="K29" s="6">
        <f ca="1">(StockReportTable4[[#This Row],[Price @ Date]]-INDEX(_xlfn.STOCKHISTORY(B29,DATE(2025,12,31),G29),2,2))/(INDEX(_xlfn.STOCKHISTORY(B29,EDATE(StockReportTable4[[#This Row],[Date]],-12),G29),2,2))</f>
        <v>-0.22907192184605016</v>
      </c>
      <c r="L29" s="7">
        <f ca="1">(StockReportTable4[[#This Row],[Price @ Date]]-INDEX(_xlfn.STOCKHISTORY(B29,DATE(2025,12,31),G29),2,2))/(INDEX(_xlfn.STOCKHISTORY(B29,EDATE(StockReportTable4[[#This Row],[Date]],-36),G29),2,2))</f>
        <v>-1.0759493670886073</v>
      </c>
      <c r="M29" s="8" t="str" cm="1">
        <f t="array" ref="M29">IFERROR(_FV(StockReportTable4[[#This Row],[Ticker]],"P/E",TRUE),"N/A")</f>
        <v>N/A</v>
      </c>
      <c r="N29" s="18" cm="1">
        <f t="array" aca="1" ref="N29" ca="1">IFERROR(_FV(StockReportTable4[[#This Row],[Ticker]],"52 week high",TRUE),"N/A")</f>
        <v>73.650000000000006</v>
      </c>
      <c r="O29" s="18" cm="1">
        <f t="array" aca="1" ref="O29" ca="1">IFERROR(_FV(StockReportTable4[[#This Row],[Ticker]],"52 week low",TRUE),"N/A")</f>
        <v>25.89</v>
      </c>
      <c r="P29" s="22" cm="1">
        <f t="array" aca="1" ref="P29" ca="1">_FV(StockReportTable4[[#This Row],[Ticker]],"Market cap",TRUE)</f>
        <v>13427578779</v>
      </c>
      <c r="Q29" s="27" cm="1">
        <f t="array" aca="1" ref="Q29" ca="1">_FV(StockReportTable4[[#This Row],[Ticker]],"Volume average",TRUE)</f>
        <v>26339638</v>
      </c>
    </row>
    <row r="30" spans="1:17" ht="15">
      <c r="A30" s="9">
        <v>3</v>
      </c>
      <c r="B30" s="4" t="e" vm="31">
        <v>#VALUE!</v>
      </c>
      <c r="C30" s="4" t="str" cm="1">
        <f t="array" aca="1" ref="C30" ca="1">_FV(StockReportTable4[[#This Row],[Ticker]],"Official name",TRUE)</f>
        <v>RIGETTI COMPUTING, INC.</v>
      </c>
      <c r="D30" s="4" t="str" cm="1">
        <f t="array" aca="1" ref="D30" ca="1">_FV(StockReportTable4[[#This Row],[Ticker]],"Industry")</f>
        <v>Semiconductors &amp; Semiconductor Equipment</v>
      </c>
      <c r="E30" s="4" t="str" cm="1">
        <f t="array" aca="1" ref="E30" ca="1">_FV(StockReportTable4[[#This Row],[Ticker]],"Exchange")</f>
        <v>Nasdaq Stock Market</v>
      </c>
      <c r="F30" s="4" t="str" cm="1">
        <f t="array" aca="1" ref="F30" ca="1">_FV(StockReportTable4[[#This Row],[Ticker]],"Currency")</f>
        <v>USD</v>
      </c>
      <c r="G30" s="5">
        <f t="shared" ca="1" si="0"/>
        <v>46318</v>
      </c>
      <c r="H30" s="33" cm="1">
        <f t="array" aca="1" ref="H30" ca="1">_FV(StockReportTable4[[#This Row],[Ticker]],"Price")</f>
        <v>11.52</v>
      </c>
      <c r="I30" s="21" cm="1">
        <f t="array" aca="1" ref="I30" ca="1">_FV(StockReportTable4[[#This Row],[Ticker]],"Change (%)",TRUE)</f>
        <v>3.4839999999999997E-3</v>
      </c>
      <c r="J30" s="6">
        <f ca="1">(StockReportTable4[[#This Row],[Price @ Date]]-INDEX(_xlfn.STOCKHISTORY(B30,DATE(2025,12,31),G30),2,2))/(INDEX(_xlfn.STOCKHISTORY(B30,DATE(2025,12,31),G30),2,2))</f>
        <v>-0.47990970654627541</v>
      </c>
      <c r="K30" s="6">
        <f ca="1">(StockReportTable4[[#This Row],[Price @ Date]]-INDEX(_xlfn.STOCKHISTORY(B30,DATE(2025,12,31),G30),2,2))/(INDEX(_xlfn.STOCKHISTORY(B30,EDATE(StockReportTable4[[#This Row],[Date]],-12),G30),2,2))</f>
        <v>-0.26846824093951255</v>
      </c>
      <c r="L30" s="7">
        <f ca="1">(StockReportTable4[[#This Row],[Price @ Date]]-INDEX(_xlfn.STOCKHISTORY(B30,DATE(2025,12,31),G30),2,2))/(INDEX(_xlfn.STOCKHISTORY(B30,EDATE(StockReportTable4[[#This Row],[Date]],-36),G30),2,2))</f>
        <v>-9.1637931034482758</v>
      </c>
      <c r="M30" s="8" cm="1">
        <f t="array" aca="1" ref="M30" ca="1">IFERROR(_FV(StockReportTable4[[#This Row],[Ticker]],"P/E",TRUE),"N/A")</f>
        <v>0</v>
      </c>
      <c r="N30" s="18" cm="1">
        <f t="array" aca="1" ref="N30" ca="1">IFERROR(_FV(StockReportTable4[[#This Row],[Ticker]],"52 week high",TRUE),"N/A")</f>
        <v>44.52</v>
      </c>
      <c r="O30" s="18" cm="1">
        <f t="array" aca="1" ref="O30" ca="1">IFERROR(_FV(StockReportTable4[[#This Row],[Ticker]],"52 week low",TRUE),"N/A")</f>
        <v>11.11</v>
      </c>
      <c r="P30" s="22" cm="1">
        <f t="array" aca="1" ref="P30" ca="1">_FV(StockReportTable4[[#This Row],[Ticker]],"Market cap",TRUE)</f>
        <v>3845015424</v>
      </c>
      <c r="Q30" s="27" cm="1">
        <f t="array" aca="1" ref="Q30" ca="1">_FV(StockReportTable4[[#This Row],[Ticker]],"Volume average",TRUE)</f>
        <v>15651683</v>
      </c>
    </row>
    <row r="31" spans="1:17" ht="15">
      <c r="A31" s="9">
        <v>3</v>
      </c>
      <c r="B31" s="4" t="e" vm="32">
        <v>#VALUE!</v>
      </c>
      <c r="C31" s="4" t="str" cm="1">
        <f t="array" aca="1" ref="C31" ca="1">_FV(StockReportTable4[[#This Row],[Ticker]],"Official name",TRUE)</f>
        <v>D-WAVE QUANTUM INC.</v>
      </c>
      <c r="D31" s="4" t="str" cm="1">
        <f t="array" aca="1" ref="D31" ca="1">_FV(StockReportTable4[[#This Row],[Ticker]],"Industry")</f>
        <v>Software &amp; IT Services</v>
      </c>
      <c r="E31" s="4" t="str" cm="1">
        <f t="array" aca="1" ref="E31" ca="1">_FV(StockReportTable4[[#This Row],[Ticker]],"Exchange")</f>
        <v>Nasdaq Stock Market</v>
      </c>
      <c r="F31" s="4" t="str" cm="1">
        <f t="array" aca="1" ref="F31" ca="1">_FV(StockReportTable4[[#This Row],[Ticker]],"Currency")</f>
        <v>USD</v>
      </c>
      <c r="G31" s="5">
        <f t="shared" ca="1" si="0"/>
        <v>46318</v>
      </c>
      <c r="H31" s="33" cm="1">
        <f t="array" aca="1" ref="H31" ca="1">_FV(StockReportTable4[[#This Row],[Ticker]],"Price")</f>
        <v>11.66</v>
      </c>
      <c r="I31" s="21" cm="1">
        <f t="array" aca="1" ref="I31" ca="1">_FV(StockReportTable4[[#This Row],[Ticker]],"Change (%)",TRUE)</f>
        <v>2.5800000000000003E-3</v>
      </c>
      <c r="J31" s="6">
        <f ca="1">(StockReportTable4[[#This Row],[Price @ Date]]-INDEX(_xlfn.STOCKHISTORY(B31,DATE(2025,12,31),G31),2,2))/(INDEX(_xlfn.STOCKHISTORY(B31,DATE(2025,12,31),G31),2,2))</f>
        <v>-0.55411089866156782</v>
      </c>
      <c r="K31" s="6">
        <f ca="1">(StockReportTable4[[#This Row],[Price @ Date]]-INDEX(_xlfn.STOCKHISTORY(B31,DATE(2025,12,31),G31),2,2))/(INDEX(_xlfn.STOCKHISTORY(B31,EDATE(StockReportTable4[[#This Row],[Date]],-12),G31),2,2))</f>
        <v>-0.46651641983258207</v>
      </c>
      <c r="L31" s="7">
        <f ca="1">(StockReportTable4[[#This Row],[Price @ Date]]-INDEX(_xlfn.STOCKHISTORY(B31,DATE(2025,12,31),G31),2,2))/(INDEX(_xlfn.STOCKHISTORY(B31,EDATE(StockReportTable4[[#This Row],[Date]],-36),G31),2,2))</f>
        <v>-18.696774193548386</v>
      </c>
      <c r="M31" s="8" cm="1">
        <f t="array" aca="1" ref="M31" ca="1">IFERROR(_FV(StockReportTable4[[#This Row],[Ticker]],"P/E",TRUE),"N/A")</f>
        <v>0</v>
      </c>
      <c r="N31" s="18" cm="1">
        <f t="array" aca="1" ref="N31" ca="1">IFERROR(_FV(StockReportTable4[[#This Row],[Ticker]],"52 week high",TRUE),"N/A")</f>
        <v>37.619999999999997</v>
      </c>
      <c r="O31" s="18" cm="1">
        <f t="array" aca="1" ref="O31" ca="1">IFERROR(_FV(StockReportTable4[[#This Row],[Ticker]],"52 week low",TRUE),"N/A")</f>
        <v>11.26</v>
      </c>
      <c r="P31" s="22" cm="1">
        <f t="array" aca="1" ref="P31" ca="1">_FV(StockReportTable4[[#This Row],[Ticker]],"Market cap",TRUE)</f>
        <v>4426446156</v>
      </c>
      <c r="Q31" s="27" cm="1">
        <f t="array" aca="1" ref="Q31" ca="1">_FV(StockReportTable4[[#This Row],[Ticker]],"Volume average",TRUE)</f>
        <v>15866579</v>
      </c>
    </row>
    <row r="32" spans="1:17" ht="15">
      <c r="A32" s="9">
        <f ca="1">IF(ISNUMBER(StockReportTable4[[#This Row],[P/E]]),IF(StockReportTable4[[#This Row],[P/E]]&lt;35,1,2),3)</f>
        <v>1</v>
      </c>
      <c r="B32" s="4" t="e" vm="33">
        <v>#VALUE!</v>
      </c>
      <c r="C32" s="4" t="str" cm="1">
        <f t="array" aca="1" ref="C32" ca="1">_FV(StockReportTable4[[#This Row],[Ticker]],"Official name",TRUE)</f>
        <v>GE VERNOVA INC.</v>
      </c>
      <c r="D32" s="4" t="str" cm="1">
        <f t="array" aca="1" ref="D32" ca="1">_FV(StockReportTable4[[#This Row],[Ticker]],"Industry")</f>
        <v>Electrical Utilities &amp; IPPs</v>
      </c>
      <c r="E32" s="4" t="str" cm="1">
        <f t="array" aca="1" ref="E32" ca="1">_FV(StockReportTable4[[#This Row],[Ticker]],"Exchange")</f>
        <v>New York Stock Exchange</v>
      </c>
      <c r="F32" s="4" t="str" cm="1">
        <f t="array" aca="1" ref="F32" ca="1">_FV(StockReportTable4[[#This Row],[Ticker]],"Currency")</f>
        <v>USD</v>
      </c>
      <c r="G32" s="5">
        <f t="shared" ca="1" si="0"/>
        <v>46318</v>
      </c>
      <c r="H32" s="33" cm="1">
        <f t="array" aca="1" ref="H32" ca="1">_FV(StockReportTable4[[#This Row],[Ticker]],"Price")</f>
        <v>815</v>
      </c>
      <c r="I32" s="21" cm="1">
        <f t="array" aca="1" ref="I32" ca="1">_FV(StockReportTable4[[#This Row],[Ticker]],"Change (%)",TRUE)</f>
        <v>-1.5011000000000002E-2</v>
      </c>
      <c r="J32" s="6">
        <f ca="1">(StockReportTable4[[#This Row],[Price @ Date]]-INDEX(_xlfn.STOCKHISTORY(B32,DATE(2025,12,31),G32),2,2))/(INDEX(_xlfn.STOCKHISTORY(B32,DATE(2025,12,31),G32),2,2))</f>
        <v>0.24699726119619925</v>
      </c>
      <c r="K32" s="6">
        <f ca="1">(StockReportTable4[[#This Row],[Price @ Date]]-INDEX(_xlfn.STOCKHISTORY(B32,DATE(2025,12,31),G32),2,2))/(INDEX(_xlfn.STOCKHISTORY(B32,EDATE(StockReportTable4[[#This Row],[Date]],-12),G32),2,2))</f>
        <v>0.2712425438964966</v>
      </c>
      <c r="L32" s="7" t="e" vm="25">
        <f ca="1">(StockReportTable4[[#This Row],[Price @ Date]]-INDEX(_xlfn.STOCKHISTORY(B32,DATE(2025,12,31),G32),2,2))/(INDEX(_xlfn.STOCKHISTORY(B32,EDATE(StockReportTable4[[#This Row],[Date]],-36),G32),2,2))</f>
        <v>#N/A</v>
      </c>
      <c r="M32" s="8" cm="1">
        <f t="array" aca="1" ref="M32" ca="1">IFERROR(_FV(StockReportTable4[[#This Row],[Ticker]],"P/E",TRUE),"N/A")</f>
        <v>23.651499999999999</v>
      </c>
      <c r="N32" s="18" cm="1">
        <f t="array" aca="1" ref="N32" ca="1">IFERROR(_FV(StockReportTable4[[#This Row],[Ticker]],"52 week high",TRUE),"N/A")</f>
        <v>1195.94</v>
      </c>
      <c r="O32" s="18" cm="1">
        <f t="array" aca="1" ref="O32" ca="1">IFERROR(_FV(StockReportTable4[[#This Row],[Ticker]],"52 week low",TRUE),"N/A")</f>
        <v>530.16</v>
      </c>
      <c r="P32" s="22" t="e" cm="1" vm="2">
        <f t="array" ref="P32">_FV(StockReportTable4[[#This Row],[Ticker]],"Market cap",TRUE)</f>
        <v>#VALUE!</v>
      </c>
      <c r="Q32" s="27" cm="1">
        <f t="array" aca="1" ref="Q32" ca="1">_FV(StockReportTable4[[#This Row],[Ticker]],"Volume average",TRUE)</f>
        <v>2397888</v>
      </c>
    </row>
    <row r="33" spans="1:17" ht="15">
      <c r="A33" s="9">
        <f ca="1">IF(ISNUMBER(StockReportTable4[[#This Row],[P/E]]),IF(StockReportTable4[[#This Row],[P/E]]&lt;35,1,2),3)</f>
        <v>1</v>
      </c>
      <c r="B33" s="4" t="e" vm="34">
        <v>#VALUE!</v>
      </c>
      <c r="C33" s="4" t="str" cm="1">
        <f t="array" aca="1" ref="C33" ca="1">_FV(StockReportTable4[[#This Row],[Ticker]],"Official name",TRUE)</f>
        <v>CONSTELLATION ENERGY CORPORATION.</v>
      </c>
      <c r="D33" s="4" t="str" cm="1">
        <f t="array" aca="1" ref="D33" ca="1">_FV(StockReportTable4[[#This Row],[Ticker]],"Industry")</f>
        <v>Electrical Utilities &amp; IPPs</v>
      </c>
      <c r="E33" s="4" t="str" cm="1">
        <f t="array" aca="1" ref="E33" ca="1">_FV(StockReportTable4[[#This Row],[Ticker]],"Exchange")</f>
        <v>Nasdaq Stock Market</v>
      </c>
      <c r="F33" s="4" t="str" cm="1">
        <f t="array" aca="1" ref="F33" ca="1">_FV(StockReportTable4[[#This Row],[Ticker]],"Currency")</f>
        <v>USD</v>
      </c>
      <c r="G33" s="5">
        <f t="shared" ca="1" si="0"/>
        <v>46318</v>
      </c>
      <c r="H33" s="33" cm="1">
        <f t="array" aca="1" ref="H33" ca="1">_FV(StockReportTable4[[#This Row],[Ticker]],"Price")</f>
        <v>253.45</v>
      </c>
      <c r="I33" s="21" cm="1">
        <f t="array" aca="1" ref="I33" ca="1">_FV(StockReportTable4[[#This Row],[Ticker]],"Change (%)",TRUE)</f>
        <v>-6.8960000000000002E-3</v>
      </c>
      <c r="J33" s="6">
        <f ca="1">(StockReportTable4[[#This Row],[Price @ Date]]-INDEX(_xlfn.STOCKHISTORY(B33,DATE(2025,12,31),G33),2,2))/(INDEX(_xlfn.STOCKHISTORY(B33,DATE(2025,12,31),G33),2,2))</f>
        <v>-0.28256008152404677</v>
      </c>
      <c r="K33" s="6">
        <f ca="1">(StockReportTable4[[#This Row],[Price @ Date]]-INDEX(_xlfn.STOCKHISTORY(B33,DATE(2025,12,31),G33),2,2))/(INDEX(_xlfn.STOCKHISTORY(B33,EDATE(StockReportTable4[[#This Row],[Date]],-12),G33),2,2))</f>
        <v>-0.27288135593220336</v>
      </c>
      <c r="L33" s="7">
        <f ca="1">(StockReportTable4[[#This Row],[Price @ Date]]-INDEX(_xlfn.STOCKHISTORY(B33,DATE(2025,12,31),G33),2,2))/(INDEX(_xlfn.STOCKHISTORY(B33,EDATE(StockReportTable4[[#This Row],[Date]],-36),G33),2,2))</f>
        <v>-0.89037552403889031</v>
      </c>
      <c r="M33" s="8" cm="1">
        <f t="array" aca="1" ref="M33" ca="1">IFERROR(_FV(StockReportTable4[[#This Row],[Ticker]],"P/E",TRUE),"N/A")</f>
        <v>24.865600000000001</v>
      </c>
      <c r="N33" s="18" cm="1">
        <f t="array" aca="1" ref="N33" ca="1">IFERROR(_FV(StockReportTable4[[#This Row],[Ticker]],"52 week high",TRUE),"N/A")</f>
        <v>406.04250000000002</v>
      </c>
      <c r="O33" s="18" cm="1">
        <f t="array" aca="1" ref="O33" ca="1">IFERROR(_FV(StockReportTable4[[#This Row],[Ticker]],"52 week low",TRUE),"N/A")</f>
        <v>228.63</v>
      </c>
      <c r="P33" s="22" cm="1">
        <f t="array" aca="1" ref="P33" ca="1">_FV(StockReportTable4[[#This Row],[Ticker]],"Market cap",TRUE)</f>
        <v>89799210530</v>
      </c>
      <c r="Q33" s="27" cm="1">
        <f t="array" aca="1" ref="Q33" ca="1">_FV(StockReportTable4[[#This Row],[Ticker]],"Volume average",TRUE)</f>
        <v>4042739</v>
      </c>
    </row>
    <row r="34" spans="1:17" ht="15">
      <c r="A34" s="9">
        <f>IF(ISNUMBER(StockReportTable4[[#This Row],[P/E]]),IF(StockReportTable4[[#This Row],[P/E]]&lt;35,1,2),3)</f>
        <v>3</v>
      </c>
      <c r="B34" s="4" t="e" vm="35">
        <v>#VALUE!</v>
      </c>
      <c r="C34" s="4" t="str" cm="1">
        <f t="array" aca="1" ref="C34" ca="1">_FV(StockReportTable4[[#This Row],[Ticker]],"Official name",TRUE)</f>
        <v>OKLO INC.</v>
      </c>
      <c r="D34" s="4" t="str" cm="1">
        <f t="array" aca="1" ref="D34" ca="1">_FV(StockReportTable4[[#This Row],[Ticker]],"Industry")</f>
        <v>Electrical Utilities &amp; IPPs</v>
      </c>
      <c r="E34" s="4" t="str" cm="1">
        <f t="array" aca="1" ref="E34" ca="1">_FV(StockReportTable4[[#This Row],[Ticker]],"Exchange")</f>
        <v>New York Stock Exchange</v>
      </c>
      <c r="F34" s="4" t="str" cm="1">
        <f t="array" aca="1" ref="F34" ca="1">_FV(StockReportTable4[[#This Row],[Ticker]],"Currency")</f>
        <v>USD</v>
      </c>
      <c r="G34" s="5">
        <f t="shared" ca="1" si="0"/>
        <v>46318</v>
      </c>
      <c r="H34" s="33" cm="1">
        <f t="array" aca="1" ref="H34" ca="1">_FV(StockReportTable4[[#This Row],[Ticker]],"Price")</f>
        <v>26.35</v>
      </c>
      <c r="I34" s="21" cm="1">
        <f t="array" aca="1" ref="I34" ca="1">_FV(StockReportTable4[[#This Row],[Ticker]],"Change (%)",TRUE)</f>
        <v>-2.4434999999999998E-2</v>
      </c>
      <c r="J34" s="6">
        <f ca="1">(StockReportTable4[[#This Row],[Price @ Date]]-INDEX(_xlfn.STOCKHISTORY(B34,DATE(2025,12,31),G34),2,2))/(INDEX(_xlfn.STOCKHISTORY(B34,DATE(2025,12,31),G34),2,2))</f>
        <v>-0.63280379041248602</v>
      </c>
      <c r="K34" s="6">
        <f ca="1">(StockReportTable4[[#This Row],[Price @ Date]]-INDEX(_xlfn.STOCKHISTORY(B34,DATE(2025,12,31),G34),2,2))/(INDEX(_xlfn.STOCKHISTORY(B34,EDATE(StockReportTable4[[#This Row],[Date]],-12),G34),2,2))</f>
        <v>-0.36415396952686452</v>
      </c>
      <c r="L34" s="7">
        <f ca="1">(StockReportTable4[[#This Row],[Price @ Date]]-INDEX(_xlfn.STOCKHISTORY(B34,DATE(2025,12,31),G34),2,2))/(INDEX(_xlfn.STOCKHISTORY(B34,EDATE(StockReportTable4[[#This Row],[Date]],-36),G34),2,2))</f>
        <v>-4.4001937984496129</v>
      </c>
      <c r="M34" s="8" t="str" cm="1">
        <f t="array" ref="M34">IFERROR(_FV(StockReportTable4[[#This Row],[Ticker]],"P/E",TRUE),"N/A")</f>
        <v>N/A</v>
      </c>
      <c r="N34" s="18" cm="1">
        <f t="array" aca="1" ref="N34" ca="1">IFERROR(_FV(StockReportTable4[[#This Row],[Ticker]],"52 week high",TRUE),"N/A")</f>
        <v>152.06</v>
      </c>
      <c r="O34" s="18" cm="1">
        <f t="array" aca="1" ref="O34" ca="1">IFERROR(_FV(StockReportTable4[[#This Row],[Ticker]],"52 week low",TRUE),"N/A")</f>
        <v>26.07</v>
      </c>
      <c r="P34" s="22" t="e" cm="1" vm="2">
        <f t="array" ref="P34">_FV(StockReportTable4[[#This Row],[Ticker]],"Market cap",TRUE)</f>
        <v>#VALUE!</v>
      </c>
      <c r="Q34" s="27" cm="1">
        <f t="array" aca="1" ref="Q34" ca="1">_FV(StockReportTable4[[#This Row],[Ticker]],"Volume average",TRUE)</f>
        <v>9531941</v>
      </c>
    </row>
    <row r="35" spans="1:17" ht="15">
      <c r="A35" s="9">
        <f>IF(ISNUMBER(StockReportTable4[[#This Row],[P/E]]),IF(StockReportTable4[[#This Row],[P/E]]&lt;35,1,2),3)</f>
        <v>3</v>
      </c>
      <c r="B35" s="4" t="e" vm="36">
        <v>#VALUE!</v>
      </c>
      <c r="C35" s="4" t="str" cm="1">
        <f t="array" aca="1" ref="C35" ca="1">_FV(StockReportTable4[[#This Row],[Ticker]],"Official name",TRUE)</f>
        <v>NUSCALE POWER CORPORATION</v>
      </c>
      <c r="D35" s="4" t="str" cm="1">
        <f t="array" aca="1" ref="D35" ca="1">_FV(StockReportTable4[[#This Row],[Ticker]],"Industry")</f>
        <v>Electrical Utilities &amp; IPPs</v>
      </c>
      <c r="E35" s="4" t="str" cm="1">
        <f t="array" aca="1" ref="E35" ca="1">_FV(StockReportTable4[[#This Row],[Ticker]],"Exchange")</f>
        <v>New York Stock Exchange</v>
      </c>
      <c r="F35" s="4" t="str" cm="1">
        <f t="array" aca="1" ref="F35" ca="1">_FV(StockReportTable4[[#This Row],[Ticker]],"Currency")</f>
        <v>USD</v>
      </c>
      <c r="G35" s="5">
        <f t="shared" ca="1" si="0"/>
        <v>46318</v>
      </c>
      <c r="H35" s="33" cm="1">
        <f t="array" aca="1" ref="H35" ca="1">_FV(StockReportTable4[[#This Row],[Ticker]],"Price")</f>
        <v>5.38</v>
      </c>
      <c r="I35" s="21" cm="1">
        <f t="array" aca="1" ref="I35" ca="1">_FV(StockReportTable4[[#This Row],[Ticker]],"Change (%)",TRUE)</f>
        <v>0</v>
      </c>
      <c r="J35" s="6">
        <f ca="1">(StockReportTable4[[#This Row],[Price @ Date]]-INDEX(_xlfn.STOCKHISTORY(B35,DATE(2025,12,31),G35),2,2))/(INDEX(_xlfn.STOCKHISTORY(B35,DATE(2025,12,31),G35),2,2))</f>
        <v>-0.6203246294989414</v>
      </c>
      <c r="K35" s="6">
        <f ca="1">(StockReportTable4[[#This Row],[Price @ Date]]-INDEX(_xlfn.STOCKHISTORY(B35,DATE(2025,12,31),G35),2,2))/(INDEX(_xlfn.STOCKHISTORY(B35,EDATE(StockReportTable4[[#This Row],[Date]],-12),G35),2,2))</f>
        <v>-0.23402555910543127</v>
      </c>
      <c r="L35" s="7">
        <f ca="1">(StockReportTable4[[#This Row],[Price @ Date]]-INDEX(_xlfn.STOCKHISTORY(B35,DATE(2025,12,31),G35),2,2))/(INDEX(_xlfn.STOCKHISTORY(B35,EDATE(StockReportTable4[[#This Row],[Date]],-36),G35),2,2))</f>
        <v>-2.5478260869565212</v>
      </c>
      <c r="M35" s="8" t="str" cm="1">
        <f t="array" ref="M35">IFERROR(_FV(StockReportTable4[[#This Row],[Ticker]],"P/E",TRUE),"N/A")</f>
        <v>N/A</v>
      </c>
      <c r="N35" s="18" cm="1">
        <f t="array" aca="1" ref="N35" ca="1">IFERROR(_FV(StockReportTable4[[#This Row],[Ticker]],"52 week high",TRUE),"N/A")</f>
        <v>45.54</v>
      </c>
      <c r="O35" s="18" cm="1">
        <f t="array" aca="1" ref="O35" ca="1">IFERROR(_FV(StockReportTable4[[#This Row],[Ticker]],"52 week low",TRUE),"N/A")</f>
        <v>5.2</v>
      </c>
      <c r="P35" s="22" cm="1">
        <f t="array" aca="1" ref="P35" ca="1">_FV(StockReportTable4[[#This Row],[Ticker]],"Market cap",TRUE)</f>
        <v>2311911354</v>
      </c>
      <c r="Q35" s="27" cm="1">
        <f t="array" aca="1" ref="Q35" ca="1">_FV(StockReportTable4[[#This Row],[Ticker]],"Volume average",TRUE)</f>
        <v>33436779</v>
      </c>
    </row>
    <row r="36" spans="1:17" ht="15">
      <c r="A36" s="9">
        <v>3</v>
      </c>
      <c r="B36" s="4" t="e" vm="37">
        <v>#VALUE!</v>
      </c>
      <c r="C36" s="4" t="str" cm="1">
        <f t="array" aca="1" ref="C36" ca="1">_FV(StockReportTable4[[#This Row],[Ticker]],"Official name",TRUE)</f>
        <v>Nano Nuclear Energy Inc.</v>
      </c>
      <c r="D36" s="4" t="str" cm="1">
        <f t="array" aca="1" ref="D36" ca="1">_FV(StockReportTable4[[#This Row],[Ticker]],"Industry")</f>
        <v>Electrical Utilities &amp; IPPs</v>
      </c>
      <c r="E36" s="4" t="str" cm="1">
        <f t="array" aca="1" ref="E36" ca="1">_FV(StockReportTable4[[#This Row],[Ticker]],"Exchange")</f>
        <v>Nasdaq Stock Market</v>
      </c>
      <c r="F36" s="4" t="str" cm="1">
        <f t="array" aca="1" ref="F36" ca="1">_FV(StockReportTable4[[#This Row],[Ticker]],"Currency")</f>
        <v>USD</v>
      </c>
      <c r="G36" s="5">
        <f t="shared" ca="1" si="0"/>
        <v>46318</v>
      </c>
      <c r="H36" s="33" cm="1">
        <f t="array" aca="1" ref="H36" ca="1">_FV(StockReportTable4[[#This Row],[Ticker]],"Price")</f>
        <v>12.16</v>
      </c>
      <c r="I36" s="21" cm="1">
        <f t="array" aca="1" ref="I36" ca="1">_FV(StockReportTable4[[#This Row],[Ticker]],"Change (%)",TRUE)</f>
        <v>-2.9529E-2</v>
      </c>
      <c r="J36" s="6">
        <f ca="1">(StockReportTable4[[#This Row],[Price @ Date]]-INDEX(_xlfn.STOCKHISTORY(B36,DATE(2025,12,31),G36),2,2))/(INDEX(_xlfn.STOCKHISTORY(B36,DATE(2025,12,31),G36),2,2))</f>
        <v>-0.49354435651811746</v>
      </c>
      <c r="K36" s="6">
        <f ca="1">(StockReportTable4[[#This Row],[Price @ Date]]-INDEX(_xlfn.STOCKHISTORY(B36,DATE(2025,12,31),G36),2,2))/(INDEX(_xlfn.STOCKHISTORY(B36,EDATE(StockReportTable4[[#This Row],[Date]],-12),G36),2,2))</f>
        <v>-0.27888915038832668</v>
      </c>
      <c r="L36" s="7">
        <f ca="1">(StockReportTable4[[#This Row],[Price @ Date]]-INDEX(_xlfn.STOCKHISTORY(B36,DATE(2025,12,31),G36),2,2))/(INDEX(_xlfn.STOCKHISTORY(B36,EDATE(StockReportTable4[[#This Row],[Date]],-36),G36),2,2))</f>
        <v>-2.2832369942196533</v>
      </c>
      <c r="M36" s="8" cm="1">
        <f t="array" aca="1" ref="M36" ca="1">IFERROR(_FV(StockReportTable4[[#This Row],[Ticker]],"P/E",TRUE),"N/A")</f>
        <v>0</v>
      </c>
      <c r="N36" s="18" cm="1">
        <f t="array" aca="1" ref="N36" ca="1">IFERROR(_FV(StockReportTable4[[#This Row],[Ticker]],"52 week high",TRUE),"N/A")</f>
        <v>49.5</v>
      </c>
      <c r="O36" s="18" cm="1">
        <f t="array" aca="1" ref="O36" ca="1">IFERROR(_FV(StockReportTable4[[#This Row],[Ticker]],"52 week low",TRUE),"N/A")</f>
        <v>11.95</v>
      </c>
      <c r="P36" s="22" cm="1">
        <f t="array" aca="1" ref="P36" ca="1">_FV(StockReportTable4[[#This Row],[Ticker]],"Market cap",TRUE)</f>
        <v>652969504</v>
      </c>
      <c r="Q36" s="27" cm="1">
        <f t="array" aca="1" ref="Q36" ca="1">_FV(StockReportTable4[[#This Row],[Ticker]],"Volume average",TRUE)</f>
        <v>2075700</v>
      </c>
    </row>
    <row r="37" spans="1:17" ht="15">
      <c r="A37" s="9">
        <f ca="1">IF(ISNUMBER(StockReportTable4[[#This Row],[P/E]]),IF(StockReportTable4[[#This Row],[P/E]]&lt;35,1,2),3)</f>
        <v>1</v>
      </c>
      <c r="B37" s="4" t="e" vm="38">
        <v>#VALUE!</v>
      </c>
      <c r="C37" s="4" t="str" cm="1">
        <f t="array" aca="1" ref="C37" ca="1">_FV(StockReportTable4[[#This Row],[Ticker]],"Official name",TRUE)</f>
        <v>BWX TECHNOLOGIES, INC.</v>
      </c>
      <c r="D37" s="4" t="str" cm="1">
        <f t="array" aca="1" ref="D37" ca="1">_FV(StockReportTable4[[#This Row],[Ticker]],"Industry")</f>
        <v>Aerospace &amp; Defense</v>
      </c>
      <c r="E37" s="4" t="str" cm="1">
        <f t="array" aca="1" ref="E37" ca="1">_FV(StockReportTable4[[#This Row],[Ticker]],"Exchange")</f>
        <v>New York Stock Exchange</v>
      </c>
      <c r="F37" s="4" t="str" cm="1">
        <f t="array" aca="1" ref="F37" ca="1">_FV(StockReportTable4[[#This Row],[Ticker]],"Currency")</f>
        <v>USD</v>
      </c>
      <c r="G37" s="5">
        <f t="shared" ca="1" si="0"/>
        <v>46318</v>
      </c>
      <c r="H37" s="33" cm="1">
        <f t="array" aca="1" ref="H37" ca="1">_FV(StockReportTable4[[#This Row],[Ticker]],"Price")</f>
        <v>127.19</v>
      </c>
      <c r="I37" s="21" cm="1">
        <f t="array" aca="1" ref="I37" ca="1">_FV(StockReportTable4[[#This Row],[Ticker]],"Change (%)",TRUE)</f>
        <v>-8.6410000000000002E-4</v>
      </c>
      <c r="J37" s="6">
        <f ca="1">(StockReportTable4[[#This Row],[Price @ Date]]-INDEX(_xlfn.STOCKHISTORY(B37,DATE(2025,12,31),G37),2,2))/(INDEX(_xlfn.STOCKHISTORY(B37,DATE(2025,12,31),G37),2,2))</f>
        <v>-0.26411710252256426</v>
      </c>
      <c r="K37" s="6">
        <f ca="1">(StockReportTable4[[#This Row],[Price @ Date]]-INDEX(_xlfn.STOCKHISTORY(B37,DATE(2025,12,31),G37),2,2))/(INDEX(_xlfn.STOCKHISTORY(B37,EDATE(StockReportTable4[[#This Row],[Date]],-12),G37),2,2))</f>
        <v>-0.22834133653461389</v>
      </c>
      <c r="L37" s="7">
        <f ca="1">(StockReportTable4[[#This Row],[Price @ Date]]-INDEX(_xlfn.STOCKHISTORY(B37,DATE(2025,12,31),G37),2,2))/(INDEX(_xlfn.STOCKHISTORY(B37,EDATE(StockReportTable4[[#This Row],[Date]],-36),G37),2,2))</f>
        <v>-0.60866666666666669</v>
      </c>
      <c r="M37" s="8" cm="1">
        <f t="array" aca="1" ref="M37" ca="1">IFERROR(_FV(StockReportTable4[[#This Row],[Ticker]],"P/E",TRUE),"N/A")</f>
        <v>32.954300000000003</v>
      </c>
      <c r="N37" s="18" cm="1">
        <f t="array" aca="1" ref="N37" ca="1">IFERROR(_FV(StockReportTable4[[#This Row],[Ticker]],"52 week high",TRUE),"N/A")</f>
        <v>241.82</v>
      </c>
      <c r="O37" s="18" cm="1">
        <f t="array" aca="1" ref="O37" ca="1">IFERROR(_FV(StockReportTable4[[#This Row],[Ticker]],"52 week low",TRUE),"N/A")</f>
        <v>123.05</v>
      </c>
      <c r="P37" s="22" cm="1">
        <f t="array" aca="1" ref="P37" ca="1">_FV(StockReportTable4[[#This Row],[Ticker]],"Market cap",TRUE)</f>
        <v>11653399636</v>
      </c>
      <c r="Q37" s="27" cm="1">
        <f t="array" aca="1" ref="Q37" ca="1">_FV(StockReportTable4[[#This Row],[Ticker]],"Volume average",TRUE)</f>
        <v>1281922</v>
      </c>
    </row>
    <row r="38" spans="1:17" ht="15">
      <c r="A38" s="9">
        <f ca="1">IF(ISNUMBER(StockReportTable4[[#This Row],[P/E]]),IF(StockReportTable4[[#This Row],[P/E]]&lt;35,1,2),3)</f>
        <v>2</v>
      </c>
      <c r="B38" s="4" t="e" vm="39">
        <v>#VALUE!</v>
      </c>
      <c r="C38" s="4" t="str" cm="1">
        <f t="array" aca="1" ref="C38" ca="1">_FV(StockReportTable4[[#This Row],[Ticker]],"Official name",TRUE)</f>
        <v>CAMECO CORPORATION</v>
      </c>
      <c r="D38" s="4" t="str" cm="1">
        <f t="array" aca="1" ref="D38" ca="1">_FV(StockReportTable4[[#This Row],[Ticker]],"Industry")</f>
        <v>Uranium</v>
      </c>
      <c r="E38" s="4" t="str" cm="1">
        <f t="array" aca="1" ref="E38" ca="1">_FV(StockReportTable4[[#This Row],[Ticker]],"Exchange")</f>
        <v>New York Stock Exchange</v>
      </c>
      <c r="F38" s="4" t="str" cm="1">
        <f t="array" aca="1" ref="F38" ca="1">_FV(StockReportTable4[[#This Row],[Ticker]],"Currency")</f>
        <v>USD</v>
      </c>
      <c r="G38" s="5">
        <f t="shared" ca="1" si="0"/>
        <v>46318</v>
      </c>
      <c r="H38" s="33" cm="1">
        <f t="array" aca="1" ref="H38" ca="1">_FV(StockReportTable4[[#This Row],[Ticker]],"Price")</f>
        <v>78.599999999999994</v>
      </c>
      <c r="I38" s="21" cm="1">
        <f t="array" aca="1" ref="I38" ca="1">_FV(StockReportTable4[[#This Row],[Ticker]],"Change (%)",TRUE)</f>
        <v>-4.1810000000000007E-3</v>
      </c>
      <c r="J38" s="6">
        <f ca="1">(StockReportTable4[[#This Row],[Price @ Date]]-INDEX(_xlfn.STOCKHISTORY(B38,DATE(2025,12,31),G38),2,2))/(INDEX(_xlfn.STOCKHISTORY(B38,DATE(2025,12,31),G38),2,2))</f>
        <v>-0.14088971472292056</v>
      </c>
      <c r="K38" s="6">
        <f ca="1">(StockReportTable4[[#This Row],[Price @ Date]]-INDEX(_xlfn.STOCKHISTORY(B38,DATE(2025,12,31),G38),2,2))/(INDEX(_xlfn.STOCKHISTORY(B38,EDATE(StockReportTable4[[#This Row],[Date]],-12),G38),2,2))</f>
        <v>-0.14936268829663965</v>
      </c>
      <c r="L38" s="7">
        <f ca="1">(StockReportTable4[[#This Row],[Price @ Date]]-INDEX(_xlfn.STOCKHISTORY(B38,DATE(2025,12,31),G38),2,2))/(INDEX(_xlfn.STOCKHISTORY(B38,EDATE(StockReportTable4[[#This Row],[Date]],-36),G38),2,2))</f>
        <v>-0.33681735040501698</v>
      </c>
      <c r="M38" s="8" cm="1">
        <f t="array" aca="1" ref="M38" ca="1">IFERROR(_FV(StockReportTable4[[#This Row],[Ticker]],"P/E",TRUE),"N/A")</f>
        <v>137.53120000000001</v>
      </c>
      <c r="N38" s="18" cm="1">
        <f t="array" aca="1" ref="N38" ca="1">IFERROR(_FV(StockReportTable4[[#This Row],[Ticker]],"52 week high",TRUE),"N/A")</f>
        <v>135.24</v>
      </c>
      <c r="O38" s="18" cm="1">
        <f t="array" aca="1" ref="O38" ca="1">IFERROR(_FV(StockReportTable4[[#This Row],[Ticker]],"52 week low",TRUE),"N/A")</f>
        <v>76.92</v>
      </c>
      <c r="P38" s="22" t="e" cm="1" vm="2">
        <f t="array" ref="P38">_FV(StockReportTable4[[#This Row],[Ticker]],"Market cap",TRUE)</f>
        <v>#VALUE!</v>
      </c>
      <c r="Q38" s="27" cm="1">
        <f t="array" aca="1" ref="Q38" ca="1">_FV(StockReportTable4[[#This Row],[Ticker]],"Volume average",TRUE)</f>
        <v>3442829</v>
      </c>
    </row>
    <row r="39" spans="1:17" ht="15">
      <c r="A39" s="9">
        <v>3</v>
      </c>
      <c r="B39" s="4" t="e" vm="40">
        <v>#VALUE!</v>
      </c>
      <c r="C39" s="4" t="str" cm="1">
        <f t="array" aca="1" ref="C39" ca="1">_FV(StockReportTable4[[#This Row],[Ticker]],"Official name",TRUE)</f>
        <v>TERAWULF INC.</v>
      </c>
      <c r="D39" s="4" t="str" cm="1">
        <f t="array" aca="1" ref="D39" ca="1">_FV(StockReportTable4[[#This Row],[Ticker]],"Industry")</f>
        <v>Financial Technology (Fintech) &amp; Infrastructure</v>
      </c>
      <c r="E39" s="4" t="str" cm="1">
        <f t="array" aca="1" ref="E39" ca="1">_FV(StockReportTable4[[#This Row],[Ticker]],"Exchange")</f>
        <v>Nasdaq Stock Market</v>
      </c>
      <c r="F39" s="4" t="str" cm="1">
        <f t="array" aca="1" ref="F39" ca="1">_FV(StockReportTable4[[#This Row],[Ticker]],"Currency")</f>
        <v>USD</v>
      </c>
      <c r="G39" s="5">
        <f t="shared" ca="1" si="0"/>
        <v>46318</v>
      </c>
      <c r="H39" s="33" cm="1">
        <f t="array" aca="1" ref="H39" ca="1">_FV(StockReportTable4[[#This Row],[Ticker]],"Price")</f>
        <v>11.32</v>
      </c>
      <c r="I39" s="21" cm="1">
        <f t="array" aca="1" ref="I39" ca="1">_FV(StockReportTable4[[#This Row],[Ticker]],"Change (%)",TRUE)</f>
        <v>0</v>
      </c>
      <c r="J39" s="6">
        <f ca="1">(StockReportTable4[[#This Row],[Price @ Date]]-INDEX(_xlfn.STOCKHISTORY(B39,DATE(2025,12,31),G39),2,2))/(INDEX(_xlfn.STOCKHISTORY(B39,DATE(2025,12,31),G39),2,2))</f>
        <v>-1.4795474325500428E-2</v>
      </c>
      <c r="K39" s="6">
        <f ca="1">(StockReportTable4[[#This Row],[Price @ Date]]-INDEX(_xlfn.STOCKHISTORY(B39,DATE(2025,12,31),G39),2,2))/(INDEX(_xlfn.STOCKHISTORY(B39,EDATE(StockReportTable4[[#This Row],[Date]],-12),G39),2,2))</f>
        <v>-1.3198757763975149E-2</v>
      </c>
      <c r="L39" s="7">
        <f ca="1">(StockReportTable4[[#This Row],[Price @ Date]]-INDEX(_xlfn.STOCKHISTORY(B39,DATE(2025,12,31),G39),2,2))/(INDEX(_xlfn.STOCKHISTORY(B39,EDATE(StockReportTable4[[#This Row],[Date]],-36),G39),2,2))</f>
        <v>-0.14166666666666661</v>
      </c>
      <c r="M39" s="8" cm="1">
        <f t="array" aca="1" ref="M39" ca="1">IFERROR(_FV(StockReportTable4[[#This Row],[Ticker]],"P/E",TRUE),"N/A")</f>
        <v>0</v>
      </c>
      <c r="N39" s="18" cm="1">
        <f t="array" aca="1" ref="N39" ca="1">IFERROR(_FV(StockReportTable4[[#This Row],[Ticker]],"52 week high",TRUE),"N/A")</f>
        <v>29.84</v>
      </c>
      <c r="O39" s="18" cm="1">
        <f t="array" aca="1" ref="O39" ca="1">IFERROR(_FV(StockReportTable4[[#This Row],[Ticker]],"52 week low",TRUE),"N/A")</f>
        <v>10.35</v>
      </c>
      <c r="P39" s="22" t="e" cm="1" vm="2">
        <f t="array" ref="P39">_FV(StockReportTable4[[#This Row],[Ticker]],"Market cap",TRUE)</f>
        <v>#VALUE!</v>
      </c>
      <c r="Q39" s="27" cm="1">
        <f t="array" aca="1" ref="Q39" ca="1">_FV(StockReportTable4[[#This Row],[Ticker]],"Volume average",TRUE)</f>
        <v>35588334</v>
      </c>
    </row>
    <row r="40" spans="1:17" ht="15">
      <c r="A40" s="9">
        <f ca="1">IF(ISNUMBER(StockReportTable4[[#This Row],[P/E]]),IF(StockReportTable4[[#This Row],[P/E]]&lt;35,1,2),3)</f>
        <v>2</v>
      </c>
      <c r="B40" s="4" t="e" vm="41">
        <v>#VALUE!</v>
      </c>
      <c r="C40" s="4" t="str" cm="1">
        <f t="array" aca="1" ref="C40" ca="1">_FV(StockReportTable4[[#This Row],[Ticker]],"Official name",TRUE)</f>
        <v>PALO ALTO NETWORKS, INC.</v>
      </c>
      <c r="D40" s="4" t="str" cm="1">
        <f t="array" aca="1" ref="D40" ca="1">_FV(StockReportTable4[[#This Row],[Ticker]],"Industry")</f>
        <v>Software &amp; IT Services</v>
      </c>
      <c r="E40" s="4" t="str" cm="1">
        <f t="array" aca="1" ref="E40" ca="1">_FV(StockReportTable4[[#This Row],[Ticker]],"Exchange")</f>
        <v>Nasdaq Stock Market</v>
      </c>
      <c r="F40" s="4" t="str" cm="1">
        <f t="array" aca="1" ref="F40" ca="1">_FV(StockReportTable4[[#This Row],[Ticker]],"Currency")</f>
        <v>USD</v>
      </c>
      <c r="G40" s="5">
        <f t="shared" ca="1" si="0"/>
        <v>46318</v>
      </c>
      <c r="H40" s="33" cm="1">
        <f t="array" aca="1" ref="H40" ca="1">_FV(StockReportTable4[[#This Row],[Ticker]],"Price")</f>
        <v>380.55</v>
      </c>
      <c r="I40" s="21" cm="1">
        <f t="array" aca="1" ref="I40" ca="1">_FV(StockReportTable4[[#This Row],[Ticker]],"Change (%)",TRUE)</f>
        <v>7.2212999999999999E-2</v>
      </c>
      <c r="J40" s="6">
        <f ca="1">(StockReportTable4[[#This Row],[Price @ Date]]-INDEX(_xlfn.STOCKHISTORY(B40,DATE(2025,12,31),G40),2,2))/(INDEX(_xlfn.STOCKHISTORY(B40,DATE(2025,12,31),G40),2,2))</f>
        <v>1.0659609120521174</v>
      </c>
      <c r="K40" s="6">
        <f ca="1">(StockReportTable4[[#This Row],[Price @ Date]]-INDEX(_xlfn.STOCKHISTORY(B40,DATE(2025,12,31),G40),2,2))/(INDEX(_xlfn.STOCKHISTORY(B40,EDATE(StockReportTable4[[#This Row],[Date]],-12),G40),2,2))</f>
        <v>0.91317086782624879</v>
      </c>
      <c r="L40" s="7">
        <f ca="1">(StockReportTable4[[#This Row],[Price @ Date]]-INDEX(_xlfn.STOCKHISTORY(B40,DATE(2025,12,31),G40),2,2))/(INDEX(_xlfn.STOCKHISTORY(B40,EDATE(StockReportTable4[[#This Row],[Date]],-36),G40),2,2))</f>
        <v>1.5952390624365278</v>
      </c>
      <c r="M40" s="8" cm="1">
        <f t="array" aca="1" ref="M40" ca="1">IFERROR(_FV(StockReportTable4[[#This Row],[Ticker]],"P/E",TRUE),"N/A")</f>
        <v>697.11080000000004</v>
      </c>
      <c r="N40" s="18" cm="1">
        <f t="array" aca="1" ref="N40" ca="1">IFERROR(_FV(StockReportTable4[[#This Row],[Ticker]],"52 week high",TRUE),"N/A")</f>
        <v>432.32499999999999</v>
      </c>
      <c r="O40" s="18" cm="1">
        <f t="array" aca="1" ref="O40" ca="1">IFERROR(_FV(StockReportTable4[[#This Row],[Ticker]],"52 week low",TRUE),"N/A")</f>
        <v>139.57060000000001</v>
      </c>
      <c r="P40" s="22" cm="1">
        <f t="array" aca="1" ref="P40" ca="1">_FV(StockReportTable4[[#This Row],[Ticker]],"Market cap",TRUE)</f>
        <v>311289900000</v>
      </c>
      <c r="Q40" s="27" cm="1">
        <f t="array" aca="1" ref="Q40" ca="1">_FV(StockReportTable4[[#This Row],[Ticker]],"Volume average",TRUE)</f>
        <v>5723814</v>
      </c>
    </row>
    <row r="41" spans="1:17" ht="15">
      <c r="A41" s="9">
        <f ca="1">IF(ISNUMBER(StockReportTable4[[#This Row],[P/E]]),IF(StockReportTable4[[#This Row],[P/E]]&lt;35,1,2),3)</f>
        <v>1</v>
      </c>
      <c r="B41" s="4" t="e" vm="42">
        <v>#VALUE!</v>
      </c>
      <c r="C41" s="4" t="str" cm="1">
        <f t="array" aca="1" ref="C41" ca="1">_FV(StockReportTable4[[#This Row],[Ticker]],"Official name",TRUE)</f>
        <v>CISCO SYSTEMS, INC.</v>
      </c>
      <c r="D41" s="4" t="str" cm="1">
        <f t="array" aca="1" ref="D41" ca="1">_FV(StockReportTable4[[#This Row],[Ticker]],"Industry")</f>
        <v>Communications &amp; Networking</v>
      </c>
      <c r="E41" s="4" t="str" cm="1">
        <f t="array" aca="1" ref="E41" ca="1">_FV(StockReportTable4[[#This Row],[Ticker]],"Exchange")</f>
        <v>Nasdaq Stock Market</v>
      </c>
      <c r="F41" s="4" t="str" cm="1">
        <f t="array" aca="1" ref="F41" ca="1">_FV(StockReportTable4[[#This Row],[Ticker]],"Currency")</f>
        <v>USD</v>
      </c>
      <c r="G41" s="5">
        <f t="shared" ca="1" si="0"/>
        <v>46318</v>
      </c>
      <c r="H41" s="33" cm="1">
        <f t="array" aca="1" ref="H41" ca="1">_FV(StockReportTable4[[#This Row],[Ticker]],"Price")</f>
        <v>106.5</v>
      </c>
      <c r="I41" s="21" cm="1">
        <f t="array" aca="1" ref="I41" ca="1">_FV(StockReportTable4[[#This Row],[Ticker]],"Change (%)",TRUE)</f>
        <v>1.5349E-2</v>
      </c>
      <c r="J41" s="6">
        <f ca="1">(StockReportTable4[[#This Row],[Price @ Date]]-INDEX(_xlfn.STOCKHISTORY(B41,DATE(2025,12,31),G41),2,2))/(INDEX(_xlfn.STOCKHISTORY(B41,DATE(2025,12,31),G41),2,2))</f>
        <v>0.38257821627937166</v>
      </c>
      <c r="K41" s="6">
        <f ca="1">(StockReportTable4[[#This Row],[Price @ Date]]-INDEX(_xlfn.STOCKHISTORY(B41,DATE(2025,12,31),G41),2,2))/(INDEX(_xlfn.STOCKHISTORY(B41,EDATE(StockReportTable4[[#This Row],[Date]],-12),G41),2,2))</f>
        <v>0.41938238223993168</v>
      </c>
      <c r="L41" s="7">
        <f ca="1">(StockReportTable4[[#This Row],[Price @ Date]]-INDEX(_xlfn.STOCKHISTORY(B41,DATE(2025,12,31),G41),2,2))/(INDEX(_xlfn.STOCKHISTORY(B41,EDATE(StockReportTable4[[#This Row],[Date]],-36),G41),2,2))</f>
        <v>0.56455938697317998</v>
      </c>
      <c r="M41" s="8" cm="1">
        <f t="array" aca="1" ref="M41" ca="1">IFERROR(_FV(StockReportTable4[[#This Row],[Ticker]],"P/E",TRUE),"N/A")</f>
        <v>31.515999999999998</v>
      </c>
      <c r="N41" s="18" cm="1">
        <f t="array" aca="1" ref="N41" ca="1">IFERROR(_FV(StockReportTable4[[#This Row],[Ticker]],"52 week high",TRUE),"N/A")</f>
        <v>130.3656</v>
      </c>
      <c r="O41" s="18" cm="1">
        <f t="array" aca="1" ref="O41" ca="1">IFERROR(_FV(StockReportTable4[[#This Row],[Ticker]],"52 week low",TRUE),"N/A")</f>
        <v>70.06</v>
      </c>
      <c r="P41" s="22" t="e" cm="1" vm="2">
        <f t="array" ref="P41">_FV(StockReportTable4[[#This Row],[Ticker]],"Market cap",TRUE)</f>
        <v>#VALUE!</v>
      </c>
      <c r="Q41" s="27" cm="1">
        <f t="array" aca="1" ref="Q41" ca="1">_FV(StockReportTable4[[#This Row],[Ticker]],"Volume average",TRUE)</f>
        <v>18429131</v>
      </c>
    </row>
    <row r="42" spans="1:17" ht="15">
      <c r="A42" s="9">
        <f ca="1">IF(ISNUMBER(StockReportTable4[[#This Row],[P/E]]),IF(StockReportTable4[[#This Row],[P/E]]&lt;35,1,2),3)</f>
        <v>1</v>
      </c>
      <c r="B42" s="4" t="e" vm="43">
        <v>#VALUE!</v>
      </c>
      <c r="C42" s="4" t="str" cm="1">
        <f t="array" aca="1" ref="C42" ca="1">_FV(StockReportTable4[[#This Row],[Ticker]],"Official name",TRUE)</f>
        <v>DELL TECHNOLOGIES INC.</v>
      </c>
      <c r="D42" s="4" t="str" cm="1">
        <f t="array" aca="1" ref="D42" ca="1">_FV(StockReportTable4[[#This Row],[Ticker]],"Industry")</f>
        <v>Computers, Phones &amp; Household Electronics</v>
      </c>
      <c r="E42" s="4" t="str" cm="1">
        <f t="array" aca="1" ref="E42" ca="1">_FV(StockReportTable4[[#This Row],[Ticker]],"Exchange")</f>
        <v>New York Stock Exchange</v>
      </c>
      <c r="F42" s="4" t="str" cm="1">
        <f t="array" aca="1" ref="F42" ca="1">_FV(StockReportTable4[[#This Row],[Ticker]],"Currency")</f>
        <v>USD</v>
      </c>
      <c r="G42" s="5">
        <f t="shared" ca="1" si="0"/>
        <v>46318</v>
      </c>
      <c r="H42" s="33" cm="1">
        <f t="array" aca="1" ref="H42" ca="1">_FV(StockReportTable4[[#This Row],[Ticker]],"Price")</f>
        <v>456.44</v>
      </c>
      <c r="I42" s="21" cm="1">
        <f t="array" aca="1" ref="I42" ca="1">_FV(StockReportTable4[[#This Row],[Ticker]],"Change (%)",TRUE)</f>
        <v>7.705E-3</v>
      </c>
      <c r="J42" s="6">
        <f ca="1">(StockReportTable4[[#This Row],[Price @ Date]]-INDEX(_xlfn.STOCKHISTORY(B42,DATE(2025,12,31),G42),2,2))/(INDEX(_xlfn.STOCKHISTORY(B42,DATE(2025,12,31),G42),2,2))</f>
        <v>2.6259930092151258</v>
      </c>
      <c r="K42" s="6">
        <f ca="1">(StockReportTable4[[#This Row],[Price @ Date]]-INDEX(_xlfn.STOCKHISTORY(B42,DATE(2025,12,31),G42),2,2))/(INDEX(_xlfn.STOCKHISTORY(B42,EDATE(StockReportTable4[[#This Row],[Date]],-12),G42),2,2))</f>
        <v>2.1432924852493032</v>
      </c>
      <c r="L42" s="7">
        <f ca="1">(StockReportTable4[[#This Row],[Price @ Date]]-INDEX(_xlfn.STOCKHISTORY(B42,DATE(2025,12,31),G42),2,2))/(INDEX(_xlfn.STOCKHISTORY(B42,EDATE(StockReportTable4[[#This Row],[Date]],-36),G42),2,2))</f>
        <v>5.0436374732987481</v>
      </c>
      <c r="M42" s="8" cm="1">
        <f t="array" aca="1" ref="M42" ca="1">IFERROR(_FV(StockReportTable4[[#This Row],[Ticker]],"P/E",TRUE),"N/A")</f>
        <v>26.281400000000001</v>
      </c>
      <c r="N42" s="18" cm="1">
        <f t="array" aca="1" ref="N42" ca="1">IFERROR(_FV(StockReportTable4[[#This Row],[Ticker]],"52 week high",TRUE),"N/A")</f>
        <v>595.51</v>
      </c>
      <c r="O42" s="18" cm="1">
        <f t="array" aca="1" ref="O42" ca="1">IFERROR(_FV(StockReportTable4[[#This Row],[Ticker]],"52 week low",TRUE),"N/A")</f>
        <v>110.22</v>
      </c>
      <c r="P42" s="22" cm="1">
        <f t="array" aca="1" ref="P42" ca="1">_FV(StockReportTable4[[#This Row],[Ticker]],"Market cap",TRUE)</f>
        <v>290210348788</v>
      </c>
      <c r="Q42" s="27" cm="1">
        <f t="array" aca="1" ref="Q42" ca="1">_FV(StockReportTable4[[#This Row],[Ticker]],"Volume average",TRUE)</f>
        <v>7248161</v>
      </c>
    </row>
    <row r="43" spans="1:17" ht="15">
      <c r="A43" s="9">
        <f>IF(ISNUMBER(StockReportTable4[[#This Row],[P/E]]),IF(StockReportTable4[[#This Row],[P/E]]&lt;35,1,2),3)</f>
        <v>3</v>
      </c>
      <c r="B43" s="4" t="e" vm="44">
        <v>#VALUE!</v>
      </c>
      <c r="C43" s="4" t="str" cm="1">
        <f t="array" aca="1" ref="C43" ca="1">_FV(StockReportTable4[[#This Row],[Ticker]],"Official name",TRUE)</f>
        <v>SNOWFLAKE INC.</v>
      </c>
      <c r="D43" s="4" t="str" cm="1">
        <f t="array" aca="1" ref="D43" ca="1">_FV(StockReportTable4[[#This Row],[Ticker]],"Industry")</f>
        <v>Software &amp; IT Services</v>
      </c>
      <c r="E43" s="4" t="str" cm="1">
        <f t="array" aca="1" ref="E43" ca="1">_FV(StockReportTable4[[#This Row],[Ticker]],"Exchange")</f>
        <v>New York Stock Exchange</v>
      </c>
      <c r="F43" s="4" t="str" cm="1">
        <f t="array" aca="1" ref="F43" ca="1">_FV(StockReportTable4[[#This Row],[Ticker]],"Currency")</f>
        <v>USD</v>
      </c>
      <c r="G43" s="5">
        <f t="shared" ca="1" si="0"/>
        <v>46318</v>
      </c>
      <c r="H43" s="33" cm="1">
        <f t="array" aca="1" ref="H43" ca="1">_FV(StockReportTable4[[#This Row],[Ticker]],"Price")</f>
        <v>325.43</v>
      </c>
      <c r="I43" s="21" cm="1">
        <f t="array" aca="1" ref="I43" ca="1">_FV(StockReportTable4[[#This Row],[Ticker]],"Change (%)",TRUE)</f>
        <v>3.6533000000000003E-2</v>
      </c>
      <c r="J43" s="6">
        <f ca="1">(StockReportTable4[[#This Row],[Price @ Date]]-INDEX(_xlfn.STOCKHISTORY(B43,DATE(2025,12,31),G43),2,2))/(INDEX(_xlfn.STOCKHISTORY(B43,DATE(2025,12,31),G43),2,2))</f>
        <v>0.48354303428154627</v>
      </c>
      <c r="K43" s="6">
        <f ca="1">(StockReportTable4[[#This Row],[Price @ Date]]-INDEX(_xlfn.STOCKHISTORY(B43,DATE(2025,12,31),G43),2,2))/(INDEX(_xlfn.STOCKHISTORY(B43,EDATE(StockReportTable4[[#This Row],[Date]],-12),G43),2,2))</f>
        <v>0.4192655836199059</v>
      </c>
      <c r="L43" s="7">
        <f ca="1">(StockReportTable4[[#This Row],[Price @ Date]]-INDEX(_xlfn.STOCKHISTORY(B43,DATE(2025,12,31),G43),2,2))/(INDEX(_xlfn.STOCKHISTORY(B43,EDATE(StockReportTable4[[#This Row],[Date]],-36),G43),2,2))</f>
        <v>0.71384346187495784</v>
      </c>
      <c r="M43" s="8" t="str" cm="1">
        <f t="array" ref="M43">IFERROR(_FV(StockReportTable4[[#This Row],[Ticker]],"P/E",TRUE),"N/A")</f>
        <v>N/A</v>
      </c>
      <c r="N43" s="18" cm="1">
        <f t="array" aca="1" ref="N43" ca="1">IFERROR(_FV(StockReportTable4[[#This Row],[Ticker]],"52 week high",TRUE),"N/A")</f>
        <v>384.56</v>
      </c>
      <c r="O43" s="18" cm="1">
        <f t="array" aca="1" ref="O43" ca="1">IFERROR(_FV(StockReportTable4[[#This Row],[Ticker]],"52 week low",TRUE),"N/A")</f>
        <v>118.3</v>
      </c>
      <c r="P43" s="22" t="e" cm="1" vm="2">
        <f t="array" ref="P43">_FV(StockReportTable4[[#This Row],[Ticker]],"Market cap",TRUE)</f>
        <v>#VALUE!</v>
      </c>
      <c r="Q43" s="27" cm="1">
        <f t="array" aca="1" ref="Q43" ca="1">_FV(StockReportTable4[[#This Row],[Ticker]],"Volume average",TRUE)</f>
        <v>4407836</v>
      </c>
    </row>
    <row r="44" spans="1:17" ht="15">
      <c r="A44" s="9">
        <f ca="1">IF(ISNUMBER(StockReportTable4[[#This Row],[P/E]]),IF(StockReportTable4[[#This Row],[P/E]]&lt;35,1,2),3)</f>
        <v>2</v>
      </c>
      <c r="B44" s="4" t="e" vm="45">
        <v>#VALUE!</v>
      </c>
      <c r="C44" s="4" t="str" cm="1">
        <f t="array" aca="1" ref="C44" ca="1">_FV(StockReportTable4[[#This Row],[Ticker]],"Official name",TRUE)</f>
        <v>PALANTIR TECHNOLOGIES INC.</v>
      </c>
      <c r="D44" s="4" t="str" cm="1">
        <f t="array" aca="1" ref="D44" ca="1">_FV(StockReportTable4[[#This Row],[Ticker]],"Industry")</f>
        <v>Software &amp; IT Services</v>
      </c>
      <c r="E44" s="4" t="str" cm="1">
        <f t="array" aca="1" ref="E44" ca="1">_FV(StockReportTable4[[#This Row],[Ticker]],"Exchange")</f>
        <v>SIX Swiss Exchange</v>
      </c>
      <c r="F44" s="4" t="str" cm="1">
        <f t="array" aca="1" ref="F44" ca="1">_FV(StockReportTable4[[#This Row],[Ticker]],"Currency")</f>
        <v>USD</v>
      </c>
      <c r="G44" s="5">
        <f t="shared" ca="1" si="0"/>
        <v>46318</v>
      </c>
      <c r="H44" s="33" cm="1">
        <f t="array" aca="1" ref="H44" ca="1">_FV(StockReportTable4[[#This Row],[Ticker]],"Price")</f>
        <v>193.64</v>
      </c>
      <c r="I44" s="21" cm="1">
        <f t="array" aca="1" ref="I44" ca="1">_FV(StockReportTable4[[#This Row],[Ticker]],"Change (%)",TRUE)</f>
        <v>-7.5849999999999997E-3</v>
      </c>
      <c r="J44" s="6" t="e" vm="25">
        <f ca="1">(StockReportTable4[[#This Row],[Price @ Date]]-INDEX(_xlfn.STOCKHISTORY(B44,DATE(2025,12,31),G44),2,2))/(INDEX(_xlfn.STOCKHISTORY(B44,DATE(2025,12,31),G44),2,2))</f>
        <v>#N/A</v>
      </c>
      <c r="K44" s="6" t="e" vm="25">
        <f ca="1">(StockReportTable4[[#This Row],[Price @ Date]]-INDEX(_xlfn.STOCKHISTORY(B44,DATE(2025,12,31),G44),2,2))/(INDEX(_xlfn.STOCKHISTORY(B44,EDATE(StockReportTable4[[#This Row],[Date]],-12),G44),2,2))</f>
        <v>#N/A</v>
      </c>
      <c r="L44" s="7" t="e" vm="25">
        <f ca="1">(StockReportTable4[[#This Row],[Price @ Date]]-INDEX(_xlfn.STOCKHISTORY(B44,DATE(2025,12,31),G44),2,2))/(INDEX(_xlfn.STOCKHISTORY(B44,EDATE(StockReportTable4[[#This Row],[Date]],-36),G44),2,2))</f>
        <v>#N/A</v>
      </c>
      <c r="M44" s="8" cm="1">
        <f t="array" aca="1" ref="M44" ca="1">IFERROR(_FV(StockReportTable4[[#This Row],[Ticker]],"P/E",TRUE),"N/A")</f>
        <v>165.01070000000001</v>
      </c>
      <c r="N44" s="4" t="str" cm="1">
        <f t="array" ref="N44">IFERROR(_FV(StockReportTable4[[#This Row],[Ticker]],"52 week high",TRUE),"N/A")</f>
        <v>N/A</v>
      </c>
      <c r="O44" s="4" t="str" cm="1">
        <f t="array" ref="O44">IFERROR(_FV(StockReportTable4[[#This Row],[Ticker]],"52 week low",TRUE),"N/A")</f>
        <v>N/A</v>
      </c>
      <c r="P44" s="22" cm="1">
        <f t="array" aca="1" ref="P44" ca="1">_FV(StockReportTable4[[#This Row],[Ticker]],"Market cap",TRUE)</f>
        <v>471456000000</v>
      </c>
      <c r="Q44" s="27" cm="1">
        <f t="array" aca="1" ref="Q44" ca="1">_FV(StockReportTable4[[#This Row],[Ticker]],"Volume average",TRUE)</f>
        <v>24622950</v>
      </c>
    </row>
    <row r="45" spans="1:17" ht="15">
      <c r="A45" s="9">
        <f ca="1">IF(ISNUMBER(StockReportTable4[[#This Row],[P/E]]),IF(StockReportTable4[[#This Row],[P/E]]&lt;35,1,2),3)</f>
        <v>1</v>
      </c>
      <c r="B45" s="4" t="e" vm="46">
        <v>#VALUE!</v>
      </c>
      <c r="C45" s="4" t="str" cm="1">
        <f t="array" aca="1" ref="C45" ca="1">_FV(StockReportTable4[[#This Row],[Ticker]],"Official name",TRUE)</f>
        <v>PAYPAL HOLDINGS, INC.</v>
      </c>
      <c r="D45" s="4" t="str" cm="1">
        <f t="array" aca="1" ref="D45" ca="1">_FV(StockReportTable4[[#This Row],[Ticker]],"Industry")</f>
        <v>Professional &amp; Commercial Services</v>
      </c>
      <c r="E45" s="4" t="str" cm="1">
        <f t="array" aca="1" ref="E45" ca="1">_FV(StockReportTable4[[#This Row],[Ticker]],"Exchange")</f>
        <v>Nasdaq Stock Market</v>
      </c>
      <c r="F45" s="4" t="str" cm="1">
        <f t="array" aca="1" ref="F45" ca="1">_FV(StockReportTable4[[#This Row],[Ticker]],"Currency")</f>
        <v>USD</v>
      </c>
      <c r="G45" s="5">
        <f t="shared" ca="1" si="0"/>
        <v>46318</v>
      </c>
      <c r="H45" s="33" cm="1">
        <f t="array" aca="1" ref="H45" ca="1">_FV(StockReportTable4[[#This Row],[Ticker]],"Price")</f>
        <v>57.02</v>
      </c>
      <c r="I45" s="21" cm="1">
        <f t="array" aca="1" ref="I45" ca="1">_FV(StockReportTable4[[#This Row],[Ticker]],"Change (%)",TRUE)</f>
        <v>-8.9510000000000006E-3</v>
      </c>
      <c r="J45" s="6">
        <f ca="1">(StockReportTable4[[#This Row],[Price @ Date]]-INDEX(_xlfn.STOCKHISTORY(B45,DATE(2025,12,31),G45),2,2))/(INDEX(_xlfn.STOCKHISTORY(B45,DATE(2025,12,31),G45),2,2))</f>
        <v>-2.3295649194929761E-2</v>
      </c>
      <c r="K45" s="6">
        <f ca="1">(StockReportTable4[[#This Row],[Price @ Date]]-INDEX(_xlfn.STOCKHISTORY(B45,DATE(2025,12,31),G45),2,2))/(INDEX(_xlfn.STOCKHISTORY(B45,EDATE(StockReportTable4[[#This Row],[Date]],-12),G45),2,2))</f>
        <v>-1.9523399368360603E-2</v>
      </c>
      <c r="L45" s="7">
        <f ca="1">(StockReportTable4[[#This Row],[Price @ Date]]-INDEX(_xlfn.STOCKHISTORY(B45,DATE(2025,12,31),G45),2,2))/(INDEX(_xlfn.STOCKHISTORY(B45,EDATE(StockReportTable4[[#This Row],[Date]],-36),G45),2,2))</f>
        <v>-2.5444340505144984E-2</v>
      </c>
      <c r="M45" s="8" cm="1">
        <f t="array" aca="1" ref="M45" ca="1">IFERROR(_FV(StockReportTable4[[#This Row],[Ticker]],"P/E",TRUE),"N/A")</f>
        <v>10.848800000000001</v>
      </c>
      <c r="N45" s="18" cm="1">
        <f t="array" aca="1" ref="N45" ca="1">IFERROR(_FV(StockReportTable4[[#This Row],[Ticker]],"52 week high",TRUE),"N/A")</f>
        <v>79.215000000000003</v>
      </c>
      <c r="O45" s="18" cm="1">
        <f t="array" aca="1" ref="O45" ca="1">IFERROR(_FV(StockReportTable4[[#This Row],[Ticker]],"52 week low",TRUE),"N/A")</f>
        <v>38.46</v>
      </c>
      <c r="P45" s="22" t="e" cm="1" vm="2">
        <f t="array" ref="P45">_FV(StockReportTable4[[#This Row],[Ticker]],"Market cap",TRUE)</f>
        <v>#VALUE!</v>
      </c>
      <c r="Q45" s="27" cm="1">
        <f t="array" aca="1" ref="Q45" ca="1">_FV(StockReportTable4[[#This Row],[Ticker]],"Volume average",TRUE)</f>
        <v>12225759</v>
      </c>
    </row>
    <row r="46" spans="1:17" ht="15">
      <c r="A46" s="9">
        <f>IF(ISNUMBER(StockReportTable4[[#This Row],[P/E]]),IF(StockReportTable4[[#This Row],[P/E]]&lt;35,1,2),3)</f>
        <v>3</v>
      </c>
      <c r="B46" s="4" t="e" vm="47">
        <v>#VALUE!</v>
      </c>
      <c r="C46" s="4" t="str" cm="1">
        <f t="array" aca="1" ref="C46" ca="1">_FV(StockReportTable4[[#This Row],[Ticker]],"Official name",TRUE)</f>
        <v>ROBLOX CORPORATION</v>
      </c>
      <c r="D46" s="4" t="str" cm="1">
        <f t="array" aca="1" ref="D46" ca="1">_FV(StockReportTable4[[#This Row],[Ticker]],"Industry")</f>
        <v>Software &amp; IT Services</v>
      </c>
      <c r="E46" s="4" t="str" cm="1">
        <f t="array" aca="1" ref="E46" ca="1">_FV(StockReportTable4[[#This Row],[Ticker]],"Exchange")</f>
        <v>New York Stock Exchange</v>
      </c>
      <c r="F46" s="4" t="str" cm="1">
        <f t="array" aca="1" ref="F46" ca="1">_FV(StockReportTable4[[#This Row],[Ticker]],"Currency")</f>
        <v>USD</v>
      </c>
      <c r="G46" s="5">
        <f t="shared" ca="1" si="0"/>
        <v>46318</v>
      </c>
      <c r="H46" s="33" cm="1">
        <f t="array" aca="1" ref="H46" ca="1">_FV(StockReportTable4[[#This Row],[Ticker]],"Price")</f>
        <v>52.89</v>
      </c>
      <c r="I46" s="21" cm="1">
        <f t="array" aca="1" ref="I46" ca="1">_FV(StockReportTable4[[#This Row],[Ticker]],"Change (%)",TRUE)</f>
        <v>-1.983E-2</v>
      </c>
      <c r="J46" s="6">
        <f ca="1">(StockReportTable4[[#This Row],[Price @ Date]]-INDEX(_xlfn.STOCKHISTORY(B46,DATE(2025,12,31),G46),2,2))/(INDEX(_xlfn.STOCKHISTORY(B46,DATE(2025,12,31),G46),2,2))</f>
        <v>-0.34727878563495002</v>
      </c>
      <c r="K46" s="6">
        <f ca="1">(StockReportTable4[[#This Row],[Price @ Date]]-INDEX(_xlfn.STOCKHISTORY(B46,DATE(2025,12,31),G46),2,2))/(INDEX(_xlfn.STOCKHISTORY(B46,EDATE(StockReportTable4[[#This Row],[Date]],-12),G46),2,2))</f>
        <v>-0.21773444753946145</v>
      </c>
      <c r="L46" s="7">
        <f ca="1">(StockReportTable4[[#This Row],[Price @ Date]]-INDEX(_xlfn.STOCKHISTORY(B46,DATE(2025,12,31),G46),2,2))/(INDEX(_xlfn.STOCKHISTORY(B46,EDATE(StockReportTable4[[#This Row],[Date]],-36),G46),2,2))</f>
        <v>-0.92051030421982338</v>
      </c>
      <c r="M46" s="8" t="str" cm="1">
        <f t="array" ref="M46">IFERROR(_FV(StockReportTable4[[#This Row],[Ticker]],"P/E",TRUE),"N/A")</f>
        <v>N/A</v>
      </c>
      <c r="N46" s="18" cm="1">
        <f t="array" aca="1" ref="N46" ca="1">IFERROR(_FV(StockReportTable4[[#This Row],[Ticker]],"52 week high",TRUE),"N/A")</f>
        <v>134.66999999999999</v>
      </c>
      <c r="O46" s="18" cm="1">
        <f t="array" aca="1" ref="O46" ca="1">IFERROR(_FV(StockReportTable4[[#This Row],[Ticker]],"52 week low",TRUE),"N/A")</f>
        <v>33.880000000000003</v>
      </c>
      <c r="P46" s="22" cm="1">
        <f t="array" aca="1" ref="P46" ca="1">_FV(StockReportTable4[[#This Row],[Ticker]],"Market cap",TRUE)</f>
        <v>37783341351</v>
      </c>
      <c r="Q46" s="27" cm="1">
        <f t="array" aca="1" ref="Q46" ca="1">_FV(StockReportTable4[[#This Row],[Ticker]],"Volume average",TRUE)</f>
        <v>11671540</v>
      </c>
    </row>
    <row r="47" spans="1:17" ht="15">
      <c r="A47" s="9">
        <f ca="1">IF(ISNUMBER(StockReportTable4[[#This Row],[P/E]]),IF(StockReportTable4[[#This Row],[P/E]]&lt;35,1,2),3)</f>
        <v>2</v>
      </c>
      <c r="B47" s="4" t="e" vm="48">
        <v>#VALUE!</v>
      </c>
      <c r="C47" s="4" t="str" cm="1">
        <f t="array" aca="1" ref="C47" ca="1">_FV(StockReportTable4[[#This Row],[Ticker]],"Official name",TRUE)</f>
        <v>ROKU, INC.</v>
      </c>
      <c r="D47" s="4" t="str" cm="1">
        <f t="array" aca="1" ref="D47" ca="1">_FV(StockReportTable4[[#This Row],[Ticker]],"Industry")</f>
        <v>Media &amp; Publishing</v>
      </c>
      <c r="E47" s="4" t="str" cm="1">
        <f t="array" aca="1" ref="E47" ca="1">_FV(StockReportTable4[[#This Row],[Ticker]],"Exchange")</f>
        <v>Nasdaq Stock Market</v>
      </c>
      <c r="F47" s="4" t="str" cm="1">
        <f t="array" aca="1" ref="F47" ca="1">_FV(StockReportTable4[[#This Row],[Ticker]],"Currency")</f>
        <v>USD</v>
      </c>
      <c r="G47" s="5">
        <f t="shared" ca="1" si="0"/>
        <v>46318</v>
      </c>
      <c r="H47" s="33" cm="1">
        <f t="array" aca="1" ref="H47" ca="1">_FV(StockReportTable4[[#This Row],[Ticker]],"Price")</f>
        <v>158.58000000000001</v>
      </c>
      <c r="I47" s="21" cm="1">
        <f t="array" aca="1" ref="I47" ca="1">_FV(StockReportTable4[[#This Row],[Ticker]],"Change (%)",TRUE)</f>
        <v>-9.247E-3</v>
      </c>
      <c r="J47" s="6">
        <f ca="1">(StockReportTable4[[#This Row],[Price @ Date]]-INDEX(_xlfn.STOCKHISTORY(B47,DATE(2025,12,31),G47),2,2))/(INDEX(_xlfn.STOCKHISTORY(B47,DATE(2025,12,31),G47),2,2))</f>
        <v>0.46170153931237923</v>
      </c>
      <c r="K47" s="6">
        <f ca="1">(StockReportTable4[[#This Row],[Price @ Date]]-INDEX(_xlfn.STOCKHISTORY(B47,DATE(2025,12,31),G47),2,2))/(INDEX(_xlfn.STOCKHISTORY(B47,EDATE(StockReportTable4[[#This Row],[Date]],-12),G47),2,2))</f>
        <v>0.50966625966625989</v>
      </c>
      <c r="L47" s="7">
        <f ca="1">(StockReportTable4[[#This Row],[Price @ Date]]-INDEX(_xlfn.STOCKHISTORY(B47,DATE(2025,12,31),G47),2,2))/(INDEX(_xlfn.STOCKHISTORY(B47,EDATE(StockReportTable4[[#This Row],[Date]],-36),G47),2,2))</f>
        <v>0.8187316116377904</v>
      </c>
      <c r="M47" s="8" cm="1">
        <f t="array" aca="1" ref="M47" ca="1">IFERROR(_FV(StockReportTable4[[#This Row],[Ticker]],"P/E",TRUE),"N/A")</f>
        <v>68.381799999999998</v>
      </c>
      <c r="N47" s="18" cm="1">
        <f t="array" aca="1" ref="N47" ca="1">IFERROR(_FV(StockReportTable4[[#This Row],[Ticker]],"52 week high",TRUE),"N/A")</f>
        <v>160.22</v>
      </c>
      <c r="O47" s="18" cm="1">
        <f t="array" aca="1" ref="O47" ca="1">IFERROR(_FV(StockReportTable4[[#This Row],[Ticker]],"52 week low",TRUE),"N/A")</f>
        <v>78.53</v>
      </c>
      <c r="P47" s="22" cm="1">
        <f t="array" aca="1" ref="P47" ca="1">_FV(StockReportTable4[[#This Row],[Ticker]],"Market cap",TRUE)</f>
        <v>23550810948</v>
      </c>
      <c r="Q47" s="27" cm="1">
        <f t="array" aca="1" ref="Q47" ca="1">_FV(StockReportTable4[[#This Row],[Ticker]],"Volume average",TRUE)</f>
        <v>1854466</v>
      </c>
    </row>
    <row r="48" spans="1:17" ht="15">
      <c r="A48" s="9">
        <f ca="1">IF(ISNUMBER(StockReportTable4[[#This Row],[P/E]]),IF(StockReportTable4[[#This Row],[P/E]]&lt;35,1,2),3)</f>
        <v>1</v>
      </c>
      <c r="B48" s="4" t="e" vm="49">
        <v>#VALUE!</v>
      </c>
      <c r="C48" s="4" t="str" cm="1">
        <f t="array" aca="1" ref="C48" ca="1">_FV(StockReportTable4[[#This Row],[Ticker]],"Official name",TRUE)</f>
        <v>UBER TECHNOLOGIES, INC.</v>
      </c>
      <c r="D48" s="4" t="str" cm="1">
        <f t="array" aca="1" ref="D48" ca="1">_FV(StockReportTable4[[#This Row],[Ticker]],"Industry")</f>
        <v>Software &amp; IT Services</v>
      </c>
      <c r="E48" s="4" t="str" cm="1">
        <f t="array" aca="1" ref="E48" ca="1">_FV(StockReportTable4[[#This Row],[Ticker]],"Exchange")</f>
        <v>New York Stock Exchange</v>
      </c>
      <c r="F48" s="4" t="str" cm="1">
        <f t="array" aca="1" ref="F48" ca="1">_FV(StockReportTable4[[#This Row],[Ticker]],"Currency")</f>
        <v>USD</v>
      </c>
      <c r="G48" s="5">
        <f t="shared" ca="1" si="0"/>
        <v>46318</v>
      </c>
      <c r="H48" s="33" cm="1">
        <f t="array" aca="1" ref="H48" ca="1">_FV(StockReportTable4[[#This Row],[Ticker]],"Price")</f>
        <v>66.7</v>
      </c>
      <c r="I48" s="21" cm="1">
        <f t="array" aca="1" ref="I48" ca="1">_FV(StockReportTable4[[#This Row],[Ticker]],"Change (%)",TRUE)</f>
        <v>-3.4312999999999996E-2</v>
      </c>
      <c r="J48" s="6">
        <f ca="1">(StockReportTable4[[#This Row],[Price @ Date]]-INDEX(_xlfn.STOCKHISTORY(B48,DATE(2025,12,31),G48),2,2))/(INDEX(_xlfn.STOCKHISTORY(B48,DATE(2025,12,31),G48),2,2))</f>
        <v>-0.18369844572267766</v>
      </c>
      <c r="K48" s="6">
        <f ca="1">(StockReportTable4[[#This Row],[Price @ Date]]-INDEX(_xlfn.STOCKHISTORY(B48,DATE(2025,12,31),G48),2,2))/(INDEX(_xlfn.STOCKHISTORY(B48,EDATE(StockReportTable4[[#This Row],[Date]],-12),G48),2,2))</f>
        <v>-0.15865130535884148</v>
      </c>
      <c r="L48" s="7">
        <f ca="1">(StockReportTable4[[#This Row],[Price @ Date]]-INDEX(_xlfn.STOCKHISTORY(B48,DATE(2025,12,31),G48),2,2))/(INDEX(_xlfn.STOCKHISTORY(B48,EDATE(StockReportTable4[[#This Row],[Date]],-36),G48),2,2))</f>
        <v>-0.34874535315985111</v>
      </c>
      <c r="M48" s="8" cm="1">
        <f t="array" aca="1" ref="M48" ca="1">IFERROR(_FV(StockReportTable4[[#This Row],[Ticker]],"P/E",TRUE),"N/A")</f>
        <v>15.1614</v>
      </c>
      <c r="N48" s="18" cm="1">
        <f t="array" aca="1" ref="N48" ca="1">IFERROR(_FV(StockReportTable4[[#This Row],[Ticker]],"52 week high",TRUE),"N/A")</f>
        <v>100.35</v>
      </c>
      <c r="O48" s="18" cm="1">
        <f t="array" aca="1" ref="O48" ca="1">IFERROR(_FV(StockReportTable4[[#This Row],[Ticker]],"52 week low",TRUE),"N/A")</f>
        <v>65.41</v>
      </c>
      <c r="P48" s="22" cm="1">
        <f t="array" aca="1" ref="P48" ca="1">_FV(StockReportTable4[[#This Row],[Ticker]],"Market cap",TRUE)</f>
        <v>136238752000</v>
      </c>
      <c r="Q48" s="27" cm="1">
        <f t="array" aca="1" ref="Q48" ca="1">_FV(StockReportTable4[[#This Row],[Ticker]],"Volume average",TRUE)</f>
        <v>15933749</v>
      </c>
    </row>
    <row r="49" spans="1:17" ht="15">
      <c r="A49" s="11">
        <f ca="1">IF(ISNUMBER(StockReportTable4[[#This Row],[P/E]]),IF(StockReportTable4[[#This Row],[P/E]]&lt;35,1,2),3)</f>
        <v>1</v>
      </c>
      <c r="B49" s="4" t="e" vm="50">
        <v>#VALUE!</v>
      </c>
      <c r="C49" s="4" t="str" cm="1">
        <f t="array" aca="1" ref="C49" ca="1">_FV(StockReportTable4[[#This Row],[Ticker]],"Official name",TRUE)</f>
        <v>EXXONMOBIL HOLDINGS CORPORATION</v>
      </c>
      <c r="D49" s="4" t="str" cm="1">
        <f t="array" aca="1" ref="D49" ca="1">_FV(StockReportTable4[[#This Row],[Ticker]],"Industry")</f>
        <v>Oil &amp; Gas</v>
      </c>
      <c r="E49" s="4" t="str" cm="1">
        <f t="array" aca="1" ref="E49" ca="1">_FV(StockReportTable4[[#This Row],[Ticker]],"Exchange")</f>
        <v>New York Stock Exchange</v>
      </c>
      <c r="F49" s="4" t="str" cm="1">
        <f t="array" aca="1" ref="F49" ca="1">_FV(StockReportTable4[[#This Row],[Ticker]],"Currency")</f>
        <v>USD</v>
      </c>
      <c r="G49" s="5">
        <f t="shared" ca="1" si="0"/>
        <v>46318</v>
      </c>
      <c r="H49" s="33" cm="1">
        <f t="array" aca="1" ref="H49" ca="1">_FV(StockReportTable4[[#This Row],[Ticker]],"Price")</f>
        <v>183.21</v>
      </c>
      <c r="I49" s="21" cm="1">
        <f t="array" aca="1" ref="I49" ca="1">_FV(StockReportTable4[[#This Row],[Ticker]],"Change (%)",TRUE)</f>
        <v>2.7940999999999997E-2</v>
      </c>
      <c r="J49" s="6">
        <f ca="1">(StockReportTable4[[#This Row],[Price @ Date]]-INDEX(_xlfn.STOCKHISTORY(B49,DATE(2025,12,31),G49),2,2))/(INDEX(_xlfn.STOCKHISTORY(B49,DATE(2025,12,31),G49),2,2))</f>
        <v>0.52243643011467511</v>
      </c>
      <c r="K49" s="6">
        <f ca="1">(StockReportTable4[[#This Row],[Price @ Date]]-INDEX(_xlfn.STOCKHISTORY(B49,DATE(2025,12,31),G49),2,2))/(INDEX(_xlfn.STOCKHISTORY(B49,EDATE(StockReportTable4[[#This Row],[Date]],-12),G49),2,2))</f>
        <v>0.54207622003793765</v>
      </c>
      <c r="L49" s="7">
        <f ca="1">(StockReportTable4[[#This Row],[Price @ Date]]-INDEX(_xlfn.STOCKHISTORY(B49,DATE(2025,12,31),G49),2,2))/(INDEX(_xlfn.STOCKHISTORY(B49,EDATE(StockReportTable4[[#This Row],[Date]],-36),G49),2,2))</f>
        <v>0.57441754225673824</v>
      </c>
      <c r="M49" s="8" cm="1">
        <f t="array" aca="1" ref="M49" ca="1">IFERROR(_FV(StockReportTable4[[#This Row],[Ticker]],"P/E",TRUE),"N/A")</f>
        <v>22.984500000000001</v>
      </c>
      <c r="N49" s="18" cm="1">
        <f t="array" aca="1" ref="N49" ca="1">IFERROR(_FV(StockReportTable4[[#This Row],[Ticker]],"52 week high",TRUE),"N/A")</f>
        <v>183.75</v>
      </c>
      <c r="O49" s="18" cm="1">
        <f t="array" aca="1" ref="O49" ca="1">IFERROR(_FV(StockReportTable4[[#This Row],[Ticker]],"52 week low",TRUE),"N/A")</f>
        <v>112.51</v>
      </c>
      <c r="P49" s="22" cm="1">
        <f t="array" aca="1" ref="P49" ca="1">_FV(StockReportTable4[[#This Row],[Ticker]],"Market cap",TRUE)</f>
        <v>753343397520</v>
      </c>
      <c r="Q49" s="27" cm="1">
        <f t="array" aca="1" ref="Q49" ca="1">_FV(StockReportTable4[[#This Row],[Ticker]],"Volume average",TRUE)</f>
        <v>12806951</v>
      </c>
    </row>
    <row r="50" spans="1:17" ht="15">
      <c r="A50" s="11">
        <f ca="1">IF(ISNUMBER(StockReportTable4[[#This Row],[P/E]]),IF(StockReportTable4[[#This Row],[P/E]]&lt;35,1,2),3)</f>
        <v>1</v>
      </c>
      <c r="B50" s="4" t="e" vm="51">
        <v>#VALUE!</v>
      </c>
      <c r="C50" s="4" t="str" cm="1">
        <f t="array" aca="1" ref="C50" ca="1">_FV(StockReportTable4[[#This Row],[Ticker]],"Official name",TRUE)</f>
        <v>Abb Ltd</v>
      </c>
      <c r="D50" s="4" t="str" cm="1">
        <f t="array" aca="1" ref="D50" ca="1">_FV(StockReportTable4[[#This Row],[Ticker]],"Industry")</f>
        <v>Machinery, Equipment &amp; Components</v>
      </c>
      <c r="E50" s="4" t="str" cm="1">
        <f t="array" aca="1" ref="E50" ca="1">_FV(StockReportTable4[[#This Row],[Ticker]],"Exchange")</f>
        <v>SIX Swiss Exchange</v>
      </c>
      <c r="F50" s="4" t="str" cm="1">
        <f t="array" aca="1" ref="F50" ca="1">_FV(StockReportTable4[[#This Row],[Ticker]],"Currency")</f>
        <v>CHF</v>
      </c>
      <c r="G50" s="5">
        <f t="shared" ca="1" si="0"/>
        <v>46318</v>
      </c>
      <c r="H50" s="34" cm="1">
        <f t="array" aca="1" ref="H50" ca="1">_FV(StockReportTable4[[#This Row],[Ticker]],"Price")</f>
        <v>67.78</v>
      </c>
      <c r="I50" s="21" cm="1">
        <f t="array" aca="1" ref="I50" ca="1">_FV(StockReportTable4[[#This Row],[Ticker]],"Change (%)",TRUE)</f>
        <v>-1.6541E-2</v>
      </c>
      <c r="J50" s="6">
        <f ca="1">(StockReportTable4[[#This Row],[Price @ Date]]-INDEX(_xlfn.STOCKHISTORY(B50,DATE(2025,12,31),G50),2,2))/(INDEX(_xlfn.STOCKHISTORY(B50,DATE(2025,12,31),G50),2,2))</f>
        <v>0.10679294578706726</v>
      </c>
      <c r="K50" s="6">
        <f ca="1">(StockReportTable4[[#This Row],[Price @ Date]]-INDEX(_xlfn.STOCKHISTORY(B50,DATE(2025,12,31),G50),2,2))/(INDEX(_xlfn.STOCKHISTORY(B50,EDATE(StockReportTable4[[#This Row],[Date]],-12),G50),2,2))</f>
        <v>0.11168032786885244</v>
      </c>
      <c r="L50" s="7">
        <f ca="1">(StockReportTable4[[#This Row],[Price @ Date]]-INDEX(_xlfn.STOCKHISTORY(B50,DATE(2025,12,31),G50),2,2))/(INDEX(_xlfn.STOCKHISTORY(B50,EDATE(StockReportTable4[[#This Row],[Date]],-36),G50),2,2))</f>
        <v>0.21880227500836397</v>
      </c>
      <c r="M50" s="8" cm="1">
        <f t="array" aca="1" ref="M50" ca="1">IFERROR(_FV(StockReportTable4[[#This Row],[Ticker]],"P/E",TRUE),"N/A")</f>
        <v>29.4696</v>
      </c>
      <c r="N50" s="19" cm="1">
        <f t="array" aca="1" ref="N50" ca="1">IFERROR(_FV(StockReportTable4[[#This Row],[Ticker]],"52 week high",TRUE),"N/A")</f>
        <v>89.14</v>
      </c>
      <c r="O50" s="19" cm="1">
        <f t="array" aca="1" ref="O50" ca="1">IFERROR(_FV(StockReportTable4[[#This Row],[Ticker]],"52 week low",TRUE),"N/A")</f>
        <v>53.78</v>
      </c>
      <c r="P50" s="24" cm="1">
        <f t="array" aca="1" ref="P50" ca="1">_FV(StockReportTable4[[#This Row],[Ticker]],"Market cap",TRUE)</f>
        <v>123573400000</v>
      </c>
      <c r="Q50" s="27" cm="1">
        <f t="array" aca="1" ref="Q50" ca="1">_FV(StockReportTable4[[#This Row],[Ticker]],"Volume average",TRUE)</f>
        <v>3066080</v>
      </c>
    </row>
    <row r="51" spans="1:17" ht="15">
      <c r="A51" s="11">
        <f ca="1">IF(ISNUMBER(StockReportTable4[[#This Row],[P/E]]),IF(StockReportTable4[[#This Row],[P/E]]&lt;35,1,2),3)</f>
        <v>1</v>
      </c>
      <c r="B51" s="4" t="e" vm="52">
        <v>#VALUE!</v>
      </c>
      <c r="C51" s="4" t="str" cm="1">
        <f t="array" aca="1" ref="C51" ca="1">_FV(StockReportTable4[[#This Row],[Ticker]],"Official name",TRUE)</f>
        <v>CHEVRON CORPORATION</v>
      </c>
      <c r="D51" s="4" t="str" cm="1">
        <f t="array" aca="1" ref="D51" ca="1">_FV(StockReportTable4[[#This Row],[Ticker]],"Industry")</f>
        <v>Oil &amp; Gas</v>
      </c>
      <c r="E51" s="4" t="str" cm="1">
        <f t="array" aca="1" ref="E51" ca="1">_FV(StockReportTable4[[#This Row],[Ticker]],"Exchange")</f>
        <v>New York Stock Exchange</v>
      </c>
      <c r="F51" s="4" t="str" cm="1">
        <f t="array" aca="1" ref="F51" ca="1">_FV(StockReportTable4[[#This Row],[Ticker]],"Currency")</f>
        <v>USD</v>
      </c>
      <c r="G51" s="5">
        <f t="shared" ca="1" si="0"/>
        <v>46318</v>
      </c>
      <c r="H51" s="33" cm="1">
        <f t="array" aca="1" ref="H51" ca="1">_FV(StockReportTable4[[#This Row],[Ticker]],"Price")</f>
        <v>233.21</v>
      </c>
      <c r="I51" s="21" cm="1">
        <f t="array" aca="1" ref="I51" ca="1">_FV(StockReportTable4[[#This Row],[Ticker]],"Change (%)",TRUE)</f>
        <v>2.8806999999999999E-2</v>
      </c>
      <c r="J51" s="6">
        <f ca="1">(StockReportTable4[[#This Row],[Price @ Date]]-INDEX(_xlfn.STOCKHISTORY(B51,DATE(2025,12,31),G51),2,2))/(INDEX(_xlfn.STOCKHISTORY(B51,DATE(2025,12,31),G51),2,2))</f>
        <v>0.53014894035824434</v>
      </c>
      <c r="K51" s="6">
        <f ca="1">(StockReportTable4[[#This Row],[Price @ Date]]-INDEX(_xlfn.STOCKHISTORY(B51,DATE(2025,12,31),G51),2,2))/(INDEX(_xlfn.STOCKHISTORY(B51,EDATE(StockReportTable4[[#This Row],[Date]],-12),G51),2,2))</f>
        <v>0.51609606540623409</v>
      </c>
      <c r="L51" s="7">
        <f ca="1">(StockReportTable4[[#This Row],[Price @ Date]]-INDEX(_xlfn.STOCKHISTORY(B51,DATE(2025,12,31),G51),2,2))/(INDEX(_xlfn.STOCKHISTORY(B51,EDATE(StockReportTable4[[#This Row],[Date]],-36),G51),2,2))</f>
        <v>0.5028628329599204</v>
      </c>
      <c r="M51" s="8" cm="1">
        <f t="array" aca="1" ref="M51" ca="1">IFERROR(_FV(StockReportTable4[[#This Row],[Ticker]],"P/E",TRUE),"N/A")</f>
        <v>21.7364</v>
      </c>
      <c r="N51" s="18" cm="1">
        <f t="array" aca="1" ref="N51" ca="1">IFERROR(_FV(StockReportTable4[[#This Row],[Ticker]],"52 week high",TRUE),"N/A")</f>
        <v>233.74</v>
      </c>
      <c r="O51" s="18" cm="1">
        <f t="array" aca="1" ref="O51" ca="1">IFERROR(_FV(StockReportTable4[[#This Row],[Ticker]],"52 week low",TRUE),"N/A")</f>
        <v>146.49</v>
      </c>
      <c r="P51" s="22" cm="1">
        <f t="array" aca="1" ref="P51" ca="1">_FV(StockReportTable4[[#This Row],[Ticker]],"Market cap",TRUE)</f>
        <v>460769554910</v>
      </c>
      <c r="Q51" s="27" cm="1">
        <f t="array" aca="1" ref="Q51" ca="1">_FV(StockReportTable4[[#This Row],[Ticker]],"Volume average",TRUE)</f>
        <v>9176657</v>
      </c>
    </row>
    <row r="52" spans="1:17" ht="15">
      <c r="A52" s="11">
        <f>IF(ISNUMBER(StockReportTable4[[#This Row],[P/E]]),IF(StockReportTable4[[#This Row],[P/E]]&lt;35,1,2),3)</f>
        <v>3</v>
      </c>
      <c r="B52" s="4" t="e" vm="53">
        <v>#VALUE!</v>
      </c>
      <c r="C52" s="4" t="str" cm="1">
        <f t="array" aca="1" ref="C52" ca="1">_FV(StockReportTable4[[#This Row],[Ticker]],"Official name",TRUE)</f>
        <v>CLOUDFLARE, INC.</v>
      </c>
      <c r="D52" s="4" t="str" cm="1">
        <f t="array" aca="1" ref="D52" ca="1">_FV(StockReportTable4[[#This Row],[Ticker]],"Industry")</f>
        <v>Software &amp; IT Services</v>
      </c>
      <c r="E52" s="4" t="str" cm="1">
        <f t="array" aca="1" ref="E52" ca="1">_FV(StockReportTable4[[#This Row],[Ticker]],"Exchange")</f>
        <v>New York Stock Exchange</v>
      </c>
      <c r="F52" s="4" t="str" cm="1">
        <f t="array" aca="1" ref="F52" ca="1">_FV(StockReportTable4[[#This Row],[Ticker]],"Currency")</f>
        <v>USD</v>
      </c>
      <c r="G52" s="5">
        <f t="shared" ca="1" si="0"/>
        <v>46318</v>
      </c>
      <c r="H52" s="33" cm="1">
        <f t="array" aca="1" ref="H52" ca="1">_FV(StockReportTable4[[#This Row],[Ticker]],"Price")</f>
        <v>325.73</v>
      </c>
      <c r="I52" s="21" cm="1">
        <f t="array" aca="1" ref="I52" ca="1">_FV(StockReportTable4[[#This Row],[Ticker]],"Change (%)",TRUE)</f>
        <v>7.2857000000000005E-2</v>
      </c>
      <c r="J52" s="6">
        <f ca="1">(StockReportTable4[[#This Row],[Price @ Date]]-INDEX(_xlfn.STOCKHISTORY(B52,DATE(2025,12,31),G52),2,2))/(INDEX(_xlfn.STOCKHISTORY(B52,DATE(2025,12,31),G52),2,2))</f>
        <v>0.65219376109561256</v>
      </c>
      <c r="K52" s="6">
        <f ca="1">(StockReportTable4[[#This Row],[Price @ Date]]-INDEX(_xlfn.STOCKHISTORY(B52,DATE(2025,12,31),G52),2,2))/(INDEX(_xlfn.STOCKHISTORY(B52,EDATE(StockReportTable4[[#This Row],[Date]],-12),G52),2,2))</f>
        <v>0.59209799226376869</v>
      </c>
      <c r="L52" s="7">
        <f ca="1">(StockReportTable4[[#This Row],[Price @ Date]]-INDEX(_xlfn.STOCKHISTORY(B52,DATE(2025,12,31),G52),2,2))/(INDEX(_xlfn.STOCKHISTORY(B52,EDATE(StockReportTable4[[#This Row],[Date]],-36),G52),2,2))</f>
        <v>2.1904599659284498</v>
      </c>
      <c r="M52" s="8" t="str" cm="1">
        <f t="array" ref="M52">IFERROR(_FV(StockReportTable4[[#This Row],[Ticker]],"P/E",TRUE),"N/A")</f>
        <v>N/A</v>
      </c>
      <c r="N52" s="18" cm="1">
        <f t="array" aca="1" ref="N52" ca="1">IFERROR(_FV(StockReportTable4[[#This Row],[Ticker]],"52 week high",TRUE),"N/A")</f>
        <v>370.35</v>
      </c>
      <c r="O52" s="18" cm="1">
        <f t="array" aca="1" ref="O52" ca="1">IFERROR(_FV(StockReportTable4[[#This Row],[Ticker]],"52 week low",TRUE),"N/A")</f>
        <v>158.83000000000001</v>
      </c>
      <c r="P52" s="22" cm="1">
        <f t="array" aca="1" ref="P52" ca="1">_FV(StockReportTable4[[#This Row],[Ticker]],"Market cap",TRUE)</f>
        <v>115985840681</v>
      </c>
      <c r="Q52" s="27" cm="1">
        <f t="array" aca="1" ref="Q52" ca="1">_FV(StockReportTable4[[#This Row],[Ticker]],"Volume average",TRUE)</f>
        <v>3080379</v>
      </c>
    </row>
    <row r="53" spans="1:17" ht="15">
      <c r="A53" s="11">
        <f ca="1">IF(ISNUMBER(StockReportTable4[[#This Row],[P/E]]),IF(StockReportTable4[[#This Row],[P/E]]&lt;35,1,2),3)</f>
        <v>1</v>
      </c>
      <c r="B53" s="4" t="e" vm="54">
        <v>#VALUE!</v>
      </c>
      <c r="C53" s="4" t="str" cm="1">
        <f t="array" aca="1" ref="C53" ca="1">_FV(StockReportTable4[[#This Row],[Ticker]],"Official name",TRUE)</f>
        <v>HONEYWELL INTERNATIONAL INCORPORATION</v>
      </c>
      <c r="D53" s="4" t="str" cm="1">
        <f t="array" aca="1" ref="D53" ca="1">_FV(StockReportTable4[[#This Row],[Ticker]],"Industry")</f>
        <v>Consumer Goods Conglomerates</v>
      </c>
      <c r="E53" s="4" t="str" cm="1">
        <f t="array" aca="1" ref="E53" ca="1">_FV(StockReportTable4[[#This Row],[Ticker]],"Exchange")</f>
        <v>Nasdaq Stock Market</v>
      </c>
      <c r="F53" s="4" t="str" cm="1">
        <f t="array" aca="1" ref="F53" ca="1">_FV(StockReportTable4[[#This Row],[Ticker]],"Currency")</f>
        <v>USD</v>
      </c>
      <c r="G53" s="5">
        <f t="shared" ca="1" si="0"/>
        <v>46318</v>
      </c>
      <c r="H53" s="33" cm="1">
        <f t="array" aca="1" ref="H53" ca="1">_FV(StockReportTable4[[#This Row],[Ticker]],"Price")</f>
        <v>221.15</v>
      </c>
      <c r="I53" s="21" cm="1">
        <f t="array" aca="1" ref="I53" ca="1">_FV(StockReportTable4[[#This Row],[Ticker]],"Change (%)",TRUE)</f>
        <v>1.3009E-2</v>
      </c>
      <c r="J53" s="6">
        <f ca="1">(StockReportTable4[[#This Row],[Price @ Date]]-INDEX(_xlfn.STOCKHISTORY(B53,DATE(2025,12,31),G53),2,2))/(INDEX(_xlfn.STOCKHISTORY(B53,DATE(2025,12,31),G53),2,2))</f>
        <v>8.1412276021987154E-2</v>
      </c>
      <c r="K53" s="6">
        <f ca="1">(StockReportTable4[[#This Row],[Price @ Date]]-INDEX(_xlfn.STOCKHISTORY(B53,DATE(2025,12,31),G53),2,2))/(INDEX(_xlfn.STOCKHISTORY(B53,EDATE(StockReportTable4[[#This Row],[Date]],-12),G53),2,2))</f>
        <v>7.6392757212824541E-2</v>
      </c>
      <c r="L53" s="7">
        <f ca="1">(StockReportTable4[[#This Row],[Price @ Date]]-INDEX(_xlfn.STOCKHISTORY(B53,DATE(2025,12,31),G53),2,2))/(INDEX(_xlfn.STOCKHISTORY(B53,EDATE(StockReportTable4[[#This Row],[Date]],-36),G53),2,2))</f>
        <v>9.3383522580674103E-2</v>
      </c>
      <c r="M53" s="8" cm="1">
        <f t="array" aca="1" ref="M53" ca="1">IFERROR(_FV(StockReportTable4[[#This Row],[Ticker]],"P/E",TRUE),"N/A")</f>
        <v>10.154999999999999</v>
      </c>
      <c r="N53" s="18" cm="1">
        <f t="array" aca="1" ref="N53" ca="1">IFERROR(_FV(StockReportTable4[[#This Row],[Ticker]],"52 week high",TRUE),"N/A")</f>
        <v>260.15019999999998</v>
      </c>
      <c r="O53" s="18" cm="1">
        <f t="array" aca="1" ref="O53" ca="1">IFERROR(_FV(StockReportTable4[[#This Row],[Ticker]],"52 week low",TRUE),"N/A")</f>
        <v>195.76779999999999</v>
      </c>
      <c r="P53" s="22" t="e" cm="1" vm="2">
        <f t="array" ref="P53">_FV(StockReportTable4[[#This Row],[Ticker]],"Market cap",TRUE)</f>
        <v>#VALUE!</v>
      </c>
      <c r="Q53" s="27" cm="1">
        <f t="array" aca="1" ref="Q53" ca="1">_FV(StockReportTable4[[#This Row],[Ticker]],"Volume average",TRUE)</f>
        <v>2714410</v>
      </c>
    </row>
    <row r="54" spans="1:17" ht="15">
      <c r="A54" s="11">
        <f>IF(ISNUMBER(StockReportTable4[[#This Row],[P/E]]),IF(StockReportTable4[[#This Row],[P/E]]&lt;35,1,2),3)</f>
        <v>3</v>
      </c>
      <c r="B54" s="4" t="e" vm="55">
        <v>#VALUE!</v>
      </c>
      <c r="C54" s="4" t="str" cm="1">
        <f t="array" aca="1" ref="C54" ca="1">_FV(StockReportTable4[[#This Row],[Ticker]],"Official name",TRUE)</f>
        <v>Medicofarma Biotech SA</v>
      </c>
      <c r="D54" s="4" t="str" cm="1">
        <f t="array" aca="1" ref="D54" ca="1">_FV(StockReportTable4[[#This Row],[Ticker]],"Industry")</f>
        <v>Biotechnology &amp; Medical Research</v>
      </c>
      <c r="E54" s="4" t="str" cm="1">
        <f t="array" aca="1" ref="E54" ca="1">_FV(StockReportTable4[[#This Row],[Ticker]],"Exchange")</f>
        <v>Warsaw Stock Exchange</v>
      </c>
      <c r="F54" s="4" t="str" cm="1">
        <f t="array" aca="1" ref="F54" ca="1">_FV(StockReportTable4[[#This Row],[Ticker]],"Currency")</f>
        <v>PLN</v>
      </c>
      <c r="G54" s="5">
        <f t="shared" ca="1" si="0"/>
        <v>46318</v>
      </c>
      <c r="H54" s="35" cm="1">
        <f t="array" aca="1" ref="H54" ca="1">_FV(StockReportTable4[[#This Row],[Ticker]],"Price")</f>
        <v>0.35199999999999998</v>
      </c>
      <c r="I54" s="21" cm="1">
        <f t="array" aca="1" ref="I54" ca="1">_FV(StockReportTable4[[#This Row],[Ticker]],"Change (%)",TRUE)</f>
        <v>0</v>
      </c>
      <c r="J54" s="6">
        <f ca="1">(StockReportTable4[[#This Row],[Price @ Date]]-INDEX(_xlfn.STOCKHISTORY(B54,DATE(2025,12,31),G54),2,2))/(INDEX(_xlfn.STOCKHISTORY(B54,DATE(2025,12,31),G54),2,2))</f>
        <v>-7.8534031413612634E-2</v>
      </c>
      <c r="K54" s="6">
        <f ca="1">(StockReportTable4[[#This Row],[Price @ Date]]-INDEX(_xlfn.STOCKHISTORY(B54,DATE(2025,12,31),G54),2,2))/(INDEX(_xlfn.STOCKHISTORY(B54,EDATE(StockReportTable4[[#This Row],[Date]],-12),G54),2,2))</f>
        <v>-4.7318611987381742E-2</v>
      </c>
      <c r="L54" s="7">
        <f ca="1">(StockReportTable4[[#This Row],[Price @ Date]]-INDEX(_xlfn.STOCKHISTORY(B54,DATE(2025,12,31),G54),2,2))/(INDEX(_xlfn.STOCKHISTORY(B54,EDATE(StockReportTable4[[#This Row],[Date]],-36),G54),2,2))</f>
        <v>-2.6666666666666689E-2</v>
      </c>
      <c r="M54" s="8" t="str" cm="1">
        <f t="array" ref="M54">IFERROR(_FV(StockReportTable4[[#This Row],[Ticker]],"P/E",TRUE),"N/A")</f>
        <v>N/A</v>
      </c>
      <c r="N54" s="20" cm="1">
        <f t="array" aca="1" ref="N54" ca="1">IFERROR(_FV(StockReportTable4[[#This Row],[Ticker]],"52 week high",TRUE),"N/A")</f>
        <v>0.64</v>
      </c>
      <c r="O54" s="20" cm="1">
        <f t="array" aca="1" ref="O54" ca="1">IFERROR(_FV(StockReportTable4[[#This Row],[Ticker]],"52 week low",TRUE),"N/A")</f>
        <v>0.33</v>
      </c>
      <c r="P54" s="25" cm="1">
        <f t="array" aca="1" ref="P54" ca="1">_FV(StockReportTable4[[#This Row],[Ticker]],"Market cap",TRUE)</f>
        <v>23928360</v>
      </c>
      <c r="Q54" s="27" cm="1">
        <f t="array" aca="1" ref="Q54" ca="1">_FV(StockReportTable4[[#This Row],[Ticker]],"Volume average",TRUE)</f>
        <v>14180</v>
      </c>
    </row>
    <row r="55" spans="1:17" ht="15">
      <c r="A55" s="11">
        <f ca="1">IF(ISNUMBER(StockReportTable4[[#This Row],[P/E]]),IF(StockReportTable4[[#This Row],[P/E]]&lt;35,1,2),3)</f>
        <v>1</v>
      </c>
      <c r="B55" s="4" t="e" vm="56">
        <v>#VALUE!</v>
      </c>
      <c r="C55" s="4" t="str" cm="1">
        <f t="array" aca="1" ref="C55" ca="1">_FV(StockReportTable4[[#This Row],[Ticker]],"Official name",TRUE)</f>
        <v>ORACLE CORPORATION</v>
      </c>
      <c r="D55" s="4" t="str" cm="1">
        <f t="array" aca="1" ref="D55" ca="1">_FV(StockReportTable4[[#This Row],[Ticker]],"Industry")</f>
        <v>Software &amp; IT Services</v>
      </c>
      <c r="E55" s="4" t="str" cm="1">
        <f t="array" aca="1" ref="E55" ca="1">_FV(StockReportTable4[[#This Row],[Ticker]],"Exchange")</f>
        <v>New York Stock Exchange</v>
      </c>
      <c r="F55" s="4" t="str" cm="1">
        <f t="array" aca="1" ref="F55" ca="1">_FV(StockReportTable4[[#This Row],[Ticker]],"Currency")</f>
        <v>USD</v>
      </c>
      <c r="G55" s="5">
        <f t="shared" ca="1" si="0"/>
        <v>46318</v>
      </c>
      <c r="H55" s="33" cm="1">
        <f t="array" aca="1" ref="H55" ca="1">_FV(StockReportTable4[[#This Row],[Ticker]],"Price")</f>
        <v>126.16</v>
      </c>
      <c r="I55" s="21" cm="1">
        <f t="array" aca="1" ref="I55" ca="1">_FV(StockReportTable4[[#This Row],[Ticker]],"Change (%)",TRUE)</f>
        <v>4.9389999999999998E-3</v>
      </c>
      <c r="J55" s="6">
        <f ca="1">(StockReportTable4[[#This Row],[Price @ Date]]-INDEX(_xlfn.STOCKHISTORY(B55,DATE(2025,12,31),G55),2,2))/(INDEX(_xlfn.STOCKHISTORY(B55,DATE(2025,12,31),G55),2,2))</f>
        <v>-0.35272689959468473</v>
      </c>
      <c r="K55" s="6">
        <f ca="1">(StockReportTable4[[#This Row],[Price @ Date]]-INDEX(_xlfn.STOCKHISTORY(B55,DATE(2025,12,31),G55),2,2))/(INDEX(_xlfn.STOCKHISTORY(B55,EDATE(StockReportTable4[[#This Row],[Date]],-12),G55),2,2))</f>
        <v>-0.24547434569928947</v>
      </c>
      <c r="L55" s="7">
        <f ca="1">(StockReportTable4[[#This Row],[Price @ Date]]-INDEX(_xlfn.STOCKHISTORY(B55,DATE(2025,12,31),G55),2,2))/(INDEX(_xlfn.STOCKHISTORY(B55,EDATE(StockReportTable4[[#This Row],[Date]],-36),G55),2,2))</f>
        <v>-0.66322593092803395</v>
      </c>
      <c r="M55" s="8" cm="1">
        <f t="array" aca="1" ref="M55" ca="1">IFERROR(_FV(StockReportTable4[[#This Row],[Ticker]],"P/E",TRUE),"N/A")</f>
        <v>19.7075</v>
      </c>
      <c r="N55" s="18" cm="1">
        <f t="array" aca="1" ref="N55" ca="1">IFERROR(_FV(StockReportTable4[[#This Row],[Ticker]],"52 week high",TRUE),"N/A")</f>
        <v>287.19</v>
      </c>
      <c r="O55" s="18" cm="1">
        <f t="array" aca="1" ref="O55" ca="1">IFERROR(_FV(StockReportTable4[[#This Row],[Ticker]],"52 week low",TRUE),"N/A")</f>
        <v>114.5</v>
      </c>
      <c r="P55" s="22" t="e" cm="1" vm="2">
        <f t="array" ref="P55">_FV(StockReportTable4[[#This Row],[Ticker]],"Market cap",TRUE)</f>
        <v>#VALUE!</v>
      </c>
      <c r="Q55" s="27" cm="1">
        <f t="array" aca="1" ref="Q55" ca="1">_FV(StockReportTable4[[#This Row],[Ticker]],"Volume average",TRUE)</f>
        <v>30562104</v>
      </c>
    </row>
    <row r="56" spans="1:17" ht="15">
      <c r="A56" s="11">
        <f ca="1">IF(ISNUMBER(StockReportTable4[[#This Row],[P/E]]),IF(StockReportTable4[[#This Row],[P/E]]&lt;35,1,2),3)</f>
        <v>2</v>
      </c>
      <c r="B56" s="4" t="e" vm="57">
        <v>#VALUE!</v>
      </c>
      <c r="C56" s="4" t="str" cm="1">
        <f t="array" aca="1" ref="C56" ca="1">_FV(StockReportTable4[[#This Row],[Ticker]],"Official name",TRUE)</f>
        <v>Nokia Oyj</v>
      </c>
      <c r="D56" s="4" t="str" cm="1">
        <f t="array" aca="1" ref="D56" ca="1">_FV(StockReportTable4[[#This Row],[Ticker]],"Industry")</f>
        <v>Communications &amp; Networking</v>
      </c>
      <c r="E56" s="4" t="str" cm="1">
        <f t="array" aca="1" ref="E56" ca="1">_FV(StockReportTable4[[#This Row],[Ticker]],"Exchange")</f>
        <v>New York Stock Exchange</v>
      </c>
      <c r="F56" s="4" t="str" cm="1">
        <f t="array" aca="1" ref="F56" ca="1">_FV(StockReportTable4[[#This Row],[Ticker]],"Currency")</f>
        <v>USD</v>
      </c>
      <c r="G56" s="5">
        <f t="shared" ca="1" si="0"/>
        <v>46318</v>
      </c>
      <c r="H56" s="33" cm="1">
        <f t="array" aca="1" ref="H56" ca="1">_FV(StockReportTable4[[#This Row],[Ticker]],"Price")</f>
        <v>8.14</v>
      </c>
      <c r="I56" s="21" cm="1">
        <f t="array" aca="1" ref="I56" ca="1">_FV(StockReportTable4[[#This Row],[Ticker]],"Change (%)",TRUE)</f>
        <v>3.2995000000000003E-2</v>
      </c>
      <c r="J56" s="6">
        <f ca="1">(StockReportTable4[[#This Row],[Price @ Date]]-INDEX(_xlfn.STOCKHISTORY(B56,DATE(2025,12,31),G56),2,2))/(INDEX(_xlfn.STOCKHISTORY(B56,DATE(2025,12,31),G56),2,2))</f>
        <v>0.25811437403400322</v>
      </c>
      <c r="K56" s="6">
        <f ca="1">(StockReportTable4[[#This Row],[Price @ Date]]-INDEX(_xlfn.STOCKHISTORY(B56,DATE(2025,12,31),G56),2,2))/(INDEX(_xlfn.STOCKHISTORY(B56,EDATE(StockReportTable4[[#This Row],[Date]],-12),G56),2,2))</f>
        <v>0.27066450567260952</v>
      </c>
      <c r="L56" s="7">
        <f ca="1">(StockReportTable4[[#This Row],[Price @ Date]]-INDEX(_xlfn.STOCKHISTORY(B56,DATE(2025,12,31),G56),2,2))/(INDEX(_xlfn.STOCKHISTORY(B56,EDATE(StockReportTable4[[#This Row],[Date]],-36),G56),2,2))</f>
        <v>0.52848101265822811</v>
      </c>
      <c r="M56" s="8" cm="1">
        <f t="array" aca="1" ref="M56" ca="1">IFERROR(_FV(StockReportTable4[[#This Row],[Ticker]],"P/E",TRUE),"N/A")</f>
        <v>47.917700000000004</v>
      </c>
      <c r="N56" s="18" cm="1">
        <f t="array" aca="1" ref="N56" ca="1">IFERROR(_FV(StockReportTable4[[#This Row],[Ticker]],"52 week high",TRUE),"N/A")</f>
        <v>17.45</v>
      </c>
      <c r="O56" s="18" cm="1">
        <f t="array" aca="1" ref="O56" ca="1">IFERROR(_FV(StockReportTable4[[#This Row],[Ticker]],"52 week low",TRUE),"N/A")</f>
        <v>5.835</v>
      </c>
      <c r="P56" s="22" t="e" cm="1" vm="2">
        <f t="array" ref="P56">_FV(StockReportTable4[[#This Row],[Ticker]],"Market cap",TRUE)</f>
        <v>#VALUE!</v>
      </c>
      <c r="Q56" s="27" cm="1">
        <f t="array" aca="1" ref="Q56" ca="1">_FV(StockReportTable4[[#This Row],[Ticker]],"Volume average",TRUE)</f>
        <v>79735635</v>
      </c>
    </row>
    <row r="57" spans="1:17" ht="15">
      <c r="A57" s="11">
        <f ca="1">IF(ISNUMBER(StockReportTable4[[#This Row],[P/E]]),IF(StockReportTable4[[#This Row],[P/E]]&lt;35,1,2),3)</f>
        <v>2</v>
      </c>
      <c r="B57" s="4" t="e" vm="58">
        <v>#VALUE!</v>
      </c>
      <c r="C57" s="4" t="str" cm="1">
        <f t="array" aca="1" ref="C57" ca="1">_FV(StockReportTable4[[#This Row],[Ticker]],"Official name",TRUE)</f>
        <v>SERVICENOW, INC.</v>
      </c>
      <c r="D57" s="4" t="str" cm="1">
        <f t="array" aca="1" ref="D57" ca="1">_FV(StockReportTable4[[#This Row],[Ticker]],"Industry")</f>
        <v>Software &amp; IT Services</v>
      </c>
      <c r="E57" s="4" t="str" cm="1">
        <f t="array" aca="1" ref="E57" ca="1">_FV(StockReportTable4[[#This Row],[Ticker]],"Exchange")</f>
        <v>New York Stock Exchange</v>
      </c>
      <c r="F57" s="4" t="str" cm="1">
        <f t="array" aca="1" ref="F57" ca="1">_FV(StockReportTable4[[#This Row],[Ticker]],"Currency")</f>
        <v>USD</v>
      </c>
      <c r="G57" s="5">
        <f t="shared" ca="1" si="0"/>
        <v>46318</v>
      </c>
      <c r="H57" s="33" cm="1">
        <f t="array" aca="1" ref="H57" ca="1">_FV(StockReportTable4[[#This Row],[Ticker]],"Price")</f>
        <v>158.96</v>
      </c>
      <c r="I57" s="21" cm="1">
        <f t="array" aca="1" ref="I57" ca="1">_FV(StockReportTable4[[#This Row],[Ticker]],"Change (%)",TRUE)</f>
        <v>1.2484E-2</v>
      </c>
      <c r="J57" s="6">
        <f ca="1">(StockReportTable4[[#This Row],[Price @ Date]]-INDEX(_xlfn.STOCKHISTORY(B57,DATE(2025,12,31),G57),2,2))/(INDEX(_xlfn.STOCKHISTORY(B57,DATE(2025,12,31),G57),2,2))</f>
        <v>3.7665643971538681E-2</v>
      </c>
      <c r="K57" s="6">
        <f ca="1">(StockReportTable4[[#This Row],[Price @ Date]]-INDEX(_xlfn.STOCKHISTORY(B57,DATE(2025,12,31),G57),2,2))/(INDEX(_xlfn.STOCKHISTORY(B57,EDATE(StockReportTable4[[#This Row],[Date]],-12),G57),2,2))</f>
        <v>3.0718613243608771E-2</v>
      </c>
      <c r="L57" s="7">
        <f ca="1">(StockReportTable4[[#This Row],[Price @ Date]]-INDEX(_xlfn.STOCKHISTORY(B57,DATE(2025,12,31),G57),2,2))/(INDEX(_xlfn.STOCKHISTORY(B57,EDATE(StockReportTable4[[#This Row],[Date]],-36),G57),2,2))</f>
        <v>5.3289741032177124E-2</v>
      </c>
      <c r="M57" s="8" cm="1">
        <f t="array" aca="1" ref="M57" ca="1">IFERROR(_FV(StockReportTable4[[#This Row],[Ticker]],"P/E",TRUE),"N/A")</f>
        <v>98.024900000000002</v>
      </c>
      <c r="N57" s="18" cm="1">
        <f t="array" aca="1" ref="N57" ca="1">IFERROR(_FV(StockReportTable4[[#This Row],[Ticker]],"52 week high",TRUE),"N/A")</f>
        <v>192.96600000000001</v>
      </c>
      <c r="O57" s="18" cm="1">
        <f t="array" aca="1" ref="O57" ca="1">IFERROR(_FV(StockReportTable4[[#This Row],[Ticker]],"52 week low",TRUE),"N/A")</f>
        <v>81.239999999999995</v>
      </c>
      <c r="P57" s="22" cm="1">
        <f t="array" aca="1" ref="P57" ca="1">_FV(StockReportTable4[[#This Row],[Ticker]],"Market cap",TRUE)</f>
        <v>164342703520</v>
      </c>
      <c r="Q57" s="27" cm="1">
        <f t="array" aca="1" ref="Q57" ca="1">_FV(StockReportTable4[[#This Row],[Ticker]],"Volume average",TRUE)</f>
        <v>11429082</v>
      </c>
    </row>
    <row r="58" spans="1:17" ht="15">
      <c r="A58" s="11">
        <f ca="1">IF(ISNUMBER(StockReportTable4[[#This Row],[P/E]]),IF(StockReportTable4[[#This Row],[P/E]]&lt;35,1,2),3)</f>
        <v>1</v>
      </c>
      <c r="B58" s="4" t="e" vm="59">
        <v>#VALUE!</v>
      </c>
      <c r="C58" s="4" t="str" cm="1">
        <f t="array" aca="1" ref="C58" ca="1">_FV(StockReportTable4[[#This Row],[Ticker]],"Official name",TRUE)</f>
        <v>HP INC.</v>
      </c>
      <c r="D58" s="4" t="str" cm="1">
        <f t="array" aca="1" ref="D58" ca="1">_FV(StockReportTable4[[#This Row],[Ticker]],"Industry")</f>
        <v>Computers, Phones &amp; Household Electronics</v>
      </c>
      <c r="E58" s="4" t="str" cm="1">
        <f t="array" aca="1" ref="E58" ca="1">_FV(StockReportTable4[[#This Row],[Ticker]],"Exchange")</f>
        <v>New York Stock Exchange</v>
      </c>
      <c r="F58" s="4" t="str" cm="1">
        <f t="array" aca="1" ref="F58" ca="1">_FV(StockReportTable4[[#This Row],[Ticker]],"Currency")</f>
        <v>USD</v>
      </c>
      <c r="G58" s="5">
        <f t="shared" ca="1" si="0"/>
        <v>46318</v>
      </c>
      <c r="H58" s="33" cm="1">
        <f t="array" aca="1" ref="H58" ca="1">_FV(StockReportTable4[[#This Row],[Ticker]],"Price")</f>
        <v>33.64</v>
      </c>
      <c r="I58" s="21" cm="1">
        <f t="array" aca="1" ref="I58" ca="1">_FV(StockReportTable4[[#This Row],[Ticker]],"Change (%)",TRUE)</f>
        <v>-3.555E-3</v>
      </c>
      <c r="J58" s="6">
        <f ca="1">(StockReportTable4[[#This Row],[Price @ Date]]-INDEX(_xlfn.STOCKHISTORY(B58,DATE(2025,12,31),G58),2,2))/(INDEX(_xlfn.STOCKHISTORY(B58,DATE(2025,12,31),G58),2,2))</f>
        <v>0.50987432675044875</v>
      </c>
      <c r="K58" s="6">
        <f ca="1">(StockReportTable4[[#This Row],[Price @ Date]]-INDEX(_xlfn.STOCKHISTORY(B58,DATE(2025,12,31),G58),2,2))/(INDEX(_xlfn.STOCKHISTORY(B58,EDATE(StockReportTable4[[#This Row],[Date]],-12),G58),2,2))</f>
        <v>0.40819259791591805</v>
      </c>
      <c r="L58" s="7">
        <f ca="1">(StockReportTable4[[#This Row],[Price @ Date]]-INDEX(_xlfn.STOCKHISTORY(B58,DATE(2025,12,31),G58),2,2))/(INDEX(_xlfn.STOCKHISTORY(B58,EDATE(StockReportTable4[[#This Row],[Date]],-36),G58),2,2))</f>
        <v>0.43894899536321486</v>
      </c>
      <c r="M58" s="8" cm="1">
        <f t="array" aca="1" ref="M58" ca="1">IFERROR(_FV(StockReportTable4[[#This Row],[Ticker]],"P/E",TRUE),"N/A")</f>
        <v>12.866899999999999</v>
      </c>
      <c r="N58" s="18" cm="1">
        <f t="array" aca="1" ref="N58" ca="1">IFERROR(_FV(StockReportTable4[[#This Row],[Ticker]],"52 week high",TRUE),"N/A")</f>
        <v>36.225000000000001</v>
      </c>
      <c r="O58" s="18" cm="1">
        <f t="array" aca="1" ref="O58" ca="1">IFERROR(_FV(StockReportTable4[[#This Row],[Ticker]],"52 week low",TRUE),"N/A")</f>
        <v>17.559999999999999</v>
      </c>
      <c r="P58" s="22" cm="1">
        <f t="array" aca="1" ref="P58" ca="1">_FV(StockReportTable4[[#This Row],[Ticker]],"Market cap",TRUE)</f>
        <v>30336249240</v>
      </c>
      <c r="Q58" s="27" cm="1">
        <f t="array" aca="1" ref="Q58" ca="1">_FV(StockReportTable4[[#This Row],[Ticker]],"Volume average",TRUE)</f>
        <v>13315031</v>
      </c>
    </row>
    <row r="59" spans="1:17" ht="15">
      <c r="A59" s="11">
        <f ca="1">IF(ISNUMBER(StockReportTable4[[#This Row],[P/E]]),IF(StockReportTable4[[#This Row],[P/E]]&lt;35,1,2),3)</f>
        <v>1</v>
      </c>
      <c r="B59" s="4" t="e" vm="60">
        <v>#VALUE!</v>
      </c>
      <c r="C59" s="4" t="str" cm="1">
        <f t="array" aca="1" ref="C59" ca="1">_FV(StockReportTable4[[#This Row],[Ticker]],"Official name",TRUE)</f>
        <v>QUALCOMM INCORPORATED</v>
      </c>
      <c r="D59" s="4" t="str" cm="1">
        <f t="array" aca="1" ref="D59" ca="1">_FV(StockReportTable4[[#This Row],[Ticker]],"Industry")</f>
        <v>Semiconductors &amp; Semiconductor Equipment</v>
      </c>
      <c r="E59" s="4" t="str" cm="1">
        <f t="array" aca="1" ref="E59" ca="1">_FV(StockReportTable4[[#This Row],[Ticker]],"Exchange")</f>
        <v>Nasdaq Stock Market</v>
      </c>
      <c r="F59" s="4" t="str" cm="1">
        <f t="array" aca="1" ref="F59" ca="1">_FV(StockReportTable4[[#This Row],[Ticker]],"Currency")</f>
        <v>USD</v>
      </c>
      <c r="G59" s="5">
        <f t="shared" ca="1" si="0"/>
        <v>46318</v>
      </c>
      <c r="H59" s="33" cm="1">
        <f t="array" aca="1" ref="H59" ca="1">_FV(StockReportTable4[[#This Row],[Ticker]],"Price")</f>
        <v>175.91</v>
      </c>
      <c r="I59" s="21" cm="1">
        <f t="array" aca="1" ref="I59" ca="1">_FV(StockReportTable4[[#This Row],[Ticker]],"Change (%)",TRUE)</f>
        <v>1.7821E-2</v>
      </c>
      <c r="J59" s="6">
        <f ca="1">(StockReportTable4[[#This Row],[Price @ Date]]-INDEX(_xlfn.STOCKHISTORY(B59,DATE(2025,12,31),G59),2,2))/(INDEX(_xlfn.STOCKHISTORY(B59,DATE(2025,12,31),G59),2,2))</f>
        <v>2.841274481145855E-2</v>
      </c>
      <c r="K59" s="6">
        <f ca="1">(StockReportTable4[[#This Row],[Price @ Date]]-INDEX(_xlfn.STOCKHISTORY(B59,DATE(2025,12,31),G59),2,2))/(INDEX(_xlfn.STOCKHISTORY(B59,EDATE(StockReportTable4[[#This Row],[Date]],-12),G59),2,2))</f>
        <v>2.8583191201552581E-2</v>
      </c>
      <c r="L59" s="7">
        <f ca="1">(StockReportTable4[[#This Row],[Price @ Date]]-INDEX(_xlfn.STOCKHISTORY(B59,DATE(2025,12,31),G59),2,2))/(INDEX(_xlfn.STOCKHISTORY(B59,EDATE(StockReportTable4[[#This Row],[Date]],-36),G59),2,2))</f>
        <v>4.4726670347873969E-2</v>
      </c>
      <c r="M59" s="8" cm="1">
        <f t="array" aca="1" ref="M59" ca="1">IFERROR(_FV(StockReportTable4[[#This Row],[Ticker]],"P/E",TRUE),"N/A")</f>
        <v>20.002600000000001</v>
      </c>
      <c r="N59" s="18" cm="1">
        <f t="array" aca="1" ref="N59" ca="1">IFERROR(_FV(StockReportTable4[[#This Row],[Ticker]],"52 week high",TRUE),"N/A")</f>
        <v>259.92</v>
      </c>
      <c r="O59" s="18" cm="1">
        <f t="array" aca="1" ref="O59" ca="1">IFERROR(_FV(StockReportTable4[[#This Row],[Ticker]],"52 week low",TRUE),"N/A")</f>
        <v>121.99</v>
      </c>
      <c r="P59" s="22" cm="1">
        <f t="array" aca="1" ref="P59" ca="1">_FV(StockReportTable4[[#This Row],[Ticker]],"Market cap",TRUE)</f>
        <v>184705500000</v>
      </c>
      <c r="Q59" s="27" cm="1">
        <f t="array" aca="1" ref="Q59" ca="1">_FV(StockReportTable4[[#This Row],[Ticker]],"Volume average",TRUE)</f>
        <v>12653239</v>
      </c>
    </row>
    <row r="60" spans="1:17" ht="15">
      <c r="A60" s="11">
        <f ca="1">IF(ISNUMBER(StockReportTable4[[#This Row],[P/E]]),IF(StockReportTable4[[#This Row],[P/E]]&lt;35,1,2),3)</f>
        <v>2</v>
      </c>
      <c r="B60" s="4" t="e" vm="61">
        <v>#VALUE!</v>
      </c>
      <c r="C60" s="4" t="str" cm="1">
        <f t="array" aca="1" ref="C60" ca="1">_FV(StockReportTable4[[#This Row],[Ticker]],"Official name",TRUE)</f>
        <v>BROADCOM INC.</v>
      </c>
      <c r="D60" s="4" t="str" cm="1">
        <f t="array" aca="1" ref="D60" ca="1">_FV(StockReportTable4[[#This Row],[Ticker]],"Industry")</f>
        <v>Semiconductors &amp; Semiconductor Equipment</v>
      </c>
      <c r="E60" s="4" t="str" cm="1">
        <f t="array" aca="1" ref="E60" ca="1">_FV(StockReportTable4[[#This Row],[Ticker]],"Exchange")</f>
        <v>Nasdaq Stock Market</v>
      </c>
      <c r="F60" s="4" t="str" cm="1">
        <f t="array" aca="1" ref="F60" ca="1">_FV(StockReportTable4[[#This Row],[Ticker]],"Currency")</f>
        <v>USD</v>
      </c>
      <c r="G60" s="5">
        <f t="shared" ca="1" si="0"/>
        <v>46318</v>
      </c>
      <c r="H60" s="33" cm="1">
        <f t="array" aca="1" ref="H60" ca="1">_FV(StockReportTable4[[#This Row],[Ticker]],"Price")</f>
        <v>321.68</v>
      </c>
      <c r="I60" s="21" cm="1">
        <f t="array" aca="1" ref="I60" ca="1">_FV(StockReportTable4[[#This Row],[Ticker]],"Change (%)",TRUE)</f>
        <v>-4.8259999999999996E-3</v>
      </c>
      <c r="J60" s="6">
        <f ca="1">(StockReportTable4[[#This Row],[Price @ Date]]-INDEX(_xlfn.STOCKHISTORY(B60,DATE(2025,12,31),G60),2,2))/(INDEX(_xlfn.STOCKHISTORY(B60,DATE(2025,12,31),G60),2,2))</f>
        <v>-7.0557642299913362E-2</v>
      </c>
      <c r="K60" s="6">
        <f ca="1">(StockReportTable4[[#This Row],[Price @ Date]]-INDEX(_xlfn.STOCKHISTORY(B60,DATE(2025,12,31),G60),2,2))/(INDEX(_xlfn.STOCKHISTORY(B60,EDATE(StockReportTable4[[#This Row],[Date]],-12),G60),2,2))</f>
        <v>-7.0928577652560387E-2</v>
      </c>
      <c r="L60" s="7">
        <f ca="1">(StockReportTable4[[#This Row],[Price @ Date]]-INDEX(_xlfn.STOCKHISTORY(B60,DATE(2025,12,31),G60),2,2))/(INDEX(_xlfn.STOCKHISTORY(B60,EDATE(StockReportTable4[[#This Row],[Date]],-36),G60),2,2))</f>
        <v>-0.28322237943912248</v>
      </c>
      <c r="M60" s="8" cm="1">
        <f t="array" aca="1" ref="M60" ca="1">IFERROR(_FV(StockReportTable4[[#This Row],[Ticker]],"P/E",TRUE),"N/A")</f>
        <v>41.283499999999997</v>
      </c>
      <c r="N60" s="18" cm="1">
        <f t="array" aca="1" ref="N60" ca="1">IFERROR(_FV(StockReportTable4[[#This Row],[Ticker]],"52 week high",TRUE),"N/A")</f>
        <v>495</v>
      </c>
      <c r="O60" s="18" cm="1">
        <f t="array" aca="1" ref="O60" ca="1">IFERROR(_FV(StockReportTable4[[#This Row],[Ticker]],"52 week low",TRUE),"N/A")</f>
        <v>289.95999999999998</v>
      </c>
      <c r="P60" s="22" cm="1">
        <f t="array" aca="1" ref="P60" ca="1">_FV(StockReportTable4[[#This Row],[Ticker]],"Market cap",TRUE)</f>
        <v>1535581298400</v>
      </c>
      <c r="Q60" s="27" cm="1">
        <f t="array" aca="1" ref="Q60" ca="1">_FV(StockReportTable4[[#This Row],[Ticker]],"Volume average",TRUE)</f>
        <v>22776595</v>
      </c>
    </row>
    <row r="61" spans="1:17" ht="15">
      <c r="A61" s="11">
        <f ca="1">IF(ISNUMBER(StockReportTable4[[#This Row],[P/E]]),IF(StockReportTable4[[#This Row],[P/E]]&lt;35,1,2),3)</f>
        <v>2</v>
      </c>
      <c r="B61" s="4" t="e" vm="62">
        <v>#VALUE!</v>
      </c>
      <c r="C61" s="4" t="str" cm="1">
        <f t="array" aca="1" ref="C61" ca="1">_FV(StockReportTable4[[#This Row],[Ticker]],"Official name",TRUE)</f>
        <v>STMicroelectronics N.V.</v>
      </c>
      <c r="D61" s="4" t="str" cm="1">
        <f t="array" aca="1" ref="D61" ca="1">_FV(StockReportTable4[[#This Row],[Ticker]],"Industry")</f>
        <v>Semiconductors &amp; Semiconductor Equipment</v>
      </c>
      <c r="E61" s="4" t="str" cm="1">
        <f t="array" aca="1" ref="E61" ca="1">_FV(StockReportTable4[[#This Row],[Ticker]],"Exchange")</f>
        <v>OTC Markets</v>
      </c>
      <c r="F61" s="4" t="str" cm="1">
        <f t="array" aca="1" ref="F61" ca="1">_FV(StockReportTable4[[#This Row],[Ticker]],"Currency")</f>
        <v>USD</v>
      </c>
      <c r="G61" s="5">
        <f t="shared" ca="1" si="0"/>
        <v>46318</v>
      </c>
      <c r="H61" s="33" cm="1">
        <f t="array" aca="1" ref="H61" ca="1">_FV(StockReportTable4[[#This Row],[Ticker]],"Price")</f>
        <v>44.1</v>
      </c>
      <c r="I61" s="21" cm="1">
        <f t="array" aca="1" ref="I61" ca="1">_FV(StockReportTable4[[#This Row],[Ticker]],"Change (%)",TRUE)</f>
        <v>-5.4130000000000003E-3</v>
      </c>
      <c r="J61" s="6">
        <f ca="1">(StockReportTable4[[#This Row],[Price @ Date]]-INDEX(_xlfn.STOCKHISTORY(B61,DATE(2025,12,31),G61),2,2))/(INDEX(_xlfn.STOCKHISTORY(B61,DATE(2025,12,31),G61),2,2))</f>
        <v>0.68900804289544249</v>
      </c>
      <c r="K61" s="6">
        <f ca="1">(StockReportTable4[[#This Row],[Price @ Date]]-INDEX(_xlfn.STOCKHISTORY(B61,DATE(2025,12,31),G61),2,2))/(INDEX(_xlfn.STOCKHISTORY(B61,EDATE(StockReportTable4[[#This Row],[Date]],-12),G61),2,2))</f>
        <v>0.69192307692307697</v>
      </c>
      <c r="L61" s="7">
        <f ca="1">(StockReportTable4[[#This Row],[Price @ Date]]-INDEX(_xlfn.STOCKHISTORY(B61,DATE(2025,12,31),G61),2,2))/(INDEX(_xlfn.STOCKHISTORY(B61,EDATE(StockReportTable4[[#This Row],[Date]],-36),G61),2,2))</f>
        <v>0.44986246561640414</v>
      </c>
      <c r="M61" s="8" cm="1">
        <f t="array" aca="1" ref="M61" ca="1">IFERROR(_FV(StockReportTable4[[#This Row],[Ticker]],"P/E",TRUE),"N/A")</f>
        <v>484.59019999999998</v>
      </c>
      <c r="N61" s="18" cm="1">
        <f t="array" aca="1" ref="N61" ca="1">IFERROR(_FV(StockReportTable4[[#This Row],[Ticker]],"52 week high",TRUE),"N/A")</f>
        <v>80.86</v>
      </c>
      <c r="O61" s="18" cm="1">
        <f t="array" aca="1" ref="O61" ca="1">IFERROR(_FV(StockReportTable4[[#This Row],[Ticker]],"52 week low",TRUE),"N/A")</f>
        <v>23.1205</v>
      </c>
      <c r="P61" s="26" t="e" cm="1" vm="2">
        <f t="array" ref="P61">_FV(StockReportTable4[[#This Row],[Ticker]],"Market cap",TRUE)</f>
        <v>#VALUE!</v>
      </c>
      <c r="Q61" s="27" cm="1">
        <f t="array" aca="1" ref="Q61" ca="1">_FV(StockReportTable4[[#This Row],[Ticker]],"Volume average",TRUE)</f>
        <v>2235830</v>
      </c>
    </row>
    <row r="62" spans="1:17" ht="15">
      <c r="A62" s="11">
        <f ca="1">IF(ISNUMBER(StockReportTable4[[#This Row],[P/E]]),IF(StockReportTable4[[#This Row],[P/E]]&lt;35,1,2),3)</f>
        <v>1</v>
      </c>
      <c r="B62" s="4" t="e" vm="63">
        <v>#VALUE!</v>
      </c>
      <c r="C62" s="4" t="str" cm="1">
        <f t="array" aca="1" ref="C62" ca="1">_FV(StockReportTable4[[#This Row],[Ticker]],"Official name",TRUE)</f>
        <v>LUMENTUM HOLDINGS INC.</v>
      </c>
      <c r="D62" s="4" t="str" cm="1">
        <f t="array" aca="1" ref="D62" ca="1">_FV(StockReportTable4[[#This Row],[Ticker]],"Industry")</f>
        <v>Communications &amp; Networking</v>
      </c>
      <c r="E62" s="4" t="str" cm="1">
        <f t="array" aca="1" ref="E62" ca="1">_FV(StockReportTable4[[#This Row],[Ticker]],"Exchange")</f>
        <v>Nasdaq Stock Market</v>
      </c>
      <c r="F62" s="4" t="str" cm="1">
        <f t="array" aca="1" ref="F62" ca="1">_FV(StockReportTable4[[#This Row],[Ticker]],"Currency")</f>
        <v>USD</v>
      </c>
      <c r="G62" s="5">
        <f t="shared" ca="1" si="0"/>
        <v>46318</v>
      </c>
      <c r="H62" s="33" cm="1">
        <f t="array" aca="1" ref="H62" ca="1">_FV(StockReportTable4[[#This Row],[Ticker]],"Price")</f>
        <v>756.17</v>
      </c>
      <c r="I62" s="21" cm="1">
        <f t="array" aca="1" ref="I62" ca="1">_FV(StockReportTable4[[#This Row],[Ticker]],"Change (%)",TRUE)</f>
        <v>4.8240000000000002E-3</v>
      </c>
      <c r="J62" s="6">
        <f ca="1">(StockReportTable4[[#This Row],[Price @ Date]]-INDEX(_xlfn.STOCKHISTORY(B62,DATE(2025,12,31),G62),2,2))/(INDEX(_xlfn.STOCKHISTORY(B62,DATE(2025,12,31),G62),2,2))</f>
        <v>1.0515206598117151</v>
      </c>
      <c r="K62" s="6">
        <f ca="1">(StockReportTable4[[#This Row],[Price @ Date]]-INDEX(_xlfn.STOCKHISTORY(B62,DATE(2025,12,31),G62),2,2))/(INDEX(_xlfn.STOCKHISTORY(B62,EDATE(StockReportTable4[[#This Row],[Date]],-12),G62),2,2))</f>
        <v>2.3001780415430266</v>
      </c>
      <c r="L62" s="7">
        <f ca="1">(StockReportTable4[[#This Row],[Price @ Date]]-INDEX(_xlfn.STOCKHISTORY(B62,DATE(2025,12,31),G62),2,2))/(INDEX(_xlfn.STOCKHISTORY(B62,EDATE(StockReportTable4[[#This Row],[Date]],-36),G62),2,2))</f>
        <v>10.299760829125697</v>
      </c>
      <c r="M62" s="8" cm="1">
        <f t="array" aca="1" ref="M62" ca="1">IFERROR(_FV(StockReportTable4[[#This Row],[Ticker]],"P/E",TRUE),"N/A")</f>
        <v>0</v>
      </c>
      <c r="N62" s="18" cm="1">
        <f t="array" aca="1" ref="N62" ca="1">IFERROR(_FV(StockReportTable4[[#This Row],[Ticker]],"52 week high",TRUE),"N/A")</f>
        <v>1143</v>
      </c>
      <c r="O62" s="18" cm="1">
        <f t="array" aca="1" ref="O62" ca="1">IFERROR(_FV(StockReportTable4[[#This Row],[Ticker]],"52 week low",TRUE),"N/A")</f>
        <v>157.39500000000001</v>
      </c>
      <c r="P62" s="22" t="e" cm="1" vm="2">
        <f t="array" ref="P62">_FV(StockReportTable4[[#This Row],[Ticker]],"Market cap",TRUE)</f>
        <v>#VALUE!</v>
      </c>
      <c r="Q62" s="27" cm="1">
        <f t="array" aca="1" ref="Q62" ca="1">_FV(StockReportTable4[[#This Row],[Ticker]],"Volume average",TRUE)</f>
        <v>4932845</v>
      </c>
    </row>
    <row r="63" spans="1:17" ht="15">
      <c r="A63" s="11">
        <f ca="1">IF(ISNUMBER(StockReportTable4[[#This Row],[P/E]]),IF(StockReportTable4[[#This Row],[P/E]]&lt;35,1,2),3)</f>
        <v>2</v>
      </c>
      <c r="B63" s="4" t="e" vm="64">
        <v>#VALUE!</v>
      </c>
      <c r="C63" s="4" t="str" cm="1">
        <f t="array" aca="1" ref="C63" ca="1">_FV(StockReportTable4[[#This Row],[Ticker]],"Official name",TRUE)</f>
        <v>CORNING INCORPORATED</v>
      </c>
      <c r="D63" s="4" t="str" cm="1">
        <f t="array" aca="1" ref="D63" ca="1">_FV(StockReportTable4[[#This Row],[Ticker]],"Industry")</f>
        <v>Electronic Equipment &amp; Parts</v>
      </c>
      <c r="E63" s="4" t="str" cm="1">
        <f t="array" aca="1" ref="E63" ca="1">_FV(StockReportTable4[[#This Row],[Ticker]],"Exchange")</f>
        <v>New York Stock Exchange</v>
      </c>
      <c r="F63" s="4" t="str" cm="1">
        <f t="array" aca="1" ref="F63" ca="1">_FV(StockReportTable4[[#This Row],[Ticker]],"Currency")</f>
        <v>USD</v>
      </c>
      <c r="G63" s="5">
        <f t="shared" ca="1" si="0"/>
        <v>46318</v>
      </c>
      <c r="H63" s="33" cm="1">
        <f t="array" aca="1" ref="H63" ca="1">_FV(StockReportTable4[[#This Row],[Ticker]],"Price")</f>
        <v>123.69</v>
      </c>
      <c r="I63" s="21" cm="1">
        <f t="array" aca="1" ref="I63" ca="1">_FV(StockReportTable4[[#This Row],[Ticker]],"Change (%)",TRUE)</f>
        <v>-2.4199999999999998E-3</v>
      </c>
      <c r="J63" s="6">
        <f ca="1">(StockReportTable4[[#This Row],[Price @ Date]]-INDEX(_xlfn.STOCKHISTORY(B63,DATE(2025,12,31),G63),2,2))/(INDEX(_xlfn.STOCKHISTORY(B63,DATE(2025,12,31),G63),2,2))</f>
        <v>0.41263133851073541</v>
      </c>
      <c r="K63" s="6">
        <f ca="1">(StockReportTable4[[#This Row],[Price @ Date]]-INDEX(_xlfn.STOCKHISTORY(B63,DATE(2025,12,31),G63),2,2))/(INDEX(_xlfn.STOCKHISTORY(B63,EDATE(StockReportTable4[[#This Row],[Date]],-12),G63),2,2))</f>
        <v>0.42089934762348546</v>
      </c>
      <c r="L63" s="7">
        <f ca="1">(StockReportTable4[[#This Row],[Price @ Date]]-INDEX(_xlfn.STOCKHISTORY(B63,DATE(2025,12,31),G63),2,2))/(INDEX(_xlfn.STOCKHISTORY(B63,EDATE(StockReportTable4[[#This Row],[Date]],-36),G63),2,2))</f>
        <v>1.3416264389157073</v>
      </c>
      <c r="M63" s="8" cm="1">
        <f t="array" aca="1" ref="M63" ca="1">IFERROR(_FV(StockReportTable4[[#This Row],[Ticker]],"P/E",TRUE),"N/A")</f>
        <v>56.927100000000003</v>
      </c>
      <c r="N63" s="18" cm="1">
        <f t="array" aca="1" ref="N63" ca="1">IFERROR(_FV(StockReportTable4[[#This Row],[Ticker]],"52 week high",TRUE),"N/A")</f>
        <v>271.77999999999997</v>
      </c>
      <c r="O63" s="18" cm="1">
        <f t="array" aca="1" ref="O63" ca="1">IFERROR(_FV(StockReportTable4[[#This Row],[Ticker]],"52 week low",TRUE),"N/A")</f>
        <v>77.39</v>
      </c>
      <c r="P63" s="22" t="e" cm="1" vm="2">
        <f t="array" ref="P63">_FV(StockReportTable4[[#This Row],[Ticker]],"Market cap",TRUE)</f>
        <v>#VALUE!</v>
      </c>
      <c r="Q63" s="27" cm="1">
        <f t="array" aca="1" ref="Q63" ca="1">_FV(StockReportTable4[[#This Row],[Ticker]],"Volume average",TRUE)</f>
        <v>7908552</v>
      </c>
    </row>
    <row r="64" spans="1:17" ht="15">
      <c r="A64" s="11">
        <f ca="1">IF(ISNUMBER(StockReportTable4[[#This Row],[P/E]]),IF(StockReportTable4[[#This Row],[P/E]]&lt;35,1,2),3)</f>
        <v>2</v>
      </c>
      <c r="B64" s="4" t="e" vm="65">
        <v>#VALUE!</v>
      </c>
      <c r="C64" s="4" t="str" cm="1">
        <f t="array" aca="1" ref="C64" ca="1">_FV(StockReportTable4[[#This Row],[Ticker]],"Official name",TRUE)</f>
        <v>Coherent Corp.</v>
      </c>
      <c r="D64" s="4" t="str" cm="1">
        <f t="array" aca="1" ref="D64" ca="1">_FV(StockReportTable4[[#This Row],[Ticker]],"Industry")</f>
        <v>Electronic Equipment &amp; Parts</v>
      </c>
      <c r="E64" s="4" t="str" cm="1">
        <f t="array" aca="1" ref="E64" ca="1">_FV(StockReportTable4[[#This Row],[Ticker]],"Exchange")</f>
        <v>New York Stock Exchange</v>
      </c>
      <c r="F64" s="4" t="str" cm="1">
        <f t="array" aca="1" ref="F64" ca="1">_FV(StockReportTable4[[#This Row],[Ticker]],"Currency")</f>
        <v>USD</v>
      </c>
      <c r="G64" s="5">
        <f t="shared" ca="1" si="0"/>
        <v>46318</v>
      </c>
      <c r="H64" s="33" cm="1">
        <f t="array" aca="1" ref="H64" ca="1">_FV(StockReportTable4[[#This Row],[Ticker]],"Price")</f>
        <v>209.29</v>
      </c>
      <c r="I64" s="21" cm="1">
        <f t="array" aca="1" ref="I64" ca="1">_FV(StockReportTable4[[#This Row],[Ticker]],"Change (%)",TRUE)</f>
        <v>7.0730000000000003E-3</v>
      </c>
      <c r="J64" s="6">
        <f ca="1">(StockReportTable4[[#This Row],[Price @ Date]]-INDEX(_xlfn.STOCKHISTORY(B64,DATE(2025,12,31),G64),2,2))/(INDEX(_xlfn.STOCKHISTORY(B64,DATE(2025,12,31),G64),2,2))</f>
        <v>0.13393292517743946</v>
      </c>
      <c r="K64" s="6">
        <f ca="1">(StockReportTable4[[#This Row],[Price @ Date]]-INDEX(_xlfn.STOCKHISTORY(B64,DATE(2025,12,31),G64),2,2))/(INDEX(_xlfn.STOCKHISTORY(B64,EDATE(StockReportTable4[[#This Row],[Date]],-12),G64),2,2))</f>
        <v>0.20342330480579329</v>
      </c>
      <c r="L64" s="7">
        <f ca="1">(StockReportTable4[[#This Row],[Price @ Date]]-INDEX(_xlfn.STOCKHISTORY(B64,DATE(2025,12,31),G64),2,2))/(INDEX(_xlfn.STOCKHISTORY(B64,EDATE(StockReportTable4[[#This Row],[Date]],-36),G64),2,2))</f>
        <v>0.79793415106520327</v>
      </c>
      <c r="M64" s="8" cm="1">
        <f t="array" aca="1" ref="M64" ca="1">IFERROR(_FV(StockReportTable4[[#This Row],[Ticker]],"P/E",TRUE),"N/A")</f>
        <v>50.441699999999997</v>
      </c>
      <c r="N64" s="18" cm="1">
        <f t="array" aca="1" ref="N64" ca="1">IFERROR(_FV(StockReportTable4[[#This Row],[Ticker]],"52 week high",TRUE),"N/A")</f>
        <v>440</v>
      </c>
      <c r="O64" s="18" cm="1">
        <f t="array" aca="1" ref="O64" ca="1">IFERROR(_FV(StockReportTable4[[#This Row],[Ticker]],"52 week low",TRUE),"N/A")</f>
        <v>115</v>
      </c>
      <c r="P64" s="22" cm="1">
        <f t="array" aca="1" ref="P64" ca="1">_FV(StockReportTable4[[#This Row],[Ticker]],"Market cap",TRUE)</f>
        <v>41215730848</v>
      </c>
      <c r="Q64" s="27" cm="1">
        <f t="array" aca="1" ref="Q64" ca="1">_FV(StockReportTable4[[#This Row],[Ticker]],"Volume average",TRUE)</f>
        <v>7280522</v>
      </c>
    </row>
    <row r="65" spans="1:17" ht="15">
      <c r="A65" s="11">
        <f ca="1">IF(ISNUMBER(StockReportTable4[[#This Row],[P/E]]),IF(StockReportTable4[[#This Row],[P/E]]&lt;35,1,2),3)</f>
        <v>1</v>
      </c>
      <c r="B65" s="4" t="e" vm="66">
        <v>#VALUE!</v>
      </c>
      <c r="C65" s="4" t="str" cm="1">
        <f t="array" aca="1" ref="C65" ca="1">_FV(StockReportTable4[[#This Row],[Ticker]],"Official name",TRUE)</f>
        <v>UniCredit SpA</v>
      </c>
      <c r="D65" s="4" t="str" cm="1">
        <f t="array" aca="1" ref="D65" ca="1">_FV(StockReportTable4[[#This Row],[Ticker]],"Industry")</f>
        <v>Banking Services</v>
      </c>
      <c r="E65" s="4" t="str" cm="1">
        <f t="array" aca="1" ref="E65" ca="1">_FV(StockReportTable4[[#This Row],[Ticker]],"Exchange")</f>
        <v>Borsa Italiana</v>
      </c>
      <c r="F65" s="4" t="str" cm="1">
        <f t="array" aca="1" ref="F65" ca="1">_FV(StockReportTable4[[#This Row],[Ticker]],"Currency")</f>
        <v>EUR</v>
      </c>
      <c r="G65" s="5">
        <f t="shared" ca="1" si="0"/>
        <v>46318</v>
      </c>
      <c r="H65" s="36" cm="1">
        <f t="array" aca="1" ref="H65" ca="1">_FV(StockReportTable4[[#This Row],[Ticker]],"Price")</f>
        <v>72.040000000000006</v>
      </c>
      <c r="I65" s="21" cm="1">
        <f t="array" aca="1" ref="I65" ca="1">_FV(StockReportTable4[[#This Row],[Ticker]],"Change (%)",TRUE)</f>
        <v>5.4429999999999999E-3</v>
      </c>
      <c r="J65" s="6">
        <f ca="1">(StockReportTable4[[#This Row],[Price @ Date]]-INDEX(_xlfn.STOCKHISTORY(B65,DATE(2025,12,31),G65),2,2))/(INDEX(_xlfn.STOCKHISTORY(B65,DATE(2025,12,31),G65),2,2))</f>
        <v>1.4076576576576575E-2</v>
      </c>
      <c r="K65" s="6">
        <f ca="1">(StockReportTable4[[#This Row],[Price @ Date]]-INDEX(_xlfn.STOCKHISTORY(B65,DATE(2025,12,31),G65),2,2))/(INDEX(_xlfn.STOCKHISTORY(B65,EDATE(StockReportTable4[[#This Row],[Date]],-12),G65),2,2))</f>
        <v>1.60333493666827E-2</v>
      </c>
      <c r="L65" s="7">
        <f ca="1">(StockReportTable4[[#This Row],[Price @ Date]]-INDEX(_xlfn.STOCKHISTORY(B65,DATE(2025,12,31),G65),2,2))/(INDEX(_xlfn.STOCKHISTORY(B65,EDATE(StockReportTable4[[#This Row],[Date]],-36),G65),2,2))</f>
        <v>4.4072278536800347E-2</v>
      </c>
      <c r="M65" s="8" cm="1">
        <f t="array" aca="1" ref="M65" ca="1">IFERROR(_FV(StockReportTable4[[#This Row],[Ticker]],"P/E",TRUE),"N/A")</f>
        <v>10.1396</v>
      </c>
      <c r="N65" s="16" cm="1">
        <f t="array" aca="1" ref="N65" ca="1">IFERROR(_FV(StockReportTable4[[#This Row],[Ticker]],"52 week high",TRUE),"N/A")</f>
        <v>86.42</v>
      </c>
      <c r="O65" s="16" cm="1">
        <f t="array" aca="1" ref="O65" ca="1">IFERROR(_FV(StockReportTable4[[#This Row],[Ticker]],"52 week low",TRUE),"N/A")</f>
        <v>57.36</v>
      </c>
      <c r="P65" s="26" cm="1">
        <f t="array" aca="1" ref="P65" ca="1">_FV(StockReportTable4[[#This Row],[Ticker]],"Market cap",TRUE)</f>
        <v>108632900000</v>
      </c>
      <c r="Q65" s="27" cm="1">
        <f t="array" aca="1" ref="Q65" ca="1">_FV(StockReportTable4[[#This Row],[Ticker]],"Volume average",TRUE)</f>
        <v>4032830</v>
      </c>
    </row>
    <row r="66" spans="1:17" ht="15">
      <c r="A66" s="11">
        <f ca="1">IF(ISNUMBER(StockReportTable4[[#This Row],[P/E]]),IF(StockReportTable4[[#This Row],[P/E]]&lt;35,1,2),3)</f>
        <v>1</v>
      </c>
      <c r="B66" s="4" t="e" vm="67">
        <v>#VALUE!</v>
      </c>
      <c r="C66" s="4" t="str" cm="1">
        <f t="array" aca="1" ref="C66" ca="1">_FV(StockReportTable4[[#This Row],[Ticker]],"Official name",TRUE)</f>
        <v>SANDISK CORPORATION</v>
      </c>
      <c r="D66" s="4" t="str" cm="1">
        <f t="array" aca="1" ref="D66" ca="1">_FV(StockReportTable4[[#This Row],[Ticker]],"Industry")</f>
        <v>Computers, Phones &amp; Household Electronics</v>
      </c>
      <c r="E66" s="4" t="str" cm="1">
        <f t="array" aca="1" ref="E66" ca="1">_FV(StockReportTable4[[#This Row],[Ticker]],"Exchange")</f>
        <v>Nasdaq Stock Market</v>
      </c>
      <c r="F66" s="4" t="str" cm="1">
        <f t="array" aca="1" ref="F66" ca="1">_FV(StockReportTable4[[#This Row],[Ticker]],"Currency")</f>
        <v>USD</v>
      </c>
      <c r="G66" s="5">
        <f t="shared" ca="1" si="0"/>
        <v>46318</v>
      </c>
      <c r="H66" s="33" cm="1">
        <f t="array" aca="1" ref="H66" ca="1">_FV(StockReportTable4[[#This Row],[Ticker]],"Price")</f>
        <v>1238.03</v>
      </c>
      <c r="I66" s="21" cm="1">
        <f t="array" aca="1" ref="I66" ca="1">_FV(StockReportTable4[[#This Row],[Ticker]],"Change (%)",TRUE)</f>
        <v>-1.8161E-2</v>
      </c>
      <c r="J66" s="6">
        <f ca="1">(StockReportTable4[[#This Row],[Price @ Date]]-INDEX(_xlfn.STOCKHISTORY(B66,DATE(2025,12,31),G66),2,2))/(INDEX(_xlfn.STOCKHISTORY(B66,DATE(2025,12,31),G66),2,2))</f>
        <v>4.2153930406942459</v>
      </c>
      <c r="K66" s="6">
        <f ca="1">(StockReportTable4[[#This Row],[Price @ Date]]-INDEX(_xlfn.STOCKHISTORY(B66,DATE(2025,12,31),G66),2,2))/(INDEX(_xlfn.STOCKHISTORY(B66,EDATE(StockReportTable4[[#This Row],[Date]],-12),G66),2,2))</f>
        <v>5.990122717749176</v>
      </c>
      <c r="L66" s="7" t="e" vm="25">
        <f ca="1">(StockReportTable4[[#This Row],[Price @ Date]]-INDEX(_xlfn.STOCKHISTORY(B66,DATE(2025,12,31),G66),2,2))/(INDEX(_xlfn.STOCKHISTORY(B66,EDATE(StockReportTable4[[#This Row],[Date]],-36),G66),2,2))</f>
        <v>#N/A</v>
      </c>
      <c r="M66" s="8" cm="1">
        <f t="array" aca="1" ref="M66" ca="1">IFERROR(_FV(StockReportTable4[[#This Row],[Ticker]],"P/E",TRUE),"N/A")</f>
        <v>17.1097</v>
      </c>
      <c r="N66" s="18" cm="1">
        <f t="array" aca="1" ref="N66" ca="1">IFERROR(_FV(StockReportTable4[[#This Row],[Ticker]],"52 week high",TRUE),"N/A")</f>
        <v>2354.3899000000001</v>
      </c>
      <c r="O66" s="18" cm="1">
        <f t="array" aca="1" ref="O66" ca="1">IFERROR(_FV(StockReportTable4[[#This Row],[Ticker]],"52 week low",TRUE),"N/A")</f>
        <v>146</v>
      </c>
      <c r="P66" s="22" cm="1">
        <f t="array" aca="1" ref="P66" ca="1">_FV(StockReportTable4[[#This Row],[Ticker]],"Market cap",TRUE)</f>
        <v>178929504628</v>
      </c>
      <c r="Q66" s="27" cm="1">
        <f t="array" aca="1" ref="Q66" ca="1">_FV(StockReportTable4[[#This Row],[Ticker]],"Volume average",TRUE)</f>
        <v>8684198</v>
      </c>
    </row>
    <row r="67" spans="1:17" ht="15">
      <c r="A67" s="11">
        <f ca="1">IF(ISNUMBER(StockReportTable4[[#This Row],[P/E]]),IF(StockReportTable4[[#This Row],[P/E]]&lt;35,1,2),3)</f>
        <v>1</v>
      </c>
      <c r="B67" s="4" t="e" vm="68">
        <v>#VALUE!</v>
      </c>
      <c r="C67" s="4" t="str" cm="1">
        <f t="array" aca="1" ref="C67" ca="1">_FV(StockReportTable4[[#This Row],[Ticker]],"Official name",TRUE)</f>
        <v>WESTERN DIGITAL CORPORATION</v>
      </c>
      <c r="D67" s="4" t="str" cm="1">
        <f t="array" aca="1" ref="D67" ca="1">_FV(StockReportTable4[[#This Row],[Ticker]],"Industry")</f>
        <v>Computers, Phones &amp; Household Electronics</v>
      </c>
      <c r="E67" s="4" t="str" cm="1">
        <f t="array" aca="1" ref="E67" ca="1">_FV(StockReportTable4[[#This Row],[Ticker]],"Exchange")</f>
        <v>Nasdaq Stock Market</v>
      </c>
      <c r="F67" s="4" t="str" cm="1">
        <f t="array" aca="1" ref="F67" ca="1">_FV(StockReportTable4[[#This Row],[Ticker]],"Currency")</f>
        <v>USD</v>
      </c>
      <c r="G67" s="5">
        <f t="shared" ref="G67:G71" ca="1" si="1">WORKDAY(TODAY()+1,-1)</f>
        <v>46318</v>
      </c>
      <c r="H67" s="33" cm="1">
        <f t="array" aca="1" ref="H67" ca="1">_FV(StockReportTable4[[#This Row],[Ticker]],"Price")</f>
        <v>343.67</v>
      </c>
      <c r="I67" s="21" cm="1">
        <f t="array" aca="1" ref="I67" ca="1">_FV(StockReportTable4[[#This Row],[Ticker]],"Change (%)",TRUE)</f>
        <v>-2.9702000000000003E-2</v>
      </c>
      <c r="J67" s="6">
        <f ca="1">(StockReportTable4[[#This Row],[Price @ Date]]-INDEX(_xlfn.STOCKHISTORY(B67,DATE(2025,12,31),G67),2,2))/(INDEX(_xlfn.STOCKHISTORY(B67,DATE(2025,12,31),G67),2,2))</f>
        <v>0.99494978812329482</v>
      </c>
      <c r="K67" s="6">
        <f ca="1">(StockReportTable4[[#This Row],[Price @ Date]]-INDEX(_xlfn.STOCKHISTORY(B67,DATE(2025,12,31),G67),2,2))/(INDEX(_xlfn.STOCKHISTORY(B67,EDATE(StockReportTable4[[#This Row],[Date]],-12),G67),2,2))</f>
        <v>1.363347120585428</v>
      </c>
      <c r="L67" s="7">
        <f ca="1">(StockReportTable4[[#This Row],[Price @ Date]]-INDEX(_xlfn.STOCKHISTORY(B67,DATE(2025,12,31),G67),2,2))/(INDEX(_xlfn.STOCKHISTORY(B67,EDATE(StockReportTable4[[#This Row],[Date]],-36),G67),2,2))</f>
        <v>5.4253382923162139</v>
      </c>
      <c r="M67" s="8" cm="1">
        <f t="array" aca="1" ref="M67" ca="1">IFERROR(_FV(StockReportTable4[[#This Row],[Ticker]],"P/E",TRUE),"N/A")</f>
        <v>13.7073</v>
      </c>
      <c r="N67" s="18" cm="1">
        <f t="array" aca="1" ref="N67" ca="1">IFERROR(_FV(StockReportTable4[[#This Row],[Ticker]],"52 week high",TRUE),"N/A")</f>
        <v>799.87</v>
      </c>
      <c r="O67" s="18" cm="1">
        <f t="array" aca="1" ref="O67" ca="1">IFERROR(_FV(StockReportTable4[[#This Row],[Ticker]],"52 week low",TRUE),"N/A")</f>
        <v>121.715</v>
      </c>
      <c r="P67" s="22" cm="1">
        <f t="array" aca="1" ref="P67" ca="1">_FV(StockReportTable4[[#This Row],[Ticker]],"Market cap",TRUE)</f>
        <v>128384114560</v>
      </c>
      <c r="Q67" s="27" cm="1">
        <f t="array" aca="1" ref="Q67" ca="1">_FV(StockReportTable4[[#This Row],[Ticker]],"Volume average",TRUE)</f>
        <v>9268205</v>
      </c>
    </row>
    <row r="68" spans="1:17" ht="15">
      <c r="A68" s="11">
        <f ca="1">IF(ISNUMBER(StockReportTable4[[#This Row],[P/E]]),IF(StockReportTable4[[#This Row],[P/E]]&lt;35,1,2),3)</f>
        <v>2</v>
      </c>
      <c r="B68" s="4" t="e" vm="69">
        <v>#VALUE!</v>
      </c>
      <c r="C68" s="4" t="str" cm="1">
        <f t="array" aca="1" ref="C68" ca="1">_FV(StockReportTable4[[#This Row],[Ticker]],"Official name",TRUE)</f>
        <v>SEAGATE TECHNOLOGY HOLDINGS PUBLIC LIMITED COMPANY</v>
      </c>
      <c r="D68" s="4" t="str" cm="1">
        <f t="array" aca="1" ref="D68" ca="1">_FV(StockReportTable4[[#This Row],[Ticker]],"Industry")</f>
        <v>Computers, Phones &amp; Household Electronics</v>
      </c>
      <c r="E68" s="4" t="str" cm="1">
        <f t="array" aca="1" ref="E68" ca="1">_FV(StockReportTable4[[#This Row],[Ticker]],"Exchange")</f>
        <v>Nasdaq Stock Market</v>
      </c>
      <c r="F68" s="4" t="str" cm="1">
        <f t="array" aca="1" ref="F68" ca="1">_FV(StockReportTable4[[#This Row],[Ticker]],"Currency")</f>
        <v>USD</v>
      </c>
      <c r="G68" s="5">
        <f t="shared" ca="1" si="1"/>
        <v>46318</v>
      </c>
      <c r="H68" s="33" cm="1">
        <f t="array" aca="1" ref="H68" ca="1">_FV(StockReportTable4[[#This Row],[Ticker]],"Price")</f>
        <v>630.49</v>
      </c>
      <c r="I68" s="21" cm="1">
        <f t="array" aca="1" ref="I68" ca="1">_FV(StockReportTable4[[#This Row],[Ticker]],"Change (%)",TRUE)</f>
        <v>-1.8142000000000002E-2</v>
      </c>
      <c r="J68" s="6">
        <f ca="1">(StockReportTable4[[#This Row],[Price @ Date]]-INDEX(_xlfn.STOCKHISTORY(B68,DATE(2025,12,31),G68),2,2))/(INDEX(_xlfn.STOCKHISTORY(B68,DATE(2025,12,31),G68),2,2))</f>
        <v>1.2894440611496425</v>
      </c>
      <c r="K68" s="6">
        <f ca="1">(StockReportTable4[[#This Row],[Price @ Date]]-INDEX(_xlfn.STOCKHISTORY(B68,DATE(2025,12,31),G68),2,2))/(INDEX(_xlfn.STOCKHISTORY(B68,EDATE(StockReportTable4[[#This Row],[Date]],-12),G68),2,2))</f>
        <v>1.5683936221898327</v>
      </c>
      <c r="L68" s="7">
        <f ca="1">(StockReportTable4[[#This Row],[Price @ Date]]-INDEX(_xlfn.STOCKHISTORY(B68,DATE(2025,12,31),G68),2,2))/(INDEX(_xlfn.STOCKHISTORY(B68,EDATE(StockReportTable4[[#This Row],[Date]],-36),G68),2,2))</f>
        <v>5.4421455938697321</v>
      </c>
      <c r="M68" s="8" cm="1">
        <f t="array" aca="1" ref="M68" ca="1">IFERROR(_FV(StockReportTable4[[#This Row],[Ticker]],"P/E",TRUE),"N/A")</f>
        <v>46.184100000000001</v>
      </c>
      <c r="N68" s="18" cm="1">
        <f t="array" aca="1" ref="N68" ca="1">IFERROR(_FV(StockReportTable4[[#This Row],[Ticker]],"52 week high",TRUE),"N/A")</f>
        <v>1145</v>
      </c>
      <c r="O68" s="18" cm="1">
        <f t="array" aca="1" ref="O68" ca="1">IFERROR(_FV(StockReportTable4[[#This Row],[Ticker]],"52 week low",TRUE),"N/A")</f>
        <v>217.67</v>
      </c>
      <c r="P68" s="22" cm="1">
        <f t="array" aca="1" ref="P68" ca="1">_FV(StockReportTable4[[#This Row],[Ticker]],"Market cap",TRUE)</f>
        <v>144407997041</v>
      </c>
      <c r="Q68" s="27" cm="1">
        <f t="array" aca="1" ref="Q68" ca="1">_FV(StockReportTable4[[#This Row],[Ticker]],"Volume average",TRUE)</f>
        <v>4901617</v>
      </c>
    </row>
    <row r="69" spans="1:17" ht="15">
      <c r="A69" s="11">
        <f ca="1">IF(ISNUMBER(StockReportTable4[[#This Row],[P/E]]),IF(StockReportTable4[[#This Row],[P/E]]&lt;35,1,2),3)</f>
        <v>1</v>
      </c>
      <c r="B69" s="4" t="e" vm="70">
        <v>#VALUE!</v>
      </c>
      <c r="C69" s="4" t="str" cm="1">
        <f t="array" aca="1" ref="C69" ca="1">_FV(StockReportTable4[[#This Row],[Ticker]],"Official name",TRUE)</f>
        <v>CIPHER DIGITAL INC.</v>
      </c>
      <c r="D69" s="4" t="str" cm="1">
        <f t="array" aca="1" ref="D69" ca="1">_FV(StockReportTable4[[#This Row],[Ticker]],"Industry")</f>
        <v>Financial Technology (Fintech) &amp; Infrastructure</v>
      </c>
      <c r="E69" s="4" t="str" cm="1">
        <f t="array" aca="1" ref="E69" ca="1">_FV(StockReportTable4[[#This Row],[Ticker]],"Exchange")</f>
        <v>Nasdaq Stock Market</v>
      </c>
      <c r="F69" s="4" t="str" cm="1">
        <f t="array" aca="1" ref="F69" ca="1">_FV(StockReportTable4[[#This Row],[Ticker]],"Currency")</f>
        <v>USD</v>
      </c>
      <c r="G69" s="5">
        <f t="shared" ca="1" si="1"/>
        <v>46318</v>
      </c>
      <c r="H69" s="33" cm="1">
        <f t="array" aca="1" ref="H69" ca="1">_FV(StockReportTable4[[#This Row],[Ticker]],"Price")</f>
        <v>7.94</v>
      </c>
      <c r="I69" s="21" cm="1">
        <f t="array" aca="1" ref="I69" ca="1">_FV(StockReportTable4[[#This Row],[Ticker]],"Change (%)",TRUE)</f>
        <v>-4.5673000000000005E-2</v>
      </c>
      <c r="J69" s="6">
        <f ca="1">(StockReportTable4[[#This Row],[Price @ Date]]-INDEX(_xlfn.STOCKHISTORY(B69,DATE(2025,12,31),G69),2,2))/(INDEX(_xlfn.STOCKHISTORY(B69,DATE(2025,12,31),G69),2,2))</f>
        <v>-0.46205962059620592</v>
      </c>
      <c r="K69" s="6">
        <f ca="1">(StockReportTable4[[#This Row],[Price @ Date]]-INDEX(_xlfn.STOCKHISTORY(B69,DATE(2025,12,31),G69),2,2))/(INDEX(_xlfn.STOCKHISTORY(B69,EDATE(StockReportTable4[[#This Row],[Date]],-12),G69),2,2))</f>
        <v>-0.39524775427412345</v>
      </c>
      <c r="L69" s="7">
        <f ca="1">(StockReportTable4[[#This Row],[Price @ Date]]-INDEX(_xlfn.STOCKHISTORY(B69,DATE(2025,12,31),G69),2,2))/(INDEX(_xlfn.STOCKHISTORY(B69,EDATE(StockReportTable4[[#This Row],[Date]],-36),G69),2,2))</f>
        <v>-2.5543071161048689</v>
      </c>
      <c r="M69" s="8" cm="1">
        <f t="array" aca="1" ref="M69" ca="1">IFERROR(_FV(StockReportTable4[[#This Row],[Ticker]],"P/E",TRUE),"N/A")</f>
        <v>0</v>
      </c>
      <c r="N69" s="18" cm="1">
        <f t="array" aca="1" ref="N69" ca="1">IFERROR(_FV(StockReportTable4[[#This Row],[Ticker]],"52 week high",TRUE),"N/A")</f>
        <v>30.14</v>
      </c>
      <c r="O69" s="18" cm="1">
        <f t="array" aca="1" ref="O69" ca="1">IFERROR(_FV(StockReportTable4[[#This Row],[Ticker]],"52 week low",TRUE),"N/A")</f>
        <v>7.9</v>
      </c>
      <c r="P69" s="22" t="e" cm="1" vm="2">
        <f t="array" ref="P69">_FV(StockReportTable4[[#This Row],[Ticker]],"Market cap",TRUE)</f>
        <v>#VALUE!</v>
      </c>
      <c r="Q69" s="27" cm="1">
        <f t="array" aca="1" ref="Q69" ca="1">_FV(StockReportTable4[[#This Row],[Ticker]],"Volume average",TRUE)</f>
        <v>43059753</v>
      </c>
    </row>
    <row r="70" spans="1:17" ht="15">
      <c r="A70" s="11">
        <f ca="1">IF(ISNUMBER(StockReportTable4[[#This Row],[P/E]]),IF(StockReportTable4[[#This Row],[P/E]]&lt;35,1,2),3)</f>
        <v>1</v>
      </c>
      <c r="B70" s="4" t="e" vm="71">
        <v>#VALUE!</v>
      </c>
      <c r="C70" s="4" t="str" cm="1">
        <f t="array" aca="1" ref="C70" ca="1">_FV(StockReportTable4[[#This Row],[Ticker]],"Official name",TRUE)</f>
        <v>Nebius Group NV</v>
      </c>
      <c r="D70" s="4" t="str" cm="1">
        <f t="array" aca="1" ref="D70" ca="1">_FV(StockReportTable4[[#This Row],[Ticker]],"Industry")</f>
        <v>Professional &amp; Commercial Services</v>
      </c>
      <c r="E70" s="4" t="str" cm="1">
        <f t="array" aca="1" ref="E70" ca="1">_FV(StockReportTable4[[#This Row],[Ticker]],"Exchange")</f>
        <v>Nasdaq Stock Market</v>
      </c>
      <c r="F70" s="4" t="str" cm="1">
        <f t="array" aca="1" ref="F70" ca="1">_FV(StockReportTable4[[#This Row],[Ticker]],"Currency")</f>
        <v>USD</v>
      </c>
      <c r="G70" s="5">
        <f t="shared" ca="1" si="1"/>
        <v>46318</v>
      </c>
      <c r="H70" s="33" cm="1">
        <f t="array" aca="1" ref="H70" ca="1">_FV(StockReportTable4[[#This Row],[Ticker]],"Price")</f>
        <v>158.74</v>
      </c>
      <c r="I70" s="21" cm="1">
        <f t="array" aca="1" ref="I70" ca="1">_FV(StockReportTable4[[#This Row],[Ticker]],"Change (%)",TRUE)</f>
        <v>-2.702E-3</v>
      </c>
      <c r="J70" s="6">
        <f ca="1">(StockReportTable4[[#This Row],[Price @ Date]]-INDEX(_xlfn.STOCKHISTORY(B70,DATE(2025,12,31),G70),2,2))/(INDEX(_xlfn.STOCKHISTORY(B70,DATE(2025,12,31),G70),2,2))</f>
        <v>0.89642195806702119</v>
      </c>
      <c r="K70" s="6">
        <f ca="1">(StockReportTable4[[#This Row],[Price @ Date]]-INDEX(_xlfn.STOCKHISTORY(B70,DATE(2025,12,31),G70),2,2))/(INDEX(_xlfn.STOCKHISTORY(B70,EDATE(StockReportTable4[[#This Row],[Date]],-12),G70),2,2))</f>
        <v>0.70681047475508674</v>
      </c>
      <c r="L70" s="7" t="e" vm="25">
        <f ca="1">(StockReportTable4[[#This Row],[Price @ Date]]-INDEX(_xlfn.STOCKHISTORY(B70,DATE(2025,12,31),G70),2,2))/(INDEX(_xlfn.STOCKHISTORY(B70,EDATE(StockReportTable4[[#This Row],[Date]],-36),G70),2,2))</f>
        <v>#N/A</v>
      </c>
      <c r="M70" s="8" cm="1">
        <f t="array" aca="1" ref="M70" ca="1">IFERROR(_FV(StockReportTable4[[#This Row],[Ticker]],"P/E",TRUE),"N/A")</f>
        <v>0</v>
      </c>
      <c r="N70" s="18" cm="1">
        <f t="array" aca="1" ref="N70" ca="1">IFERROR(_FV(StockReportTable4[[#This Row],[Ticker]],"52 week high",TRUE),"N/A")</f>
        <v>299.86</v>
      </c>
      <c r="O70" s="18" cm="1">
        <f t="array" aca="1" ref="O70" ca="1">IFERROR(_FV(StockReportTable4[[#This Row],[Ticker]],"52 week low",TRUE),"N/A")</f>
        <v>73.52</v>
      </c>
      <c r="P70" s="22" t="e" cm="1" vm="2">
        <f t="array" ref="P70">_FV(StockReportTable4[[#This Row],[Ticker]],"Market cap",TRUE)</f>
        <v>#VALUE!</v>
      </c>
      <c r="Q70" s="27" cm="1">
        <f t="array" aca="1" ref="Q70" ca="1">_FV(StockReportTable4[[#This Row],[Ticker]],"Volume average",TRUE)</f>
        <v>19840143</v>
      </c>
    </row>
    <row r="71" spans="1:17" ht="15">
      <c r="A71" s="11">
        <f ca="1">IF(ISNUMBER(StockReportTable4[[#This Row],[P/E]]),IF(StockReportTable4[[#This Row],[P/E]]&lt;35,1,2),3)</f>
        <v>1</v>
      </c>
      <c r="B71" s="4" t="e" vm="106">
        <v>#VALUE!</v>
      </c>
      <c r="C71" s="4" t="str" cm="1">
        <f t="array" aca="1" ref="C71" ca="1">_FV(StockReportTable4[[#This Row],[Ticker]],"Official name",TRUE)</f>
        <v>IREN LIMITED</v>
      </c>
      <c r="D71" s="4" t="str" cm="1">
        <f t="array" aca="1" ref="D71" ca="1">_FV(StockReportTable4[[#This Row],[Ticker]],"Industry")</f>
        <v>Financial Technology (Fintech) &amp; Infrastructure</v>
      </c>
      <c r="E71" s="4" t="str" cm="1">
        <f t="array" aca="1" ref="E71" ca="1">_FV(StockReportTable4[[#This Row],[Ticker]],"Exchange")</f>
        <v>Nasdaq Stock Market</v>
      </c>
      <c r="F71" s="4" t="str" cm="1">
        <f t="array" aca="1" ref="F71" ca="1">_FV(StockReportTable4[[#This Row],[Ticker]],"Currency")</f>
        <v>USD</v>
      </c>
      <c r="G71" s="5">
        <f t="shared" ca="1" si="1"/>
        <v>46318</v>
      </c>
      <c r="H71" s="33" cm="1">
        <f t="array" aca="1" ref="H71" ca="1">_FV(StockReportTable4[[#This Row],[Ticker]],"Price")</f>
        <v>24.905000000000001</v>
      </c>
      <c r="I71" s="21" cm="1">
        <f t="array" aca="1" ref="I71" ca="1">_FV(StockReportTable4[[#This Row],[Ticker]],"Change (%)",TRUE)</f>
        <v>-2.3716000000000001E-2</v>
      </c>
      <c r="J71" s="6">
        <f ca="1">(StockReportTable4[[#This Row],[Price @ Date]]-INDEX(_xlfn.STOCKHISTORY(B71,DATE(2025,12,31),G71),2,2))/(INDEX(_xlfn.STOCKHISTORY(B71,DATE(2025,12,31),G71),2,2))</f>
        <v>-0.34061424410908131</v>
      </c>
      <c r="K71" s="6">
        <f ca="1">(StockReportTable4[[#This Row],[Price @ Date]]-INDEX(_xlfn.STOCKHISTORY(B71,DATE(2025,12,31),G71),2,2))/(INDEX(_xlfn.STOCKHISTORY(B71,EDATE(StockReportTable4[[#This Row],[Date]],-12),G71),2,2))</f>
        <v>-0.23030791263873973</v>
      </c>
      <c r="L71" s="7">
        <f ca="1">(StockReportTable4[[#This Row],[Price @ Date]]-INDEX(_xlfn.STOCKHISTORY(B71,DATE(2025,12,31),G71),2,2))/(INDEX(_xlfn.STOCKHISTORY(B71,EDATE(StockReportTable4[[#This Row],[Date]],-36),G71),2,2))</f>
        <v>-4.0203125000000002</v>
      </c>
      <c r="M71" s="8" cm="1">
        <f t="array" aca="1" ref="M71" ca="1">IFERROR(_FV(StockReportTable4[[#This Row],[Ticker]],"P/E",TRUE),"N/A")</f>
        <v>0</v>
      </c>
      <c r="N71" s="18" cm="1">
        <f t="array" aca="1" ref="N71" ca="1">IFERROR(_FV(StockReportTable4[[#This Row],[Ticker]],"52 week high",TRUE),"N/A")</f>
        <v>76.87</v>
      </c>
      <c r="O71" s="18" cm="1">
        <f t="array" aca="1" ref="O71" ca="1">IFERROR(_FV(StockReportTable4[[#This Row],[Ticker]],"52 week low",TRUE),"N/A")</f>
        <v>24.855</v>
      </c>
      <c r="P71" s="22" t="e" cm="1" vm="2">
        <f t="array" ref="P71">_FV(StockReportTable4[[#This Row],[Ticker]],"Market cap",TRUE)</f>
        <v>#VALUE!</v>
      </c>
      <c r="Q71" s="27" cm="1">
        <f t="array" aca="1" ref="Q71" ca="1">_FV(StockReportTable4[[#This Row],[Ticker]],"Volume average",TRUE)</f>
        <v>48113819</v>
      </c>
    </row>
  </sheetData>
  <conditionalFormatting sqref="A2:A71">
    <cfRule type="colorScale" priority="5">
      <colorScale>
        <cfvo type="min"/>
        <cfvo type="percentile" val="50"/>
        <cfvo type="max"/>
        <color rgb="FF63BE7B"/>
        <color rgb="FFFFEB84"/>
        <color rgb="FFF8696B"/>
      </colorScale>
    </cfRule>
  </conditionalFormatting>
  <conditionalFormatting sqref="I2:I71">
    <cfRule type="cellIs" dxfId="3" priority="1" operator="greaterThan">
      <formula>0</formula>
    </cfRule>
    <cfRule type="cellIs" dxfId="2" priority="2" operator="lessThan">
      <formula>0</formula>
    </cfRule>
  </conditionalFormatting>
  <conditionalFormatting sqref="J2:L71">
    <cfRule type="cellIs" dxfId="1" priority="3" operator="lessThan">
      <formula>0</formula>
    </cfRule>
    <cfRule type="cellIs" dxfId="0" priority="4" operator="greaterThan">
      <formula>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Stock Report</vt:lpstr>
      <vt:lpstr>ETF Report</vt:lpstr>
      <vt:lpstr>Stock Report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PRAGYESH JAIN</cp:lastModifiedBy>
  <dcterms:created xsi:type="dcterms:W3CDTF">2026-06-01T14:24:07Z</dcterms:created>
  <dcterms:modified xsi:type="dcterms:W3CDTF">2026-10-25T14:25:21Z</dcterms:modified>
</cp:coreProperties>
</file>